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rigo/GitHub/hertie_mds_master_thesis/doc/"/>
    </mc:Choice>
  </mc:AlternateContent>
  <xr:revisionPtr revIDLastSave="0" documentId="8_{3E778537-F605-5B45-89E6-CD57D87BB9BC}" xr6:coauthVersionLast="47" xr6:coauthVersionMax="47" xr10:uidLastSave="{00000000-0000-0000-0000-000000000000}"/>
  <bookViews>
    <workbookView xWindow="4440" yWindow="760" windowWidth="24960" windowHeight="16880" xr2:uid="{CE82514C-0DFE-184F-985A-3DA10FEC8C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10" i="1"/>
  <c r="G12" i="1" l="1"/>
</calcChain>
</file>

<file path=xl/sharedStrings.xml><?xml version="1.0" encoding="utf-8"?>
<sst xmlns="http://schemas.openxmlformats.org/spreadsheetml/2006/main" count="30" uniqueCount="13">
  <si>
    <t>case_identifier</t>
  </si>
  <si>
    <t>outcome</t>
  </si>
  <si>
    <t>cocaine_g</t>
  </si>
  <si>
    <t>Guilty</t>
  </si>
  <si>
    <t>Not Guilty</t>
  </si>
  <si>
    <t>None</t>
  </si>
  <si>
    <t>penalty_months</t>
  </si>
  <si>
    <t>model</t>
  </si>
  <si>
    <t>ground_truth</t>
  </si>
  <si>
    <t>Right</t>
  </si>
  <si>
    <t>Total</t>
  </si>
  <si>
    <t>Accuracy</t>
  </si>
  <si>
    <t>Metric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</si>
</sst>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00"/>
  </numFmts>
  <fonts count="5" x14ac:knownFonts="1"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i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BBB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1" applyAlignment="1">
      <alignment horizontal="center"/>
    </xf>
    <xf numFmtId="0" fontId="4" fillId="0" borderId="2" xfId="0" applyFont="1" applyBorder="1" applyAlignment="1">
      <alignment horizontal="center"/>
    </xf>
    <xf numFmtId="175" fontId="4" fillId="0" borderId="2" xfId="0" applyNumberFormat="1" applyFont="1" applyBorder="1" applyAlignment="1">
      <alignment horizontal="center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colors>
    <mruColors>
      <color rgb="FFFFBB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AB5F3-6816-8142-81B5-AC192C1DF06C}">
  <dimension ref="A1:G13"/>
  <sheetViews>
    <sheetView tabSelected="1" workbookViewId="0">
      <selection activeCell="C21" sqref="C21"/>
    </sheetView>
  </sheetViews>
  <sheetFormatPr baseColWidth="10" defaultRowHeight="16" x14ac:dyDescent="0.2"/>
  <cols>
    <col min="1" max="1" width="16.33203125" customWidth="1"/>
    <col min="2" max="2" width="16.6640625" customWidth="1"/>
    <col min="3" max="3" width="17.1640625" customWidth="1"/>
    <col min="4" max="4" width="14.1640625" bestFit="1" customWidth="1"/>
    <col min="5" max="5" width="13.1640625" bestFit="1" customWidth="1"/>
    <col min="6" max="6" width="15.33203125" customWidth="1"/>
    <col min="7" max="7" width="15" customWidth="1"/>
  </cols>
  <sheetData>
    <row r="1" spans="1:7" x14ac:dyDescent="0.2">
      <c r="B1" s="7" t="s">
        <v>1</v>
      </c>
      <c r="C1" s="7"/>
      <c r="D1" s="8" t="s">
        <v>2</v>
      </c>
      <c r="E1" s="8"/>
      <c r="F1" s="8" t="s">
        <v>6</v>
      </c>
      <c r="G1" s="8"/>
    </row>
    <row r="2" spans="1:7" x14ac:dyDescent="0.2">
      <c r="A2" s="1" t="s">
        <v>0</v>
      </c>
      <c r="B2" s="9" t="s">
        <v>7</v>
      </c>
      <c r="C2" s="9" t="s">
        <v>8</v>
      </c>
      <c r="D2" s="9" t="s">
        <v>7</v>
      </c>
      <c r="E2" s="9" t="s">
        <v>8</v>
      </c>
      <c r="F2" s="9" t="s">
        <v>7</v>
      </c>
      <c r="G2" s="9" t="s">
        <v>8</v>
      </c>
    </row>
    <row r="3" spans="1:7" x14ac:dyDescent="0.2">
      <c r="A3" s="1">
        <v>12345</v>
      </c>
      <c r="B3" s="2" t="s">
        <v>3</v>
      </c>
      <c r="C3" s="2" t="s">
        <v>4</v>
      </c>
      <c r="D3" s="3">
        <v>42.9</v>
      </c>
      <c r="E3" s="3">
        <v>49.9</v>
      </c>
      <c r="F3" s="3" t="s">
        <v>5</v>
      </c>
      <c r="G3" s="3" t="s">
        <v>5</v>
      </c>
    </row>
    <row r="4" spans="1:7" x14ac:dyDescent="0.2">
      <c r="A4" s="1">
        <v>67891</v>
      </c>
      <c r="B4" s="3" t="s">
        <v>3</v>
      </c>
      <c r="C4" s="3" t="s">
        <v>3</v>
      </c>
      <c r="D4" s="2" t="s">
        <v>5</v>
      </c>
      <c r="E4" s="2">
        <v>1</v>
      </c>
      <c r="F4" s="3">
        <v>5</v>
      </c>
      <c r="G4" s="3">
        <v>5</v>
      </c>
    </row>
    <row r="5" spans="1:7" x14ac:dyDescent="0.2">
      <c r="A5" s="1">
        <v>19285</v>
      </c>
      <c r="B5" s="3" t="s">
        <v>3</v>
      </c>
      <c r="C5" s="3" t="s">
        <v>3</v>
      </c>
      <c r="D5" s="3">
        <v>3.3</v>
      </c>
      <c r="E5" s="3">
        <v>3.3</v>
      </c>
      <c r="F5" s="2">
        <v>8</v>
      </c>
      <c r="G5" s="2">
        <v>8.1999999999999993</v>
      </c>
    </row>
    <row r="6" spans="1:7" x14ac:dyDescent="0.2">
      <c r="A6" s="1">
        <v>34534</v>
      </c>
      <c r="B6" s="2" t="s">
        <v>4</v>
      </c>
      <c r="C6" s="2" t="s">
        <v>3</v>
      </c>
      <c r="D6" s="2">
        <v>2.2999999999999998</v>
      </c>
      <c r="E6" s="2" t="s">
        <v>5</v>
      </c>
      <c r="F6" s="3">
        <v>23</v>
      </c>
      <c r="G6" s="3">
        <v>23</v>
      </c>
    </row>
    <row r="9" spans="1:7" ht="21" thickBot="1" x14ac:dyDescent="0.3">
      <c r="A9" s="1" t="s">
        <v>0</v>
      </c>
      <c r="B9" s="5" t="s">
        <v>1</v>
      </c>
      <c r="C9" s="4" t="s">
        <v>2</v>
      </c>
      <c r="D9" s="6" t="s">
        <v>6</v>
      </c>
      <c r="F9" s="10" t="s">
        <v>12</v>
      </c>
      <c r="G9" s="10"/>
    </row>
    <row r="10" spans="1:7" ht="17" thickTop="1" x14ac:dyDescent="0.2">
      <c r="A10" s="1">
        <v>12345</v>
      </c>
      <c r="B10" s="2">
        <v>0</v>
      </c>
      <c r="C10" s="3">
        <v>1</v>
      </c>
      <c r="D10" s="3">
        <v>1</v>
      </c>
      <c r="F10" s="1" t="s">
        <v>9</v>
      </c>
      <c r="G10" s="1">
        <f>SUMIF(B10:D13,1)</f>
        <v>7</v>
      </c>
    </row>
    <row r="11" spans="1:7" x14ac:dyDescent="0.2">
      <c r="A11" s="1">
        <v>67891</v>
      </c>
      <c r="B11" s="3">
        <v>1</v>
      </c>
      <c r="C11" s="2">
        <v>0</v>
      </c>
      <c r="D11" s="3">
        <v>1</v>
      </c>
      <c r="F11" s="1" t="s">
        <v>10</v>
      </c>
      <c r="G11" s="1">
        <f>COUNT(B10:D13)</f>
        <v>12</v>
      </c>
    </row>
    <row r="12" spans="1:7" x14ac:dyDescent="0.2">
      <c r="A12" s="1">
        <v>19285</v>
      </c>
      <c r="B12" s="3">
        <v>1</v>
      </c>
      <c r="C12" s="3">
        <v>1</v>
      </c>
      <c r="D12" s="2">
        <v>0</v>
      </c>
      <c r="F12" s="11" t="s">
        <v>11</v>
      </c>
      <c r="G12" s="12">
        <f>G10/G11</f>
        <v>0.58333333333333337</v>
      </c>
    </row>
    <row r="13" spans="1:7" x14ac:dyDescent="0.2">
      <c r="A13" s="1">
        <v>34534</v>
      </c>
      <c r="B13" s="2">
        <v>0</v>
      </c>
      <c r="C13" s="2">
        <v>0</v>
      </c>
      <c r="D13" s="3">
        <v>1</v>
      </c>
    </row>
  </sheetData>
  <mergeCells count="4">
    <mergeCell ref="F9:G9"/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Dornelles</dc:creator>
  <cp:lastModifiedBy>Rodrigo Dornelles</cp:lastModifiedBy>
  <dcterms:created xsi:type="dcterms:W3CDTF">2025-04-28T10:08:22Z</dcterms:created>
  <dcterms:modified xsi:type="dcterms:W3CDTF">2025-04-28T10:39:39Z</dcterms:modified>
</cp:coreProperties>
</file>