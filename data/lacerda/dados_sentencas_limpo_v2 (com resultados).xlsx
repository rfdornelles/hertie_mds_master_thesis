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26.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27.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2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5445" tabRatio="777" activeTab="2"/>
  </bookViews>
  <sheets>
    <sheet name="AplicQuest" sheetId="1" r:id="rId1"/>
    <sheet name="TJSP - Apenas p Complementação" sheetId="3" r:id="rId2"/>
    <sheet name="BD" sheetId="4" r:id="rId3"/>
    <sheet name="Objetivos" sheetId="6" r:id="rId4"/>
    <sheet name="Descritivo" sheetId="5" r:id="rId5"/>
    <sheet name="Panorama (res. por Vara)" sheetId="7" r:id="rId6"/>
  </sheets>
  <definedNames>
    <definedName name="_xlnm._FilterDatabase" localSheetId="0" hidden="1">AplicQuest!$C$2:$C$421</definedName>
    <definedName name="_xlnm._FilterDatabase" localSheetId="2" hidden="1">BD!$A$1:$BS$421</definedName>
    <definedName name="_xlnm.Extract" localSheetId="0">AplicQuest!$C$423</definedName>
  </definedNames>
  <calcPr calcId="144525"/>
  <pivotCaches>
    <pivotCache cacheId="34" r:id="rId7"/>
    <pivotCache cacheId="37" r:id="rId8"/>
    <pivotCache cacheId="40" r:id="rId9"/>
    <pivotCache cacheId="43" r:id="rId10"/>
    <pivotCache cacheId="46" r:id="rId11"/>
    <pivotCache cacheId="49" r:id="rId12"/>
    <pivotCache cacheId="52" r:id="rId13"/>
    <pivotCache cacheId="55" r:id="rId14"/>
    <pivotCache cacheId="58" r:id="rId15"/>
    <pivotCache cacheId="61" r:id="rId16"/>
    <pivotCache cacheId="64" r:id="rId17"/>
    <pivotCache cacheId="67" r:id="rId18"/>
    <pivotCache cacheId="70" r:id="rId19"/>
    <pivotCache cacheId="73" r:id="rId20"/>
    <pivotCache cacheId="76" r:id="rId21"/>
    <pivotCache cacheId="79" r:id="rId22"/>
    <pivotCache cacheId="81" r:id="rId23"/>
    <pivotCache cacheId="84" r:id="rId24"/>
    <pivotCache cacheId="87" r:id="rId25"/>
    <pivotCache cacheId="90" r:id="rId26"/>
    <pivotCache cacheId="93" r:id="rId27"/>
    <pivotCache cacheId="96" r:id="rId28"/>
    <pivotCache cacheId="99" r:id="rId29"/>
    <pivotCache cacheId="102" r:id="rId30"/>
    <pivotCache cacheId="105" r:id="rId31"/>
    <pivotCache cacheId="108" r:id="rId32"/>
    <pivotCache cacheId="111" r:id="rId33"/>
    <pivotCache cacheId="114" r:id="rId3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R6" i="7" l="1"/>
  <c r="AR7" i="7"/>
  <c r="AR8" i="7"/>
  <c r="AR9" i="7"/>
  <c r="AR10" i="7"/>
  <c r="AR11" i="7"/>
  <c r="AR12" i="7"/>
  <c r="AR13" i="7"/>
  <c r="AR14" i="7"/>
  <c r="AR15" i="7"/>
  <c r="AR16" i="7"/>
  <c r="AR17" i="7"/>
  <c r="AR18" i="7"/>
  <c r="AR19" i="7"/>
  <c r="AR20" i="7"/>
  <c r="AR21" i="7"/>
  <c r="AR22" i="7"/>
  <c r="AR23" i="7"/>
  <c r="AR24" i="7"/>
  <c r="AR25" i="7"/>
  <c r="AR26" i="7"/>
  <c r="AR27" i="7"/>
  <c r="AR28" i="7"/>
  <c r="AR29" i="7"/>
  <c r="AR30" i="7"/>
  <c r="AR31" i="7"/>
  <c r="AR32" i="7"/>
  <c r="AR33" i="7"/>
  <c r="AR34" i="7"/>
  <c r="AR35" i="7"/>
  <c r="AR36" i="7"/>
  <c r="AR5" i="7"/>
  <c r="AT5" i="7"/>
  <c r="AT6" i="7"/>
  <c r="AT7" i="7"/>
  <c r="AT8" i="7"/>
  <c r="AT9" i="7"/>
  <c r="AT10" i="7"/>
  <c r="AT11" i="7"/>
  <c r="AT12" i="7"/>
  <c r="AT13" i="7"/>
  <c r="AT14" i="7"/>
  <c r="AT15" i="7"/>
  <c r="AT16" i="7"/>
  <c r="AT17" i="7"/>
  <c r="AT18" i="7"/>
  <c r="AT19" i="7"/>
  <c r="AT20" i="7"/>
  <c r="AT21" i="7"/>
  <c r="AT22" i="7"/>
  <c r="AT23" i="7"/>
  <c r="AT24" i="7"/>
  <c r="AT25" i="7"/>
  <c r="AT26" i="7"/>
  <c r="AT27" i="7"/>
  <c r="AT28" i="7"/>
  <c r="AT29" i="7"/>
  <c r="AT30" i="7"/>
  <c r="AT31" i="7"/>
  <c r="AT32" i="7"/>
  <c r="AT33" i="7"/>
  <c r="AT34" i="7"/>
  <c r="AT35" i="7"/>
  <c r="AT36" i="7"/>
  <c r="F261" i="5" l="1"/>
  <c r="E257" i="5"/>
  <c r="F257" i="5"/>
  <c r="E258" i="5"/>
  <c r="F258" i="5"/>
  <c r="E259" i="5"/>
  <c r="F259" i="5"/>
  <c r="E260" i="5"/>
  <c r="F260" i="5"/>
  <c r="F239" i="5"/>
  <c r="E237" i="5"/>
  <c r="F237" i="5"/>
  <c r="E238" i="5"/>
  <c r="F238" i="5"/>
  <c r="BG360" i="4"/>
  <c r="BG361" i="4"/>
  <c r="BG362" i="4"/>
  <c r="BG363" i="4"/>
  <c r="BG364" i="4"/>
  <c r="BG365" i="4"/>
  <c r="BG366" i="4"/>
  <c r="BG367" i="4"/>
  <c r="BG368" i="4"/>
  <c r="BG369" i="4"/>
  <c r="BG370" i="4"/>
  <c r="BG371" i="4"/>
  <c r="BG372" i="4"/>
  <c r="BG373" i="4"/>
  <c r="BG374" i="4"/>
  <c r="BG375" i="4"/>
  <c r="BG377" i="4"/>
  <c r="BG378" i="4"/>
  <c r="BG379" i="4"/>
  <c r="BG380" i="4"/>
  <c r="BG381" i="4"/>
  <c r="BG382" i="4"/>
  <c r="BG383" i="4"/>
  <c r="BG384" i="4"/>
  <c r="BG385" i="4"/>
  <c r="BG386" i="4"/>
  <c r="BG387" i="4"/>
  <c r="BG388" i="4"/>
  <c r="BG389" i="4"/>
  <c r="BG390" i="4"/>
  <c r="BG391" i="4"/>
  <c r="BG392" i="4"/>
  <c r="BG393" i="4"/>
  <c r="BG394" i="4"/>
  <c r="BG395" i="4"/>
  <c r="BG396" i="4"/>
  <c r="BG397" i="4"/>
  <c r="BG398" i="4"/>
  <c r="BG399" i="4"/>
  <c r="BG400" i="4"/>
  <c r="BG401" i="4"/>
  <c r="BG402" i="4"/>
  <c r="BG403" i="4"/>
  <c r="BG405" i="4"/>
  <c r="BG406" i="4"/>
  <c r="BG407" i="4"/>
  <c r="BG408" i="4"/>
  <c r="BG409" i="4"/>
  <c r="BG410" i="4"/>
  <c r="BG411" i="4"/>
  <c r="BG412" i="4"/>
  <c r="BG413" i="4"/>
  <c r="BG414" i="4"/>
  <c r="BG415" i="4"/>
  <c r="BG416" i="4"/>
  <c r="BG417" i="4"/>
  <c r="BG418" i="4"/>
  <c r="BG419" i="4"/>
  <c r="BG420" i="4"/>
  <c r="BG421" i="4"/>
  <c r="BG404" i="4"/>
  <c r="BG376" i="4"/>
  <c r="BG18" i="4"/>
  <c r="BG19" i="4"/>
  <c r="BG20" i="4"/>
  <c r="BG21" i="4"/>
  <c r="BG22" i="4"/>
  <c r="BG24" i="4"/>
  <c r="BG25" i="4"/>
  <c r="BG26" i="4"/>
  <c r="BG27" i="4"/>
  <c r="BG28" i="4"/>
  <c r="BG29" i="4"/>
  <c r="BG30" i="4"/>
  <c r="BG31" i="4"/>
  <c r="BG32" i="4"/>
  <c r="BG33" i="4"/>
  <c r="BG34" i="4"/>
  <c r="BG35" i="4"/>
  <c r="BG36" i="4"/>
  <c r="BG37" i="4"/>
  <c r="BG38" i="4"/>
  <c r="BG39" i="4"/>
  <c r="BG40" i="4"/>
  <c r="BG41" i="4"/>
  <c r="BG42" i="4"/>
  <c r="BG43" i="4"/>
  <c r="BG44" i="4"/>
  <c r="BG45" i="4"/>
  <c r="BG46" i="4"/>
  <c r="BG47" i="4"/>
  <c r="BG48" i="4"/>
  <c r="BG50" i="4"/>
  <c r="BG52" i="4"/>
  <c r="BG53" i="4"/>
  <c r="BG54" i="4"/>
  <c r="BG55" i="4"/>
  <c r="BG56" i="4"/>
  <c r="BG57" i="4"/>
  <c r="BG58" i="4"/>
  <c r="BG59" i="4"/>
  <c r="BG60" i="4"/>
  <c r="BG61" i="4"/>
  <c r="BG62" i="4"/>
  <c r="BG63" i="4"/>
  <c r="BG64" i="4"/>
  <c r="BG65" i="4"/>
  <c r="BG66" i="4"/>
  <c r="BG67" i="4"/>
  <c r="BG68" i="4"/>
  <c r="BG69" i="4"/>
  <c r="BG70" i="4"/>
  <c r="BG71" i="4"/>
  <c r="BG72" i="4"/>
  <c r="BG73" i="4"/>
  <c r="BG74" i="4"/>
  <c r="BG75" i="4"/>
  <c r="BG76" i="4"/>
  <c r="BG77" i="4"/>
  <c r="BG78" i="4"/>
  <c r="BG79" i="4"/>
  <c r="BG80" i="4"/>
  <c r="BG81" i="4"/>
  <c r="BG82" i="4"/>
  <c r="BG83" i="4"/>
  <c r="BG84" i="4"/>
  <c r="BG85" i="4"/>
  <c r="BG86" i="4"/>
  <c r="BG87" i="4"/>
  <c r="BG88" i="4"/>
  <c r="BG89" i="4"/>
  <c r="BG90" i="4"/>
  <c r="BG91" i="4"/>
  <c r="BG92" i="4"/>
  <c r="BG93" i="4"/>
  <c r="BG94" i="4"/>
  <c r="BG95" i="4"/>
  <c r="BG96" i="4"/>
  <c r="BG97" i="4"/>
  <c r="BG98" i="4"/>
  <c r="BG99" i="4"/>
  <c r="BG100" i="4"/>
  <c r="BG101" i="4"/>
  <c r="BG102" i="4"/>
  <c r="BG103" i="4"/>
  <c r="BG104" i="4"/>
  <c r="BG105" i="4"/>
  <c r="BG106" i="4"/>
  <c r="BG107" i="4"/>
  <c r="BG9" i="4"/>
  <c r="BG10" i="4"/>
  <c r="BG11" i="4"/>
  <c r="BG12" i="4"/>
  <c r="BG13" i="4"/>
  <c r="BG14" i="4"/>
  <c r="BG15" i="4"/>
  <c r="BG16" i="4"/>
  <c r="BG17" i="4"/>
  <c r="BG108" i="4"/>
  <c r="BG109" i="4"/>
  <c r="BG110" i="4"/>
  <c r="BG111" i="4"/>
  <c r="BG117" i="4"/>
  <c r="BG118" i="4"/>
  <c r="BG119" i="4"/>
  <c r="BG120" i="4"/>
  <c r="BG121" i="4"/>
  <c r="BG122" i="4"/>
  <c r="BG123" i="4"/>
  <c r="BG124" i="4"/>
  <c r="BG125" i="4"/>
  <c r="BG126" i="4"/>
  <c r="BG127" i="4"/>
  <c r="BG129" i="4"/>
  <c r="BG130" i="4"/>
  <c r="BG131" i="4"/>
  <c r="BG132" i="4"/>
  <c r="BG133" i="4"/>
  <c r="BG134" i="4"/>
  <c r="BG135" i="4"/>
  <c r="BG136" i="4"/>
  <c r="BG137" i="4"/>
  <c r="BG138" i="4"/>
  <c r="BG139" i="4"/>
  <c r="BG140" i="4"/>
  <c r="BG141" i="4"/>
  <c r="BG142" i="4"/>
  <c r="BG143" i="4"/>
  <c r="BG51" i="4"/>
  <c r="BG144" i="4"/>
  <c r="BG112" i="4"/>
  <c r="BG113" i="4"/>
  <c r="BG114" i="4"/>
  <c r="BG115" i="4"/>
  <c r="BG116" i="4"/>
  <c r="BG145" i="4"/>
  <c r="BG146" i="4"/>
  <c r="BG147" i="4"/>
  <c r="BG148" i="4"/>
  <c r="BG151" i="4"/>
  <c r="BG153" i="4"/>
  <c r="BG154" i="4"/>
  <c r="BG155" i="4"/>
  <c r="BG156" i="4"/>
  <c r="BG49" i="4"/>
  <c r="BG149" i="4"/>
  <c r="BG150" i="4"/>
  <c r="BG157" i="4"/>
  <c r="BG158" i="4"/>
  <c r="BG159" i="4"/>
  <c r="BG152" i="4"/>
  <c r="BG160" i="4"/>
  <c r="BG162" i="4"/>
  <c r="BG163" i="4"/>
  <c r="BG164" i="4"/>
  <c r="BG165" i="4"/>
  <c r="BG166" i="4"/>
  <c r="BG167" i="4"/>
  <c r="BG168" i="4"/>
  <c r="BG171" i="4"/>
  <c r="BG175" i="4"/>
  <c r="BG176" i="4"/>
  <c r="BG177" i="4"/>
  <c r="BG178" i="4"/>
  <c r="BG179" i="4"/>
  <c r="BG180" i="4"/>
  <c r="BG181" i="4"/>
  <c r="BG182" i="4"/>
  <c r="BG183" i="4"/>
  <c r="BG187" i="4"/>
  <c r="BG188" i="4"/>
  <c r="BG189" i="4"/>
  <c r="BG193" i="4"/>
  <c r="BG194" i="4"/>
  <c r="BG195" i="4"/>
  <c r="BG196" i="4"/>
  <c r="BG197" i="4"/>
  <c r="BG198" i="4"/>
  <c r="BG199" i="4"/>
  <c r="BG200" i="4"/>
  <c r="BG201" i="4"/>
  <c r="BG202" i="4"/>
  <c r="BG203" i="4"/>
  <c r="BG204" i="4"/>
  <c r="BG205" i="4"/>
  <c r="BG206" i="4"/>
  <c r="BG207" i="4"/>
  <c r="BG208" i="4"/>
  <c r="BG209" i="4"/>
  <c r="BG210" i="4"/>
  <c r="BG211" i="4"/>
  <c r="BG212" i="4"/>
  <c r="BG213" i="4"/>
  <c r="BG214" i="4"/>
  <c r="BG216" i="4"/>
  <c r="BG218" i="4"/>
  <c r="BG219" i="4"/>
  <c r="BG221" i="4"/>
  <c r="BG222" i="4"/>
  <c r="BG224" i="4"/>
  <c r="BG225" i="4"/>
  <c r="BG226" i="4"/>
  <c r="BG227" i="4"/>
  <c r="BG228" i="4"/>
  <c r="BG229" i="4"/>
  <c r="BG230" i="4"/>
  <c r="BG231" i="4"/>
  <c r="BG232" i="4"/>
  <c r="BG233" i="4"/>
  <c r="BG161" i="4"/>
  <c r="BG272" i="4"/>
  <c r="BG273" i="4"/>
  <c r="BG274" i="4"/>
  <c r="BG128" i="4"/>
  <c r="BG275" i="4"/>
  <c r="BG276" i="4"/>
  <c r="BG277" i="4"/>
  <c r="BG278" i="4"/>
  <c r="BG234" i="4"/>
  <c r="BG235" i="4"/>
  <c r="BG236" i="4"/>
  <c r="BG237" i="4"/>
  <c r="BG238" i="4"/>
  <c r="BG239" i="4"/>
  <c r="BG240" i="4"/>
  <c r="BG241" i="4"/>
  <c r="BG242" i="4"/>
  <c r="BG243" i="4"/>
  <c r="BG244" i="4"/>
  <c r="BG245" i="4"/>
  <c r="BG246" i="4"/>
  <c r="BG247" i="4"/>
  <c r="BG249" i="4"/>
  <c r="BG250" i="4"/>
  <c r="BG251" i="4"/>
  <c r="BG252" i="4"/>
  <c r="BG253" i="4"/>
  <c r="BG254" i="4"/>
  <c r="BG255" i="4"/>
  <c r="BG256" i="4"/>
  <c r="BG257" i="4"/>
  <c r="BG258" i="4"/>
  <c r="BG259" i="4"/>
  <c r="BG260" i="4"/>
  <c r="BG261" i="4"/>
  <c r="BG262" i="4"/>
  <c r="BG263" i="4"/>
  <c r="BG264" i="4"/>
  <c r="BG265" i="4"/>
  <c r="BG266" i="4"/>
  <c r="BG267" i="4"/>
  <c r="BG269" i="4"/>
  <c r="BG270" i="4"/>
  <c r="BG271" i="4"/>
  <c r="BG184" i="4"/>
  <c r="BG248" i="4"/>
  <c r="BG279" i="4"/>
  <c r="BG280" i="4"/>
  <c r="BG281" i="4"/>
  <c r="BG282" i="4"/>
  <c r="BG283" i="4"/>
  <c r="BG284" i="4"/>
  <c r="BG285" i="4"/>
  <c r="BG286" i="4"/>
  <c r="BG287" i="4"/>
  <c r="BG288" i="4"/>
  <c r="BG289" i="4"/>
  <c r="BG290" i="4"/>
  <c r="BG291" i="4"/>
  <c r="BG292" i="4"/>
  <c r="BG293" i="4"/>
  <c r="BG294" i="4"/>
  <c r="BG295" i="4"/>
  <c r="BG297" i="4"/>
  <c r="BG299" i="4"/>
  <c r="BG300" i="4"/>
  <c r="BG301" i="4"/>
  <c r="BG304" i="4"/>
  <c r="BG305" i="4"/>
  <c r="BG306" i="4"/>
  <c r="BG307" i="4"/>
  <c r="BG308" i="4"/>
  <c r="BG309" i="4"/>
  <c r="BG311" i="4"/>
  <c r="BG312" i="4"/>
  <c r="BG313" i="4"/>
  <c r="BG314" i="4"/>
  <c r="BG315" i="4"/>
  <c r="BG316" i="4"/>
  <c r="BG317" i="4"/>
  <c r="BG318" i="4"/>
  <c r="BG319" i="4"/>
  <c r="BG320" i="4"/>
  <c r="BG321" i="4"/>
  <c r="BG322" i="4"/>
  <c r="BG323" i="4"/>
  <c r="BG324" i="4"/>
  <c r="BG325" i="4"/>
  <c r="BG172" i="4"/>
  <c r="BG173" i="4"/>
  <c r="BG174" i="4"/>
  <c r="BG220" i="4"/>
  <c r="BG223" i="4"/>
  <c r="BG326" i="4"/>
  <c r="BG327" i="4"/>
  <c r="BG328" i="4"/>
  <c r="BG329" i="4"/>
  <c r="BG330" i="4"/>
  <c r="BG331" i="4"/>
  <c r="BG332" i="4"/>
  <c r="BG333" i="4"/>
  <c r="BG334" i="4"/>
  <c r="BG335" i="4"/>
  <c r="BG336" i="4"/>
  <c r="BG337" i="4"/>
  <c r="BG338" i="4"/>
  <c r="BG339" i="4"/>
  <c r="BG340" i="4"/>
  <c r="BG341" i="4"/>
  <c r="BG342" i="4"/>
  <c r="BG343" i="4"/>
  <c r="BG347" i="4"/>
  <c r="BG169" i="4"/>
  <c r="BG170" i="4"/>
  <c r="BG185" i="4"/>
  <c r="BG186" i="4"/>
  <c r="BG190" i="4"/>
  <c r="BG191" i="4"/>
  <c r="BG192" i="4"/>
  <c r="BG215" i="4"/>
  <c r="BG217" i="4"/>
  <c r="BG348" i="4"/>
  <c r="BG349" i="4"/>
  <c r="BG351" i="4"/>
  <c r="BG353" i="4"/>
  <c r="BG354" i="4"/>
  <c r="BG350" i="4"/>
  <c r="BG355" i="4"/>
  <c r="BG356" i="4"/>
  <c r="BG352" i="4"/>
  <c r="BG268" i="4"/>
  <c r="BG302" i="4"/>
  <c r="BG303" i="4"/>
  <c r="BG2" i="4"/>
  <c r="BG3" i="4"/>
  <c r="BG4" i="4"/>
  <c r="BG298" i="4"/>
  <c r="BG296" i="4"/>
  <c r="BG5" i="4"/>
  <c r="BG310" i="4"/>
  <c r="BG6" i="4"/>
  <c r="BG7" i="4"/>
  <c r="BG23" i="4"/>
  <c r="BG8" i="4"/>
  <c r="BG358" i="4"/>
  <c r="BG357" i="4"/>
  <c r="BG344" i="4"/>
  <c r="BG345" i="4"/>
  <c r="BG346" i="4"/>
  <c r="BG359" i="4"/>
  <c r="BF360" i="4"/>
  <c r="BF361" i="4"/>
  <c r="BF362" i="4"/>
  <c r="BF363" i="4"/>
  <c r="BF364" i="4"/>
  <c r="BF365" i="4"/>
  <c r="BF366" i="4"/>
  <c r="BF367" i="4"/>
  <c r="BF368" i="4"/>
  <c r="BF369" i="4"/>
  <c r="BF370" i="4"/>
  <c r="BF371" i="4"/>
  <c r="BF372" i="4"/>
  <c r="BF373" i="4"/>
  <c r="BF374" i="4"/>
  <c r="BF375" i="4"/>
  <c r="BF377" i="4"/>
  <c r="BF378" i="4"/>
  <c r="BF379" i="4"/>
  <c r="BF380" i="4"/>
  <c r="BF381" i="4"/>
  <c r="BF382" i="4"/>
  <c r="BF383" i="4"/>
  <c r="BF384" i="4"/>
  <c r="BF385" i="4"/>
  <c r="BF386" i="4"/>
  <c r="BF387" i="4"/>
  <c r="BF388" i="4"/>
  <c r="BF389" i="4"/>
  <c r="BF390" i="4"/>
  <c r="BF391" i="4"/>
  <c r="BF392" i="4"/>
  <c r="BF393" i="4"/>
  <c r="BF394" i="4"/>
  <c r="BF395" i="4"/>
  <c r="BF396" i="4"/>
  <c r="BF397" i="4"/>
  <c r="BF398" i="4"/>
  <c r="BF399" i="4"/>
  <c r="BF400" i="4"/>
  <c r="BF401" i="4"/>
  <c r="BF402" i="4"/>
  <c r="BF403" i="4"/>
  <c r="BF405" i="4"/>
  <c r="BF406" i="4"/>
  <c r="BF407" i="4"/>
  <c r="BF408" i="4"/>
  <c r="BF409" i="4"/>
  <c r="BF410" i="4"/>
  <c r="BF411" i="4"/>
  <c r="BF412" i="4"/>
  <c r="BF413" i="4"/>
  <c r="BF414" i="4"/>
  <c r="BF415" i="4"/>
  <c r="BF416" i="4"/>
  <c r="BF417" i="4"/>
  <c r="BF418" i="4"/>
  <c r="BF419" i="4"/>
  <c r="BF420" i="4"/>
  <c r="BF421" i="4"/>
  <c r="BF404" i="4"/>
  <c r="BF376" i="4"/>
  <c r="BF18" i="4"/>
  <c r="BF19" i="4"/>
  <c r="BF20" i="4"/>
  <c r="BF21" i="4"/>
  <c r="BF22" i="4"/>
  <c r="BF24" i="4"/>
  <c r="BF25" i="4"/>
  <c r="BF26" i="4"/>
  <c r="BF27" i="4"/>
  <c r="BF28" i="4"/>
  <c r="BF29" i="4"/>
  <c r="BF30" i="4"/>
  <c r="BF31" i="4"/>
  <c r="BF32" i="4"/>
  <c r="BF33" i="4"/>
  <c r="BF34" i="4"/>
  <c r="BF35" i="4"/>
  <c r="BF36" i="4"/>
  <c r="BF37" i="4"/>
  <c r="BF38" i="4"/>
  <c r="BF39" i="4"/>
  <c r="BF40" i="4"/>
  <c r="BF41" i="4"/>
  <c r="BF42" i="4"/>
  <c r="BF43" i="4"/>
  <c r="BF44" i="4"/>
  <c r="BF45" i="4"/>
  <c r="BF46" i="4"/>
  <c r="BF47" i="4"/>
  <c r="BF48" i="4"/>
  <c r="BF50" i="4"/>
  <c r="BF52" i="4"/>
  <c r="BF53" i="4"/>
  <c r="BF54" i="4"/>
  <c r="BF55" i="4"/>
  <c r="BF56" i="4"/>
  <c r="BF57" i="4"/>
  <c r="BF58" i="4"/>
  <c r="BF59" i="4"/>
  <c r="BF60" i="4"/>
  <c r="BF61" i="4"/>
  <c r="BF62" i="4"/>
  <c r="BF63" i="4"/>
  <c r="BF64" i="4"/>
  <c r="BF65" i="4"/>
  <c r="BF66" i="4"/>
  <c r="BF67" i="4"/>
  <c r="BF68" i="4"/>
  <c r="BF69" i="4"/>
  <c r="BF70" i="4"/>
  <c r="BF71" i="4"/>
  <c r="BF72" i="4"/>
  <c r="BF73" i="4"/>
  <c r="BF74" i="4"/>
  <c r="BF75" i="4"/>
  <c r="BF76" i="4"/>
  <c r="BF77" i="4"/>
  <c r="BF78" i="4"/>
  <c r="BF79" i="4"/>
  <c r="BF80" i="4"/>
  <c r="BF81" i="4"/>
  <c r="BF82" i="4"/>
  <c r="BF83" i="4"/>
  <c r="BF84" i="4"/>
  <c r="BF85" i="4"/>
  <c r="BF86" i="4"/>
  <c r="BF87" i="4"/>
  <c r="BF88" i="4"/>
  <c r="BF89" i="4"/>
  <c r="BF90" i="4"/>
  <c r="BF91" i="4"/>
  <c r="BF92" i="4"/>
  <c r="BF93" i="4"/>
  <c r="BF94" i="4"/>
  <c r="BF95" i="4"/>
  <c r="BF96" i="4"/>
  <c r="BF97" i="4"/>
  <c r="BF98" i="4"/>
  <c r="BF99" i="4"/>
  <c r="BF100" i="4"/>
  <c r="BF101" i="4"/>
  <c r="BF102" i="4"/>
  <c r="BF103" i="4"/>
  <c r="BF104" i="4"/>
  <c r="BF105" i="4"/>
  <c r="BF106" i="4"/>
  <c r="BF107" i="4"/>
  <c r="BF9" i="4"/>
  <c r="BF10" i="4"/>
  <c r="BF11" i="4"/>
  <c r="BF12" i="4"/>
  <c r="BF13" i="4"/>
  <c r="BF14" i="4"/>
  <c r="BF15" i="4"/>
  <c r="BF16" i="4"/>
  <c r="BF17" i="4"/>
  <c r="BF108" i="4"/>
  <c r="BF109" i="4"/>
  <c r="BF110" i="4"/>
  <c r="BF111" i="4"/>
  <c r="BF117" i="4"/>
  <c r="BF118" i="4"/>
  <c r="BF119" i="4"/>
  <c r="BF120" i="4"/>
  <c r="BF121" i="4"/>
  <c r="BF122" i="4"/>
  <c r="BF123" i="4"/>
  <c r="BF124" i="4"/>
  <c r="BF125" i="4"/>
  <c r="BF126" i="4"/>
  <c r="BF127" i="4"/>
  <c r="BF129" i="4"/>
  <c r="BF130" i="4"/>
  <c r="BF131" i="4"/>
  <c r="BF132" i="4"/>
  <c r="BF133" i="4"/>
  <c r="BF134" i="4"/>
  <c r="BF135" i="4"/>
  <c r="BF136" i="4"/>
  <c r="BF137" i="4"/>
  <c r="BF138" i="4"/>
  <c r="BF139" i="4"/>
  <c r="BF140" i="4"/>
  <c r="BF141" i="4"/>
  <c r="BF142" i="4"/>
  <c r="BF143" i="4"/>
  <c r="BF51" i="4"/>
  <c r="BF144" i="4"/>
  <c r="BF112" i="4"/>
  <c r="BF113" i="4"/>
  <c r="BF114" i="4"/>
  <c r="BF115" i="4"/>
  <c r="BF116" i="4"/>
  <c r="BF145" i="4"/>
  <c r="BF146" i="4"/>
  <c r="BF147" i="4"/>
  <c r="BF148" i="4"/>
  <c r="BF151" i="4"/>
  <c r="BF153" i="4"/>
  <c r="BF154" i="4"/>
  <c r="BF155" i="4"/>
  <c r="BF156" i="4"/>
  <c r="BF49" i="4"/>
  <c r="BF149" i="4"/>
  <c r="BF150" i="4"/>
  <c r="BF157" i="4"/>
  <c r="BF158" i="4"/>
  <c r="BF159" i="4"/>
  <c r="BF152" i="4"/>
  <c r="BF160" i="4"/>
  <c r="BF162" i="4"/>
  <c r="BF163" i="4"/>
  <c r="BF164" i="4"/>
  <c r="BF165" i="4"/>
  <c r="BF166" i="4"/>
  <c r="BF167" i="4"/>
  <c r="BF168" i="4"/>
  <c r="BF171" i="4"/>
  <c r="BF175" i="4"/>
  <c r="BF176" i="4"/>
  <c r="BF177" i="4"/>
  <c r="BF178" i="4"/>
  <c r="BF179" i="4"/>
  <c r="BF180" i="4"/>
  <c r="BF181" i="4"/>
  <c r="BF182" i="4"/>
  <c r="BF183" i="4"/>
  <c r="BF187" i="4"/>
  <c r="BF188" i="4"/>
  <c r="BF189" i="4"/>
  <c r="BF193" i="4"/>
  <c r="BF194" i="4"/>
  <c r="BF195" i="4"/>
  <c r="BF196" i="4"/>
  <c r="BF197" i="4"/>
  <c r="BF198" i="4"/>
  <c r="BF199" i="4"/>
  <c r="BF200" i="4"/>
  <c r="BF201" i="4"/>
  <c r="BF202" i="4"/>
  <c r="BF203" i="4"/>
  <c r="BF204" i="4"/>
  <c r="BF205" i="4"/>
  <c r="BF206" i="4"/>
  <c r="BF207" i="4"/>
  <c r="BF208" i="4"/>
  <c r="BF209" i="4"/>
  <c r="BF210" i="4"/>
  <c r="BF211" i="4"/>
  <c r="BF212" i="4"/>
  <c r="BF213" i="4"/>
  <c r="BF214" i="4"/>
  <c r="BF216" i="4"/>
  <c r="BF218" i="4"/>
  <c r="BF219" i="4"/>
  <c r="BF221" i="4"/>
  <c r="BF222" i="4"/>
  <c r="BF224" i="4"/>
  <c r="BF225" i="4"/>
  <c r="BF226" i="4"/>
  <c r="BF227" i="4"/>
  <c r="BF228" i="4"/>
  <c r="BF229" i="4"/>
  <c r="BF230" i="4"/>
  <c r="BF231" i="4"/>
  <c r="BF232" i="4"/>
  <c r="BF233" i="4"/>
  <c r="BF161" i="4"/>
  <c r="BF272" i="4"/>
  <c r="BF273" i="4"/>
  <c r="BF274" i="4"/>
  <c r="BF128" i="4"/>
  <c r="BF275" i="4"/>
  <c r="BF276" i="4"/>
  <c r="BF277" i="4"/>
  <c r="BF278" i="4"/>
  <c r="BF234" i="4"/>
  <c r="BF235" i="4"/>
  <c r="BF236" i="4"/>
  <c r="BF237" i="4"/>
  <c r="BF238" i="4"/>
  <c r="BF239" i="4"/>
  <c r="BF240" i="4"/>
  <c r="BF241" i="4"/>
  <c r="BF242" i="4"/>
  <c r="BF243" i="4"/>
  <c r="BF244" i="4"/>
  <c r="BF245" i="4"/>
  <c r="BF246" i="4"/>
  <c r="BF247" i="4"/>
  <c r="BF249" i="4"/>
  <c r="BF250" i="4"/>
  <c r="BF251" i="4"/>
  <c r="BF252" i="4"/>
  <c r="BF253" i="4"/>
  <c r="BF254" i="4"/>
  <c r="BF255" i="4"/>
  <c r="BF256" i="4"/>
  <c r="BF257" i="4"/>
  <c r="BF258" i="4"/>
  <c r="BF259" i="4"/>
  <c r="BF260" i="4"/>
  <c r="BF261" i="4"/>
  <c r="BF262" i="4"/>
  <c r="BF263" i="4"/>
  <c r="BF264" i="4"/>
  <c r="BF265" i="4"/>
  <c r="BF266" i="4"/>
  <c r="BF267" i="4"/>
  <c r="BF269" i="4"/>
  <c r="BF270" i="4"/>
  <c r="BF271" i="4"/>
  <c r="BF184" i="4"/>
  <c r="BF248" i="4"/>
  <c r="BF279" i="4"/>
  <c r="BF280" i="4"/>
  <c r="BF281" i="4"/>
  <c r="BF282" i="4"/>
  <c r="BF283" i="4"/>
  <c r="BF284" i="4"/>
  <c r="BF285" i="4"/>
  <c r="BF286" i="4"/>
  <c r="BF287" i="4"/>
  <c r="BF288" i="4"/>
  <c r="BF289" i="4"/>
  <c r="BF290" i="4"/>
  <c r="BF291" i="4"/>
  <c r="BF292" i="4"/>
  <c r="BF293" i="4"/>
  <c r="BF294" i="4"/>
  <c r="BF295" i="4"/>
  <c r="BF297" i="4"/>
  <c r="BF299" i="4"/>
  <c r="BF300" i="4"/>
  <c r="BF301" i="4"/>
  <c r="BF304" i="4"/>
  <c r="BF305" i="4"/>
  <c r="BF306" i="4"/>
  <c r="BF307" i="4"/>
  <c r="BF308" i="4"/>
  <c r="BF309" i="4"/>
  <c r="BF311" i="4"/>
  <c r="BF312" i="4"/>
  <c r="BF313" i="4"/>
  <c r="BF314" i="4"/>
  <c r="BF315" i="4"/>
  <c r="BF316" i="4"/>
  <c r="BF317" i="4"/>
  <c r="BF318" i="4"/>
  <c r="BF319" i="4"/>
  <c r="BF320" i="4"/>
  <c r="BF321" i="4"/>
  <c r="BF322" i="4"/>
  <c r="BF323" i="4"/>
  <c r="BF324" i="4"/>
  <c r="BF325" i="4"/>
  <c r="BF172" i="4"/>
  <c r="BF173" i="4"/>
  <c r="BF174" i="4"/>
  <c r="BF220" i="4"/>
  <c r="BF223" i="4"/>
  <c r="BF326" i="4"/>
  <c r="BF327" i="4"/>
  <c r="BF328" i="4"/>
  <c r="BF329" i="4"/>
  <c r="BF330" i="4"/>
  <c r="BF331" i="4"/>
  <c r="BF332" i="4"/>
  <c r="BF333" i="4"/>
  <c r="BF334" i="4"/>
  <c r="BF335" i="4"/>
  <c r="BF336" i="4"/>
  <c r="BF337" i="4"/>
  <c r="BF338" i="4"/>
  <c r="BF339" i="4"/>
  <c r="BF340" i="4"/>
  <c r="BF341" i="4"/>
  <c r="BF342" i="4"/>
  <c r="BF343" i="4"/>
  <c r="BF347" i="4"/>
  <c r="BF169" i="4"/>
  <c r="BF170" i="4"/>
  <c r="BF185" i="4"/>
  <c r="BF186" i="4"/>
  <c r="BF190" i="4"/>
  <c r="BF191" i="4"/>
  <c r="BF192" i="4"/>
  <c r="BF215" i="4"/>
  <c r="BF217" i="4"/>
  <c r="BF348" i="4"/>
  <c r="BF349" i="4"/>
  <c r="BF351" i="4"/>
  <c r="BF353" i="4"/>
  <c r="BF354" i="4"/>
  <c r="BF350" i="4"/>
  <c r="BF355" i="4"/>
  <c r="BF356" i="4"/>
  <c r="BF352" i="4"/>
  <c r="BF268" i="4"/>
  <c r="BF302" i="4"/>
  <c r="BF303" i="4"/>
  <c r="BF2" i="4"/>
  <c r="BF3" i="4"/>
  <c r="BF4" i="4"/>
  <c r="BF298" i="4"/>
  <c r="BF296" i="4"/>
  <c r="BF5" i="4"/>
  <c r="BF310" i="4"/>
  <c r="BF6" i="4"/>
  <c r="BF7" i="4"/>
  <c r="BF23" i="4"/>
  <c r="BF8" i="4"/>
  <c r="BF358" i="4"/>
  <c r="BF357" i="4"/>
  <c r="BF344" i="4"/>
  <c r="BF345" i="4"/>
  <c r="BF346" i="4"/>
  <c r="BF359" i="4"/>
  <c r="F211" i="5"/>
  <c r="E210" i="5"/>
  <c r="F210" i="5"/>
  <c r="H205" i="5"/>
  <c r="H204" i="5"/>
  <c r="F205" i="5"/>
  <c r="F204" i="5"/>
  <c r="E275" i="5"/>
  <c r="E274" i="5"/>
  <c r="E273" i="5"/>
  <c r="E272" i="5"/>
  <c r="G260" i="5"/>
  <c r="G210" i="5"/>
  <c r="G211" i="5"/>
  <c r="G259" i="5"/>
  <c r="G257" i="5"/>
  <c r="G238" i="5"/>
  <c r="G258" i="5"/>
  <c r="G237" i="5"/>
  <c r="G261" i="5"/>
  <c r="G239" i="5"/>
  <c r="I205" i="5" l="1"/>
  <c r="H231" i="5"/>
  <c r="F232" i="5"/>
  <c r="I204" i="5"/>
  <c r="F231" i="5"/>
  <c r="H232" i="5"/>
  <c r="G204" i="5"/>
  <c r="G205" i="5"/>
  <c r="F149" i="5"/>
  <c r="F148" i="5"/>
  <c r="E148" i="5"/>
  <c r="F147" i="5"/>
  <c r="E147" i="5"/>
  <c r="G149" i="5"/>
  <c r="G148" i="5"/>
  <c r="G147" i="5"/>
  <c r="I232" i="5" l="1"/>
  <c r="G231" i="5"/>
  <c r="G232" i="5"/>
  <c r="I231" i="5"/>
  <c r="AP6" i="7"/>
  <c r="AQ6" i="7" s="1"/>
  <c r="AP7" i="7"/>
  <c r="AQ7" i="7" s="1"/>
  <c r="AP8" i="7"/>
  <c r="AQ8" i="7" s="1"/>
  <c r="AP9" i="7"/>
  <c r="AQ9" i="7" s="1"/>
  <c r="AP10" i="7"/>
  <c r="AQ10" i="7" s="1"/>
  <c r="AP11" i="7"/>
  <c r="AQ11" i="7" s="1"/>
  <c r="AP12" i="7"/>
  <c r="AQ12" i="7" s="1"/>
  <c r="AP13" i="7"/>
  <c r="AQ13" i="7" s="1"/>
  <c r="AP14" i="7"/>
  <c r="AQ14" i="7" s="1"/>
  <c r="AP15" i="7"/>
  <c r="AQ15" i="7" s="1"/>
  <c r="AP16" i="7"/>
  <c r="AQ16" i="7" s="1"/>
  <c r="AP17" i="7"/>
  <c r="AQ17" i="7" s="1"/>
  <c r="AP18" i="7"/>
  <c r="AQ18" i="7" s="1"/>
  <c r="AP19" i="7"/>
  <c r="AQ19" i="7" s="1"/>
  <c r="AP20" i="7"/>
  <c r="AQ20" i="7" s="1"/>
  <c r="AP21" i="7"/>
  <c r="AQ21" i="7" s="1"/>
  <c r="AP22" i="7"/>
  <c r="AQ22" i="7" s="1"/>
  <c r="AP23" i="7"/>
  <c r="AQ23" i="7" s="1"/>
  <c r="AP24" i="7"/>
  <c r="AQ24" i="7" s="1"/>
  <c r="AP25" i="7"/>
  <c r="AQ25" i="7" s="1"/>
  <c r="AP26" i="7"/>
  <c r="AQ26" i="7" s="1"/>
  <c r="AP27" i="7"/>
  <c r="AQ27" i="7" s="1"/>
  <c r="AP28" i="7"/>
  <c r="AQ28" i="7" s="1"/>
  <c r="AP29" i="7"/>
  <c r="AQ29" i="7" s="1"/>
  <c r="AP30" i="7"/>
  <c r="AQ30" i="7" s="1"/>
  <c r="AP31" i="7"/>
  <c r="AQ31" i="7" s="1"/>
  <c r="AP32" i="7"/>
  <c r="AQ32" i="7" s="1"/>
  <c r="AP33" i="7"/>
  <c r="AQ33" i="7" s="1"/>
  <c r="AP34" i="7"/>
  <c r="AQ34" i="7" s="1"/>
  <c r="AP35" i="7"/>
  <c r="AQ35" i="7" s="1"/>
  <c r="AP36" i="7"/>
  <c r="AQ36" i="7" s="1"/>
  <c r="AP5" i="7"/>
  <c r="AQ5" i="7" s="1"/>
  <c r="AN6" i="7"/>
  <c r="AO6" i="7" s="1"/>
  <c r="AN7" i="7"/>
  <c r="AO7" i="7" s="1"/>
  <c r="AN8" i="7"/>
  <c r="AO8" i="7" s="1"/>
  <c r="AN9" i="7"/>
  <c r="AO9" i="7" s="1"/>
  <c r="AN10" i="7"/>
  <c r="AO10" i="7" s="1"/>
  <c r="AN11" i="7"/>
  <c r="AO11" i="7" s="1"/>
  <c r="AN12" i="7"/>
  <c r="AO12" i="7" s="1"/>
  <c r="AN13" i="7"/>
  <c r="AO13" i="7" s="1"/>
  <c r="AN14" i="7"/>
  <c r="AO14" i="7" s="1"/>
  <c r="AN15" i="7"/>
  <c r="AO15" i="7" s="1"/>
  <c r="AN16" i="7"/>
  <c r="AO16" i="7" s="1"/>
  <c r="AN17" i="7"/>
  <c r="AO17" i="7" s="1"/>
  <c r="AN18" i="7"/>
  <c r="AO18" i="7" s="1"/>
  <c r="AN19" i="7"/>
  <c r="AO19" i="7" s="1"/>
  <c r="AN20" i="7"/>
  <c r="AO20" i="7" s="1"/>
  <c r="AN21" i="7"/>
  <c r="AO21" i="7" s="1"/>
  <c r="AN22" i="7"/>
  <c r="AO22" i="7" s="1"/>
  <c r="AN23" i="7"/>
  <c r="AO23" i="7" s="1"/>
  <c r="AN24" i="7"/>
  <c r="AO24" i="7" s="1"/>
  <c r="AN25" i="7"/>
  <c r="AO25" i="7" s="1"/>
  <c r="AN26" i="7"/>
  <c r="AO26" i="7" s="1"/>
  <c r="AN27" i="7"/>
  <c r="AO27" i="7" s="1"/>
  <c r="AN28" i="7"/>
  <c r="AO28" i="7" s="1"/>
  <c r="AN29" i="7"/>
  <c r="AO29" i="7" s="1"/>
  <c r="AN30" i="7"/>
  <c r="AO30" i="7" s="1"/>
  <c r="AN31" i="7"/>
  <c r="AO31" i="7" s="1"/>
  <c r="AN32" i="7"/>
  <c r="AO32" i="7" s="1"/>
  <c r="AN33" i="7"/>
  <c r="AO33" i="7" s="1"/>
  <c r="AN34" i="7"/>
  <c r="AO34" i="7" s="1"/>
  <c r="AN35" i="7"/>
  <c r="AO35" i="7" s="1"/>
  <c r="AN36" i="7"/>
  <c r="AO36" i="7" s="1"/>
  <c r="AN5" i="7"/>
  <c r="AO5" i="7" s="1"/>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5" i="7"/>
  <c r="AB6" i="7"/>
  <c r="AD6" i="7"/>
  <c r="AF6" i="7"/>
  <c r="AH6" i="7"/>
  <c r="AB7" i="7"/>
  <c r="AD7" i="7"/>
  <c r="AF7" i="7"/>
  <c r="AH7" i="7"/>
  <c r="AB8" i="7"/>
  <c r="AD8" i="7"/>
  <c r="AF8" i="7"/>
  <c r="AH8" i="7"/>
  <c r="AB9" i="7"/>
  <c r="AD9" i="7"/>
  <c r="AF9" i="7"/>
  <c r="AH9" i="7"/>
  <c r="AB10" i="7"/>
  <c r="AD10" i="7"/>
  <c r="AF10" i="7"/>
  <c r="AH10" i="7"/>
  <c r="AB11" i="7"/>
  <c r="AD11" i="7"/>
  <c r="AF11" i="7"/>
  <c r="AH11" i="7"/>
  <c r="AB12" i="7"/>
  <c r="AD12" i="7"/>
  <c r="AF12" i="7"/>
  <c r="AH12" i="7"/>
  <c r="AB13" i="7"/>
  <c r="AD13" i="7"/>
  <c r="AF13" i="7"/>
  <c r="AH13" i="7"/>
  <c r="AB14" i="7"/>
  <c r="AD14" i="7"/>
  <c r="AF14" i="7"/>
  <c r="AH14" i="7"/>
  <c r="AB15" i="7"/>
  <c r="AD15" i="7"/>
  <c r="AF15" i="7"/>
  <c r="AH15" i="7"/>
  <c r="AB16" i="7"/>
  <c r="AD16" i="7"/>
  <c r="AF16" i="7"/>
  <c r="AH16" i="7"/>
  <c r="AB17" i="7"/>
  <c r="AD17" i="7"/>
  <c r="AF17" i="7"/>
  <c r="AH17" i="7"/>
  <c r="AB18" i="7"/>
  <c r="AD18" i="7"/>
  <c r="AF18" i="7"/>
  <c r="AH18" i="7"/>
  <c r="AB19" i="7"/>
  <c r="AD19" i="7"/>
  <c r="AF19" i="7"/>
  <c r="AH19" i="7"/>
  <c r="AB20" i="7"/>
  <c r="AD20" i="7"/>
  <c r="AF20" i="7"/>
  <c r="AH20" i="7"/>
  <c r="AB21" i="7"/>
  <c r="AD21" i="7"/>
  <c r="AF21" i="7"/>
  <c r="AH21" i="7"/>
  <c r="AB22" i="7"/>
  <c r="AD22" i="7"/>
  <c r="AF22" i="7"/>
  <c r="AH22" i="7"/>
  <c r="AB23" i="7"/>
  <c r="AD23" i="7"/>
  <c r="AF23" i="7"/>
  <c r="AH23" i="7"/>
  <c r="AB24" i="7"/>
  <c r="AD24" i="7"/>
  <c r="AF24" i="7"/>
  <c r="AH24" i="7"/>
  <c r="AB25" i="7"/>
  <c r="AD25" i="7"/>
  <c r="AF25" i="7"/>
  <c r="AH25" i="7"/>
  <c r="AB26" i="7"/>
  <c r="AD26" i="7"/>
  <c r="AF26" i="7"/>
  <c r="AH26" i="7"/>
  <c r="AB27" i="7"/>
  <c r="AD27" i="7"/>
  <c r="AF27" i="7"/>
  <c r="AH27" i="7"/>
  <c r="AB28" i="7"/>
  <c r="AD28" i="7"/>
  <c r="AF28" i="7"/>
  <c r="AH28" i="7"/>
  <c r="AB29" i="7"/>
  <c r="AD29" i="7"/>
  <c r="AF29" i="7"/>
  <c r="AH29" i="7"/>
  <c r="AB30" i="7"/>
  <c r="AD30" i="7"/>
  <c r="AF30" i="7"/>
  <c r="AH30" i="7"/>
  <c r="AB31" i="7"/>
  <c r="AD31" i="7"/>
  <c r="AF31" i="7"/>
  <c r="AH31" i="7"/>
  <c r="AB32" i="7"/>
  <c r="AD32" i="7"/>
  <c r="AF32" i="7"/>
  <c r="AH32" i="7"/>
  <c r="AB33" i="7"/>
  <c r="AD33" i="7"/>
  <c r="AF33" i="7"/>
  <c r="AH33" i="7"/>
  <c r="AB34" i="7"/>
  <c r="AD34" i="7"/>
  <c r="AF34" i="7"/>
  <c r="AH34" i="7"/>
  <c r="AB35" i="7"/>
  <c r="AD35" i="7"/>
  <c r="AF35" i="7"/>
  <c r="AH35" i="7"/>
  <c r="AB36" i="7"/>
  <c r="AD36" i="7"/>
  <c r="AF36" i="7"/>
  <c r="AH36" i="7"/>
  <c r="AH5" i="7"/>
  <c r="AF5" i="7"/>
  <c r="AD5" i="7"/>
  <c r="AB5"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5" i="7"/>
  <c r="Q6" i="7"/>
  <c r="R6" i="7" s="1"/>
  <c r="Q7" i="7"/>
  <c r="R7" i="7" s="1"/>
  <c r="Q8" i="7"/>
  <c r="R8" i="7" s="1"/>
  <c r="Q9" i="7"/>
  <c r="R9" i="7" s="1"/>
  <c r="Q10" i="7"/>
  <c r="R10" i="7" s="1"/>
  <c r="Q11" i="7"/>
  <c r="R11" i="7" s="1"/>
  <c r="Q12" i="7"/>
  <c r="R12" i="7" s="1"/>
  <c r="Q13" i="7"/>
  <c r="R13" i="7" s="1"/>
  <c r="Q14" i="7"/>
  <c r="R14" i="7" s="1"/>
  <c r="Q15" i="7"/>
  <c r="R15" i="7" s="1"/>
  <c r="Q16" i="7"/>
  <c r="R16" i="7" s="1"/>
  <c r="Q17" i="7"/>
  <c r="R17" i="7" s="1"/>
  <c r="Q18" i="7"/>
  <c r="R18" i="7" s="1"/>
  <c r="Q19" i="7"/>
  <c r="R19" i="7" s="1"/>
  <c r="Q20" i="7"/>
  <c r="R20" i="7" s="1"/>
  <c r="Q21" i="7"/>
  <c r="R21" i="7" s="1"/>
  <c r="Q22" i="7"/>
  <c r="R22" i="7" s="1"/>
  <c r="Q23" i="7"/>
  <c r="R23" i="7" s="1"/>
  <c r="Q24" i="7"/>
  <c r="R24" i="7" s="1"/>
  <c r="Q25" i="7"/>
  <c r="R25" i="7" s="1"/>
  <c r="Q26" i="7"/>
  <c r="R26" i="7" s="1"/>
  <c r="Q27" i="7"/>
  <c r="R27" i="7" s="1"/>
  <c r="Q28" i="7"/>
  <c r="R28" i="7" s="1"/>
  <c r="Q29" i="7"/>
  <c r="R29" i="7" s="1"/>
  <c r="Q30" i="7"/>
  <c r="R30" i="7" s="1"/>
  <c r="Q31" i="7"/>
  <c r="R31" i="7" s="1"/>
  <c r="Q32" i="7"/>
  <c r="R32" i="7" s="1"/>
  <c r="Q33" i="7"/>
  <c r="R33" i="7" s="1"/>
  <c r="Q34" i="7"/>
  <c r="R34" i="7" s="1"/>
  <c r="Q35" i="7"/>
  <c r="R35" i="7" s="1"/>
  <c r="Q36" i="7"/>
  <c r="R36" i="7" s="1"/>
  <c r="Q5" i="7"/>
  <c r="R5" i="7" s="1"/>
  <c r="O6" i="7"/>
  <c r="P6" i="7" s="1"/>
  <c r="O7" i="7"/>
  <c r="P7" i="7" s="1"/>
  <c r="O8" i="7"/>
  <c r="P8" i="7" s="1"/>
  <c r="O9" i="7"/>
  <c r="P9" i="7" s="1"/>
  <c r="O10" i="7"/>
  <c r="P10" i="7" s="1"/>
  <c r="O11" i="7"/>
  <c r="P11" i="7" s="1"/>
  <c r="O12" i="7"/>
  <c r="P12" i="7" s="1"/>
  <c r="O13" i="7"/>
  <c r="P13" i="7" s="1"/>
  <c r="O14" i="7"/>
  <c r="P14" i="7" s="1"/>
  <c r="O15" i="7"/>
  <c r="P15" i="7" s="1"/>
  <c r="O16" i="7"/>
  <c r="P16" i="7" s="1"/>
  <c r="O17" i="7"/>
  <c r="P17" i="7" s="1"/>
  <c r="O18" i="7"/>
  <c r="P18" i="7" s="1"/>
  <c r="O19" i="7"/>
  <c r="P19" i="7" s="1"/>
  <c r="O20" i="7"/>
  <c r="P20" i="7" s="1"/>
  <c r="O21" i="7"/>
  <c r="P21" i="7" s="1"/>
  <c r="O22" i="7"/>
  <c r="P22" i="7" s="1"/>
  <c r="O23" i="7"/>
  <c r="P23" i="7" s="1"/>
  <c r="O24" i="7"/>
  <c r="P24" i="7" s="1"/>
  <c r="O25" i="7"/>
  <c r="P25" i="7" s="1"/>
  <c r="O26" i="7"/>
  <c r="P26" i="7" s="1"/>
  <c r="O27" i="7"/>
  <c r="P27" i="7" s="1"/>
  <c r="O28" i="7"/>
  <c r="P28" i="7" s="1"/>
  <c r="O29" i="7"/>
  <c r="P29" i="7" s="1"/>
  <c r="O30" i="7"/>
  <c r="P30" i="7" s="1"/>
  <c r="O31" i="7"/>
  <c r="P31" i="7" s="1"/>
  <c r="O32" i="7"/>
  <c r="P32" i="7" s="1"/>
  <c r="O33" i="7"/>
  <c r="P33" i="7" s="1"/>
  <c r="O34" i="7"/>
  <c r="P34" i="7" s="1"/>
  <c r="O35" i="7"/>
  <c r="P35" i="7" s="1"/>
  <c r="O36" i="7"/>
  <c r="P36" i="7" s="1"/>
  <c r="O5" i="7"/>
  <c r="P5" i="7" s="1"/>
  <c r="M6" i="7"/>
  <c r="N6" i="7" s="1"/>
  <c r="M7" i="7"/>
  <c r="N7" i="7" s="1"/>
  <c r="M8" i="7"/>
  <c r="N8" i="7" s="1"/>
  <c r="M9" i="7"/>
  <c r="N9" i="7" s="1"/>
  <c r="M10" i="7"/>
  <c r="N10" i="7" s="1"/>
  <c r="M11" i="7"/>
  <c r="N11" i="7" s="1"/>
  <c r="M12" i="7"/>
  <c r="N12" i="7" s="1"/>
  <c r="M13" i="7"/>
  <c r="N13" i="7" s="1"/>
  <c r="M14" i="7"/>
  <c r="N14" i="7" s="1"/>
  <c r="M15" i="7"/>
  <c r="N15" i="7" s="1"/>
  <c r="M16" i="7"/>
  <c r="N16" i="7" s="1"/>
  <c r="M17" i="7"/>
  <c r="N17" i="7" s="1"/>
  <c r="M18" i="7"/>
  <c r="N18" i="7" s="1"/>
  <c r="M19" i="7"/>
  <c r="N19" i="7" s="1"/>
  <c r="M20" i="7"/>
  <c r="N20" i="7" s="1"/>
  <c r="M21" i="7"/>
  <c r="N21" i="7" s="1"/>
  <c r="M22" i="7"/>
  <c r="N22" i="7" s="1"/>
  <c r="M23" i="7"/>
  <c r="N23" i="7" s="1"/>
  <c r="M24" i="7"/>
  <c r="N24" i="7" s="1"/>
  <c r="M25" i="7"/>
  <c r="N25" i="7" s="1"/>
  <c r="M26" i="7"/>
  <c r="N26" i="7" s="1"/>
  <c r="M27" i="7"/>
  <c r="N27" i="7" s="1"/>
  <c r="M28" i="7"/>
  <c r="N28" i="7" s="1"/>
  <c r="M29" i="7"/>
  <c r="N29" i="7" s="1"/>
  <c r="M30" i="7"/>
  <c r="N30" i="7" s="1"/>
  <c r="M31" i="7"/>
  <c r="N31" i="7" s="1"/>
  <c r="M32" i="7"/>
  <c r="N32" i="7" s="1"/>
  <c r="M33" i="7"/>
  <c r="N33" i="7" s="1"/>
  <c r="M34" i="7"/>
  <c r="N34" i="7" s="1"/>
  <c r="M35" i="7"/>
  <c r="N35" i="7" s="1"/>
  <c r="M36" i="7"/>
  <c r="N36" i="7" s="1"/>
  <c r="M5" i="7"/>
  <c r="N5" i="7" s="1"/>
  <c r="K6" i="7"/>
  <c r="L6" i="7" s="1"/>
  <c r="K7" i="7"/>
  <c r="L7" i="7" s="1"/>
  <c r="K8" i="7"/>
  <c r="L8" i="7" s="1"/>
  <c r="K9" i="7"/>
  <c r="L9" i="7" s="1"/>
  <c r="K10" i="7"/>
  <c r="L10" i="7" s="1"/>
  <c r="K11" i="7"/>
  <c r="L11" i="7" s="1"/>
  <c r="K12" i="7"/>
  <c r="L12" i="7" s="1"/>
  <c r="K13" i="7"/>
  <c r="L13" i="7" s="1"/>
  <c r="K14" i="7"/>
  <c r="L14" i="7" s="1"/>
  <c r="K15" i="7"/>
  <c r="L15" i="7" s="1"/>
  <c r="K16" i="7"/>
  <c r="L16" i="7" s="1"/>
  <c r="K17" i="7"/>
  <c r="L17" i="7" s="1"/>
  <c r="K18" i="7"/>
  <c r="L18" i="7" s="1"/>
  <c r="K19" i="7"/>
  <c r="L19" i="7" s="1"/>
  <c r="K20" i="7"/>
  <c r="L20" i="7" s="1"/>
  <c r="K21" i="7"/>
  <c r="L21" i="7" s="1"/>
  <c r="K22" i="7"/>
  <c r="L22" i="7" s="1"/>
  <c r="K23" i="7"/>
  <c r="L23" i="7" s="1"/>
  <c r="K24" i="7"/>
  <c r="L24" i="7" s="1"/>
  <c r="K25" i="7"/>
  <c r="L25" i="7" s="1"/>
  <c r="K26" i="7"/>
  <c r="L26" i="7" s="1"/>
  <c r="K27" i="7"/>
  <c r="L27" i="7" s="1"/>
  <c r="K28" i="7"/>
  <c r="L28" i="7" s="1"/>
  <c r="K29" i="7"/>
  <c r="L29" i="7" s="1"/>
  <c r="K30" i="7"/>
  <c r="L30" i="7" s="1"/>
  <c r="K31" i="7"/>
  <c r="L31" i="7" s="1"/>
  <c r="K32" i="7"/>
  <c r="L32" i="7" s="1"/>
  <c r="K33" i="7"/>
  <c r="L33" i="7" s="1"/>
  <c r="K34" i="7"/>
  <c r="L34" i="7" s="1"/>
  <c r="K35" i="7"/>
  <c r="L35" i="7" s="1"/>
  <c r="K36" i="7"/>
  <c r="L36" i="7" s="1"/>
  <c r="K5" i="7"/>
  <c r="L5" i="7" s="1"/>
  <c r="I6" i="7"/>
  <c r="J6" i="7" s="1"/>
  <c r="I7" i="7"/>
  <c r="J7" i="7" s="1"/>
  <c r="I8" i="7"/>
  <c r="J8" i="7" s="1"/>
  <c r="I9" i="7"/>
  <c r="J9" i="7" s="1"/>
  <c r="I10" i="7"/>
  <c r="J10" i="7" s="1"/>
  <c r="I11" i="7"/>
  <c r="J11" i="7" s="1"/>
  <c r="I12" i="7"/>
  <c r="J12" i="7" s="1"/>
  <c r="I13" i="7"/>
  <c r="J13" i="7" s="1"/>
  <c r="I14" i="7"/>
  <c r="J14" i="7" s="1"/>
  <c r="I15" i="7"/>
  <c r="J15" i="7" s="1"/>
  <c r="I16" i="7"/>
  <c r="J16" i="7" s="1"/>
  <c r="I17" i="7"/>
  <c r="J17" i="7" s="1"/>
  <c r="I18" i="7"/>
  <c r="J18" i="7" s="1"/>
  <c r="I19" i="7"/>
  <c r="J19" i="7" s="1"/>
  <c r="I20" i="7"/>
  <c r="J20" i="7" s="1"/>
  <c r="I21" i="7"/>
  <c r="J21" i="7" s="1"/>
  <c r="I22" i="7"/>
  <c r="J22" i="7" s="1"/>
  <c r="I23" i="7"/>
  <c r="J23" i="7" s="1"/>
  <c r="I24" i="7"/>
  <c r="J24" i="7" s="1"/>
  <c r="I25" i="7"/>
  <c r="J25" i="7" s="1"/>
  <c r="I26" i="7"/>
  <c r="J26" i="7" s="1"/>
  <c r="I27" i="7"/>
  <c r="J27" i="7" s="1"/>
  <c r="I28" i="7"/>
  <c r="J28" i="7" s="1"/>
  <c r="I29" i="7"/>
  <c r="J29" i="7" s="1"/>
  <c r="I30" i="7"/>
  <c r="J30" i="7" s="1"/>
  <c r="I31" i="7"/>
  <c r="J31" i="7" s="1"/>
  <c r="I32" i="7"/>
  <c r="J32" i="7" s="1"/>
  <c r="I33" i="7"/>
  <c r="J33" i="7" s="1"/>
  <c r="I34" i="7"/>
  <c r="J34" i="7" s="1"/>
  <c r="I35" i="7"/>
  <c r="J35" i="7" s="1"/>
  <c r="I36" i="7"/>
  <c r="J36" i="7" s="1"/>
  <c r="I5" i="7"/>
  <c r="J5" i="7" s="1"/>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5" i="7"/>
  <c r="C6" i="7"/>
  <c r="H6" i="7" s="1"/>
  <c r="C7" i="7"/>
  <c r="H7" i="7" s="1"/>
  <c r="C8" i="7"/>
  <c r="E8" i="7" s="1"/>
  <c r="C9" i="7"/>
  <c r="E9" i="7" s="1"/>
  <c r="C10" i="7"/>
  <c r="H10" i="7" s="1"/>
  <c r="C11" i="7"/>
  <c r="H11" i="7" s="1"/>
  <c r="C12" i="7"/>
  <c r="E12" i="7" s="1"/>
  <c r="C13" i="7"/>
  <c r="E13" i="7" s="1"/>
  <c r="C14" i="7"/>
  <c r="H14" i="7" s="1"/>
  <c r="C15" i="7"/>
  <c r="H15" i="7" s="1"/>
  <c r="C16" i="7"/>
  <c r="E16" i="7" s="1"/>
  <c r="C17" i="7"/>
  <c r="E17" i="7" s="1"/>
  <c r="C18" i="7"/>
  <c r="H18" i="7" s="1"/>
  <c r="C19" i="7"/>
  <c r="H19" i="7" s="1"/>
  <c r="C20" i="7"/>
  <c r="E20" i="7" s="1"/>
  <c r="C21" i="7"/>
  <c r="E21" i="7" s="1"/>
  <c r="C22" i="7"/>
  <c r="H22" i="7" s="1"/>
  <c r="C23" i="7"/>
  <c r="H23" i="7" s="1"/>
  <c r="C24" i="7"/>
  <c r="E24" i="7" s="1"/>
  <c r="C25" i="7"/>
  <c r="C26" i="7"/>
  <c r="H26" i="7" s="1"/>
  <c r="C27" i="7"/>
  <c r="H27" i="7" s="1"/>
  <c r="C28" i="7"/>
  <c r="AU28" i="7" s="1"/>
  <c r="C29" i="7"/>
  <c r="H29" i="7" s="1"/>
  <c r="C30" i="7"/>
  <c r="H30" i="7" s="1"/>
  <c r="C31" i="7"/>
  <c r="H31" i="7" s="1"/>
  <c r="C32" i="7"/>
  <c r="C33" i="7"/>
  <c r="H33" i="7" s="1"/>
  <c r="C34" i="7"/>
  <c r="H34" i="7" s="1"/>
  <c r="C35" i="7"/>
  <c r="H35" i="7" s="1"/>
  <c r="C36" i="7"/>
  <c r="H36" i="7" s="1"/>
  <c r="C5" i="7"/>
  <c r="H5" i="7" s="1"/>
  <c r="E25" i="7" l="1"/>
  <c r="AU32" i="7"/>
  <c r="AS5" i="7"/>
  <c r="AS33" i="7"/>
  <c r="AS29" i="7"/>
  <c r="AS25" i="7"/>
  <c r="AS21" i="7"/>
  <c r="AS17" i="7"/>
  <c r="AS13" i="7"/>
  <c r="AS9" i="7"/>
  <c r="AU5" i="7"/>
  <c r="AU33" i="7"/>
  <c r="AU29" i="7"/>
  <c r="AU25" i="7"/>
  <c r="AU21" i="7"/>
  <c r="AU17" i="7"/>
  <c r="AU13" i="7"/>
  <c r="AU9" i="7"/>
  <c r="AS36" i="7"/>
  <c r="AS32" i="7"/>
  <c r="AS28" i="7"/>
  <c r="AS24" i="7"/>
  <c r="AS20" i="7"/>
  <c r="AS16" i="7"/>
  <c r="AS12" i="7"/>
  <c r="AS8" i="7"/>
  <c r="AU36" i="7"/>
  <c r="AU24" i="7"/>
  <c r="AU20" i="7"/>
  <c r="AU16" i="7"/>
  <c r="AU12" i="7"/>
  <c r="AU8" i="7"/>
  <c r="AS35" i="7"/>
  <c r="AS31" i="7"/>
  <c r="AS27" i="7"/>
  <c r="AS23" i="7"/>
  <c r="AS19" i="7"/>
  <c r="AS15" i="7"/>
  <c r="AS11" i="7"/>
  <c r="AS7" i="7"/>
  <c r="AU35" i="7"/>
  <c r="AU31" i="7"/>
  <c r="AU27" i="7"/>
  <c r="AU23" i="7"/>
  <c r="AU19" i="7"/>
  <c r="AU15" i="7"/>
  <c r="AU11" i="7"/>
  <c r="AU7" i="7"/>
  <c r="AS34" i="7"/>
  <c r="AS30" i="7"/>
  <c r="AS26" i="7"/>
  <c r="AS22" i="7"/>
  <c r="AS18" i="7"/>
  <c r="AS14" i="7"/>
  <c r="AS10" i="7"/>
  <c r="AS6" i="7"/>
  <c r="AU34" i="7"/>
  <c r="AU30" i="7"/>
  <c r="AU26" i="7"/>
  <c r="AU22" i="7"/>
  <c r="AU18" i="7"/>
  <c r="AU14" i="7"/>
  <c r="AU10" i="7"/>
  <c r="AU6" i="7"/>
  <c r="AA36" i="7"/>
  <c r="AA32" i="7"/>
  <c r="AA28" i="7"/>
  <c r="AA24" i="7"/>
  <c r="AA20" i="7"/>
  <c r="AA16" i="7"/>
  <c r="AA12" i="7"/>
  <c r="AA8" i="7"/>
  <c r="AC5" i="7"/>
  <c r="AI36" i="7"/>
  <c r="AI35" i="7"/>
  <c r="AI34" i="7"/>
  <c r="AI33" i="7"/>
  <c r="AI32" i="7"/>
  <c r="AI31" i="7"/>
  <c r="AI30" i="7"/>
  <c r="AI29" i="7"/>
  <c r="AI28" i="7"/>
  <c r="AI27" i="7"/>
  <c r="AI26" i="7"/>
  <c r="AI25" i="7"/>
  <c r="AI24" i="7"/>
  <c r="AI23" i="7"/>
  <c r="AI22" i="7"/>
  <c r="AI21" i="7"/>
  <c r="AI20" i="7"/>
  <c r="AI19" i="7"/>
  <c r="AI18" i="7"/>
  <c r="AI17" i="7"/>
  <c r="AI16" i="7"/>
  <c r="AI15" i="7"/>
  <c r="AI14" i="7"/>
  <c r="AI13" i="7"/>
  <c r="AI12" i="7"/>
  <c r="AI11" i="7"/>
  <c r="AI10" i="7"/>
  <c r="AI9" i="7"/>
  <c r="AI8" i="7"/>
  <c r="AI7" i="7"/>
  <c r="AI6" i="7"/>
  <c r="AK5" i="7"/>
  <c r="AK33" i="7"/>
  <c r="AK29" i="7"/>
  <c r="AK25" i="7"/>
  <c r="AK21" i="7"/>
  <c r="AK17" i="7"/>
  <c r="AK13" i="7"/>
  <c r="AK9" i="7"/>
  <c r="AM5" i="7"/>
  <c r="AM33" i="7"/>
  <c r="AM29" i="7"/>
  <c r="AM25" i="7"/>
  <c r="AM21" i="7"/>
  <c r="AM17" i="7"/>
  <c r="AM13" i="7"/>
  <c r="AM9" i="7"/>
  <c r="AA35" i="7"/>
  <c r="AA31" i="7"/>
  <c r="AA27" i="7"/>
  <c r="AA23" i="7"/>
  <c r="AA19" i="7"/>
  <c r="AA15" i="7"/>
  <c r="AA11" i="7"/>
  <c r="AA7" i="7"/>
  <c r="AE5" i="7"/>
  <c r="AG36" i="7"/>
  <c r="AG35" i="7"/>
  <c r="AG34" i="7"/>
  <c r="AG33" i="7"/>
  <c r="AG32" i="7"/>
  <c r="AG31" i="7"/>
  <c r="AG30" i="7"/>
  <c r="AG29" i="7"/>
  <c r="AG28" i="7"/>
  <c r="AG27" i="7"/>
  <c r="AG26" i="7"/>
  <c r="AG25" i="7"/>
  <c r="AG24" i="7"/>
  <c r="AG23" i="7"/>
  <c r="AG22" i="7"/>
  <c r="AG21" i="7"/>
  <c r="AG20" i="7"/>
  <c r="AG19" i="7"/>
  <c r="AG18" i="7"/>
  <c r="AG17" i="7"/>
  <c r="AG16" i="7"/>
  <c r="AG15" i="7"/>
  <c r="AG14" i="7"/>
  <c r="AG13" i="7"/>
  <c r="AG12" i="7"/>
  <c r="AG11" i="7"/>
  <c r="AG10" i="7"/>
  <c r="AG9" i="7"/>
  <c r="AG7" i="7"/>
  <c r="AG6" i="7"/>
  <c r="AK36" i="7"/>
  <c r="AK32" i="7"/>
  <c r="AK28" i="7"/>
  <c r="AK24" i="7"/>
  <c r="AK20" i="7"/>
  <c r="AK16" i="7"/>
  <c r="AK12" i="7"/>
  <c r="AK8" i="7"/>
  <c r="AM36" i="7"/>
  <c r="AM32" i="7"/>
  <c r="AM28" i="7"/>
  <c r="AM24" i="7"/>
  <c r="AM20" i="7"/>
  <c r="AM16" i="7"/>
  <c r="AM12" i="7"/>
  <c r="AM8" i="7"/>
  <c r="AA34" i="7"/>
  <c r="AA30" i="7"/>
  <c r="AA26" i="7"/>
  <c r="AA22" i="7"/>
  <c r="AA18" i="7"/>
  <c r="AA14" i="7"/>
  <c r="AA10" i="7"/>
  <c r="AA6" i="7"/>
  <c r="AG5" i="7"/>
  <c r="AE36" i="7"/>
  <c r="AE35" i="7"/>
  <c r="AE34" i="7"/>
  <c r="AE33" i="7"/>
  <c r="AE32" i="7"/>
  <c r="AE31" i="7"/>
  <c r="AE30" i="7"/>
  <c r="AE29" i="7"/>
  <c r="AE28" i="7"/>
  <c r="AE27" i="7"/>
  <c r="AE26" i="7"/>
  <c r="AE25" i="7"/>
  <c r="AE24" i="7"/>
  <c r="AE23" i="7"/>
  <c r="AE22" i="7"/>
  <c r="AE21" i="7"/>
  <c r="AE20" i="7"/>
  <c r="AE19" i="7"/>
  <c r="AE18" i="7"/>
  <c r="AE17" i="7"/>
  <c r="AE16" i="7"/>
  <c r="AE15" i="7"/>
  <c r="AE14" i="7"/>
  <c r="AE13" i="7"/>
  <c r="AE12" i="7"/>
  <c r="AE11" i="7"/>
  <c r="AE10" i="7"/>
  <c r="AE9" i="7"/>
  <c r="AE7" i="7"/>
  <c r="AE6" i="7"/>
  <c r="AK35" i="7"/>
  <c r="AK31" i="7"/>
  <c r="AK27" i="7"/>
  <c r="AK23" i="7"/>
  <c r="AK19" i="7"/>
  <c r="AK15" i="7"/>
  <c r="AK11" i="7"/>
  <c r="AK7" i="7"/>
  <c r="AM35" i="7"/>
  <c r="AM31" i="7"/>
  <c r="AM27" i="7"/>
  <c r="AM23" i="7"/>
  <c r="AM19" i="7"/>
  <c r="AM15" i="7"/>
  <c r="AM11" i="7"/>
  <c r="AM7" i="7"/>
  <c r="AA33" i="7"/>
  <c r="AA29" i="7"/>
  <c r="AA25" i="7"/>
  <c r="AA21" i="7"/>
  <c r="AA17" i="7"/>
  <c r="AA13" i="7"/>
  <c r="AA9" i="7"/>
  <c r="AA5" i="7"/>
  <c r="AI5" i="7"/>
  <c r="AC36" i="7"/>
  <c r="AC35" i="7"/>
  <c r="AC34" i="7"/>
  <c r="AC33" i="7"/>
  <c r="AC32" i="7"/>
  <c r="AC31" i="7"/>
  <c r="AC30" i="7"/>
  <c r="AC29" i="7"/>
  <c r="AC28" i="7"/>
  <c r="AC27" i="7"/>
  <c r="AC26" i="7"/>
  <c r="AC25" i="7"/>
  <c r="AC24" i="7"/>
  <c r="AC23" i="7"/>
  <c r="AC22" i="7"/>
  <c r="AC21" i="7"/>
  <c r="AC20" i="7"/>
  <c r="AC19" i="7"/>
  <c r="AC18" i="7"/>
  <c r="AC17" i="7"/>
  <c r="AC16" i="7"/>
  <c r="AC15" i="7"/>
  <c r="AC14" i="7"/>
  <c r="AC13" i="7"/>
  <c r="AC12" i="7"/>
  <c r="AC11" i="7"/>
  <c r="AC10" i="7"/>
  <c r="AC9" i="7"/>
  <c r="AC8" i="7"/>
  <c r="AC7" i="7"/>
  <c r="AC6" i="7"/>
  <c r="AK34" i="7"/>
  <c r="AK30" i="7"/>
  <c r="AK26" i="7"/>
  <c r="AK22" i="7"/>
  <c r="AK18" i="7"/>
  <c r="AK14" i="7"/>
  <c r="AK10" i="7"/>
  <c r="AK6" i="7"/>
  <c r="AM34" i="7"/>
  <c r="AM30" i="7"/>
  <c r="AM26" i="7"/>
  <c r="AM22" i="7"/>
  <c r="AM18" i="7"/>
  <c r="AM14" i="7"/>
  <c r="AM10" i="7"/>
  <c r="AM6" i="7"/>
  <c r="AE8" i="7"/>
  <c r="AG8" i="7"/>
  <c r="E28" i="7"/>
  <c r="W5" i="7"/>
  <c r="W33" i="7"/>
  <c r="W29" i="7"/>
  <c r="W25" i="7"/>
  <c r="W21" i="7"/>
  <c r="W17" i="7"/>
  <c r="W13" i="7"/>
  <c r="W9" i="7"/>
  <c r="Y5" i="7"/>
  <c r="Y33" i="7"/>
  <c r="Y29" i="7"/>
  <c r="Y25" i="7"/>
  <c r="Y21" i="7"/>
  <c r="Y17" i="7"/>
  <c r="Y13" i="7"/>
  <c r="Y9" i="7"/>
  <c r="W36" i="7"/>
  <c r="W32" i="7"/>
  <c r="W28" i="7"/>
  <c r="W24" i="7"/>
  <c r="W20" i="7"/>
  <c r="W16" i="7"/>
  <c r="W12" i="7"/>
  <c r="W8" i="7"/>
  <c r="Y36" i="7"/>
  <c r="Y32" i="7"/>
  <c r="Y28" i="7"/>
  <c r="Y24" i="7"/>
  <c r="Y20" i="7"/>
  <c r="Y16" i="7"/>
  <c r="Y12" i="7"/>
  <c r="Y8" i="7"/>
  <c r="W35" i="7"/>
  <c r="W31" i="7"/>
  <c r="W27" i="7"/>
  <c r="W23" i="7"/>
  <c r="W19" i="7"/>
  <c r="W15" i="7"/>
  <c r="W11" i="7"/>
  <c r="W7" i="7"/>
  <c r="Y35" i="7"/>
  <c r="Y31" i="7"/>
  <c r="Y27" i="7"/>
  <c r="Y23" i="7"/>
  <c r="Y19" i="7"/>
  <c r="Y15" i="7"/>
  <c r="Y11" i="7"/>
  <c r="Y7" i="7"/>
  <c r="W34" i="7"/>
  <c r="W30" i="7"/>
  <c r="W26" i="7"/>
  <c r="W22" i="7"/>
  <c r="W18" i="7"/>
  <c r="W14" i="7"/>
  <c r="W10" i="7"/>
  <c r="W6" i="7"/>
  <c r="Y34" i="7"/>
  <c r="Y30" i="7"/>
  <c r="Y26" i="7"/>
  <c r="Y22" i="7"/>
  <c r="Y18" i="7"/>
  <c r="Y14" i="7"/>
  <c r="Y10" i="7"/>
  <c r="Y6" i="7"/>
  <c r="U5" i="7"/>
  <c r="U33" i="7"/>
  <c r="U29" i="7"/>
  <c r="U25" i="7"/>
  <c r="U21" i="7"/>
  <c r="U17" i="7"/>
  <c r="U13" i="7"/>
  <c r="U9" i="7"/>
  <c r="U36" i="7"/>
  <c r="U32" i="7"/>
  <c r="U28" i="7"/>
  <c r="U24" i="7"/>
  <c r="U20" i="7"/>
  <c r="U16" i="7"/>
  <c r="U12" i="7"/>
  <c r="U8" i="7"/>
  <c r="U35" i="7"/>
  <c r="U31" i="7"/>
  <c r="U27" i="7"/>
  <c r="U23" i="7"/>
  <c r="U19" i="7"/>
  <c r="U15" i="7"/>
  <c r="U11" i="7"/>
  <c r="U7" i="7"/>
  <c r="U34" i="7"/>
  <c r="U30" i="7"/>
  <c r="U26" i="7"/>
  <c r="U22" i="7"/>
  <c r="U18" i="7"/>
  <c r="U14" i="7"/>
  <c r="U10" i="7"/>
  <c r="U6" i="7"/>
  <c r="E31" i="7"/>
  <c r="E32" i="7"/>
  <c r="E5" i="7"/>
  <c r="E33" i="7"/>
  <c r="E29" i="7"/>
  <c r="G5" i="7"/>
  <c r="G33" i="7"/>
  <c r="G29" i="7"/>
  <c r="G25" i="7"/>
  <c r="G21" i="7"/>
  <c r="G17" i="7"/>
  <c r="G13" i="7"/>
  <c r="G9" i="7"/>
  <c r="E36" i="7"/>
  <c r="G36" i="7"/>
  <c r="G32" i="7"/>
  <c r="G28" i="7"/>
  <c r="G24" i="7"/>
  <c r="G20" i="7"/>
  <c r="G16" i="7"/>
  <c r="G12" i="7"/>
  <c r="G8" i="7"/>
  <c r="E35" i="7"/>
  <c r="G35" i="7"/>
  <c r="G31" i="7"/>
  <c r="G27" i="7"/>
  <c r="G23" i="7"/>
  <c r="G19" i="7"/>
  <c r="G15" i="7"/>
  <c r="G11" i="7"/>
  <c r="G7" i="7"/>
  <c r="G34" i="7"/>
  <c r="G30" i="7"/>
  <c r="G26" i="7"/>
  <c r="G22" i="7"/>
  <c r="G18" i="7"/>
  <c r="G14" i="7"/>
  <c r="G10" i="7"/>
  <c r="G6" i="7"/>
  <c r="H25" i="7"/>
  <c r="H21" i="7"/>
  <c r="H17" i="7"/>
  <c r="H13" i="7"/>
  <c r="H9" i="7"/>
  <c r="H32" i="7"/>
  <c r="H28" i="7"/>
  <c r="H24" i="7"/>
  <c r="H20" i="7"/>
  <c r="H16" i="7"/>
  <c r="H12" i="7"/>
  <c r="H8" i="7"/>
  <c r="E27" i="7"/>
  <c r="E23" i="7"/>
  <c r="E19" i="7"/>
  <c r="E15" i="7"/>
  <c r="E11" i="7"/>
  <c r="E7" i="7"/>
  <c r="E26" i="7"/>
  <c r="E22" i="7"/>
  <c r="E18" i="7"/>
  <c r="E14" i="7"/>
  <c r="E10" i="7"/>
  <c r="E6" i="7"/>
  <c r="E34" i="7"/>
  <c r="E30" i="7"/>
  <c r="F236" i="5"/>
  <c r="E236" i="5"/>
  <c r="H230" i="5"/>
  <c r="H229" i="5"/>
  <c r="H228" i="5"/>
  <c r="H227" i="5"/>
  <c r="H226" i="5"/>
  <c r="F230" i="5"/>
  <c r="F229" i="5"/>
  <c r="F228" i="5"/>
  <c r="F227" i="5"/>
  <c r="F226" i="5"/>
  <c r="F209" i="5"/>
  <c r="E209" i="5"/>
  <c r="F208" i="5"/>
  <c r="E208" i="5"/>
  <c r="H203" i="5"/>
  <c r="F203" i="5"/>
  <c r="H202" i="5"/>
  <c r="F202" i="5"/>
  <c r="F191" i="5"/>
  <c r="F190" i="5"/>
  <c r="E190" i="5"/>
  <c r="F189" i="5"/>
  <c r="E189" i="5"/>
  <c r="F186" i="5"/>
  <c r="F185" i="5"/>
  <c r="E185" i="5"/>
  <c r="F184" i="5"/>
  <c r="E184" i="5"/>
  <c r="F183" i="5"/>
  <c r="E183" i="5"/>
  <c r="K365" i="5"/>
  <c r="K364" i="5"/>
  <c r="K363" i="5"/>
  <c r="K362" i="5"/>
  <c r="K361" i="5"/>
  <c r="I365" i="5"/>
  <c r="I364" i="5"/>
  <c r="I363" i="5"/>
  <c r="I362" i="5"/>
  <c r="I361" i="5"/>
  <c r="K360" i="5"/>
  <c r="I360" i="5"/>
  <c r="G183" i="5"/>
  <c r="G191" i="5"/>
  <c r="G189" i="5"/>
  <c r="G190" i="5"/>
  <c r="G184" i="5"/>
  <c r="G208" i="5"/>
  <c r="G209" i="5"/>
  <c r="G186" i="5"/>
  <c r="G236" i="5"/>
  <c r="G185" i="5"/>
  <c r="G203" i="5" l="1"/>
  <c r="I203" i="5"/>
  <c r="G229" i="5"/>
  <c r="G227" i="5"/>
  <c r="G230" i="5"/>
  <c r="G226" i="5"/>
  <c r="I228" i="5"/>
  <c r="I229" i="5"/>
  <c r="G228" i="5"/>
  <c r="I226" i="5"/>
  <c r="I230" i="5"/>
  <c r="I227" i="5"/>
  <c r="G202" i="5"/>
  <c r="I202" i="5"/>
  <c r="J360" i="5"/>
  <c r="L360" i="5"/>
  <c r="J365" i="5"/>
  <c r="J364" i="5"/>
  <c r="J363" i="5"/>
  <c r="J362" i="5"/>
  <c r="J361" i="5"/>
  <c r="L365" i="5"/>
  <c r="L364" i="5"/>
  <c r="L363" i="5"/>
  <c r="L362" i="5"/>
  <c r="L361" i="5"/>
  <c r="M354" i="5"/>
  <c r="L354" i="5"/>
  <c r="K354" i="5"/>
  <c r="J354" i="5"/>
  <c r="I354" i="5"/>
  <c r="M349" i="5"/>
  <c r="L349" i="5"/>
  <c r="K349" i="5"/>
  <c r="J349" i="5"/>
  <c r="I349" i="5"/>
  <c r="M345" i="5"/>
  <c r="L345" i="5"/>
  <c r="K345" i="5"/>
  <c r="J345" i="5"/>
  <c r="I345" i="5"/>
  <c r="M340" i="5"/>
  <c r="L340" i="5"/>
  <c r="K340" i="5"/>
  <c r="J340" i="5"/>
  <c r="I340" i="5"/>
  <c r="M336" i="5"/>
  <c r="L336" i="5"/>
  <c r="K336" i="5"/>
  <c r="J336" i="5"/>
  <c r="I336" i="5"/>
  <c r="M331" i="5"/>
  <c r="L331" i="5"/>
  <c r="K331" i="5"/>
  <c r="J331" i="5"/>
  <c r="I331" i="5"/>
  <c r="M327" i="5"/>
  <c r="L327" i="5"/>
  <c r="K327" i="5"/>
  <c r="J327" i="5"/>
  <c r="I327" i="5"/>
  <c r="M321" i="5"/>
  <c r="L321" i="5"/>
  <c r="K321" i="5"/>
  <c r="J321" i="5"/>
  <c r="I321" i="5"/>
  <c r="M313" i="5"/>
  <c r="L313" i="5"/>
  <c r="K313" i="5"/>
  <c r="J313" i="5"/>
  <c r="I313" i="5"/>
  <c r="M307" i="5"/>
  <c r="L307" i="5"/>
  <c r="K307" i="5"/>
  <c r="J307" i="5"/>
  <c r="I307" i="5"/>
  <c r="M303" i="5" l="1"/>
  <c r="L303" i="5"/>
  <c r="K303" i="5"/>
  <c r="J303" i="5"/>
  <c r="I303" i="5"/>
  <c r="M296" i="5"/>
  <c r="L296" i="5"/>
  <c r="K296" i="5"/>
  <c r="J296" i="5"/>
  <c r="I296" i="5"/>
  <c r="M292" i="5"/>
  <c r="L292" i="5"/>
  <c r="K292" i="5"/>
  <c r="J292" i="5"/>
  <c r="I292" i="5"/>
  <c r="M285" i="5"/>
  <c r="L285" i="5"/>
  <c r="K285" i="5"/>
  <c r="J285" i="5"/>
  <c r="I285" i="5"/>
  <c r="F256" i="5"/>
  <c r="E256" i="5"/>
  <c r="F252" i="5"/>
  <c r="F251" i="5"/>
  <c r="F250" i="5"/>
  <c r="F249" i="5"/>
  <c r="F253" i="5"/>
  <c r="E252" i="5"/>
  <c r="E251" i="5"/>
  <c r="E250" i="5"/>
  <c r="E249" i="5"/>
  <c r="E244" i="5"/>
  <c r="E245" i="5"/>
  <c r="F245" i="5"/>
  <c r="F244" i="5"/>
  <c r="F243" i="5"/>
  <c r="E243" i="5"/>
  <c r="F246" i="5"/>
  <c r="F279" i="5"/>
  <c r="F280" i="5"/>
  <c r="F281" i="5"/>
  <c r="F282" i="5"/>
  <c r="F276" i="5"/>
  <c r="F275" i="5"/>
  <c r="F274" i="5"/>
  <c r="F273" i="5"/>
  <c r="F272" i="5"/>
  <c r="F271" i="5"/>
  <c r="E271" i="5"/>
  <c r="F179" i="5"/>
  <c r="F178" i="5"/>
  <c r="E178" i="5"/>
  <c r="F177" i="5"/>
  <c r="E177" i="5"/>
  <c r="F174" i="5"/>
  <c r="F173" i="5"/>
  <c r="E173" i="5"/>
  <c r="F172" i="5"/>
  <c r="E172" i="5"/>
  <c r="F171" i="5"/>
  <c r="E171" i="5"/>
  <c r="F170" i="5"/>
  <c r="E170" i="5"/>
  <c r="M166" i="5"/>
  <c r="L166" i="5"/>
  <c r="K166" i="5"/>
  <c r="J166" i="5"/>
  <c r="I166" i="5"/>
  <c r="F162" i="5"/>
  <c r="F161" i="5"/>
  <c r="E161" i="5"/>
  <c r="F160" i="5"/>
  <c r="E160" i="5"/>
  <c r="F157" i="5"/>
  <c r="E153" i="5"/>
  <c r="F153" i="5"/>
  <c r="E154" i="5"/>
  <c r="F154" i="5"/>
  <c r="E155" i="5"/>
  <c r="F155" i="5"/>
  <c r="E156" i="5"/>
  <c r="F156" i="5"/>
  <c r="F152" i="5"/>
  <c r="E152" i="5"/>
  <c r="F144" i="5"/>
  <c r="F142" i="5"/>
  <c r="F143" i="5"/>
  <c r="E143" i="5"/>
  <c r="E142" i="5"/>
  <c r="G171" i="5"/>
  <c r="G250" i="5"/>
  <c r="G281" i="5"/>
  <c r="G256" i="5"/>
  <c r="G156" i="5"/>
  <c r="G244" i="5"/>
  <c r="G152" i="5"/>
  <c r="G273" i="5"/>
  <c r="G173" i="5"/>
  <c r="G243" i="5"/>
  <c r="G174" i="5"/>
  <c r="G251" i="5"/>
  <c r="G142" i="5"/>
  <c r="G160" i="5"/>
  <c r="G274" i="5"/>
  <c r="G177" i="5"/>
  <c r="G249" i="5"/>
  <c r="G172" i="5"/>
  <c r="G275" i="5"/>
  <c r="G245" i="5"/>
  <c r="G143" i="5"/>
  <c r="G157" i="5"/>
  <c r="G155" i="5"/>
  <c r="G272" i="5"/>
  <c r="G170" i="5"/>
  <c r="G178" i="5"/>
  <c r="G280" i="5"/>
  <c r="G282" i="5"/>
  <c r="G154" i="5"/>
  <c r="G153" i="5"/>
  <c r="G246" i="5"/>
  <c r="G271" i="5"/>
  <c r="G179" i="5"/>
  <c r="G252" i="5"/>
  <c r="G279" i="5"/>
  <c r="G162" i="5"/>
  <c r="G276" i="5"/>
  <c r="G253" i="5"/>
  <c r="G161" i="5"/>
  <c r="G144" i="5"/>
  <c r="B126" i="5" l="1"/>
  <c r="C7" i="5"/>
  <c r="C6" i="5"/>
  <c r="B3" i="5"/>
</calcChain>
</file>

<file path=xl/sharedStrings.xml><?xml version="1.0" encoding="utf-8"?>
<sst xmlns="http://schemas.openxmlformats.org/spreadsheetml/2006/main" count="63099" uniqueCount="10254">
  <si>
    <t>Sexo</t>
  </si>
  <si>
    <t>Cutis</t>
  </si>
  <si>
    <t>Juiz</t>
  </si>
  <si>
    <t>Masculino</t>
  </si>
  <si>
    <t>Branca</t>
  </si>
  <si>
    <t>Parda</t>
  </si>
  <si>
    <t>Absolvição</t>
  </si>
  <si>
    <t>Não</t>
  </si>
  <si>
    <t>6a 3m</t>
  </si>
  <si>
    <t>5a</t>
  </si>
  <si>
    <t>1a 8m</t>
  </si>
  <si>
    <t>Vara</t>
  </si>
  <si>
    <t>DN</t>
  </si>
  <si>
    <t>Maconha</t>
  </si>
  <si>
    <t>Cocaína</t>
  </si>
  <si>
    <t>Crack</t>
  </si>
  <si>
    <t>Ecstasy</t>
  </si>
  <si>
    <t>LSD</t>
  </si>
  <si>
    <t>Outros</t>
  </si>
  <si>
    <t>Aspectos</t>
  </si>
  <si>
    <t>Sentença</t>
  </si>
  <si>
    <t>Regime inicial</t>
  </si>
  <si>
    <t>Substituição da pena</t>
  </si>
  <si>
    <t>19ª Vara Criminal</t>
  </si>
  <si>
    <t>00755542920168260050</t>
  </si>
  <si>
    <t>00646328920178260050</t>
  </si>
  <si>
    <t>01006793320158260050</t>
  </si>
  <si>
    <t>00198188920178260050</t>
  </si>
  <si>
    <t>00243129420178260050</t>
  </si>
  <si>
    <t>17/10/2017</t>
  </si>
  <si>
    <t>Antonio Carlos de Campos Machado Junior</t>
  </si>
  <si>
    <t>JUNIERE CASTRO DA SILVA</t>
  </si>
  <si>
    <t>20 porções. 17,9 g</t>
  </si>
  <si>
    <t>33 porções. 16,6 g</t>
  </si>
  <si>
    <t>27 porções. 3,95 g</t>
  </si>
  <si>
    <t>NA</t>
  </si>
  <si>
    <t>Procedente</t>
  </si>
  <si>
    <t>Aberto</t>
  </si>
  <si>
    <t>Divergências nos relatos dos policiais. Local de tráfico. Confissão informal. Preso no momento da sentença</t>
  </si>
  <si>
    <t>19/10/2017</t>
  </si>
  <si>
    <t>VITOR CESAR DE OLIVEIRA ROCHA</t>
  </si>
  <si>
    <t>Liso</t>
  </si>
  <si>
    <t>67 porções. 180 g</t>
  </si>
  <si>
    <t>155 porções. 198 g</t>
  </si>
  <si>
    <t>2a</t>
  </si>
  <si>
    <t>Confissão. Local de tráfico.  Preso no momento da sentença</t>
  </si>
  <si>
    <t>14/03/2017</t>
  </si>
  <si>
    <t>ERIC RICARDO DA SILVA</t>
  </si>
  <si>
    <t>Não disponível</t>
  </si>
  <si>
    <t>1 porção. 1 g</t>
  </si>
  <si>
    <t>135 porções. 135 g</t>
  </si>
  <si>
    <t>Desclassificação</t>
  </si>
  <si>
    <t>Art. 28</t>
  </si>
  <si>
    <t>Processo</t>
  </si>
  <si>
    <t>DtDisp</t>
  </si>
  <si>
    <t>Nome</t>
  </si>
  <si>
    <t>Local</t>
  </si>
  <si>
    <t>Cabelo</t>
  </si>
  <si>
    <t>Objetos</t>
  </si>
  <si>
    <t>PenaBase</t>
  </si>
  <si>
    <t>Pena33</t>
  </si>
  <si>
    <t>PenaDrogas</t>
  </si>
  <si>
    <t>PenaOutros</t>
  </si>
  <si>
    <t>Outras</t>
  </si>
  <si>
    <t>AvalNegPB</t>
  </si>
  <si>
    <t>§4º</t>
  </si>
  <si>
    <t>Aumento33</t>
  </si>
  <si>
    <t>Agravantes33</t>
  </si>
  <si>
    <t>Atenuantes33</t>
  </si>
  <si>
    <t>ConcForm</t>
  </si>
  <si>
    <t>06/06/2017</t>
  </si>
  <si>
    <t>ELENIDIO MESSIAS DE JESUS</t>
  </si>
  <si>
    <t>Confissão. Preso no momento da sentença</t>
  </si>
  <si>
    <t>20/09/2017</t>
  </si>
  <si>
    <t xml:space="preserve">Marcelo Gomes de Sousa </t>
  </si>
  <si>
    <t xml:space="preserve">Ivo Rodrigues de Lima </t>
  </si>
  <si>
    <t>Residência</t>
  </si>
  <si>
    <t>Ondulado</t>
  </si>
  <si>
    <t>Parcialmente procedente</t>
  </si>
  <si>
    <t>4a</t>
  </si>
  <si>
    <t>Preso no momento da sentença</t>
  </si>
  <si>
    <t>00850022620168260050</t>
  </si>
  <si>
    <t>24/01/2017</t>
  </si>
  <si>
    <t xml:space="preserve">Henrique dos Santos </t>
  </si>
  <si>
    <t>20 porções. 34,2 g</t>
  </si>
  <si>
    <t>66 porções. 4,1 g</t>
  </si>
  <si>
    <t>80 porções. 2,3 g</t>
  </si>
  <si>
    <t>11ª Vara Criminal</t>
  </si>
  <si>
    <t>00199439120168260050</t>
  </si>
  <si>
    <t>00959728520168260050</t>
  </si>
  <si>
    <t>00461275020178260050</t>
  </si>
  <si>
    <t>00607549320168260050</t>
  </si>
  <si>
    <t>00116518320178260050</t>
  </si>
  <si>
    <t>00125207120168260635</t>
  </si>
  <si>
    <t>00894625620168260050</t>
  </si>
  <si>
    <t>30/03/2017</t>
  </si>
  <si>
    <t>Vivian Brenner De Oliveira</t>
  </si>
  <si>
    <t>TIAGO SILVA SOARES</t>
  </si>
  <si>
    <t>17/03/2017</t>
  </si>
  <si>
    <t>Lizianne Marques Curto</t>
  </si>
  <si>
    <t>RENATO DA SILVA GOMES</t>
  </si>
  <si>
    <t>04/09/2017</t>
  </si>
  <si>
    <t>Rejane Rodrigues Lage</t>
  </si>
  <si>
    <t>RAFAEL SANTANA NUNES BEZERRA</t>
  </si>
  <si>
    <t>21/03/2017</t>
  </si>
  <si>
    <t>ADEMIR LAMEU DA SILVA</t>
  </si>
  <si>
    <t>04/07/2017</t>
  </si>
  <si>
    <t>Tatiana Vieira Guerra</t>
  </si>
  <si>
    <t>CICERO LEOPOLDINO DA SILVA</t>
  </si>
  <si>
    <t>25/05/2017</t>
  </si>
  <si>
    <t>RONALDO DO NASCIMENTO</t>
  </si>
  <si>
    <t>ANDERSON BATISTA CRESPILHO</t>
  </si>
  <si>
    <t>0031554-41.2016.8.26.0050</t>
  </si>
  <si>
    <t>0007839-58.2016.8.26.0635</t>
  </si>
  <si>
    <t>0055873-39.2017.8.26.0050</t>
  </si>
  <si>
    <t>0096963-61.2016.8.26.0050</t>
  </si>
  <si>
    <t>0013747-96.2016.8.26.0635</t>
  </si>
  <si>
    <t>0004370-76.2017.8.26.0050 </t>
  </si>
  <si>
    <t>0004434-23.2016.8.26.0050</t>
  </si>
  <si>
    <t>0012132-71.2016.8.26.0635</t>
  </si>
  <si>
    <t>1ª Vara Criminal</t>
  </si>
  <si>
    <t>00118686320168260050</t>
  </si>
  <si>
    <t>00097232520168260635</t>
  </si>
  <si>
    <t>00132837220168260635</t>
  </si>
  <si>
    <t>00473220720168260050</t>
  </si>
  <si>
    <t>00110475020168260635</t>
  </si>
  <si>
    <t>00182053420178260050</t>
  </si>
  <si>
    <t>00058525020178260635</t>
  </si>
  <si>
    <t>00281201020178260050</t>
  </si>
  <si>
    <t>00005711620178260635</t>
  </si>
  <si>
    <t>01019426620168260050</t>
  </si>
  <si>
    <t>10ª Vara Criminal</t>
  </si>
  <si>
    <t>00085284820158260050</t>
  </si>
  <si>
    <t>00934274220168260050</t>
  </si>
  <si>
    <t>01019001720168260050</t>
  </si>
  <si>
    <t>00004526420178260050</t>
  </si>
  <si>
    <t>00025095520178260050</t>
  </si>
  <si>
    <t>00410384620178260050</t>
  </si>
  <si>
    <t>00370435920168260050</t>
  </si>
  <si>
    <t>00269908220178260050</t>
  </si>
  <si>
    <t>12ª Vara Criminal</t>
  </si>
  <si>
    <t>00978452320168260050</t>
  </si>
  <si>
    <t>00708608020178260050</t>
  </si>
  <si>
    <t>00440645220178260050</t>
  </si>
  <si>
    <t>00016165520178260635</t>
  </si>
  <si>
    <t>00086724220178260635</t>
  </si>
  <si>
    <t>00663831420178260050</t>
  </si>
  <si>
    <t>00657223520178260050</t>
  </si>
  <si>
    <t>00055277520178260635</t>
  </si>
  <si>
    <t>00828861320178260050</t>
  </si>
  <si>
    <t>00001815520178260050</t>
  </si>
  <si>
    <t>00698682220178260050</t>
  </si>
  <si>
    <t>01070345920158260050</t>
  </si>
  <si>
    <t>00042996520178260635</t>
  </si>
  <si>
    <t>00900047420168260050</t>
  </si>
  <si>
    <t>13ª Vara Criminal</t>
  </si>
  <si>
    <t>00085755120178260050</t>
  </si>
  <si>
    <t>00101769220178260050</t>
  </si>
  <si>
    <t>00064847620178260635</t>
  </si>
  <si>
    <t>00727014720168260050</t>
  </si>
  <si>
    <t>00009965220178260050</t>
  </si>
  <si>
    <t>00033288920178260050</t>
  </si>
  <si>
    <t>00289215720168260050</t>
  </si>
  <si>
    <t>00028472020178260635</t>
  </si>
  <si>
    <t>00757489220178260050</t>
  </si>
  <si>
    <t>00558899020178260050</t>
  </si>
  <si>
    <t>14ª Vara Criminal</t>
  </si>
  <si>
    <t>01009336920168260050</t>
  </si>
  <si>
    <t>00552870220178260050</t>
  </si>
  <si>
    <t>00533107220178260050</t>
  </si>
  <si>
    <t>00443229620168260050</t>
  </si>
  <si>
    <t>00065627020178260635</t>
  </si>
  <si>
    <t>00036702820168260635</t>
  </si>
  <si>
    <t>15ª Vara Criminal</t>
  </si>
  <si>
    <t>00092348520168260635</t>
  </si>
  <si>
    <t>00107158320168260635</t>
  </si>
  <si>
    <t>00292905120168260050</t>
  </si>
  <si>
    <t>00976541220158260050</t>
  </si>
  <si>
    <t>00042827220168260050</t>
  </si>
  <si>
    <t>00120876720168260635</t>
  </si>
  <si>
    <t>00065092620168260635</t>
  </si>
  <si>
    <t>00557602220168260050</t>
  </si>
  <si>
    <t>00782628620158260050</t>
  </si>
  <si>
    <t>00493140320168260050</t>
  </si>
  <si>
    <t>00872185720168260050</t>
  </si>
  <si>
    <t>16ª Vara Criminal</t>
  </si>
  <si>
    <t>00748268520168260050</t>
  </si>
  <si>
    <t>00905702320168260050</t>
  </si>
  <si>
    <t>00306822620168260050</t>
  </si>
  <si>
    <t>00770379420168260050</t>
  </si>
  <si>
    <t>00006899820178260050</t>
  </si>
  <si>
    <t>01059785420168260050</t>
  </si>
  <si>
    <t>00173851520178260050</t>
  </si>
  <si>
    <t>00168481920178260050</t>
  </si>
  <si>
    <t>00036614120178260050</t>
  </si>
  <si>
    <t>00262554920178260050</t>
  </si>
  <si>
    <t>00354375920178260050</t>
  </si>
  <si>
    <t>00296221820168260050</t>
  </si>
  <si>
    <t>17ª Vara Criminal</t>
  </si>
  <si>
    <t>01058044520168260050</t>
  </si>
  <si>
    <t>00021172520148260405</t>
  </si>
  <si>
    <t>00770092920168260050</t>
  </si>
  <si>
    <t>00636004920178260050</t>
  </si>
  <si>
    <t>00067039820178260050</t>
  </si>
  <si>
    <t>00447582120178260050</t>
  </si>
  <si>
    <t>00629036220168260050</t>
  </si>
  <si>
    <t>00082518620168260635</t>
  </si>
  <si>
    <t>00772749420178260050</t>
  </si>
  <si>
    <t>00703446020178260050</t>
  </si>
  <si>
    <t>00728504320168260050</t>
  </si>
  <si>
    <t>00121189620168260050</t>
  </si>
  <si>
    <t>00193936220178260050</t>
  </si>
  <si>
    <t>00157084720178260050</t>
  </si>
  <si>
    <t>00034639220178260635</t>
  </si>
  <si>
    <t>18ª Vara Criminal</t>
  </si>
  <si>
    <t>00061504220178260635</t>
  </si>
  <si>
    <t>00037549220178260635</t>
  </si>
  <si>
    <t>00033780920178260635</t>
  </si>
  <si>
    <t>00338648320178260050</t>
  </si>
  <si>
    <t>00039612820168260635</t>
  </si>
  <si>
    <t>00112958820178260050</t>
  </si>
  <si>
    <t>00075442120168260635</t>
  </si>
  <si>
    <t>00918044020168260050</t>
  </si>
  <si>
    <t>00033434920178260635</t>
  </si>
  <si>
    <t>00025180820178260635</t>
  </si>
  <si>
    <t>2ª Vara Criminal</t>
  </si>
  <si>
    <t>00970683820168260050</t>
  </si>
  <si>
    <t>00704156220178260050</t>
  </si>
  <si>
    <t>00316927120178260050</t>
  </si>
  <si>
    <t>00022793820168260635</t>
  </si>
  <si>
    <t>00181715920178260050</t>
  </si>
  <si>
    <t>00020452220178260635</t>
  </si>
  <si>
    <t>00583567620168260050</t>
  </si>
  <si>
    <t>00681531320158260050</t>
  </si>
  <si>
    <t>00275510920178260050</t>
  </si>
  <si>
    <t>00033628920168260635</t>
  </si>
  <si>
    <t>00034933020178260635</t>
  </si>
  <si>
    <t>00654480820168260050</t>
  </si>
  <si>
    <t>00617829620168260050</t>
  </si>
  <si>
    <t>00505687420178260050</t>
  </si>
  <si>
    <t>00036839020178260635</t>
  </si>
  <si>
    <t>20ª Vara Criminal</t>
  </si>
  <si>
    <t>00105348220168260635</t>
  </si>
  <si>
    <t>00114034520168260635</t>
  </si>
  <si>
    <t>00037817520178260635</t>
  </si>
  <si>
    <t>00011202620178260635</t>
  </si>
  <si>
    <t>00954782620168260050</t>
  </si>
  <si>
    <t>00583559120168260050</t>
  </si>
  <si>
    <t>00265875020168260050</t>
  </si>
  <si>
    <t>00818385320168260050</t>
  </si>
  <si>
    <t>00120487020168260635</t>
  </si>
  <si>
    <t>21ª Vara Criminal</t>
  </si>
  <si>
    <t>00836708720178260050</t>
  </si>
  <si>
    <t>00885912620168260050</t>
  </si>
  <si>
    <t>00399350420178260050</t>
  </si>
  <si>
    <t>00013583920178260540</t>
  </si>
  <si>
    <t>00269673920178260050</t>
  </si>
  <si>
    <t>00716879120178260050</t>
  </si>
  <si>
    <t>00123820720168260635</t>
  </si>
  <si>
    <t>00339470220178260050</t>
  </si>
  <si>
    <t>00126531620168260635</t>
  </si>
  <si>
    <t>00113954320178260050</t>
  </si>
  <si>
    <t>00496350420178260050</t>
  </si>
  <si>
    <t>00077742920178260635</t>
  </si>
  <si>
    <t>22ª Vara Criminal</t>
  </si>
  <si>
    <t>00496541020178260050</t>
  </si>
  <si>
    <t>00840322620168260050</t>
  </si>
  <si>
    <t>00647982420178260050</t>
  </si>
  <si>
    <t>00673318720168260050</t>
  </si>
  <si>
    <t>00159686120168260050</t>
  </si>
  <si>
    <t>00060655620178260635</t>
  </si>
  <si>
    <t>00199889520168260050</t>
  </si>
  <si>
    <t>00657925220178260050</t>
  </si>
  <si>
    <t>00100584420168260635</t>
  </si>
  <si>
    <t>00663684520178260050</t>
  </si>
  <si>
    <t>00138767620178260050</t>
  </si>
  <si>
    <t>00586916120178260050</t>
  </si>
  <si>
    <t>23ª Vara Criminal</t>
  </si>
  <si>
    <t>00102911620178260050</t>
  </si>
  <si>
    <t>00695256020168260050</t>
  </si>
  <si>
    <t>00209768220178260050</t>
  </si>
  <si>
    <t>00127987220168260635</t>
  </si>
  <si>
    <t>00751374220178260050</t>
  </si>
  <si>
    <t>00954737220148260050</t>
  </si>
  <si>
    <t>00631371020178260050</t>
  </si>
  <si>
    <t>01093658220138260050</t>
  </si>
  <si>
    <t>00168577820178260050</t>
  </si>
  <si>
    <t>00058135320178260635</t>
  </si>
  <si>
    <t>00885193920168260050</t>
  </si>
  <si>
    <t>00254101720178260050</t>
  </si>
  <si>
    <t>00135537120178260050</t>
  </si>
  <si>
    <t>24ª Vara Criminal</t>
  </si>
  <si>
    <t>00008224320178260050</t>
  </si>
  <si>
    <t>00039379720168260635</t>
  </si>
  <si>
    <t>00078932420168260635</t>
  </si>
  <si>
    <t>00627231220178260050</t>
  </si>
  <si>
    <t>00693867420178260050</t>
  </si>
  <si>
    <t>00025536520178260635</t>
  </si>
  <si>
    <t>00011600820178260635</t>
  </si>
  <si>
    <t>00004031420178260635</t>
  </si>
  <si>
    <t>00275320320178260050</t>
  </si>
  <si>
    <t>00255577720168260050</t>
  </si>
  <si>
    <t>00735788420168260050</t>
  </si>
  <si>
    <t>00689253920168260050</t>
  </si>
  <si>
    <t>25ª Vara Criminal</t>
  </si>
  <si>
    <t>00135849120178260050</t>
  </si>
  <si>
    <t>00129952720168260635</t>
  </si>
  <si>
    <t>00561843020178260050</t>
  </si>
  <si>
    <t>00940995020168260050</t>
  </si>
  <si>
    <t>00669178920168260050</t>
  </si>
  <si>
    <t>00894418020168260050</t>
  </si>
  <si>
    <t>00912876920158260050</t>
  </si>
  <si>
    <t>00765883920168260050</t>
  </si>
  <si>
    <t>00101026320168260635</t>
  </si>
  <si>
    <t>00977404620168260050</t>
  </si>
  <si>
    <t>00532989220168260050</t>
  </si>
  <si>
    <t>26ª Vara Criminal</t>
  </si>
  <si>
    <t>00314439620128260050</t>
  </si>
  <si>
    <t>00765107920158260050</t>
  </si>
  <si>
    <t>00098168520168260635</t>
  </si>
  <si>
    <t>00363328820158260050</t>
  </si>
  <si>
    <t>00717920520168260050</t>
  </si>
  <si>
    <t>00291940720148260050</t>
  </si>
  <si>
    <t>27ª Vara Criminal</t>
  </si>
  <si>
    <t>00486564220178260050</t>
  </si>
  <si>
    <t>00237701320168260050</t>
  </si>
  <si>
    <t>00487303320168260050</t>
  </si>
  <si>
    <t>00009228620178260635</t>
  </si>
  <si>
    <t>00317369020178260050</t>
  </si>
  <si>
    <t>00386180520168260050</t>
  </si>
  <si>
    <t>00567796320168260050</t>
  </si>
  <si>
    <t>00048551320168260050</t>
  </si>
  <si>
    <t>00129087120168260635</t>
  </si>
  <si>
    <t>00820585120168260050</t>
  </si>
  <si>
    <t>00084787620168260635</t>
  </si>
  <si>
    <t>28ª Vara Criminal</t>
  </si>
  <si>
    <t>00973992020168260050</t>
  </si>
  <si>
    <t>00709222320178260050</t>
  </si>
  <si>
    <t>00062777720178260635</t>
  </si>
  <si>
    <t>00093592820178260050</t>
  </si>
  <si>
    <t>00080229220178260635</t>
  </si>
  <si>
    <t>00341619020178260050</t>
  </si>
  <si>
    <t>00338968820178260050</t>
  </si>
  <si>
    <t>00453921720178260050</t>
  </si>
  <si>
    <t>00002386420178260635</t>
  </si>
  <si>
    <t>00471676720178260050</t>
  </si>
  <si>
    <t>00006794520178260635</t>
  </si>
  <si>
    <t>00402434020178260050</t>
  </si>
  <si>
    <t>29ª Vara Criminal</t>
  </si>
  <si>
    <t>00689513720168260050</t>
  </si>
  <si>
    <t>00384024420168260050</t>
  </si>
  <si>
    <t>00126324020168260635</t>
  </si>
  <si>
    <t>00567207520168260050</t>
  </si>
  <si>
    <t>00216280220178260050</t>
  </si>
  <si>
    <t>00821035520168260050</t>
  </si>
  <si>
    <t>00134127720168260635</t>
  </si>
  <si>
    <t>00006491920178260050</t>
  </si>
  <si>
    <t>00618158620168260050</t>
  </si>
  <si>
    <t>00310604520178260050</t>
  </si>
  <si>
    <t>00554022320178260050</t>
  </si>
  <si>
    <t>00316684320178260050</t>
  </si>
  <si>
    <t>00857947720168260050</t>
  </si>
  <si>
    <t>00300315720178260050</t>
  </si>
  <si>
    <t>00674167320168260050</t>
  </si>
  <si>
    <t>3ª Vara Criminal</t>
  </si>
  <si>
    <t>00820914120168260050</t>
  </si>
  <si>
    <t>00634812520168260050</t>
  </si>
  <si>
    <t>00295465720178260050</t>
  </si>
  <si>
    <t>00684932020168260050</t>
  </si>
  <si>
    <t>00215812820178260050</t>
  </si>
  <si>
    <t>00858008420168260050</t>
  </si>
  <si>
    <t>00458417220178260050</t>
  </si>
  <si>
    <t>00405985020178260050</t>
  </si>
  <si>
    <t>00410526420168260050</t>
  </si>
  <si>
    <t>00086086620168260635</t>
  </si>
  <si>
    <t>00653147820168260050</t>
  </si>
  <si>
    <t>00095758620178260050</t>
  </si>
  <si>
    <t>00118650220168260635</t>
  </si>
  <si>
    <t>30ª Vara Criminal</t>
  </si>
  <si>
    <t>00009211320178260050</t>
  </si>
  <si>
    <t>00109046120168260635</t>
  </si>
  <si>
    <t>00173591720178260050</t>
  </si>
  <si>
    <t>00900592520168260050</t>
  </si>
  <si>
    <t>00850378320168260050</t>
  </si>
  <si>
    <t>00582822220168260050</t>
  </si>
  <si>
    <t>00317021820178260050</t>
  </si>
  <si>
    <t>00335192020178260050</t>
  </si>
  <si>
    <t>00723105820178260050</t>
  </si>
  <si>
    <t>00803713920168260050</t>
  </si>
  <si>
    <t>00056723420178260635</t>
  </si>
  <si>
    <t>00933258320178260050</t>
  </si>
  <si>
    <t>00832380520168260050</t>
  </si>
  <si>
    <t>31ª Vara Criminal</t>
  </si>
  <si>
    <t>00514174620178260050</t>
  </si>
  <si>
    <t>00102715020168260635</t>
  </si>
  <si>
    <t>00116214820178260050</t>
  </si>
  <si>
    <t>00295769220178260050</t>
  </si>
  <si>
    <t>00104228820178260050</t>
  </si>
  <si>
    <t>00959450520168260050</t>
  </si>
  <si>
    <t>01058494920168260050</t>
  </si>
  <si>
    <t>00344043420178260050</t>
  </si>
  <si>
    <t>00058845520178260635</t>
  </si>
  <si>
    <t>00433509220178260050</t>
  </si>
  <si>
    <t>00078508720168260635</t>
  </si>
  <si>
    <t>00726247220158260050</t>
  </si>
  <si>
    <t>00607505620168260050</t>
  </si>
  <si>
    <t>00013568420178260050</t>
  </si>
  <si>
    <t>00746922420178260050</t>
  </si>
  <si>
    <t>00026628820178260050</t>
  </si>
  <si>
    <t>00043395620178260050</t>
  </si>
  <si>
    <t>00032578720178260050</t>
  </si>
  <si>
    <t>32ª Vara Criminal</t>
  </si>
  <si>
    <t>00069541920178260050</t>
  </si>
  <si>
    <t>00037661820178260050</t>
  </si>
  <si>
    <t>00125146420168260635</t>
  </si>
  <si>
    <t>00808737520168260050</t>
  </si>
  <si>
    <t>00001512020178260050</t>
  </si>
  <si>
    <t>00043103120168260635</t>
  </si>
  <si>
    <t>00549813320178260050</t>
  </si>
  <si>
    <t>00439978720178260050</t>
  </si>
  <si>
    <t>01061474120168260050</t>
  </si>
  <si>
    <t>00763926920168260050</t>
  </si>
  <si>
    <t>00437106120168260050</t>
  </si>
  <si>
    <t>00069800820178260635</t>
  </si>
  <si>
    <t>00969965120168260050</t>
  </si>
  <si>
    <t>01040169320168260050</t>
  </si>
  <si>
    <t>4ª Vara Criminal</t>
  </si>
  <si>
    <t>00102127120168260050</t>
  </si>
  <si>
    <t>00174033620178260050</t>
  </si>
  <si>
    <t>00104984020168260635</t>
  </si>
  <si>
    <t>00905616120168260050</t>
  </si>
  <si>
    <t>00748207820168260050</t>
  </si>
  <si>
    <t>00007210620178260050</t>
  </si>
  <si>
    <t>5ª Vara Criminal</t>
  </si>
  <si>
    <t>00493201020168260050</t>
  </si>
  <si>
    <t>00823763420168260050</t>
  </si>
  <si>
    <t>00998392320158260050</t>
  </si>
  <si>
    <t>00969766020168260050</t>
  </si>
  <si>
    <t>00356275620168260050</t>
  </si>
  <si>
    <t>00229939120178260050</t>
  </si>
  <si>
    <t>00068964120168260635</t>
  </si>
  <si>
    <t>00840756020168260050</t>
  </si>
  <si>
    <t>00118000720168260635</t>
  </si>
  <si>
    <t>6ª Vara Criminal</t>
  </si>
  <si>
    <t>00945836520168260050</t>
  </si>
  <si>
    <t>00941826620168260050</t>
  </si>
  <si>
    <t>00534677920168260050</t>
  </si>
  <si>
    <t>00894954620168260050</t>
  </si>
  <si>
    <t>00134257620168260635</t>
  </si>
  <si>
    <t>00475801720168260050</t>
  </si>
  <si>
    <t>7ª Vara Criminal</t>
  </si>
  <si>
    <t>00017317020178260540</t>
  </si>
  <si>
    <t>00557109320168260050</t>
  </si>
  <si>
    <t>00942199320168260050</t>
  </si>
  <si>
    <t>00529129620158260050</t>
  </si>
  <si>
    <t>00014822820178260635</t>
  </si>
  <si>
    <t>00512150620168260050</t>
  </si>
  <si>
    <t>00067463520178260050</t>
  </si>
  <si>
    <t>00840553520178260050</t>
  </si>
  <si>
    <t>00039749020178260635</t>
  </si>
  <si>
    <t>00032552020178260050</t>
  </si>
  <si>
    <t>8ª Vara Criminal</t>
  </si>
  <si>
    <t>00010042920178260050</t>
  </si>
  <si>
    <t>00084502020168260050</t>
  </si>
  <si>
    <t>00775150520168260050</t>
  </si>
  <si>
    <t>01036245620168260050</t>
  </si>
  <si>
    <t>00055826020168260635</t>
  </si>
  <si>
    <t>00554602620178260050</t>
  </si>
  <si>
    <t>00836278720168260050</t>
  </si>
  <si>
    <t>00357618320168260050</t>
  </si>
  <si>
    <t>00592589220178260050</t>
  </si>
  <si>
    <t>00113131220178260050</t>
  </si>
  <si>
    <t>00040626520168260635</t>
  </si>
  <si>
    <t>9ª Vara Criminal</t>
  </si>
  <si>
    <t>0030299-48.2016.8.26.0050 </t>
  </si>
  <si>
    <t>Klaus dos Santos Souza</t>
  </si>
  <si>
    <t>Carlos José Zulian</t>
  </si>
  <si>
    <t>MARIA PRISCILLA ERNANDES VEIGA OLIVEIRA</t>
  </si>
  <si>
    <t>RINGLE DURVAL GLERIA</t>
  </si>
  <si>
    <t xml:space="preserve">THIAGO TEIXEIRA DE LIMA </t>
  </si>
  <si>
    <t>JONATHAN ALVES PAIXÃO</t>
  </si>
  <si>
    <t xml:space="preserve">ANDERSON RICARDO DE PAULA </t>
  </si>
  <si>
    <t xml:space="preserve">GABRIEL SANCHEZ ORLANDO </t>
  </si>
  <si>
    <t>Fernando Rodrigues Sevilhano</t>
  </si>
  <si>
    <t xml:space="preserve">SILVANIL CAMPANHA VIEIRA </t>
  </si>
  <si>
    <t xml:space="preserve">OMIR TOME NETO </t>
  </si>
  <si>
    <t xml:space="preserve">JAILSON ANDRE DA SILVA </t>
  </si>
  <si>
    <t xml:space="preserve">CAUE LEANDRO DA SILVA CEGARRA LYRA </t>
  </si>
  <si>
    <t xml:space="preserve">ANUNCIATO MARCELINO DE OLIVEIRA NETO </t>
  </si>
  <si>
    <t>03/05/2017</t>
  </si>
  <si>
    <t>Maria Cecília Leone</t>
  </si>
  <si>
    <t>BRUNO DE OLIVEIRA CALACA</t>
  </si>
  <si>
    <t>27/04/2017</t>
  </si>
  <si>
    <t>GUSTAVO IAN DOS SANTOS</t>
  </si>
  <si>
    <t>17/07/2017</t>
  </si>
  <si>
    <t>Marcelo Matias Pereira</t>
  </si>
  <si>
    <t xml:space="preserve">ALBERTO DIEGO DOS REMEDIOS </t>
  </si>
  <si>
    <t>JAIRO ALVES DA SILVA</t>
  </si>
  <si>
    <t>09/05/2017</t>
  </si>
  <si>
    <t>Daiane Saladini Monari</t>
  </si>
  <si>
    <t>ISRAEL VIEIRA DOS SANTOS</t>
  </si>
  <si>
    <t>11/07/2017</t>
  </si>
  <si>
    <t>CRISTIANO DE JESUS SANTOS</t>
  </si>
  <si>
    <t>09/08/2017</t>
  </si>
  <si>
    <t>IGOR LOPES FONTES SILVA</t>
  </si>
  <si>
    <t>24/10/2017</t>
  </si>
  <si>
    <t>GISELE APARECIDA RIBEIRO</t>
  </si>
  <si>
    <t>ANDRE VITOR FRANCA CONCEICAO</t>
  </si>
  <si>
    <t>31/08/2017</t>
  </si>
  <si>
    <t>RONALDO AMARANTE DA SILVA</t>
  </si>
  <si>
    <t>14/07/2017</t>
  </si>
  <si>
    <t>THAIS DOS SANTOS MIRANDA</t>
  </si>
  <si>
    <t>01059208520158260050</t>
  </si>
  <si>
    <t>13/01/2017</t>
  </si>
  <si>
    <t>WAGNER ROBERTO SOARES</t>
  </si>
  <si>
    <t>Feminino</t>
  </si>
  <si>
    <t>Marcos Fleury Silveira de Alvarenga</t>
  </si>
  <si>
    <t>XIUYU HUANG</t>
  </si>
  <si>
    <t>12/07/2017</t>
  </si>
  <si>
    <t xml:space="preserve">GUILHERME HENRIQUE DA SILVA ROCHA </t>
  </si>
  <si>
    <t>WESLEY MARTINS DE OLIVEIRA</t>
  </si>
  <si>
    <t>04/04/2017</t>
  </si>
  <si>
    <t>JOSÉ ALVES DE SOUSA VIANA</t>
  </si>
  <si>
    <t>03/08/2017</t>
  </si>
  <si>
    <t>DANIEL DE FRANÇA SOUSA PEREIRA</t>
  </si>
  <si>
    <t>03/10/2017</t>
  </si>
  <si>
    <t>Rodrigo Cesar Muller Valente</t>
  </si>
  <si>
    <t>JONNATAN CORREIA CARDOSO</t>
  </si>
  <si>
    <t>30/08/2017</t>
  </si>
  <si>
    <t>ROBSON CHAVES CATARINO</t>
  </si>
  <si>
    <t>18/10/2017</t>
  </si>
  <si>
    <t>MATHEUS HENRIQUE DA SILVA</t>
  </si>
  <si>
    <t xml:space="preserve">BARBARA THAMARIS GALVAO DE BARROS </t>
  </si>
  <si>
    <t>DANIELA APARECIDA FERREIRA</t>
  </si>
  <si>
    <t>11/09/2017</t>
  </si>
  <si>
    <t>BRUNO DE MOURA MEIRELES</t>
  </si>
  <si>
    <t>07/02/2017</t>
  </si>
  <si>
    <t>Claudia Carneiro Calbucci Renaux</t>
  </si>
  <si>
    <t>DIEGO DOS SANTOS SOUZA</t>
  </si>
  <si>
    <t>19/09/2017</t>
  </si>
  <si>
    <t>José Roberto Cabral Longaretti</t>
  </si>
  <si>
    <t>ALBERTO DANTAS DE OLIVEIRA</t>
  </si>
  <si>
    <t>19/07/2017</t>
  </si>
  <si>
    <t>JULIO CESAR DA SILVA DONATO</t>
  </si>
  <si>
    <t>18/04/2017</t>
  </si>
  <si>
    <t>GABRIEL DA SILVA CONCEIÇÃO</t>
  </si>
  <si>
    <t>26/10/2017</t>
  </si>
  <si>
    <t xml:space="preserve"> HELIO MACIEL BALDRAIA</t>
  </si>
  <si>
    <t>07/11/2017</t>
  </si>
  <si>
    <t xml:space="preserve">NATALIA LOURENCO FRANCO </t>
  </si>
  <si>
    <t>PAMELA TAVARES DE LIMA</t>
  </si>
  <si>
    <t>Wendell Lopes Barbosa de Souza</t>
  </si>
  <si>
    <t xml:space="preserve">EDUARDO LUIZ SILVA </t>
  </si>
  <si>
    <t xml:space="preserve">LUCAS SEVERINO DE SOUZA </t>
  </si>
  <si>
    <t>12/09/2017</t>
  </si>
  <si>
    <t>CLAUDIO WASHINGTON MENDES DA SILVA</t>
  </si>
  <si>
    <t>31/10/2017</t>
  </si>
  <si>
    <t>BRUNO DOS SANTOS SILVA</t>
  </si>
  <si>
    <t>15/03/2017</t>
  </si>
  <si>
    <t xml:space="preserve">ANDERSON BARBOSA RODRIGUES </t>
  </si>
  <si>
    <t>MAICON MARIO DA CUNHA</t>
  </si>
  <si>
    <t xml:space="preserve">JONATHAN CARDOSO </t>
  </si>
  <si>
    <t>LUIZ RAFAEL IGNACZUK FRONZA</t>
  </si>
  <si>
    <t>28/06/2017</t>
  </si>
  <si>
    <t>Pedro Luiz Fernandes Nery Rafael</t>
  </si>
  <si>
    <t>ANDRE KRISTMAN FARIA</t>
  </si>
  <si>
    <t>10/04/2017</t>
  </si>
  <si>
    <t>RODRIGO ANDRÉ MARTINS</t>
  </si>
  <si>
    <t>08/08/2017</t>
  </si>
  <si>
    <t>VICENTE LUIZ ADUA</t>
  </si>
  <si>
    <t>Ricardo Gomes dos Santos</t>
  </si>
  <si>
    <t>LEYLA MARIA DA SILVA LACAZ</t>
  </si>
  <si>
    <t>KADRI GUNDUZ</t>
  </si>
  <si>
    <t xml:space="preserve">ALEANDRO SANTOS DE MELO </t>
  </si>
  <si>
    <t>GILSON DE SOUZA MARTINS</t>
  </si>
  <si>
    <t>02/10/2017</t>
  </si>
  <si>
    <t>Marcela Dias De Abreu Pinto Coelho</t>
  </si>
  <si>
    <t xml:space="preserve">CLAUDEMIR BISPO </t>
  </si>
  <si>
    <t>REINALDO MOURA PERES DA SILVA</t>
  </si>
  <si>
    <t>07/04/2017</t>
  </si>
  <si>
    <t>DIEGO PHELIPE DE OLIVEIRA</t>
  </si>
  <si>
    <t>15/05/2017</t>
  </si>
  <si>
    <t>ANA CAROLINA MUNHOZ DE ALMEIDA</t>
  </si>
  <si>
    <t>ANDRE LUIS SOUSA NOVAES</t>
  </si>
  <si>
    <t>16/01/2017</t>
  </si>
  <si>
    <t xml:space="preserve">ADEMILTON SILVA DOS SANTOS </t>
  </si>
  <si>
    <t>CAROLINE DIAS DA SILVA</t>
  </si>
  <si>
    <t>05/09/2017</t>
  </si>
  <si>
    <t>DOUGLAS CARDOSO DA SILVA</t>
  </si>
  <si>
    <t>11/10/2017</t>
  </si>
  <si>
    <t>Maria do Carmo Pereira de Lima</t>
  </si>
  <si>
    <t>Marcondes Batista de Moraes Junior</t>
  </si>
  <si>
    <t>16/05/2017</t>
  </si>
  <si>
    <t>Izabel Irlanda Castro Correia Araújo</t>
  </si>
  <si>
    <t>PATRICIA AIRES DOS SANTOS</t>
  </si>
  <si>
    <t>30/10/2017</t>
  </si>
  <si>
    <t xml:space="preserve">ERIK LUCAS SANTOS NOGUEIRA DE OLIVEIRA </t>
  </si>
  <si>
    <t>22/11/2017</t>
  </si>
  <si>
    <t>Celina Maria Macedo Stern</t>
  </si>
  <si>
    <t>RONALD ROGER GRIFO</t>
  </si>
  <si>
    <t>20/04/2017</t>
  </si>
  <si>
    <t>ALLAN BONGESTAB DVORKIN</t>
  </si>
  <si>
    <t>23/11/2017</t>
  </si>
  <si>
    <t>CRISTINA ESCHER</t>
  </si>
  <si>
    <t>JORLEI FERNANDO DOS SANTOS SILVA</t>
  </si>
  <si>
    <t>26/01/2017</t>
  </si>
  <si>
    <t>01/06/2017</t>
  </si>
  <si>
    <t>Marcos Alexandre Coelho Zilli</t>
  </si>
  <si>
    <t>16/02/2017</t>
  </si>
  <si>
    <t>LINCON DIAS DE OLIVEIRA</t>
  </si>
  <si>
    <t>Maria Domitila Prado Manssur</t>
  </si>
  <si>
    <t>WELLINGTON DE PAULA JORGE</t>
  </si>
  <si>
    <t>23/05/2017</t>
  </si>
  <si>
    <t>09/10/2017</t>
  </si>
  <si>
    <t>Ana Lucia Fernandes Queiroga</t>
  </si>
  <si>
    <t>01/11/2017</t>
  </si>
  <si>
    <t>JOHNNY GOMES DOS SANTOS</t>
  </si>
  <si>
    <t>MARCOS VINICIUS SOUZA ALEXANDRE</t>
  </si>
  <si>
    <t>MARCUS VINICIUS GOMES DE SOUZA</t>
  </si>
  <si>
    <t>06/03/2017</t>
  </si>
  <si>
    <t>ALEXANDRE SANTANA CONCEICAO</t>
  </si>
  <si>
    <t>CARLOS CAIQUE REIS</t>
  </si>
  <si>
    <t>MARCOS PAULO DIAS VICENTE</t>
  </si>
  <si>
    <t>05/10/2017</t>
  </si>
  <si>
    <t>DANILO PEREIRA DA SILVA</t>
  </si>
  <si>
    <t>04/05/2017</t>
  </si>
  <si>
    <t>Fábio Aguiar Munhoz Soares</t>
  </si>
  <si>
    <t>WELLINGTON RODRIGUES DOS SANTOS</t>
  </si>
  <si>
    <t>23/03/2017</t>
  </si>
  <si>
    <t xml:space="preserve">MATEUS DA SILVA CAVALCANTE </t>
  </si>
  <si>
    <t>KARINA ALVES NORONHA</t>
  </si>
  <si>
    <t>06/04/2017</t>
  </si>
  <si>
    <t>Fátima Vilas Boas Cruz</t>
  </si>
  <si>
    <t>WESLEY FERREIRA SOUZA</t>
  </si>
  <si>
    <t>27/09/2017</t>
  </si>
  <si>
    <t xml:space="preserve">ANDRE ROBERTO VIDAL DOS SANTOS </t>
  </si>
  <si>
    <t>ERICK SANTOS DE SOUZA</t>
  </si>
  <si>
    <t>GREGHORY EDWARD CAMPOS DE OLIVEIRA</t>
  </si>
  <si>
    <t>29/06/2017</t>
  </si>
  <si>
    <t>FERNANDO DELGADO DE ALMEIDA</t>
  </si>
  <si>
    <t>09/11/2017</t>
  </si>
  <si>
    <t>VITOR CESARINO DE ALMEIDA</t>
  </si>
  <si>
    <t>06/09/2017</t>
  </si>
  <si>
    <t>LUCAS RIBEIRO BUIKA</t>
  </si>
  <si>
    <t>24/08/2017</t>
  </si>
  <si>
    <t xml:space="preserve">RAFAEL DA SILVA ALVES </t>
  </si>
  <si>
    <t>VICTOR HUGO QUINTILIANO</t>
  </si>
  <si>
    <t>FABIO ANTONIO BITTENCOURT OLIVEIRA</t>
  </si>
  <si>
    <t>DOUGLAS ALEXANDRE GUILHERME</t>
  </si>
  <si>
    <t>25/09/2017</t>
  </si>
  <si>
    <t>LEONARDO OLIVEIRA DA SILVA</t>
  </si>
  <si>
    <t>23/08/2017</t>
  </si>
  <si>
    <t>Marcello Ovidio Lopes Guimarães</t>
  </si>
  <si>
    <t>MATEUS HUMBERTO DA SILVA</t>
  </si>
  <si>
    <t>11/08/2017</t>
  </si>
  <si>
    <t>LEANDRO DE ASSIS DA SILVA</t>
  </si>
  <si>
    <t>TERESA DE ALMEIDA RIBEIRO MAGALHAES</t>
  </si>
  <si>
    <t xml:space="preserve">MURILLO LORENA GALLO </t>
  </si>
  <si>
    <t>DEIVID ADAN DE SOUZA LEMA</t>
  </si>
  <si>
    <t>JHONATAN DE CAMPOS BELINI</t>
  </si>
  <si>
    <t>DANILO RAMOS DOS SANTOS</t>
  </si>
  <si>
    <t>ISRAEL APARECIDO BALTAZAR</t>
  </si>
  <si>
    <t>12/01/2017</t>
  </si>
  <si>
    <t>CARLOS SAMMUEL SAMMEQUE TSANDE BARBOZA</t>
  </si>
  <si>
    <t>11/01/2017</t>
  </si>
  <si>
    <t>WILLIAM HENRIQUE BRUNO</t>
  </si>
  <si>
    <t>RICARDO PORTELA MEDEIROS</t>
  </si>
  <si>
    <t>04/10/2017</t>
  </si>
  <si>
    <t>LUCAS KLEBER SILVA SOUZA</t>
  </si>
  <si>
    <t>FELIPE SENA FERREIRA DOS SANTOS</t>
  </si>
  <si>
    <t>RAFAEL FELIPE VICENTE LUIZ</t>
  </si>
  <si>
    <t>UELDER SACRAMENTO SANTOS</t>
  </si>
  <si>
    <t xml:space="preserve">RENATO SILVEIRA BOTELHO </t>
  </si>
  <si>
    <t>HÉRCULE LACERDA SILVA</t>
  </si>
  <si>
    <t>03/07/2017</t>
  </si>
  <si>
    <t>CLEBER LUIZ SANTANA SANTOS</t>
  </si>
  <si>
    <t>08/02/2017</t>
  </si>
  <si>
    <t>Carla de Oliveira Pinto Ferrari</t>
  </si>
  <si>
    <t>MARIA CRISTINA DA SILVA</t>
  </si>
  <si>
    <t>RICHARD FRANCISCO CHEQUINI</t>
  </si>
  <si>
    <t>THIAGO CAMPOS DE OLIVEIRA</t>
  </si>
  <si>
    <t>17/08/2017</t>
  </si>
  <si>
    <t>DANIEL ALESSANDRO BEZERRA</t>
  </si>
  <si>
    <t>08/05/2017</t>
  </si>
  <si>
    <t>JOHN GWAKZING</t>
  </si>
  <si>
    <t>26/09/2017</t>
  </si>
  <si>
    <t xml:space="preserve">NATALÍCIO GONÇALVES DE AZEVEDO </t>
  </si>
  <si>
    <t>JEFFERSON OLIVEIRA LEITE</t>
  </si>
  <si>
    <t>27/06/2017</t>
  </si>
  <si>
    <t>ZEQUIAS SOUZA DOS SANTOS</t>
  </si>
  <si>
    <t>10/07/2017</t>
  </si>
  <si>
    <t>THIAGO GOMES DOS SANTOS</t>
  </si>
  <si>
    <t>JONATHAN VICENTE DE MENEZES</t>
  </si>
  <si>
    <t>REINALDO TEIXEIRA LEME</t>
  </si>
  <si>
    <t>MARIO LIVRAMENTO JUNIOR</t>
  </si>
  <si>
    <t>06/07/2017</t>
  </si>
  <si>
    <t>PEDRO PEREIRA DA CUNHA DOS SANTOS</t>
  </si>
  <si>
    <t>KEVIN MARTINS PALMEIRA DA SILVA</t>
  </si>
  <si>
    <t>KAIQUE BAPTISTA DE CARVALHO PEREIRA</t>
  </si>
  <si>
    <t>23/10/2017</t>
  </si>
  <si>
    <t>LEONE SILVA DE OLIVEIRA</t>
  </si>
  <si>
    <t>JOSE LUIS SANTOS VIEIRA</t>
  </si>
  <si>
    <t>19/05/2017</t>
  </si>
  <si>
    <t>Luciane Jabur Mouchaloite Figueiredo</t>
  </si>
  <si>
    <t>LUCAS SILVA DA COSTA</t>
  </si>
  <si>
    <t>16/08/2017</t>
  </si>
  <si>
    <t>Renata William Rached Catelli</t>
  </si>
  <si>
    <t>DANIEL CURRALO</t>
  </si>
  <si>
    <t>13/07/2017</t>
  </si>
  <si>
    <t>Adriana Costa</t>
  </si>
  <si>
    <t>IGOR BATISTA MENDONÇA DA SILVA MAIRONE</t>
  </si>
  <si>
    <t>IAGO FERREIRA LOBO</t>
  </si>
  <si>
    <t>22/03/2017</t>
  </si>
  <si>
    <t xml:space="preserve">ERICK SANTANA SOARES RAMOS </t>
  </si>
  <si>
    <t>JOSÉ RINALDO DOS SANTOS</t>
  </si>
  <si>
    <t>01/03/2017</t>
  </si>
  <si>
    <t xml:space="preserve">THAIS HONDA SILVA </t>
  </si>
  <si>
    <t>WESLEY HONDA DE SOUZA</t>
  </si>
  <si>
    <t>Tatiana Saes Valverde Ormeleze</t>
  </si>
  <si>
    <t>TIAGO ALVES DA SILVA SANTOS</t>
  </si>
  <si>
    <t>JORGE ELIEL PEREIRA DE CASTRO</t>
  </si>
  <si>
    <t>BRUNO HENRIQUE DA SILVA OLIVEIRA</t>
  </si>
  <si>
    <t>17/11/2017</t>
  </si>
  <si>
    <t>MARCIO LUCIO FALAVIGNA SAUANDAG</t>
  </si>
  <si>
    <t>GREGORY BELTRAO NOVAES BARBOSA</t>
  </si>
  <si>
    <t>18/07/2017</t>
  </si>
  <si>
    <t>JACKSON JOSE DE SANTANA</t>
  </si>
  <si>
    <t>ROSENILDO FERREIRA LINS</t>
  </si>
  <si>
    <t>Rafael Henrique Janela Tamai Rocha</t>
  </si>
  <si>
    <t>FERNANDO RAMOS DOS SANTOS</t>
  </si>
  <si>
    <t xml:space="preserve">LUIZ CARLOS FELIX DE SOUZA </t>
  </si>
  <si>
    <t>DIOGO DE ALMEIDA</t>
  </si>
  <si>
    <t>MARCOS VINICIUS ROCHA SANTOS</t>
  </si>
  <si>
    <t>GERALDO DOS SANTOS ARAUJO FILHO</t>
  </si>
  <si>
    <t>EDUARDO MAURICIO DE ALMEIDA</t>
  </si>
  <si>
    <t>03/04/2017</t>
  </si>
  <si>
    <t>BRUNO RODRIGUES DE ANDRADE LIMA</t>
  </si>
  <si>
    <t>CAIO MADASCHI DA SILVA</t>
  </si>
  <si>
    <t>20/07/2017</t>
  </si>
  <si>
    <t>SANDRO APARECIDO GODOY</t>
  </si>
  <si>
    <t>EDVALDO DE OLIVEIRA</t>
  </si>
  <si>
    <t>ISRAEL LUCIANO ROCHA</t>
  </si>
  <si>
    <t xml:space="preserve">RAFAEL APARECIDO FERNANDES </t>
  </si>
  <si>
    <t>RENAN DARCISO DA SILVA</t>
  </si>
  <si>
    <t>14/11/2017</t>
  </si>
  <si>
    <t>JOUBERT SANTOS MACHADO</t>
  </si>
  <si>
    <t>Klaus Marouelli Arroyo</t>
  </si>
  <si>
    <t>LEANDRO REGINALDO FERREIRA</t>
  </si>
  <si>
    <t>01/12/2017</t>
  </si>
  <si>
    <t>DOUGLAS BEZERRA DA SILVA</t>
  </si>
  <si>
    <t xml:space="preserve">PAULO SANTOS MATIAS DA SILVA </t>
  </si>
  <si>
    <t>MARCELO RODRIGUES DIANA</t>
  </si>
  <si>
    <t>20/10/2017</t>
  </si>
  <si>
    <t>VALNEI BISPO DE BRITO</t>
  </si>
  <si>
    <t>Cynthia Torres Cristofaro</t>
  </si>
  <si>
    <t>VIVIANE BORGES MORAES</t>
  </si>
  <si>
    <t>RELIGHTON GOMES DOS SANTOS</t>
  </si>
  <si>
    <t>16/11/2017</t>
  </si>
  <si>
    <t>KENNETH CHINWENDU EKEH</t>
  </si>
  <si>
    <t>13/03/2017</t>
  </si>
  <si>
    <t>GUILHERME NOVAIS PEREIRA DE OLIVEIRA</t>
  </si>
  <si>
    <t>10/11/2017</t>
  </si>
  <si>
    <t>IRAN DE QUEIROZ</t>
  </si>
  <si>
    <t>EDER PIMENTEL DE CASTRO OLIVEIRA</t>
  </si>
  <si>
    <t>ICARO VITOR PEREIRA DE JESUS</t>
  </si>
  <si>
    <t>08/06/2017</t>
  </si>
  <si>
    <t xml:space="preserve">MATHEUS ANTÔNIO FERNANDES SILVA </t>
  </si>
  <si>
    <t>GUSTAVO DE CARVALHO ANDRADE</t>
  </si>
  <si>
    <t>CLAUDIO CORREA FERNANDES</t>
  </si>
  <si>
    <t>Daniela Martins de Castro Mariani Cavallanti</t>
  </si>
  <si>
    <t>LEONARDO BERNARDS DE SANTANA RODELO</t>
  </si>
  <si>
    <t>01/09/2017</t>
  </si>
  <si>
    <t>Erica Regina Colmenero Coimbra</t>
  </si>
  <si>
    <t>MARCELO GERMANDO DE ANDRADE</t>
  </si>
  <si>
    <t>DIEGO SANTANA SODRE</t>
  </si>
  <si>
    <t>02/08/2017</t>
  </si>
  <si>
    <t xml:space="preserve">YGOR CAMARA SATELES </t>
  </si>
  <si>
    <t>CAIO DA SILVA BARROS</t>
  </si>
  <si>
    <t>20/01/2017</t>
  </si>
  <si>
    <t xml:space="preserve">FERNANDO DE SOUZA OLIVEIRA </t>
  </si>
  <si>
    <t>FELIPE RODRIGO JACO</t>
  </si>
  <si>
    <t>10/03/2017</t>
  </si>
  <si>
    <t>MARCOS ANTONIO ARAUJO DO NASCIMENTO</t>
  </si>
  <si>
    <t>FERNANDA ALVES DA ROCHA BRANCO DE OLIVA POLITI</t>
  </si>
  <si>
    <t>GABRIEL DOS REIS OLIVEIRA</t>
  </si>
  <si>
    <t>JUNIOR EDOGHOTU</t>
  </si>
  <si>
    <t>06/10/2017</t>
  </si>
  <si>
    <t>CHARLIE XAVIER SANTOS MATOS</t>
  </si>
  <si>
    <t>Giovana Furtado de Oliveira</t>
  </si>
  <si>
    <t>ERISO LUCAS FERREIRA LEITE</t>
  </si>
  <si>
    <t>ANDRE LUIZ BARBOSA COTA</t>
  </si>
  <si>
    <t>Paula Marie Konno</t>
  </si>
  <si>
    <t>VICTOR CANUTO DOS SANTOS</t>
  </si>
  <si>
    <t>Wellington Alves dos Santos de Paulo</t>
  </si>
  <si>
    <t>CLAUDIO HENRIQUE SANTOS DO NASCIMENTO</t>
  </si>
  <si>
    <t>GEONES BARRETO SANTOS</t>
  </si>
  <si>
    <t>28/08/2017</t>
  </si>
  <si>
    <t>25/08/2017</t>
  </si>
  <si>
    <t>02/06/2017</t>
  </si>
  <si>
    <t>FRANCELINO NETO GOMES DA SILVA</t>
  </si>
  <si>
    <t>MARCOS VINICIUS DE MENEZES</t>
  </si>
  <si>
    <t>12/04/2017</t>
  </si>
  <si>
    <t>Waldir Calciolari</t>
  </si>
  <si>
    <t>ANTONIO EVANGELISTA DA SILVA JUNIOR</t>
  </si>
  <si>
    <t>10/01/2017</t>
  </si>
  <si>
    <t>MYCHELLE CYPRIANO LOPES</t>
  </si>
  <si>
    <t>06/02/2017</t>
  </si>
  <si>
    <t>Carlos Alberto Corrêa de Almeida Oliveira</t>
  </si>
  <si>
    <t>JUAREZ SANTOS DA SILVA</t>
  </si>
  <si>
    <t>18/09/2017</t>
  </si>
  <si>
    <t>ALCIDES ANDRADE ASSIS</t>
  </si>
  <si>
    <t>LUCAS GOMES DA SILVA</t>
  </si>
  <si>
    <t>13/06/2017</t>
  </si>
  <si>
    <t>SUELI MESSIAS DOS SANTOS</t>
  </si>
  <si>
    <t>GLÁUCIA BEATRIZ LOYOLA MOREIRA</t>
  </si>
  <si>
    <t>EMERSON DOS SANTOS BERNARDINO</t>
  </si>
  <si>
    <t>DANIEL COSTA DE ALMEIDA</t>
  </si>
  <si>
    <t xml:space="preserve">GUSTAVO ALVES </t>
  </si>
  <si>
    <t>LARISSA EVELYN PEREIA SIQUEIRA</t>
  </si>
  <si>
    <t xml:space="preserve">JEFFERSON SANTOS DA SILVA </t>
  </si>
  <si>
    <t xml:space="preserve">CECÍLIA ALENCAR MATOS </t>
  </si>
  <si>
    <t>LUCAS AGNALDO MOREIRA</t>
  </si>
  <si>
    <t>ALAN KAIC QUEIROZ BARBOSA</t>
  </si>
  <si>
    <t>Érica Aparecida Ribeiro Lopes e Navarro Rodrigues</t>
  </si>
  <si>
    <t>31/07/2017</t>
  </si>
  <si>
    <t>Fernando Cesar Carrari</t>
  </si>
  <si>
    <t>JAVAN DA SILVA DE OLIVEIRA</t>
  </si>
  <si>
    <t>28/09/2017</t>
  </si>
  <si>
    <t>FABIO VINICIUS MANTOVANI MELO</t>
  </si>
  <si>
    <t>CLAUDIO CALAZANS BARBOSA</t>
  </si>
  <si>
    <t>JOSIVAN DA SILVA FELIX NOGUEIRA</t>
  </si>
  <si>
    <t>23/06/2017</t>
  </si>
  <si>
    <t>18/01/2017</t>
  </si>
  <si>
    <t>LEONARDO MATHEUS DE CARVALHO</t>
  </si>
  <si>
    <t>MATEUS ALEXANDRE JESUS SOUZA</t>
  </si>
  <si>
    <t>14/09/2017</t>
  </si>
  <si>
    <t>Antonio de Oliveira Angrisani Filho</t>
  </si>
  <si>
    <t>CLEITON RIBEIRO DA SILVA</t>
  </si>
  <si>
    <t>THIAGO SILVA LOPES</t>
  </si>
  <si>
    <t>ERICK RODRIGO FERREIRA</t>
  </si>
  <si>
    <t>ORLANDO DO CARMO SALLES</t>
  </si>
  <si>
    <t>26/05/2017</t>
  </si>
  <si>
    <t>EMERSON  APARECIDO CIPRIANO DE BRITO</t>
  </si>
  <si>
    <t>30/05/2017</t>
  </si>
  <si>
    <t>PAULO HENRIQUE MOREIRA DOS SANTOS</t>
  </si>
  <si>
    <t>21/11/2017</t>
  </si>
  <si>
    <t>Augusto Antonini</t>
  </si>
  <si>
    <t>Fernanda Galizia Noriega</t>
  </si>
  <si>
    <t xml:space="preserve">MARCELO SILVA PORCARI </t>
  </si>
  <si>
    <t>RAFAEL RIBEIRO DE SOUZA</t>
  </si>
  <si>
    <t>GUSTAVO RODRIGUES PATRICIO</t>
  </si>
  <si>
    <t>ALEXANDRE MENDES DE PAULO</t>
  </si>
  <si>
    <t xml:space="preserve">ALAN CARLOS HENGLER DA SILVA </t>
  </si>
  <si>
    <t>TIAGO GUEBARA DA SILVA</t>
  </si>
  <si>
    <t>CLAUDINEIA ARAUJO DE CARVALHO</t>
  </si>
  <si>
    <t>Tamara Priscila Tocci</t>
  </si>
  <si>
    <t>RODOLFO FEITOSA DE PAULA</t>
  </si>
  <si>
    <t>14/12/2017</t>
  </si>
  <si>
    <t>Roseane Cristina de Aguiar Almeida</t>
  </si>
  <si>
    <t>EVERTON LUIS PEREIRA</t>
  </si>
  <si>
    <t>JHONATHAN BARBOSA DE SOUZA</t>
  </si>
  <si>
    <t>29/05/2017</t>
  </si>
  <si>
    <t xml:space="preserve">MARCOS ALMEIDA DE OLIVEIRA </t>
  </si>
  <si>
    <t>KENETY ANDERSON MARCONDES DE ALEMIDA</t>
  </si>
  <si>
    <t>VANDERSON BEZERRA DE JESUS</t>
  </si>
  <si>
    <t xml:space="preserve">EVERTON DA SILVA OLIVEIRA </t>
  </si>
  <si>
    <t>LARISSA ALVES TORRES</t>
  </si>
  <si>
    <t>MARCOS VINICIUS FARIAS DA SILVA</t>
  </si>
  <si>
    <t>VINICIUS LIMA BARBOSA</t>
  </si>
  <si>
    <t>ANDRÉ OLIVEIRA QUEIROS</t>
  </si>
  <si>
    <t>HIGO HONORATO REIS</t>
  </si>
  <si>
    <t>ADRIANO RODRIGUES DE LIMA</t>
  </si>
  <si>
    <t>CRISTIANO RODRIGUES</t>
  </si>
  <si>
    <t>Eliana Cassales Tosi</t>
  </si>
  <si>
    <t xml:space="preserve">DALILLA VILAS BOAS MOREIRA </t>
  </si>
  <si>
    <t>MICHAEL NISE DE ALMEIDA</t>
  </si>
  <si>
    <t>Isaura Cristina Barreira</t>
  </si>
  <si>
    <t>CEZAR LUIZ DE PAULA SILVA</t>
  </si>
  <si>
    <t>JOAO PEDRO CABRERA  PAVANI</t>
  </si>
  <si>
    <t>27/10/2017</t>
  </si>
  <si>
    <t>ANDERSON CRISTINO VIEIRA DOS SANTOS</t>
  </si>
  <si>
    <t>MARIO RUBENS ASSUMPCAO FILHO</t>
  </si>
  <si>
    <t>ELIOMAR SANTOS DE AQUINO JUNIOR</t>
  </si>
  <si>
    <t>JEFFERSON ANTONIO RODRIGUES DOS SANTOS</t>
  </si>
  <si>
    <t>SAMUEL ORIGUELA DE PAULA</t>
  </si>
  <si>
    <t>24/11/2017</t>
  </si>
  <si>
    <t>JOSE PERGENTINO DORNELAS LEITE JUNIOR</t>
  </si>
  <si>
    <t>07/12/2017</t>
  </si>
  <si>
    <t>DIEGO ALBINO RODRIGUES DA SILVA</t>
  </si>
  <si>
    <t>05/06/2017</t>
  </si>
  <si>
    <t>MATHEUS URIAS VIEIRA</t>
  </si>
  <si>
    <t>FILIPE CAMPOS GUIMARÃES</t>
  </si>
  <si>
    <t>VINICIO GONÇALVES DOS SANTOS</t>
  </si>
  <si>
    <t>WILLIAN HENRIQUE DIAS MOSTARDI</t>
  </si>
  <si>
    <t>Wellington Henrique Miranda Viana</t>
  </si>
  <si>
    <t>AUGUINE EMEKA OKEIFUFE</t>
  </si>
  <si>
    <t>Carlos Eduardo Oliveira de Alencar</t>
  </si>
  <si>
    <t>HUGO FABIANO AUGUSTO DE MACEDO</t>
  </si>
  <si>
    <t>Edison Tetsuzo Namba</t>
  </si>
  <si>
    <t xml:space="preserve">DANILO LIMA DA SILVA </t>
  </si>
  <si>
    <t xml:space="preserve">ANTONIO RODRIGUES </t>
  </si>
  <si>
    <t>EVANDRO OLIVEIRA SEZENANDO</t>
  </si>
  <si>
    <t>LUIZ OTAVIO RAMOS DE OLIVEIRA JUNIOR</t>
  </si>
  <si>
    <t>MARCELO SILVA SANTOS</t>
  </si>
  <si>
    <t>21/08/2017</t>
  </si>
  <si>
    <t>VICTOR FERREIRA</t>
  </si>
  <si>
    <t>IGOR OLIVEIRA DE SOUZA</t>
  </si>
  <si>
    <t>29/11/2017</t>
  </si>
  <si>
    <t>JONY LUCAS DA SILVA</t>
  </si>
  <si>
    <t>12/12/2017</t>
  </si>
  <si>
    <t>Júlio Alexandre Felix de Faria</t>
  </si>
  <si>
    <t>GABRIEL MATOS DE PAULA</t>
  </si>
  <si>
    <t>27/03/2017</t>
  </si>
  <si>
    <t>WALDINEY FARIAS DA COSTA</t>
  </si>
  <si>
    <t>10/10/2017</t>
  </si>
  <si>
    <t>JEFFERSON SILVA</t>
  </si>
  <si>
    <t>DANILO DO PRADO CAMPOS</t>
  </si>
  <si>
    <t>LUIS FERNANDO SALES SANTOS</t>
  </si>
  <si>
    <t>08/11/2017</t>
  </si>
  <si>
    <t>MARCO ANTONIO MARTIN VARGAS</t>
  </si>
  <si>
    <t>RODRIGO REGIS CORREA</t>
  </si>
  <si>
    <t>16/03/2017</t>
  </si>
  <si>
    <t>ALESSANDRA TEIXEIRA MIGUEL</t>
  </si>
  <si>
    <t>JULIO CESAR BATISTA RODRIGUES COSTA</t>
  </si>
  <si>
    <t xml:space="preserve">ANDERSON DE SOUZA SILVA </t>
  </si>
  <si>
    <t>STIVEN MARQUES</t>
  </si>
  <si>
    <t>EMERSON SILVA SANTOS</t>
  </si>
  <si>
    <t>ROGERIO DOS REIS PALMA</t>
  </si>
  <si>
    <t>CAIQUE MATIAS DOS SANTOS</t>
  </si>
  <si>
    <t>22/08/2017</t>
  </si>
  <si>
    <t>VALTER ALVES SANTOS</t>
  </si>
  <si>
    <t>13/09/2017</t>
  </si>
  <si>
    <t>KAIQUE OLIVEIRA DOS SANTOS</t>
  </si>
  <si>
    <t>DANIEL DE CARVALHO DA SILVA</t>
  </si>
  <si>
    <t xml:space="preserve">GABRIEL BARBOSA BEZERRA </t>
  </si>
  <si>
    <t>AILA DA SILVA PENA</t>
  </si>
  <si>
    <t>ANDRE LUIZ DA SILVA DA CUNHA</t>
  </si>
  <si>
    <t>LUCAS GOMES PEREIRA</t>
  </si>
  <si>
    <t>Erasmo Samuel Tozetto</t>
  </si>
  <si>
    <t>PAULO BRUNO DANIEL</t>
  </si>
  <si>
    <t>09/02/2017</t>
  </si>
  <si>
    <t>CARLOS ALEXANDRE PEREIRA DA SILVA</t>
  </si>
  <si>
    <t>WILLEN ALVES RIBEIRO</t>
  </si>
  <si>
    <t xml:space="preserve">Caio Antonio De Oliveira </t>
  </si>
  <si>
    <t>Nelson Jose Da Silva</t>
  </si>
  <si>
    <t>RONALD CHRISTIAN MOREIRA DOS SANTOS</t>
  </si>
  <si>
    <t>JONATHAN OLIVEIRA DOS SANTOS</t>
  </si>
  <si>
    <t>VICTOR CARLOS FEITOSA</t>
  </si>
  <si>
    <t>EDIPO JORDI RODRIGUES DE AZEVEDO</t>
  </si>
  <si>
    <t>Carlos Eduardo Lora Franco</t>
  </si>
  <si>
    <t>Bruno Soares Viana</t>
  </si>
  <si>
    <t>Cecilia Pinheiro da Fonseca</t>
  </si>
  <si>
    <t>MICHEL MOTTA FELIPE</t>
  </si>
  <si>
    <t xml:space="preserve">Paulo Henrique Magalde Teixeira </t>
  </si>
  <si>
    <t>Gabriel Pereira Araújo</t>
  </si>
  <si>
    <t xml:space="preserve">Renan Cavalcante Emidio </t>
  </si>
  <si>
    <t>Rodrigo Tiago da Silva Penha</t>
  </si>
  <si>
    <t>ANTONIO RODRIGUES DE LIMA</t>
  </si>
  <si>
    <t>03/02/2017</t>
  </si>
  <si>
    <t>Marcio Prada Lins</t>
  </si>
  <si>
    <t>02/03/2017</t>
  </si>
  <si>
    <t>Emerson Mateus Borges</t>
  </si>
  <si>
    <t>08/03/2017</t>
  </si>
  <si>
    <t>JOHNNY BARBOSA DE ARAUJO</t>
  </si>
  <si>
    <t>Deivid Lima da Silva</t>
  </si>
  <si>
    <t>MATHEUS FELIPE PEREIRA GAMELEIRA</t>
  </si>
  <si>
    <t>Mariana da Silva Lima</t>
  </si>
  <si>
    <t>Milton Teixeira da Silva</t>
  </si>
  <si>
    <t>WESLEY WILLIAM DA COSTA</t>
  </si>
  <si>
    <t>Diogo dos Santos</t>
  </si>
  <si>
    <t>07/08/2017</t>
  </si>
  <si>
    <t>GILVAN SOARES</t>
  </si>
  <si>
    <t>LUZIMAR DA SILVA PEREIRA</t>
  </si>
  <si>
    <t xml:space="preserve">DANIEL PEREIRA SILVA </t>
  </si>
  <si>
    <t>LUCAS FERNANDO SALES CUSTODIO</t>
  </si>
  <si>
    <t>THIAGO CERQUEIRA SANTOS</t>
  </si>
  <si>
    <t>RENAN DA SILVA PRESENTE</t>
  </si>
  <si>
    <t>01/08/2017</t>
  </si>
  <si>
    <t>ALYSSON MARQUES DUTRA</t>
  </si>
  <si>
    <t>FILIPE LIRA DE FREITAS DA SILVA</t>
  </si>
  <si>
    <t>GILVAN LIMA LOPES</t>
  </si>
  <si>
    <t>00129026420168260635</t>
  </si>
  <si>
    <t>RONALDO APARECIDO DA SILVA BATISTA</t>
  </si>
  <si>
    <t xml:space="preserve">EMERSON DE OLIVEIRA SILVA </t>
  </si>
  <si>
    <t>Juliana Guelfi</t>
  </si>
  <si>
    <t>DOUGLAS SCHIAVONE</t>
  </si>
  <si>
    <t>EVERTON GOMES TIMOTEO</t>
  </si>
  <si>
    <t>11/04/2017</t>
  </si>
  <si>
    <t>EDER MICHEL SALVINO</t>
  </si>
  <si>
    <t xml:space="preserve">EVERTON CARLOS PIMENTEL </t>
  </si>
  <si>
    <t>DANIEL ERIC SAAVEDRA CASTILLO</t>
  </si>
  <si>
    <t>VANESSA DIAS MOREIRA NASCIMENTO</t>
  </si>
  <si>
    <t>ADRIANO PROFESSOR DOS SANTOS</t>
  </si>
  <si>
    <t>ALEXANDRE DE PAULA SILVA</t>
  </si>
  <si>
    <t>Cristina Ribeiro Leite Balbone Costa</t>
  </si>
  <si>
    <t>WESLEY BISPO DIAS</t>
  </si>
  <si>
    <t>IVAN DOS SANTOS FERMINO</t>
  </si>
  <si>
    <t>26/04/2017</t>
  </si>
  <si>
    <t>Nelson Becker</t>
  </si>
  <si>
    <t>ANDRÉ RODRIGUES SOARES SILVA</t>
  </si>
  <si>
    <t>EDSON COSTA DE FRANCA</t>
  </si>
  <si>
    <t>PAULO SÉRGIO DE JESUS OLIVEIRA</t>
  </si>
  <si>
    <t>00582683820168260050</t>
  </si>
  <si>
    <t>BRUNO MANOEL DA SILVA PEREIRA</t>
  </si>
  <si>
    <t>BEATRIZ RODRIGUES DA CONCEIÇÃO</t>
  </si>
  <si>
    <t>20/03/2017</t>
  </si>
  <si>
    <t>Paulo Eduardo Balbone Costa</t>
  </si>
  <si>
    <t xml:space="preserve">ROGÉRIO JOSÉ MACEDO </t>
  </si>
  <si>
    <t xml:space="preserve">MULLER DA SILVA BORGES  </t>
  </si>
  <si>
    <t xml:space="preserve">AMANDINE MAGALIE CORALIE DIEDRICH </t>
  </si>
  <si>
    <t>CHRIS DAVIS</t>
  </si>
  <si>
    <t>DANIEL MITA DE OLIVEIRA</t>
  </si>
  <si>
    <t>TALITA MITA DE OLIVEIRA</t>
  </si>
  <si>
    <t>VALDEMIR VIANA DOS SANTOS</t>
  </si>
  <si>
    <t>MAYCON GABRIEL ALVES DA COSTA</t>
  </si>
  <si>
    <t>JOELITON NUNES DE MORAES</t>
  </si>
  <si>
    <t>31/01/2017</t>
  </si>
  <si>
    <t>VITOR HENRIQUE EVARISTO DE MELO</t>
  </si>
  <si>
    <t>José Fernandes Freitas Neto</t>
  </si>
  <si>
    <t>WESLEY DA SILVA COELHO</t>
  </si>
  <si>
    <t>Erika Soares de Azevedo Mascarenhas</t>
  </si>
  <si>
    <t>JEFFERSON DE OLIVEIRA NOLASCO DA SILVA</t>
  </si>
  <si>
    <t>TYAGO ROCHA PIRES</t>
  </si>
  <si>
    <t>JAILTON SOUZA SANTOS</t>
  </si>
  <si>
    <t>29/03/2017</t>
  </si>
  <si>
    <t>LUIZ HENRIQUE DE OLIVEIRA ALMEIDA</t>
  </si>
  <si>
    <t>MELISSA FERNANDES OLIVEIRA PEREIRA</t>
  </si>
  <si>
    <t>MARIA ROZA DA SILVA SANTOS</t>
  </si>
  <si>
    <t>05/05/2017</t>
  </si>
  <si>
    <t>FRANCISCO FERREIRA DE SOUZA</t>
  </si>
  <si>
    <t>20/06/2017</t>
  </si>
  <si>
    <t>WELLINGTON CAVALCANTI DOS SANTOS</t>
  </si>
  <si>
    <t>DAVID RIBEIRO</t>
  </si>
  <si>
    <t>18/12/2017</t>
  </si>
  <si>
    <t>Cynthia Maria Sabino Bezerra Camurri</t>
  </si>
  <si>
    <t>DAX PEREIRA DE OLIVEIRA</t>
  </si>
  <si>
    <t>Helio Narvaez</t>
  </si>
  <si>
    <t>RAIMUNDO DE JESUS MARTINS MAIA</t>
  </si>
  <si>
    <t>MICHAEL JACKSON SOUZA</t>
  </si>
  <si>
    <t>31/05/2017</t>
  </si>
  <si>
    <t>KHADIJA KARBOUN</t>
  </si>
  <si>
    <t>CRISTIANO EDUARDO PINTO VIEIRA</t>
  </si>
  <si>
    <t>29/09/2017</t>
  </si>
  <si>
    <t>LEANDRO OLIVEIRA DO NASCIMENTO</t>
  </si>
  <si>
    <t>JEFFERSON DOUGLAS FLORIANO</t>
  </si>
  <si>
    <t>WILLIAM DOS REIS DANTAS</t>
  </si>
  <si>
    <t>DOUGLAS DANTAS DE OLIVEIRA</t>
  </si>
  <si>
    <t>Patrícia Álvares Cruz</t>
  </si>
  <si>
    <t>CARLOS HENRIQUE GOMES</t>
  </si>
  <si>
    <t>09/01/2017</t>
  </si>
  <si>
    <t>Maria Paula Cassone Rossi</t>
  </si>
  <si>
    <t>PEDRO RICARDO MOURA BAUER</t>
  </si>
  <si>
    <t>23/02/2017</t>
  </si>
  <si>
    <t>RICHARD SOARES VILLELA</t>
  </si>
  <si>
    <t>04/08/2017</t>
  </si>
  <si>
    <t>FLÁVIO COUTINHO GOMES</t>
  </si>
  <si>
    <t>ELIAS AUGUSTO SEVERIANO DA CONCEIÇAO</t>
  </si>
  <si>
    <t>05/12/2017</t>
  </si>
  <si>
    <t>ANANIAS GUEDES CANDIDO</t>
  </si>
  <si>
    <t>JONATHAN HENRIQUE DO NASCIMENTO</t>
  </si>
  <si>
    <t>MARCOS PEREIRA VIEIRA</t>
  </si>
  <si>
    <t>DOUGLAS SANTOS DE CAMARGO</t>
  </si>
  <si>
    <t>DIEGO MARCELINO DOS SANTOS</t>
  </si>
  <si>
    <t>RONALDO JANUÁRIO DO NASCIMENTO</t>
  </si>
  <si>
    <t>Dinheiro R$ 370,00</t>
  </si>
  <si>
    <t>DenDrog</t>
  </si>
  <si>
    <t>DenOutros</t>
  </si>
  <si>
    <t>ResDrogas</t>
  </si>
  <si>
    <t>ResOutros</t>
  </si>
  <si>
    <t>Não expresso</t>
  </si>
  <si>
    <t>Pochete</t>
  </si>
  <si>
    <t>Veículo</t>
  </si>
  <si>
    <t>Dinheiro R$ 24,00</t>
  </si>
  <si>
    <t>8 porções. 12,4 g</t>
  </si>
  <si>
    <t>Encaracolado</t>
  </si>
  <si>
    <t>20 tijolos. 21500 g</t>
  </si>
  <si>
    <t>Veículo. Caixas de sabão em pó. Celular</t>
  </si>
  <si>
    <t>8a 6m</t>
  </si>
  <si>
    <t>Estojo. Dinheiro R$ 17,00</t>
  </si>
  <si>
    <t>Sim. Natureza. Quantidade</t>
  </si>
  <si>
    <t>6a</t>
  </si>
  <si>
    <t>8a 2m</t>
  </si>
  <si>
    <t>Preso no momento da sentença. Local de tráfico</t>
  </si>
  <si>
    <t>11 porções. 26,5 g</t>
  </si>
  <si>
    <t>Celular. Dinheiro R$ 90,00</t>
  </si>
  <si>
    <t>Restaurante e afins</t>
  </si>
  <si>
    <t>Celular. Dinheiro R$ 20,00</t>
  </si>
  <si>
    <t>8 porções. 5,4 g</t>
  </si>
  <si>
    <t>Art. 307 CP</t>
  </si>
  <si>
    <t>Art. 308 CP</t>
  </si>
  <si>
    <t>01090268920148260050</t>
  </si>
  <si>
    <t>00634950920168260050</t>
  </si>
  <si>
    <t>HARRISON DIEGO DOS SANTOS</t>
  </si>
  <si>
    <t>Preta</t>
  </si>
  <si>
    <t>Dinheiro R$ 5,00</t>
  </si>
  <si>
    <t>296 porções. 61,7 g</t>
  </si>
  <si>
    <t>10 porções. 0,9 g</t>
  </si>
  <si>
    <t>Reincidência</t>
  </si>
  <si>
    <t>Local de tráfico</t>
  </si>
  <si>
    <t>6a 9m 20d</t>
  </si>
  <si>
    <t>5a 10m</t>
  </si>
  <si>
    <t>Carapinha</t>
  </si>
  <si>
    <t>2 tijolos. 864,3 g</t>
  </si>
  <si>
    <t>Veículo. Celular. Dinheiro R$ 1571,80</t>
  </si>
  <si>
    <t>Sim. Quantidade</t>
  </si>
  <si>
    <t>8a 4m</t>
  </si>
  <si>
    <t>Confissão informal</t>
  </si>
  <si>
    <t>Mochila. Dinheiro R$ 17369,00</t>
  </si>
  <si>
    <t>Celular. Dinheiro R$ 172,00</t>
  </si>
  <si>
    <t>29 porções. 51,4 g</t>
  </si>
  <si>
    <t>28 porções. 22 g</t>
  </si>
  <si>
    <t>Confissão</t>
  </si>
  <si>
    <t>Prato. Colher. Balança. Celular. Dinheiro R$ 1.276,00</t>
  </si>
  <si>
    <t>51 porções. 261,5 g</t>
  </si>
  <si>
    <t>Semiaberto</t>
  </si>
  <si>
    <t>Comércio e serviços</t>
  </si>
  <si>
    <t>Celular. Dinheiro R$ 70,00</t>
  </si>
  <si>
    <t>36 porções. 4 g</t>
  </si>
  <si>
    <t>11 porções. 10 g</t>
  </si>
  <si>
    <t>2 porções. 1,8 g</t>
  </si>
  <si>
    <t>Dinheiro R$ 20,00</t>
  </si>
  <si>
    <t>19 porções. 8,6 g</t>
  </si>
  <si>
    <t>Não há</t>
  </si>
  <si>
    <t>Veículo. Celular. Dinheiro R$ 760,00</t>
  </si>
  <si>
    <t>854 porções. 256,1 g</t>
  </si>
  <si>
    <t>600 porções. 334,4 g</t>
  </si>
  <si>
    <t>89 porções. 150,1 g</t>
  </si>
  <si>
    <t>Dinheiro R$ 10,00</t>
  </si>
  <si>
    <t>Dinheiro R$ 324,60</t>
  </si>
  <si>
    <t>216 g</t>
  </si>
  <si>
    <t>Dinheiro R$ 125,25</t>
  </si>
  <si>
    <t>86 porções. 60,4 g</t>
  </si>
  <si>
    <t>Confissão informal. Preso no momento da sentença</t>
  </si>
  <si>
    <t>Celular. Dinheiro R$ 250, 00</t>
  </si>
  <si>
    <t>35 porções. 57,1 g</t>
  </si>
  <si>
    <t>Veículo. Celular. Dinheiro R$ 115,00</t>
  </si>
  <si>
    <t>Art. 180 CP</t>
  </si>
  <si>
    <t>Local de tráfico. Confissão informal. Preso no momento da sentença</t>
  </si>
  <si>
    <t>3 porções. 0,6 g</t>
  </si>
  <si>
    <t>12 porções. 5,1 g</t>
  </si>
  <si>
    <t>14 porções. 40,3 g</t>
  </si>
  <si>
    <t>Confissão informal. Local de tráfico. Preso no momento da sentença</t>
  </si>
  <si>
    <t>Dinheiro R$ 75,00</t>
  </si>
  <si>
    <t>Dinheiro R$ 30,00</t>
  </si>
  <si>
    <t>25 porções. 17,8 g</t>
  </si>
  <si>
    <t>23 porções. 7 g</t>
  </si>
  <si>
    <t>10 porções. 23,5 g</t>
  </si>
  <si>
    <t>10 porções. 7,3 g</t>
  </si>
  <si>
    <t>Dinheiro R$ 15,00</t>
  </si>
  <si>
    <t>26 porções. 56,1 g</t>
  </si>
  <si>
    <t>Local de tráfico. Confissão informal</t>
  </si>
  <si>
    <t>15 porções. 2,5 g</t>
  </si>
  <si>
    <t>116 porções. 67,8 g</t>
  </si>
  <si>
    <t>Caderno. Dinheiro R$ 212,00</t>
  </si>
  <si>
    <t>235 porções. 45,4 g</t>
  </si>
  <si>
    <t>10 porções. 19,3 g</t>
  </si>
  <si>
    <t>7a 6m</t>
  </si>
  <si>
    <t>31a</t>
  </si>
  <si>
    <t>00067969520168260050</t>
  </si>
  <si>
    <t>Dinheiro R$ 100,00</t>
  </si>
  <si>
    <t>21 porções. 5,8 g</t>
  </si>
  <si>
    <t>Veículo. Mala. Celular. Dinheiro R$ 2404,00</t>
  </si>
  <si>
    <t>3a</t>
  </si>
  <si>
    <t>7a</t>
  </si>
  <si>
    <t>6a 8m</t>
  </si>
  <si>
    <t>10a 8m</t>
  </si>
  <si>
    <t>8a</t>
  </si>
  <si>
    <t>357 porções. 211,5 g</t>
  </si>
  <si>
    <t>Veículo. Balança. Celular. Dinheiro R$ 212,00</t>
  </si>
  <si>
    <t>Dinheiro R$ 60,00</t>
  </si>
  <si>
    <t>Cachimbo. R$ 10,00</t>
  </si>
  <si>
    <t>1 porção. 0,2 g</t>
  </si>
  <si>
    <t>81 porções. 17 g</t>
  </si>
  <si>
    <t>Local de tráfico. Preso no momento da sentença</t>
  </si>
  <si>
    <t>2072,3 g</t>
  </si>
  <si>
    <t>59,8 g</t>
  </si>
  <si>
    <t>Veículo. Celular</t>
  </si>
  <si>
    <t>1 tijolo. 931,2 g</t>
  </si>
  <si>
    <t>Veículo. Sacola. Balança. Cigarro. Celular</t>
  </si>
  <si>
    <t>4a 2m</t>
  </si>
  <si>
    <t>27 porções. 37,5 g</t>
  </si>
  <si>
    <t>20 porções. 20,5 g</t>
  </si>
  <si>
    <t>1a 11m 10d</t>
  </si>
  <si>
    <t>118 porções. 82,6 g</t>
  </si>
  <si>
    <t>103 porções. 19,5g</t>
  </si>
  <si>
    <t>2a 6m</t>
  </si>
  <si>
    <t>Nada</t>
  </si>
  <si>
    <t>23 tijolos. 31331 g</t>
  </si>
  <si>
    <t>41 porções. 30,3 g</t>
  </si>
  <si>
    <t>17 porções. 3,7 g</t>
  </si>
  <si>
    <t>14 porções. 32 g</t>
  </si>
  <si>
    <t>Dinheiro R$ 34,00</t>
  </si>
  <si>
    <t>24 porções. 19,6 g</t>
  </si>
  <si>
    <t>Mochila. Caderno. Celular. Dinheiro R$ 210,00</t>
  </si>
  <si>
    <t>101 porções. 190 g</t>
  </si>
  <si>
    <t>1200 porções. 232,7 g</t>
  </si>
  <si>
    <t>500 porções. 312,6 g</t>
  </si>
  <si>
    <t>2a 11m</t>
  </si>
  <si>
    <t>Celular. Dinheiro R$ 40,00</t>
  </si>
  <si>
    <t>Sim. Antecedentes</t>
  </si>
  <si>
    <t>10a 2m 15d</t>
  </si>
  <si>
    <t>7a 3m 15d</t>
  </si>
  <si>
    <t>12a</t>
  </si>
  <si>
    <t>13a 8m</t>
  </si>
  <si>
    <t>Sacos</t>
  </si>
  <si>
    <t>241 porções. 72,3 g</t>
  </si>
  <si>
    <t>9a 2m 25d</t>
  </si>
  <si>
    <t>Bijuterias</t>
  </si>
  <si>
    <t>2 tijolos. 800,5 g</t>
  </si>
  <si>
    <t>1 porção. 13,3 g</t>
  </si>
  <si>
    <t>Celular</t>
  </si>
  <si>
    <t>146,1 g</t>
  </si>
  <si>
    <t>Local de tráfico. Preso no momento da sentença. Confissão informal</t>
  </si>
  <si>
    <t>Dinheiro R$ 16,00</t>
  </si>
  <si>
    <t>Sim. Natureza</t>
  </si>
  <si>
    <t>5a 6m</t>
  </si>
  <si>
    <t>2a 9m</t>
  </si>
  <si>
    <t>202 porções. 75,1 g</t>
  </si>
  <si>
    <t>Local de tráfico. Confissão</t>
  </si>
  <si>
    <t>62 tijolos. 80000 g</t>
  </si>
  <si>
    <t>Bolsa</t>
  </si>
  <si>
    <t>3 pacotes. 1971,3 g</t>
  </si>
  <si>
    <t>10a</t>
  </si>
  <si>
    <t>Dinheiro R$ 32,00</t>
  </si>
  <si>
    <t>34 porções. 19,4 g</t>
  </si>
  <si>
    <t>Celular. Dinheiro R$ 547,50</t>
  </si>
  <si>
    <t>Celular. Dinheiro R$ 42,00</t>
  </si>
  <si>
    <t>6a 9m</t>
  </si>
  <si>
    <t>357 tijolos. 209300 g</t>
  </si>
  <si>
    <t>Preso no momento da sentença. Confissão informal</t>
  </si>
  <si>
    <t>VINICIUS FABIANO GARCIA</t>
  </si>
  <si>
    <t>Dinheiro R$ 40,00</t>
  </si>
  <si>
    <t>24 porções. 23,2 g</t>
  </si>
  <si>
    <t>Local de tráfico. Confissão. Preso no momento da sentença</t>
  </si>
  <si>
    <t>5 porções. 76,1 g</t>
  </si>
  <si>
    <t>120 porções. 25,3 g</t>
  </si>
  <si>
    <t>41 porções. 8,8 g</t>
  </si>
  <si>
    <t>26 porções. 24,2 g</t>
  </si>
  <si>
    <t>40 comprimidos. 12,2 g</t>
  </si>
  <si>
    <t>Pochete. Isqueiro. Celular. Dinheiro R$ 36,00</t>
  </si>
  <si>
    <t>Sacola</t>
  </si>
  <si>
    <t>22 porções. 67,5 g</t>
  </si>
  <si>
    <t>33 porções. 18,3 g</t>
  </si>
  <si>
    <t>17 porções. 2,4 g</t>
  </si>
  <si>
    <t>Menoridade</t>
  </si>
  <si>
    <t>Pochete. Dinheiro R$ 35,00</t>
  </si>
  <si>
    <t>16 porções. 3,0 g</t>
  </si>
  <si>
    <t>25 porções. 27,6 g</t>
  </si>
  <si>
    <t>20 porções. 23,3 g</t>
  </si>
  <si>
    <t>Veículo. Pochete. Celular. Dinheiro R$ 2000,00</t>
  </si>
  <si>
    <t>204 porções. 165 g</t>
  </si>
  <si>
    <t>3a 8m</t>
  </si>
  <si>
    <t>Lucas Bueno da Silva</t>
  </si>
  <si>
    <t>26 porções. 4,8 g</t>
  </si>
  <si>
    <t>Porta-moeda. Dinheiro R$ 10,00</t>
  </si>
  <si>
    <t>Bolsa. Celular. Dinheiro R$ 20,00</t>
  </si>
  <si>
    <t>Dinheiro R$ 159,75</t>
  </si>
  <si>
    <t>00607358720168260050</t>
  </si>
  <si>
    <t>FERNANDO MARTINS QUEIROZ</t>
  </si>
  <si>
    <t>LEONARDO APARECIDO DE MORAIS</t>
  </si>
  <si>
    <t>LOURIVAL APARECIDO DA SILVA JUNIOR</t>
  </si>
  <si>
    <t>LAIRTON MARTINS QUEIROZ JUNIOR</t>
  </si>
  <si>
    <t>Peneira. Colher. Caixa térmica. Balança. Caderno. Celular. Faca. Bacia</t>
  </si>
  <si>
    <t>Veículo. Dinheiro R$ 641,80</t>
  </si>
  <si>
    <t>Pochete. Dinheiro R$ 20,00</t>
  </si>
  <si>
    <t>Dinheiro R$ 39,00</t>
  </si>
  <si>
    <t>Estojo. Dinheiro R$ 315,00</t>
  </si>
  <si>
    <t>Pochete. Dinheiro R$ 30,00</t>
  </si>
  <si>
    <t>16 tijolos. 7816 g</t>
  </si>
  <si>
    <t>61 porções. 67 g</t>
  </si>
  <si>
    <t>19 porções. 24,3 g</t>
  </si>
  <si>
    <t>Art. 244-B ECA</t>
  </si>
  <si>
    <t>Art. 329 CP</t>
  </si>
  <si>
    <t>Art. 333 CP</t>
  </si>
  <si>
    <t>Divergências nos relatos dos policiais</t>
  </si>
  <si>
    <t>Nacionalidade</t>
  </si>
  <si>
    <t>Preso no momento da sentença. Confissão informal. Confissão</t>
  </si>
  <si>
    <t>Confissão informal. Local de tráfico</t>
  </si>
  <si>
    <t>Sim. Consequências. Natureza. Quantidade</t>
  </si>
  <si>
    <t>1a</t>
  </si>
  <si>
    <t>Sim. Conduta. Quantidade</t>
  </si>
  <si>
    <t>Confissão. Local de tráfico. Preso no momento da sentença</t>
  </si>
  <si>
    <t>Celular. Dinheiro R$ 64,00</t>
  </si>
  <si>
    <t>13 porções. 18 g</t>
  </si>
  <si>
    <t>16 porções. 1,1 g</t>
  </si>
  <si>
    <t>Colher. Peneira. Tubo. Invólucro. Papel filme</t>
  </si>
  <si>
    <t>53 porções. 18,6 g</t>
  </si>
  <si>
    <t>7 porções. 16,8 g</t>
  </si>
  <si>
    <t>10 tijolos. 9903 g</t>
  </si>
  <si>
    <t>Bolsa. Chave. Papel filme. Papel alumínio. Dinheiro R$ 102,00</t>
  </si>
  <si>
    <t>Pochete. Dinheiro R$ 45,00</t>
  </si>
  <si>
    <t>41 porções. 66,3 g</t>
  </si>
  <si>
    <t>54 porções. 11,7 g</t>
  </si>
  <si>
    <t>18 porções. 17,8 g</t>
  </si>
  <si>
    <t>Celular. Dinheiro R$ 92,00</t>
  </si>
  <si>
    <t>14 porções. 7 g</t>
  </si>
  <si>
    <t>44 porções. 15,8 g</t>
  </si>
  <si>
    <t>Mochila. Celular</t>
  </si>
  <si>
    <t>190 porções. 1832,5 g</t>
  </si>
  <si>
    <t>1003 porções. 187,2 g</t>
  </si>
  <si>
    <t>Bilhete único. Celular. Dinheiro R$ 62,00</t>
  </si>
  <si>
    <t>27 porções. 20,6 g</t>
  </si>
  <si>
    <t>14 porções. 20,8 g</t>
  </si>
  <si>
    <t>Local de tráfico. Presa no momento da sentença</t>
  </si>
  <si>
    <t>55 porções. 26,5 g</t>
  </si>
  <si>
    <t>Papel. Rádio transmissor. Dinheiro R$ 34,00</t>
  </si>
  <si>
    <t>Dinheiro R$ 262,00</t>
  </si>
  <si>
    <t>Pochete. Dinheiro R$ 54,00</t>
  </si>
  <si>
    <t>21 porções. 7,2 g</t>
  </si>
  <si>
    <t>100 porções. 21,1 g</t>
  </si>
  <si>
    <t>00480002220168260050</t>
  </si>
  <si>
    <t>Terminal/Estação</t>
  </si>
  <si>
    <t>JUDITE MACHIANE</t>
  </si>
  <si>
    <t>PETER LOUID OKEKE</t>
  </si>
  <si>
    <t>20 porções. 3609,2 g</t>
  </si>
  <si>
    <t>Documentos. Ferramentas. Notebook. Estile. Necessaire. Itens de papelaria. Bicarbonato de sódio. Celular. Tecido. Chaves. Dinheiro R$443,00. Dinheiro U$ 200,00</t>
  </si>
  <si>
    <t>6a 5m 23d</t>
  </si>
  <si>
    <t>Nacionalidade. Preso no momento da sentença</t>
  </si>
  <si>
    <t>7a 9m 10d</t>
  </si>
  <si>
    <t>00871284920168260050</t>
  </si>
  <si>
    <t>DANIELE DE OLIVEIRA LEITE</t>
  </si>
  <si>
    <t>484 porções. 1109,6 g</t>
  </si>
  <si>
    <t>311 porções. 338,8 g</t>
  </si>
  <si>
    <t>42 porções. 15,6 g</t>
  </si>
  <si>
    <t>5a 2m</t>
  </si>
  <si>
    <t>Veículo. Estojo. Dinheiro R$ 22,00</t>
  </si>
  <si>
    <t>361 porções. 72,4 g</t>
  </si>
  <si>
    <t>37 porções. 42,8 g</t>
  </si>
  <si>
    <t>Balança. Munições. Dinheiro R$ 98,00</t>
  </si>
  <si>
    <t>1450 porções. 300,5 g</t>
  </si>
  <si>
    <t>9a 4m</t>
  </si>
  <si>
    <t>2a 8m</t>
  </si>
  <si>
    <t>16a</t>
  </si>
  <si>
    <t>Local de tráfico. Confissão informal. Confissão. Preso no momento da sentença</t>
  </si>
  <si>
    <t>Bolsa. Dinheiro R$ 20,00</t>
  </si>
  <si>
    <t>53 porções. 110 g</t>
  </si>
  <si>
    <t>318 porções. 549,1 g</t>
  </si>
  <si>
    <t>7 porções. 2,6 g</t>
  </si>
  <si>
    <t>Lata. Celular. Dinheiro R$ 20,00</t>
  </si>
  <si>
    <t>40 g</t>
  </si>
  <si>
    <t>Estojo. Dinheiro R$ 20,00</t>
  </si>
  <si>
    <t>10a 6m</t>
  </si>
  <si>
    <t>Rádio transmissor</t>
  </si>
  <si>
    <t>104 porções. 275 g</t>
  </si>
  <si>
    <t>82 porções. 61,6 g</t>
  </si>
  <si>
    <t>01040446120168260050</t>
  </si>
  <si>
    <t>Bolsa. Dinheiro R$ 25,0</t>
  </si>
  <si>
    <t>135 porções. 84,4 g</t>
  </si>
  <si>
    <t>49 porções. 260,9 g</t>
  </si>
  <si>
    <t>71 porções. 25,6 g</t>
  </si>
  <si>
    <t>Sim. Natureza. Quantidade. Variedade</t>
  </si>
  <si>
    <t>Veículo. Extrato. Passaporte. Envelope. Celular. Dinheiro U$ 2270,00. Dinheiro R$ 60,00</t>
  </si>
  <si>
    <t>14 blocos. 14016,6 g</t>
  </si>
  <si>
    <t>44 porções. 150 g</t>
  </si>
  <si>
    <t xml:space="preserve">Não </t>
  </si>
  <si>
    <t>20 tijolos. 19488 g</t>
  </si>
  <si>
    <t>5a 7m 15d</t>
  </si>
  <si>
    <t>6a 6m 22d</t>
  </si>
  <si>
    <t>99 porções. 263 g</t>
  </si>
  <si>
    <t>66 porções. 64,6 g</t>
  </si>
  <si>
    <t>4750 porções. 11293 g</t>
  </si>
  <si>
    <t>2298 porções. 2051 g</t>
  </si>
  <si>
    <t>896 porções. 273,67 g</t>
  </si>
  <si>
    <t>Celular. Dinheiro R$ 10,00</t>
  </si>
  <si>
    <t>18 porções. 31,4 g</t>
  </si>
  <si>
    <t>10 porções. 2,5 g</t>
  </si>
  <si>
    <t>Sim. Personalidade</t>
  </si>
  <si>
    <t>8a  4m 24d</t>
  </si>
  <si>
    <t>26 porções. 5,6 g</t>
  </si>
  <si>
    <t>Estojo. CD player. Celular. Dinheiro R$ 1200,00</t>
  </si>
  <si>
    <t>Preso no momento da sentença. Confissão informal. Local de tráfico</t>
  </si>
  <si>
    <t xml:space="preserve">Nada </t>
  </si>
  <si>
    <t>13 porções. 71,6 g</t>
  </si>
  <si>
    <t>15 porções. 6 g</t>
  </si>
  <si>
    <t>Celular. Dinheiro R$ 46,00</t>
  </si>
  <si>
    <t>87 porções. 99,6 g</t>
  </si>
  <si>
    <t>60 porções. 41,6 g</t>
  </si>
  <si>
    <t xml:space="preserve">6a </t>
  </si>
  <si>
    <t>03458330320098260050</t>
  </si>
  <si>
    <t>00729872520168260050</t>
  </si>
  <si>
    <t>00521553420178260050</t>
  </si>
  <si>
    <t>89 porções. 27,9 g</t>
  </si>
  <si>
    <t>72 porções. 121,6 g</t>
  </si>
  <si>
    <t>Dinheiro R$ 150,00</t>
  </si>
  <si>
    <t xml:space="preserve">1a 8m </t>
  </si>
  <si>
    <t>Dinheiro R$ 14,00</t>
  </si>
  <si>
    <t>29 porções. 7,8 g</t>
  </si>
  <si>
    <t>Local de tráfico. Atitude suspeita. Confissão informal. Preso no momento da sentença</t>
  </si>
  <si>
    <t>Carteira. Dinheiro R$ 15,00</t>
  </si>
  <si>
    <t>11 porções. 27,3 g</t>
  </si>
  <si>
    <t>20 porções. 31,6 g</t>
  </si>
  <si>
    <t>21 porções. 14,2 g</t>
  </si>
  <si>
    <t>Atitude suspeita</t>
  </si>
  <si>
    <t>Dinheiro R$ 70,00</t>
  </si>
  <si>
    <t>40 porções. 63,8 g</t>
  </si>
  <si>
    <t>Nacionalidade. Local de tráfico. Preso no momento da sentença</t>
  </si>
  <si>
    <t>54 porções. 21,6 g</t>
  </si>
  <si>
    <t>Confissão. Confissão informal</t>
  </si>
  <si>
    <t>Pochete. Dinheiro R$ 47,00</t>
  </si>
  <si>
    <t>Mochila. Caderno. Celular</t>
  </si>
  <si>
    <t>33 porções. 19,1 g</t>
  </si>
  <si>
    <t>685 porções. 503,5 g</t>
  </si>
  <si>
    <t>193 porções. 95,6 g</t>
  </si>
  <si>
    <t>10 porções. 23,1g</t>
  </si>
  <si>
    <t>Preso no momento da sentença. Local de tráfico. Confissão</t>
  </si>
  <si>
    <t>Estojo. Celular. Dinheiro R$ 15,00</t>
  </si>
  <si>
    <t>15 porções. 29 g</t>
  </si>
  <si>
    <t>11  porções. 13,2 g</t>
  </si>
  <si>
    <t>Confissão informal. Confissão. Local de tráfico</t>
  </si>
  <si>
    <t>Veículo. Celular. Dinheiro R$ 300,00</t>
  </si>
  <si>
    <t>Atitude suspeita. Confissão informal. Local de tráfico. Preso no momento da sentença</t>
  </si>
  <si>
    <t>520 porções. 1635 g</t>
  </si>
  <si>
    <t>496 porções. 215,4 g</t>
  </si>
  <si>
    <t>147 porções. 94,1 g</t>
  </si>
  <si>
    <t>Preso no momento da sentença. Denúncia anônima. Confissão informal</t>
  </si>
  <si>
    <t>Pochete. Celular. Dinheiro R$ 141,75</t>
  </si>
  <si>
    <t>131 porções. 53 g</t>
  </si>
  <si>
    <t>36 porções. 26,2 g</t>
  </si>
  <si>
    <t xml:space="preserve">5a 10m </t>
  </si>
  <si>
    <t>Amarela</t>
  </si>
  <si>
    <t>Mochila</t>
  </si>
  <si>
    <t>927 porções. 756,4 g</t>
  </si>
  <si>
    <t>26 porções. 11,3 g</t>
  </si>
  <si>
    <t>Dinheiro R$ 21,00</t>
  </si>
  <si>
    <t>22 porções. 48,2 g. 2 plantas. 3,7 g</t>
  </si>
  <si>
    <t>15 porções. 7,9 g</t>
  </si>
  <si>
    <t xml:space="preserve">Local de tráfico. Atitude suspeita. Divergências nos relatos dos policiais </t>
  </si>
  <si>
    <t>109 porções. 44,3 g</t>
  </si>
  <si>
    <t>Local de tráfico. Confissão informal. Confissão</t>
  </si>
  <si>
    <t>Estojo. Dinheiro R$ 63,00</t>
  </si>
  <si>
    <t>25 porções. 38,7 g</t>
  </si>
  <si>
    <t>27 porções. 9,7 g</t>
  </si>
  <si>
    <t>Dinheiro R$ 33,00</t>
  </si>
  <si>
    <t>11 porções. 6,2 g</t>
  </si>
  <si>
    <t>18 porções. 44,6 g</t>
  </si>
  <si>
    <t>Local de tráfico. Denúncia. Confissão informal. Confissão. Preso no momento da sentença</t>
  </si>
  <si>
    <t>BRUNO OLIVEIRA SOUZA</t>
  </si>
  <si>
    <t>85 porções. 63,3 g</t>
  </si>
  <si>
    <t>6 porções. 20,2 g</t>
  </si>
  <si>
    <t>10 comprimidos. 11,9 g</t>
  </si>
  <si>
    <t>Atitude suspeita. Preso no momento da sentença</t>
  </si>
  <si>
    <t>Veículo. Embalagens. Celular. Dinheiro R$ 57,00</t>
  </si>
  <si>
    <t>52 porções. 26,1 g</t>
  </si>
  <si>
    <t>29 porções. 145,5 g</t>
  </si>
  <si>
    <t>Bolsa. Dinheiro R$ 24,00</t>
  </si>
  <si>
    <t>94 porções. 16,8 g</t>
  </si>
  <si>
    <t>Dinheiro R$ 9,00</t>
  </si>
  <si>
    <t>9 porções. 6,8 g</t>
  </si>
  <si>
    <t>9 porções. 36,1 g</t>
  </si>
  <si>
    <t>Dinheiro R$ 25,00</t>
  </si>
  <si>
    <t>26 porções. 66,1 g</t>
  </si>
  <si>
    <t>Dinheiro R$ 55,00</t>
  </si>
  <si>
    <t>40 porções. 215,2 g</t>
  </si>
  <si>
    <t>161 porções. 88 g</t>
  </si>
  <si>
    <t>60 porções. 23,3 g</t>
  </si>
  <si>
    <t>Sim. Variedade</t>
  </si>
  <si>
    <t>Caderno. Estojo. Dinheiro R$ 62,00</t>
  </si>
  <si>
    <t>Dinheiro R$ 22,00</t>
  </si>
  <si>
    <t>19 porções. 32 g</t>
  </si>
  <si>
    <t>33 porções. 11,5 g</t>
  </si>
  <si>
    <t>Denúncia anônima</t>
  </si>
  <si>
    <t>3 tabletes. 575,5 g. 4 tijolos. 717,3 g</t>
  </si>
  <si>
    <t>3 porções. 938,1 g</t>
  </si>
  <si>
    <t>Veículo. Celular. Dinheiro R$ 82,00</t>
  </si>
  <si>
    <t>3 tijolos. 1654,6 g</t>
  </si>
  <si>
    <t>3 porções. 5,8 g</t>
  </si>
  <si>
    <t>14 porções. 17,9 g</t>
  </si>
  <si>
    <t>CLÁUDIO AUGUSTO DE CARVALHO JUNIOR</t>
  </si>
  <si>
    <t>MARINETE FIGUEIREDO DA SILVA</t>
  </si>
  <si>
    <t>19 tijolos. 17349,6 g</t>
  </si>
  <si>
    <t>Sim. Antecedentes. Personalidade. Quantidade</t>
  </si>
  <si>
    <t>Pochete. Dinheiro R$ 1204,50</t>
  </si>
  <si>
    <t>50 porções. 50 g</t>
  </si>
  <si>
    <t>25 porções. 13,8 g</t>
  </si>
  <si>
    <t>86 porções. 59,5 g</t>
  </si>
  <si>
    <t>Denúncia anônima. Local de tráfico</t>
  </si>
  <si>
    <t>5a 3m</t>
  </si>
  <si>
    <t>46 porções. 11,5 g</t>
  </si>
  <si>
    <t>42 porções. 27,5 g</t>
  </si>
  <si>
    <t>31 porções. 132 g</t>
  </si>
  <si>
    <t>Denúncia anônima. Preso no momento da sentença</t>
  </si>
  <si>
    <t>Mala. Celular. Dinheiro R$ 100,00</t>
  </si>
  <si>
    <t>1 porção. 1489,9 g</t>
  </si>
  <si>
    <t>31 porções. 42 g</t>
  </si>
  <si>
    <t>27 porções. 22 g</t>
  </si>
  <si>
    <t>Atitude suspeita.Confissão informal</t>
  </si>
  <si>
    <t>Lança-perfume. 3 frascos. 18 ml</t>
  </si>
  <si>
    <t>Dinheiro R$ 92,00</t>
  </si>
  <si>
    <t>53 porções. 66,7 g</t>
  </si>
  <si>
    <t>6 porções. 5,5 g</t>
  </si>
  <si>
    <t>40 porções. 12,4 g</t>
  </si>
  <si>
    <t>80 porções. 42,4 g</t>
  </si>
  <si>
    <t>69 porções. 123,3 g</t>
  </si>
  <si>
    <t>25 porções. 23,5 g</t>
  </si>
  <si>
    <t>Confissão. Local de tráfico. Atitude suspeita. Confissão informal. Preso no momento da sentença</t>
  </si>
  <si>
    <t>93 porções. 22,5 g</t>
  </si>
  <si>
    <t>4 cigarros. 2 g</t>
  </si>
  <si>
    <t>Confissão informal. Denúncia anônima. Preso no momento da sentença</t>
  </si>
  <si>
    <t>7 tijolos. 1938,7 g</t>
  </si>
  <si>
    <t>42 porções. 13,5 g</t>
  </si>
  <si>
    <t>Balança. Celular</t>
  </si>
  <si>
    <t>1 planta. 26,1 g</t>
  </si>
  <si>
    <t>Mandado</t>
  </si>
  <si>
    <t>Dinheiro R$ 190,00</t>
  </si>
  <si>
    <t>38 porções. 9,7 g</t>
  </si>
  <si>
    <t>6 porções. 1,6 g</t>
  </si>
  <si>
    <t>7 porções. 14,5 g</t>
  </si>
  <si>
    <t>Dinheiro R$ 78,00</t>
  </si>
  <si>
    <t>29 porções. 22,2 g</t>
  </si>
  <si>
    <t>32 porções. 52 g</t>
  </si>
  <si>
    <t>24 porções. 10 g</t>
  </si>
  <si>
    <t>Haxixe. 4 porções. 2 g</t>
  </si>
  <si>
    <t>Bolsa. Sacola. Celular. Dinheiro R$ 260,00</t>
  </si>
  <si>
    <t>39 porções. 11,5 g</t>
  </si>
  <si>
    <t>25 porções. 37 g</t>
  </si>
  <si>
    <t>100 porções. 54 g</t>
  </si>
  <si>
    <t>50 porções. 23,9 g</t>
  </si>
  <si>
    <t>Bolsa. Celular</t>
  </si>
  <si>
    <t>Sim. Personalidade. Quantidade</t>
  </si>
  <si>
    <t>34 porções. 29,5 g</t>
  </si>
  <si>
    <t>48 porções. 11,3 g</t>
  </si>
  <si>
    <t>78 porções. 125,5 g</t>
  </si>
  <si>
    <t>Preso no momento da sentença. Confissão informal. Confissão. Atitude suspeita</t>
  </si>
  <si>
    <t>Veículo. Mala. Celular. Passagens. Roupa de cama</t>
  </si>
  <si>
    <t>14 tijolos. 10700 g</t>
  </si>
  <si>
    <t>6a 2m 20d</t>
  </si>
  <si>
    <t>Confissão. Preso no momento da sentença. Denúncia anônima</t>
  </si>
  <si>
    <t>Preso no momento da sentença. Denúncia anônima</t>
  </si>
  <si>
    <t>Plástico. Placa de veículo. Balança. Dinheiro R$ 665,00</t>
  </si>
  <si>
    <t>1 tijolo. 736,7 g</t>
  </si>
  <si>
    <t>Veículo. Dichavador. Balança. Celular. Pote. Dinheiro R$ 462,00</t>
  </si>
  <si>
    <t xml:space="preserve">221 porções. 153,4 g </t>
  </si>
  <si>
    <t>Preso no momento da sentença. Denúncia anônima. Confissão informal. Confissão</t>
  </si>
  <si>
    <t>Necessaire</t>
  </si>
  <si>
    <t>50 porções. 21,5 g</t>
  </si>
  <si>
    <t>10 porções. 15,1 g</t>
  </si>
  <si>
    <t>Celular. Dinheiro R$ 184,00</t>
  </si>
  <si>
    <t>42 porções. 19,5 g</t>
  </si>
  <si>
    <t>15 porções. 26,5 g</t>
  </si>
  <si>
    <t>18 porções. 10,8 g</t>
  </si>
  <si>
    <t>Denúncia anônima. Confissão informal</t>
  </si>
  <si>
    <t>Estojo. Dinheiro R$ 88,00</t>
  </si>
  <si>
    <t>29 porções. 21,1 g</t>
  </si>
  <si>
    <t>08/11/1195</t>
  </si>
  <si>
    <t>Caderno</t>
  </si>
  <si>
    <t>1 sacola. 842,4 g</t>
  </si>
  <si>
    <t>Preso no momento da sentença. Atitude suspeita</t>
  </si>
  <si>
    <t>Estádio</t>
  </si>
  <si>
    <t>22 porções. 6,4 g</t>
  </si>
  <si>
    <t xml:space="preserve">5a </t>
  </si>
  <si>
    <t>Invasão/Ocupação</t>
  </si>
  <si>
    <t>1 tijolo. 275,4 g. 1 porção. 2,7 g</t>
  </si>
  <si>
    <t>3 porções. 2,3 g</t>
  </si>
  <si>
    <t>6 porções. 0,8 g</t>
  </si>
  <si>
    <t>Munições. Celular. Pote. Dinheiro R$ 563,00</t>
  </si>
  <si>
    <t>Denúncia</t>
  </si>
  <si>
    <t>Denúncia anônima. Local de tráfico. Confissão informal</t>
  </si>
  <si>
    <t>5 porções. 9,5 g</t>
  </si>
  <si>
    <t>16 porções. 13,5 g</t>
  </si>
  <si>
    <t>Atitude suspeita. Confissão informal. Local de tráfico</t>
  </si>
  <si>
    <t>Veículos. Talão de cheques. Balança. Chave. Embalagens. Celular</t>
  </si>
  <si>
    <t>140 porções. 74,2 g</t>
  </si>
  <si>
    <t>Bolsa. Celular. Dinheiro R$ 26,00</t>
  </si>
  <si>
    <t>Local de tráfico. Confissão informal. Atitude suspeita. Preso no momento da sentença</t>
  </si>
  <si>
    <t>Celular. Dinheiro R$ 80,00</t>
  </si>
  <si>
    <t>60 porções. 108,2 g</t>
  </si>
  <si>
    <t>Lança-perfume. 8 frascos. 44 ml</t>
  </si>
  <si>
    <t>Veículo. Chave. Dinheiro R$ 40,00</t>
  </si>
  <si>
    <t>135 porções. 255,8 g. 1 saco. 60,2 g</t>
  </si>
  <si>
    <t xml:space="preserve">4 sacos. 463,5 g </t>
  </si>
  <si>
    <t>9a 0m 26d</t>
  </si>
  <si>
    <t>Nacionalidade. Local de tráfico. Atitude suspeita. Confissão. Preso no momento da sentença</t>
  </si>
  <si>
    <t>Local de tráfico. Atitude suspeita. Preso no momento da sentença</t>
  </si>
  <si>
    <t>Dinheiro R$ 45,00</t>
  </si>
  <si>
    <t>68 porções. 10,9 g</t>
  </si>
  <si>
    <t>47 porções. 70,9 g</t>
  </si>
  <si>
    <t>70 porções. 32,7 g</t>
  </si>
  <si>
    <t>Confissão. Denúncia anônima</t>
  </si>
  <si>
    <t>Bolsa. Cachimbo. Dinheiro R$ 59,85</t>
  </si>
  <si>
    <t>18 porções. 43,9 g</t>
  </si>
  <si>
    <t>18 porções. 2,7 g</t>
  </si>
  <si>
    <t>29 porções. 6,6 g</t>
  </si>
  <si>
    <t>2m</t>
  </si>
  <si>
    <t>00142794520178260050</t>
  </si>
  <si>
    <t>00709927420168260050</t>
  </si>
  <si>
    <t>11/05/2017</t>
  </si>
  <si>
    <t>00073810720178260635</t>
  </si>
  <si>
    <t>13/12/2017</t>
  </si>
  <si>
    <t>102 porções. 189,4 g</t>
  </si>
  <si>
    <t>244 porções. 50,6 g</t>
  </si>
  <si>
    <t>Sacola. Brinquedo. Balança. Dinheiro R$ 70,00</t>
  </si>
  <si>
    <t>Investigação. Local de tráfico</t>
  </si>
  <si>
    <t>Pochete. Dinheiro R$ 15,00</t>
  </si>
  <si>
    <t>Porta-moeda</t>
  </si>
  <si>
    <t>Dinheiro R$ 200,00</t>
  </si>
  <si>
    <t>Bolsa. Celular. Dinheiro R$ 46,00</t>
  </si>
  <si>
    <t>Necessaire. Dinheiro R$ 95,00</t>
  </si>
  <si>
    <t>Confissão. Confissão informal. Local de tráfico. Atitude suspeita. Preso no momento da sentença</t>
  </si>
  <si>
    <t>Área não ocupada</t>
  </si>
  <si>
    <t>Local de tráfico. Atitude suspeita. Confissão informal</t>
  </si>
  <si>
    <t>37 porções. 23,1 g</t>
  </si>
  <si>
    <t>4 porções. 6,7 g</t>
  </si>
  <si>
    <t>Bolsa. Balança. Caderno</t>
  </si>
  <si>
    <t>Caderno. Estojo. Dinheiro R$ 240,00</t>
  </si>
  <si>
    <t>Sacola. Caderno</t>
  </si>
  <si>
    <t>9a 8m 20d</t>
  </si>
  <si>
    <t>10a 9m 19d</t>
  </si>
  <si>
    <t>3700 porções. 858 g</t>
  </si>
  <si>
    <t>1639 porções. 2530 g</t>
  </si>
  <si>
    <t>1816 porções. 1980 g</t>
  </si>
  <si>
    <t>Estojo. Dinheiro R$ 90,00</t>
  </si>
  <si>
    <t>11 porções. 64,7 g</t>
  </si>
  <si>
    <t>49 porções. 15,3 g</t>
  </si>
  <si>
    <t>66 porções. 10,6 g</t>
  </si>
  <si>
    <t>Confissão informal. Preso no momento da sentença. Investigação</t>
  </si>
  <si>
    <t>Dinheiro R$ 28,00</t>
  </si>
  <si>
    <t>28 porções. 99,7 g</t>
  </si>
  <si>
    <t>24 porções. 14,6 g</t>
  </si>
  <si>
    <t>1 porção. 0,1 g</t>
  </si>
  <si>
    <t>Lança-perfume. 4 frascos. 68 ml</t>
  </si>
  <si>
    <t>Preso no momento da sentença. Confissão. Local de tráfico. Confissão informal. Atitude suspeita</t>
  </si>
  <si>
    <t>Dinheiro R$ 446,00</t>
  </si>
  <si>
    <t>1509 porções. 1841,9 g</t>
  </si>
  <si>
    <t>4216 porções. 2883 g</t>
  </si>
  <si>
    <t>Caderno. Dinheiro R$ 322,00</t>
  </si>
  <si>
    <t>3 tijolos. 118,6 g</t>
  </si>
  <si>
    <t>236 porções. 82,5 g</t>
  </si>
  <si>
    <t>Preso no momento da sentença. Confissão. Confissão informal</t>
  </si>
  <si>
    <t>Celular. Dinheiro R$ 135,00</t>
  </si>
  <si>
    <t>Celular. Dinheiro R$ 45,00</t>
  </si>
  <si>
    <t>Pochete. Dinheiro R$ 128,10</t>
  </si>
  <si>
    <t>1 tijolo. 853,3 g</t>
  </si>
  <si>
    <t>30 porções. 25,1 g</t>
  </si>
  <si>
    <t>36 porções. 66,1 g</t>
  </si>
  <si>
    <t>Mochila. Dinheiro R$ 1060,00</t>
  </si>
  <si>
    <t>17 porções. 15,5 g</t>
  </si>
  <si>
    <t>Tolueno. 32 porções. 317,9 g</t>
  </si>
  <si>
    <t>Confissão. Travesti</t>
  </si>
  <si>
    <t>Preso no momento da sentença. Divergências nos relatos dos policiais</t>
  </si>
  <si>
    <t>Veículo. Caixa. Dinheiro R$ 13000,00</t>
  </si>
  <si>
    <t>11 porções. 33,2 g</t>
  </si>
  <si>
    <t>Confissão. Local de tráfico. Atitude suspeita. Confissão informal</t>
  </si>
  <si>
    <t>Bolsa. Sacola. Dinheiro R$ 259,00</t>
  </si>
  <si>
    <t>Sim. Quantidade. Variedade</t>
  </si>
  <si>
    <t>34 porções. 58,4 g</t>
  </si>
  <si>
    <t>20 porções. 11 g</t>
  </si>
  <si>
    <t>12 porções. 3 g</t>
  </si>
  <si>
    <t>Dinheiro R$ 157,00</t>
  </si>
  <si>
    <t>Local de tráfico. Preso no momento da sentença. Atitude suspeita</t>
  </si>
  <si>
    <t>1 tijolo. 515,68 g</t>
  </si>
  <si>
    <t>Investigação. Preso no momento da sentença</t>
  </si>
  <si>
    <t>Investigação. Preso no momento da sentença. Confissão informal. Local de tráfico</t>
  </si>
  <si>
    <t>Sim. Antecedentes. Natureza. Quantidade</t>
  </si>
  <si>
    <t>12a 6m</t>
  </si>
  <si>
    <t>Veículo. Celular. Dinheiro R$ 2303,00</t>
  </si>
  <si>
    <t>Embalagem de cigarro</t>
  </si>
  <si>
    <t>22 porções. 16,3 g</t>
  </si>
  <si>
    <t>25 porções. 3,9 g</t>
  </si>
  <si>
    <t>Veículos. Celulares. Papel. Kit higiene</t>
  </si>
  <si>
    <t>Denúncia anônima. Preso no momento da sentença. Confissão</t>
  </si>
  <si>
    <t>Dinheiro R$ 64,00</t>
  </si>
  <si>
    <t>1352 porções. 531,1 g</t>
  </si>
  <si>
    <t>Bolsa. Dinheiro R$ 41,30</t>
  </si>
  <si>
    <t>51 porções. 12,5 g</t>
  </si>
  <si>
    <t>11a 8m</t>
  </si>
  <si>
    <t>15a</t>
  </si>
  <si>
    <t>Preso no momento da sentença. Local de tráfico. Atitude suspeita</t>
  </si>
  <si>
    <t>Celular. Faca. Dinheiro R$ 30,00</t>
  </si>
  <si>
    <t>31 porções. 20,3 g</t>
  </si>
  <si>
    <t>19 porções. 2,2 g</t>
  </si>
  <si>
    <t>16 porções. 22,5 g</t>
  </si>
  <si>
    <t>Dinheiro R$ 90,00</t>
  </si>
  <si>
    <t>17 porções. 66,4 g</t>
  </si>
  <si>
    <t>Nacionalidade. Local de tráfico</t>
  </si>
  <si>
    <t>5 porções. 6,6 g</t>
  </si>
  <si>
    <t>119 porções. 95,1 g</t>
  </si>
  <si>
    <t>Confissão. Local de tráfico</t>
  </si>
  <si>
    <t>Confissão. Menoridade</t>
  </si>
  <si>
    <t>Celular. Dinheiro R$ 157,00</t>
  </si>
  <si>
    <t>2 porções. 2,8 g</t>
  </si>
  <si>
    <t>7 porções. 5,6 g</t>
  </si>
  <si>
    <t>Dinheiro R$ 56,00</t>
  </si>
  <si>
    <t>124 porções. 46,74 g</t>
  </si>
  <si>
    <t>71 porções. 124,8 g</t>
  </si>
  <si>
    <t>4a 4m 2d</t>
  </si>
  <si>
    <t>1m 10d</t>
  </si>
  <si>
    <t>10 porções. 15,3 g</t>
  </si>
  <si>
    <t>Dinheiro R$ 7,00</t>
  </si>
  <si>
    <t>Denúncia anônima. Local de tráfico. Atitude suspeita. Divergências nos relatos dos policiais. Preso no momento da sentença</t>
  </si>
  <si>
    <t>Pochete. Celular. Dinheiro R$ 27,00</t>
  </si>
  <si>
    <t>113 porções. 112,8 g</t>
  </si>
  <si>
    <t>46 porções. 17,5 g</t>
  </si>
  <si>
    <t>65 porções. 135,7 g</t>
  </si>
  <si>
    <t>Denúncia. Local de tráfico. Confissão informal. Preso no momento da sentença</t>
  </si>
  <si>
    <t>Necessaire. Dinheiro R$ 120,00</t>
  </si>
  <si>
    <t>Celular. Dinheiro R$ 75,00</t>
  </si>
  <si>
    <t>70 porções. 72,4 g</t>
  </si>
  <si>
    <t>75 porções. 43,3 g</t>
  </si>
  <si>
    <t>32 porções. 4,4 g</t>
  </si>
  <si>
    <t>Celular. Dinheiro R$ 160,00</t>
  </si>
  <si>
    <t>8 porções. 1,3 g</t>
  </si>
  <si>
    <t>11 porções. 24,4 g</t>
  </si>
  <si>
    <t>Preso no momento da sentença. Local de tráfico. Confissão informal</t>
  </si>
  <si>
    <t>MAYLON FERREIRA DE SOUZA</t>
  </si>
  <si>
    <t>10 porções. 12,5 g</t>
  </si>
  <si>
    <t>8 porções. 5 g</t>
  </si>
  <si>
    <t>54 porções. 45,9 g</t>
  </si>
  <si>
    <t>13 porções. 14 g</t>
  </si>
  <si>
    <t>45 porções. 14 g</t>
  </si>
  <si>
    <t>Celular. Dinheiro R$ 50,00</t>
  </si>
  <si>
    <t>260 porções. 94,5 g</t>
  </si>
  <si>
    <t>30 porções. 35,5 g</t>
  </si>
  <si>
    <t>63 porções. 44,7 g</t>
  </si>
  <si>
    <t>Veículo. Dinheiro R$ 260,00</t>
  </si>
  <si>
    <t>92 porções. 18,5 g</t>
  </si>
  <si>
    <t>147 porções. 68,3 g</t>
  </si>
  <si>
    <t>Denúncia. Confissão informal</t>
  </si>
  <si>
    <t>10 porções. 17,6 g</t>
  </si>
  <si>
    <t>Celular. Bloco de anotações. Dinheiro R$ 1000,00</t>
  </si>
  <si>
    <t>60 porções. 20,3 g</t>
  </si>
  <si>
    <t>194 porções. 34,9 g</t>
  </si>
  <si>
    <t>Papel</t>
  </si>
  <si>
    <t>Papel. Chave. Cheque. Bolsa. Celular. Dinheiro R$ 246,85</t>
  </si>
  <si>
    <t>14 porções. 3 g</t>
  </si>
  <si>
    <t>20 porções. 2,4 g</t>
  </si>
  <si>
    <t>4 porções. 16 g</t>
  </si>
  <si>
    <t>Confissão. Confissão informal. Preso no momento da sentença</t>
  </si>
  <si>
    <t>94 porções. 288,7 g</t>
  </si>
  <si>
    <t>71 porções. 46,5 g</t>
  </si>
  <si>
    <t>Dinheiro R$ 12,00</t>
  </si>
  <si>
    <t>30 porções. 56 g</t>
  </si>
  <si>
    <t>41 porções. 42,8 g</t>
  </si>
  <si>
    <t>18 porções. 6,3 g</t>
  </si>
  <si>
    <t>50 porções. 44,5 g</t>
  </si>
  <si>
    <t>Dinheiro R$ 69,00</t>
  </si>
  <si>
    <t>6 porções. 21,1 g</t>
  </si>
  <si>
    <t>64 porções. 142,4 g</t>
  </si>
  <si>
    <t>Caixa de óculos. Dinheiro R$ 20,00</t>
  </si>
  <si>
    <t>2 porções. 143,2 g</t>
  </si>
  <si>
    <t>JOÃO VICTOR DA SILVA</t>
  </si>
  <si>
    <t>Art. 12 L10826</t>
  </si>
  <si>
    <t>12 porções. 8,8 g</t>
  </si>
  <si>
    <t>2 porção. 60 g. 1 cigarro. 1,5 g</t>
  </si>
  <si>
    <t>3 porções. 13,5 g</t>
  </si>
  <si>
    <t>33 porções. 5,7 g</t>
  </si>
  <si>
    <t>Calvície parcial</t>
  </si>
  <si>
    <t>5 porções. 1,8 g. 1 saco. 1170,4 g</t>
  </si>
  <si>
    <t>Sim. Antecedentes. Quantidade</t>
  </si>
  <si>
    <t>23 porções. 21 g</t>
  </si>
  <si>
    <t>Atitude suspeita. Confissão informal</t>
  </si>
  <si>
    <t>Dinheiro R$ 425,05</t>
  </si>
  <si>
    <t>79 porções. 68,5 g</t>
  </si>
  <si>
    <t>1 porção. 0,05 g</t>
  </si>
  <si>
    <t>45 porções. 25,4 g</t>
  </si>
  <si>
    <t>50 porções. 74,9 g</t>
  </si>
  <si>
    <t>Confissão. Prisão no momento da sentença</t>
  </si>
  <si>
    <t>Celular. Dinheiro R$ 569,00</t>
  </si>
  <si>
    <t>Celular. Dinheiro R$ 257,05</t>
  </si>
  <si>
    <t>3a 10m 20d</t>
  </si>
  <si>
    <t>Preso no momento da sentença. Ponto de tráfico. Confissão informal. Confissão</t>
  </si>
  <si>
    <t>2 tijolos. 1625,9 g</t>
  </si>
  <si>
    <t>Celular. Dinheiro R$ 15000,00</t>
  </si>
  <si>
    <t>65 pacotes. 3334,6 g</t>
  </si>
  <si>
    <t>11a 2m 12d</t>
  </si>
  <si>
    <t>15 porções. 3,0 g</t>
  </si>
  <si>
    <t xml:space="preserve"> 2 tijolos. 48,5 g</t>
  </si>
  <si>
    <t>17 porções. 20,9 g</t>
  </si>
  <si>
    <t>Dinheiro R$ 17,50</t>
  </si>
  <si>
    <t>Lança-perfume. 4  frascos. 260 ml</t>
  </si>
  <si>
    <t>13 porções. 39,3 g</t>
  </si>
  <si>
    <t>42 porções. 27,4 g</t>
  </si>
  <si>
    <t>Haxixe. 2 porções. 22,1 g</t>
  </si>
  <si>
    <t>8 tijolos. 674,4 g</t>
  </si>
  <si>
    <t>Celular. Dinheiro R$ 30,00</t>
  </si>
  <si>
    <t>13 porções. 23,9 g</t>
  </si>
  <si>
    <t>LEANDRO XAVIER DA SILVA</t>
  </si>
  <si>
    <t>Maço de cigarro. Celular. Dinheiro R$ 163,00</t>
  </si>
  <si>
    <t>3 porções. 4,4 g</t>
  </si>
  <si>
    <t>4 porções. 1,5 g</t>
  </si>
  <si>
    <t>5 porções. 1,5 g</t>
  </si>
  <si>
    <t>20 porções. 5,1 g</t>
  </si>
  <si>
    <t>10 porções. 21,4 g</t>
  </si>
  <si>
    <t>3a 6m</t>
  </si>
  <si>
    <t>Local de tráfico. Atitude suspeita. Denúncia. Confissão informal</t>
  </si>
  <si>
    <t>Local de tráfico. Atitude suspeita. Denúncia. Confissão informal. Preso no momento da sentença</t>
  </si>
  <si>
    <t>Celular. Dinheiro R$ 308,00</t>
  </si>
  <si>
    <t>6 porções. 6,5 g</t>
  </si>
  <si>
    <t>Haxixe. 5 porções. 3,2 g</t>
  </si>
  <si>
    <t>Local de tráfico. Atitude suspeita. Divergências nos relatos dos policiais</t>
  </si>
  <si>
    <t>Pochete. Papel. Dinheiro R$ 26,00</t>
  </si>
  <si>
    <t>Confissão. Local de tráfico. Confissão informal</t>
  </si>
  <si>
    <t>81 porções. 138,5 g</t>
  </si>
  <si>
    <t>30 porções. 12 g</t>
  </si>
  <si>
    <t>63 porções. 7,7 g</t>
  </si>
  <si>
    <t>Lança-perfume. 93 frascos. 2790 ml</t>
  </si>
  <si>
    <t>25 porções. 41,7 g</t>
  </si>
  <si>
    <t>62 porções. 28,5 g</t>
  </si>
  <si>
    <t>12 porções. 3,1 g</t>
  </si>
  <si>
    <t>Papel. Celular. Dinheiro R$ 1424,00</t>
  </si>
  <si>
    <t>27 porções. 23 g</t>
  </si>
  <si>
    <t>Local de tráfico. Atitude suspeita. Preso no momento da sentença. Confissão informal</t>
  </si>
  <si>
    <t>Mochila. Caderno. Celular. Dinheiro R$ 75,00</t>
  </si>
  <si>
    <t>98 porções. 15,3 g</t>
  </si>
  <si>
    <t>184 porções. 569 g</t>
  </si>
  <si>
    <t>379 porções. 328,4 g</t>
  </si>
  <si>
    <t>Confissão informal. Local de tráfico. Confissão. Preso no momento da sentença</t>
  </si>
  <si>
    <t>Dinheiro R$ 252,00</t>
  </si>
  <si>
    <t>Nacionalidade. Denúncia. Atitude suspeita. Preso no momento da sentença</t>
  </si>
  <si>
    <t>Celular. Dinheiro R$ 89,00</t>
  </si>
  <si>
    <t>Atitude suspeita. Confissão informal. Preso no momento da sentença</t>
  </si>
  <si>
    <t>Dinheiro R$ 224,70</t>
  </si>
  <si>
    <t>Sacola. Caderno. Celular. Dinheiro R$ 6216,00</t>
  </si>
  <si>
    <t>266 porções. 194,6 g</t>
  </si>
  <si>
    <t>Necessaire. Celular. Dinheiro R$ 282,50</t>
  </si>
  <si>
    <t>Local de tráfico. Preso no momento da sentença. Divergências nos relatos dos policiais</t>
  </si>
  <si>
    <t>8 porções. 5,8 g</t>
  </si>
  <si>
    <t>4 porções. 12,2 g</t>
  </si>
  <si>
    <t>6 porções. 4,2 g</t>
  </si>
  <si>
    <t>66 porções. 83 g</t>
  </si>
  <si>
    <t>51 porções. 5,7 g</t>
  </si>
  <si>
    <t>Celular. Dinheiro R$ 25,00</t>
  </si>
  <si>
    <t>Atitude suspeita. Confissão. Local de tráfico. Confissão informal. Preso no momento da sentença</t>
  </si>
  <si>
    <t>Estojo. Celular</t>
  </si>
  <si>
    <t>23 porções. 22 g</t>
  </si>
  <si>
    <t>17 porções. 47 g</t>
  </si>
  <si>
    <t>Sacola. Similuco de arma de fogo. Maquina de cartão. Violão. Bateria. Estojo. Celular</t>
  </si>
  <si>
    <t>Local de tráfico. Denúncia anônima. Confissão informal</t>
  </si>
  <si>
    <t>9 porções. 1,9 g</t>
  </si>
  <si>
    <t>7 porções. 13,2 g</t>
  </si>
  <si>
    <t>Bolsa. Papel de seda. Rádio transmissor. Celular. Faca. Dinheiro R$ 175,25</t>
  </si>
  <si>
    <t>66 porções. 30,9 g</t>
  </si>
  <si>
    <t>17 porções. 41,5 g</t>
  </si>
  <si>
    <t>15a 6m 20d</t>
  </si>
  <si>
    <t>Denúncia anônima. Confissão informal. Preso no momento da sentença</t>
  </si>
  <si>
    <t>Celular. Dinheiro R$ 299,00</t>
  </si>
  <si>
    <t>353 porções. 170,9 g</t>
  </si>
  <si>
    <t>55 porções. 14,1 g</t>
  </si>
  <si>
    <t>26 porções. 82,3 g</t>
  </si>
  <si>
    <t>Bolsa. Celular. Dinheiro R$ 805,00</t>
  </si>
  <si>
    <t>44 porções. 82 g</t>
  </si>
  <si>
    <t>95 porções. 22,6 g</t>
  </si>
  <si>
    <t>Celular. Dinheiro R$ 7,00</t>
  </si>
  <si>
    <t>11 porções. 8,1 g</t>
  </si>
  <si>
    <t>9 porções. 16,7 g</t>
  </si>
  <si>
    <t>Confissão. Atitude suspeita. Confissão informal. Local de tráfico. Preso no momento da sentença</t>
  </si>
  <si>
    <t>25 porções. 5,5 g</t>
  </si>
  <si>
    <t>Local de tráfico. Confissão. Confissão informal</t>
  </si>
  <si>
    <t>3a 4m</t>
  </si>
  <si>
    <t>20 porções. 35,8 g</t>
  </si>
  <si>
    <t xml:space="preserve">Fechado </t>
  </si>
  <si>
    <t xml:space="preserve">Parda </t>
  </si>
  <si>
    <t>8 porções. 5,5 g</t>
  </si>
  <si>
    <t>Papéis. Celular. Dinheiro R$ 628,25</t>
  </si>
  <si>
    <t>51 porções. 39,6 g</t>
  </si>
  <si>
    <t xml:space="preserve">Sim. Antecedentes </t>
  </si>
  <si>
    <t>Via Pública</t>
  </si>
  <si>
    <t>Celular. Dinheiro R$ 21,00</t>
  </si>
  <si>
    <t>17 porções. 51,5 g</t>
  </si>
  <si>
    <t>156 porções. 111 g</t>
  </si>
  <si>
    <t>4a 4m</t>
  </si>
  <si>
    <t>Dinheiro R$ 280,00</t>
  </si>
  <si>
    <t>Passaporte. Embalagens de suco. Embalagem de salgadinho. Celular. Dinheiro R$12,00</t>
  </si>
  <si>
    <t>9a 8m</t>
  </si>
  <si>
    <t>Embalagem de suco. Embalagem de salgadinho. Celular. Dinheiro $20 Euros</t>
  </si>
  <si>
    <t>Favela - Viela</t>
  </si>
  <si>
    <t>23/18/1997</t>
  </si>
  <si>
    <t>Estojo. Dinheiro R$50,00</t>
  </si>
  <si>
    <t>Celular. Moto. Papéis. Dinheiro R$ 975,00</t>
  </si>
  <si>
    <t>00553361420158260050</t>
  </si>
  <si>
    <t>00021893020168260635</t>
  </si>
  <si>
    <t>00174034120148260050</t>
  </si>
  <si>
    <t>00083959420158260635</t>
  </si>
  <si>
    <t>00385098820168260050</t>
  </si>
  <si>
    <t>GUILHERME JOSÉ SALGADO DE OLIVEIRA</t>
  </si>
  <si>
    <t>Pochete. Celular</t>
  </si>
  <si>
    <t>Divergências nos relatos dos policiais. Confissão informal</t>
  </si>
  <si>
    <t>DANILO DANTAS RODRIGUES</t>
  </si>
  <si>
    <t>MARIA LUCIA GOMES TAVARES DO NASCIMENTO</t>
  </si>
  <si>
    <t>BEATRIZ KAREN DE MORAIS</t>
  </si>
  <si>
    <t>DANILO DA SILVA</t>
  </si>
  <si>
    <t>ITALO HENRIQUE MACEDO</t>
  </si>
  <si>
    <t>JOÃO VICTOR SOUZA MOREIRA</t>
  </si>
  <si>
    <t>00810028020168260050</t>
  </si>
  <si>
    <t>Moto. Dinheiro R$ 132,00</t>
  </si>
  <si>
    <t>Sacola. Celular</t>
  </si>
  <si>
    <t>Preso no momento da sentença.Confissão informal. Confissão</t>
  </si>
  <si>
    <t>Pochete. Bicicleta</t>
  </si>
  <si>
    <t xml:space="preserve">VINICIUS MOREIRA MANGIACAVALLI </t>
  </si>
  <si>
    <t xml:space="preserve">MARCONI DA SILVA </t>
  </si>
  <si>
    <t xml:space="preserve">GISLAINE APARECIDA SABOIA </t>
  </si>
  <si>
    <t xml:space="preserve">Preso no momento da sentença. Confissão </t>
  </si>
  <si>
    <t>Pochete. Dinheiro R$ 62,70</t>
  </si>
  <si>
    <t xml:space="preserve">Masculino </t>
  </si>
  <si>
    <t xml:space="preserve">Local de tráfico. Atitude suspeita. Confissão informal </t>
  </si>
  <si>
    <t>Dinheiro R$21,20</t>
  </si>
  <si>
    <t xml:space="preserve">MAYARA MARCELINO SANTA RITA </t>
  </si>
  <si>
    <t xml:space="preserve">LUCAS OLIVEIRA DOS SANTOS </t>
  </si>
  <si>
    <t xml:space="preserve">MATHEUS HENRIQUE DA SILVA </t>
  </si>
  <si>
    <t>MARCELO BARBOSA DA SILVA</t>
  </si>
  <si>
    <t>ITALO PEREIRA PINHEIRO</t>
  </si>
  <si>
    <t>MARILENE PINHEIRO DA ROCHA</t>
  </si>
  <si>
    <t>Repartição Pública</t>
  </si>
  <si>
    <t>Chinelo</t>
  </si>
  <si>
    <t>Parcialmente Procedente</t>
  </si>
  <si>
    <t>EVERALDO SOUSA FONTES</t>
  </si>
  <si>
    <t>Branco</t>
  </si>
  <si>
    <t>Mochila. Moto. Cartuchos. Papéis</t>
  </si>
  <si>
    <t>6a 6m</t>
  </si>
  <si>
    <t>10a 9m</t>
  </si>
  <si>
    <t xml:space="preserve">GUILHERME HENRIQUE TEOFILO DA SILVA </t>
  </si>
  <si>
    <t>Sacola. Dinheiro R$ 85,00</t>
  </si>
  <si>
    <t>Cigarro</t>
  </si>
  <si>
    <t>00085592520168260635</t>
  </si>
  <si>
    <t>ANDRIS ZIVERTS</t>
  </si>
  <si>
    <t>CLEMENT OSITA OKONKWO</t>
  </si>
  <si>
    <t>CHUKWUDI AFUNANYA</t>
  </si>
  <si>
    <t xml:space="preserve">VALESKA PESSOA TEIXEIRA </t>
  </si>
  <si>
    <t>Celular. Dinheiro R$ 15,00</t>
  </si>
  <si>
    <t>Simone Candida Lucas Marcondes</t>
  </si>
  <si>
    <t>Marcos Vinicius Souza Bressan</t>
  </si>
  <si>
    <t>Celular. Dinheiro R$ 12,50</t>
  </si>
  <si>
    <t xml:space="preserve">Denúncia anônima. Preso no momento da sentença. Confissão informal. Confissão </t>
  </si>
  <si>
    <t>JORDAN GIGEK DAMAS</t>
  </si>
  <si>
    <t>Local de tráfico. Atitude suspeita. Confissão informal. Confissão</t>
  </si>
  <si>
    <t xml:space="preserve">VINICIUS LIMA FERREIRA DA SILVA </t>
  </si>
  <si>
    <t>Dinheiro R$ 130,00</t>
  </si>
  <si>
    <t xml:space="preserve">MAIRA DA SILVA MUNIZ </t>
  </si>
  <si>
    <t>Dinheiro R$ 119,00</t>
  </si>
  <si>
    <t>Denúncia anônima. Local de tráfico. Confissão informal. Preso no momento da sentença</t>
  </si>
  <si>
    <t xml:space="preserve">ERLAN DOS SANTOS RIBEIRO </t>
  </si>
  <si>
    <t xml:space="preserve">FRANCISCO ANDERSON DA SILVA </t>
  </si>
  <si>
    <t>RONALDO FERNANDES SANTANA</t>
  </si>
  <si>
    <t>27 porções. 47,7 g</t>
  </si>
  <si>
    <t>Divergências nos relatos dos policiais. Atitude suspeita</t>
  </si>
  <si>
    <t>Arma de fogo. Munições. Dinheiro R$ 930,65</t>
  </si>
  <si>
    <t>Preso no momento da sentença. Confissão. Confissão Informal. Nacionalidade</t>
  </si>
  <si>
    <t>Local de tráfico. Atitude suspeita</t>
  </si>
  <si>
    <t>Adolescente</t>
  </si>
  <si>
    <t>Automóvel. Liquidificador. Televisor. Balança. Papéis. Embalagens. Celular. Cartuchos. Dinheiro R$ 589,00</t>
  </si>
  <si>
    <t>Munição. Rádio transmissor. Dinheiro R$ 30,00</t>
  </si>
  <si>
    <t>71 tijolos. 80000 g</t>
  </si>
  <si>
    <t>1171 porções. 2651,7 g</t>
  </si>
  <si>
    <t>14 porções. 14,9 g</t>
  </si>
  <si>
    <t>19 porções. 100,3 g</t>
  </si>
  <si>
    <t>118 porções. 83,1 g</t>
  </si>
  <si>
    <t>1 porção. 2500 g</t>
  </si>
  <si>
    <t>16 porções. 8 g</t>
  </si>
  <si>
    <t>8 porções. 1 g</t>
  </si>
  <si>
    <t>457 porções. 382,4 g</t>
  </si>
  <si>
    <t>602 porções. 239,4 g</t>
  </si>
  <si>
    <t>4 tijolos. 106 g</t>
  </si>
  <si>
    <t>35 porções. 68 g</t>
  </si>
  <si>
    <t>85 porções. 167 g</t>
  </si>
  <si>
    <t>29 porções. 7,1 g</t>
  </si>
  <si>
    <t>154 porções. 1802 g</t>
  </si>
  <si>
    <t>304 porções. 154 g</t>
  </si>
  <si>
    <t>Art. 14 L10826</t>
  </si>
  <si>
    <t>Arma de fogo. Cartuchos. Capacete. Celular</t>
  </si>
  <si>
    <t>Automóvel. Mochila. Sacos. Embalagens. Papéis. Dinheiro R$ 308,00</t>
  </si>
  <si>
    <t>259 porções. 158,8 g</t>
  </si>
  <si>
    <t>103 porções. 46,2 g</t>
  </si>
  <si>
    <t>15 porções. 15 g</t>
  </si>
  <si>
    <t>35 porções. 13,6 g</t>
  </si>
  <si>
    <t>4a 1m</t>
  </si>
  <si>
    <t>4 porções. 183,9 g</t>
  </si>
  <si>
    <t>58 porções. 136,5 g</t>
  </si>
  <si>
    <t>87 porções. 305,3 g</t>
  </si>
  <si>
    <t>114 porções. 195g</t>
  </si>
  <si>
    <t>29 porções. 4,7 g</t>
  </si>
  <si>
    <t>13 porções. 5,5 g</t>
  </si>
  <si>
    <t>398 porções. 109,9 g</t>
  </si>
  <si>
    <t>22 porções. 3,7 g</t>
  </si>
  <si>
    <t>2 porções. 198,9 g</t>
  </si>
  <si>
    <t>32 porções. 6,4 g</t>
  </si>
  <si>
    <t>Art. 330 CP</t>
  </si>
  <si>
    <t>Local de tráfico. Denúncia anônima</t>
  </si>
  <si>
    <t>Bolsa. Celular. Dinheiro R$ 73,00</t>
  </si>
  <si>
    <t>Veículo. Celular. Caderno. Dinheiro R$ 55000,00</t>
  </si>
  <si>
    <t>15 porções. 17,3 g</t>
  </si>
  <si>
    <t>22 porções. 2,5 g</t>
  </si>
  <si>
    <t>2 porções. 2,6 g</t>
  </si>
  <si>
    <t>24 porções. 50,4 g</t>
  </si>
  <si>
    <t>86 porções. 106,1 g</t>
  </si>
  <si>
    <t>31 porções. 54,3 g</t>
  </si>
  <si>
    <t>4 porções. 8 g</t>
  </si>
  <si>
    <t>47 porções. 24,3 g</t>
  </si>
  <si>
    <t>222 porções. 73,3 g</t>
  </si>
  <si>
    <t>43 porções. 42,4 g</t>
  </si>
  <si>
    <t>181 porções. 100,4 g</t>
  </si>
  <si>
    <t>9 porções. 8 g</t>
  </si>
  <si>
    <t>81 porções. 138 g</t>
  </si>
  <si>
    <t>23 porções. 12,2 g</t>
  </si>
  <si>
    <t>26 porções. 8,2 g</t>
  </si>
  <si>
    <t>41 porções. 6 g</t>
  </si>
  <si>
    <t>82 porções. 48 g</t>
  </si>
  <si>
    <t>Preso no momento da sentença. Confissão informal. Divergências nos relatos dos policiais</t>
  </si>
  <si>
    <t>Denúncia anônima. Confissão informal. Confissão. Preso no momento da sentença</t>
  </si>
  <si>
    <t>Local de tráfico. Preso no momento da sentença. Atitude suspeita. Confissão informal</t>
  </si>
  <si>
    <t>Papéis</t>
  </si>
  <si>
    <t>Papéis. Dinheiro R$ 44,00</t>
  </si>
  <si>
    <t>Papel. Dinheiro R$ 35,00</t>
  </si>
  <si>
    <t>Cartão bancário. Cadeado. Celular. Chaves. Dinheiro $100,00. Dinheiro R$ 50,00</t>
  </si>
  <si>
    <t>Celular. Dinheiro $ 300,00</t>
  </si>
  <si>
    <t>Contrato de locação. Passaporte. Estilete. Celular. Sacos. Dinheiro R$ 96,00</t>
  </si>
  <si>
    <t>4,5 g</t>
  </si>
  <si>
    <t>2900,5g</t>
  </si>
  <si>
    <t>102,3 g</t>
  </si>
  <si>
    <t>97,3 g</t>
  </si>
  <si>
    <t>1 porção. 25,2 g</t>
  </si>
  <si>
    <t>10 porções. 17,7 g</t>
  </si>
  <si>
    <t>25 porções. 23,50 g</t>
  </si>
  <si>
    <t>2180 porções. 1061 g</t>
  </si>
  <si>
    <t>11 porções. 10,4 g</t>
  </si>
  <si>
    <t>1150,2 g</t>
  </si>
  <si>
    <t>26,1 g</t>
  </si>
  <si>
    <t>10,1 g</t>
  </si>
  <si>
    <t>31 porções. 2464,8 g</t>
  </si>
  <si>
    <t>56 porções. 49,7 g</t>
  </si>
  <si>
    <t>170,6 g</t>
  </si>
  <si>
    <t>6,4 g</t>
  </si>
  <si>
    <t>19 potções. 3,8 g</t>
  </si>
  <si>
    <t>Denúncia anônima. Atitude suspeita. Preso no momento da sentença. Local de tráfico. Confissao informal. Confissão</t>
  </si>
  <si>
    <t>Denúncia anônima. Preso no momento da sentença. Confissao informal</t>
  </si>
  <si>
    <t>Revista Vexatória. Confissão informal</t>
  </si>
  <si>
    <t>Denúncia anônima. Local de tráfico. Preso no momento da sentença</t>
  </si>
  <si>
    <t>Local de tráfico. Denúncia anônima. Preso no momento da sentença. Confissão informal</t>
  </si>
  <si>
    <t>Denáncia anônima. Atitude suspeita. Preso no momento da sentença. Confissão informal</t>
  </si>
  <si>
    <t>Denúncia. Confissão informal. Preso no momento da sentença</t>
  </si>
  <si>
    <t>Nacionalidade. Denúncia anônima. Preso no momento da sentença</t>
  </si>
  <si>
    <t>Nacionalidade. Denúncia anônima. Preso no momento da sentença. Confissão informal</t>
  </si>
  <si>
    <t>Mochila. Balança. Saco. Fita adesiva. Caderno. Celular. Dinheiro R$ 200,00</t>
  </si>
  <si>
    <t>Bolsa. Mala. Crachá. Controle remoto. Televisor. Câmera digital. Computador. Monitor de vídeo. Kit máquina fotográfica. Celular</t>
  </si>
  <si>
    <t>Papel. Celular. Dinheiro R$ 49,00</t>
  </si>
  <si>
    <t>21 porções. 28,2 g</t>
  </si>
  <si>
    <t>16 porções. 14,7 g</t>
  </si>
  <si>
    <t>86 porções. 331,9 g</t>
  </si>
  <si>
    <t>1 tijolo. 996,7 g</t>
  </si>
  <si>
    <t>39 porções. 147,5 g</t>
  </si>
  <si>
    <t>672 porções. 2539,4 g</t>
  </si>
  <si>
    <t>2 tabletes. 96,8 g</t>
  </si>
  <si>
    <t>20 porções. 29,2 g</t>
  </si>
  <si>
    <t>13 porções. 6,2 g</t>
  </si>
  <si>
    <t>216 porções. 143,5 g</t>
  </si>
  <si>
    <t>12 porções. 9,2 g</t>
  </si>
  <si>
    <t>153 porções. 103 g</t>
  </si>
  <si>
    <t>17 porções. 4,7 g</t>
  </si>
  <si>
    <t>8 porções. 4054 g</t>
  </si>
  <si>
    <t>9 porções. 3,1 g</t>
  </si>
  <si>
    <t>23 porções. 6,2 g</t>
  </si>
  <si>
    <t>51 porções. 14,5 g</t>
  </si>
  <si>
    <t>392 porções. 56,1 g</t>
  </si>
  <si>
    <t>14 porções. 1,8 g</t>
  </si>
  <si>
    <t>Lança-perfume. 18 frascos. 90 ml</t>
  </si>
  <si>
    <t>Confissão informal. Confissão</t>
  </si>
  <si>
    <t xml:space="preserve">Denúncia. Preso no momento da sentença </t>
  </si>
  <si>
    <t xml:space="preserve">Denúncia anônima. Confissão informal. Confissão </t>
  </si>
  <si>
    <t>Sônia Nazaré Fernandes Fraga</t>
  </si>
  <si>
    <t>Estojo. Celular. Dinheiro R$ 35,00</t>
  </si>
  <si>
    <t>ÁUREA MIRIAM PEREIRA FERRAZ</t>
  </si>
  <si>
    <t>Confissão informal. Preso no momento da sentença. Confissão</t>
  </si>
  <si>
    <t>WELLINGTON ALVES DOS SANTOS</t>
  </si>
  <si>
    <t>CARLA FATIMA SANTOS LIMA</t>
  </si>
  <si>
    <t>Dinheiro R$ 26,00</t>
  </si>
  <si>
    <t>Papéis. Dinheiro R$ 651,00</t>
  </si>
  <si>
    <t>Mochila. Cupom de passagem. Celular. Dinheiro R$ 64,00</t>
  </si>
  <si>
    <t>Dinheiro R$ 47,00</t>
  </si>
  <si>
    <t xml:space="preserve"> FELIPE SOUZA LIMA</t>
  </si>
  <si>
    <t>Atitude suspeita. Local de tráfico. Confissão informal</t>
  </si>
  <si>
    <t>GIOVANA FURTADO DE OLIVEIRA</t>
  </si>
  <si>
    <t xml:space="preserve">FRANCISCO APRIGIO DA SILVA </t>
  </si>
  <si>
    <t>Celular. Dinheiro R$ 420,00</t>
  </si>
  <si>
    <t xml:space="preserve">GERSON DE JESUS SIMOES </t>
  </si>
  <si>
    <t xml:space="preserve">Confissão informal </t>
  </si>
  <si>
    <t>Dinheiro R$ 66,00</t>
  </si>
  <si>
    <t>00305108420168260050</t>
  </si>
  <si>
    <t>RAPHAEL FRANCISCO DOS SANTOS</t>
  </si>
  <si>
    <t>Dinheiro R$ 175,00</t>
  </si>
  <si>
    <t>Veículo. Dinheiro R$ 230,00</t>
  </si>
  <si>
    <t>Dinheiro R$ 91,00</t>
  </si>
  <si>
    <t>Saco</t>
  </si>
  <si>
    <t>241 porções. 264,9 g</t>
  </si>
  <si>
    <t>2 tijolos. 2700 g</t>
  </si>
  <si>
    <t>6 tijolos. 10156 g</t>
  </si>
  <si>
    <t>131 porções. 379,4 g</t>
  </si>
  <si>
    <t>4 porções. 19,6 g</t>
  </si>
  <si>
    <t>4 porções. 19,1 g</t>
  </si>
  <si>
    <t>116 porções. 44,6 g</t>
  </si>
  <si>
    <t>28 porções. 28,2 g</t>
  </si>
  <si>
    <t>44 porções. 33,2 g</t>
  </si>
  <si>
    <t>4 porções. 0,4 g</t>
  </si>
  <si>
    <t>67 porções. 14,1 g</t>
  </si>
  <si>
    <t>Atitude suspeita. Local de tráfico</t>
  </si>
  <si>
    <t>Atitude suspeita. Confissão informal. Confissão. Preso no momento da sentença</t>
  </si>
  <si>
    <t>Pochete. Papéis. Dinheiro R$ 60,00</t>
  </si>
  <si>
    <t>54 porções. 10 g</t>
  </si>
  <si>
    <t>00433959620178260050</t>
  </si>
  <si>
    <t>00333113620178260050</t>
  </si>
  <si>
    <t>00006647620178260635</t>
  </si>
  <si>
    <t>00630842920178260050</t>
  </si>
  <si>
    <t>00087027720178260635</t>
  </si>
  <si>
    <t>00399930720178260050</t>
  </si>
  <si>
    <t>00746524220178260050</t>
  </si>
  <si>
    <t>00087625020178260635</t>
  </si>
  <si>
    <t>00068172820178260635</t>
  </si>
  <si>
    <t>00076418420178260635</t>
  </si>
  <si>
    <t>00729835120178260050</t>
  </si>
  <si>
    <t>00415425220178260050</t>
  </si>
  <si>
    <t>00836170920178260050</t>
  </si>
  <si>
    <t>00718991520178260050</t>
  </si>
  <si>
    <t>00036244820168260050</t>
  </si>
  <si>
    <t>00669244720178260050</t>
  </si>
  <si>
    <t>00646224520178260050</t>
  </si>
  <si>
    <t>00853570220178260050</t>
  </si>
  <si>
    <t>00663701520178260050</t>
  </si>
  <si>
    <t>00485663420178260050</t>
  </si>
  <si>
    <t>00092751820178260635</t>
  </si>
  <si>
    <t>00669548220178260050</t>
  </si>
  <si>
    <t>00803393420168260050</t>
  </si>
  <si>
    <t>00697868820178260050</t>
  </si>
  <si>
    <t>00088188320178260635</t>
  </si>
  <si>
    <t>00685608220168260050</t>
  </si>
  <si>
    <t>00093730320178260635</t>
  </si>
  <si>
    <t>00605658120178260050</t>
  </si>
  <si>
    <t>00614249720178260050</t>
  </si>
  <si>
    <t>00314120320178260050</t>
  </si>
  <si>
    <t>00065851620178260635</t>
  </si>
  <si>
    <t>00610282320178260050</t>
  </si>
  <si>
    <t>00495813820178260050</t>
  </si>
  <si>
    <t>00641911120178260050</t>
  </si>
  <si>
    <t>00817160620178260050</t>
  </si>
  <si>
    <t>00181724420178260050</t>
  </si>
  <si>
    <t>00268508220168260050</t>
  </si>
  <si>
    <t>00086680520178260635</t>
  </si>
  <si>
    <t>00570122620178260050</t>
  </si>
  <si>
    <t>00650251420178260050</t>
  </si>
  <si>
    <t>00064700420178260050</t>
  </si>
  <si>
    <t>00671063320178260050</t>
  </si>
  <si>
    <t>00809288920178260050</t>
  </si>
  <si>
    <t>00077457620178260635</t>
  </si>
  <si>
    <t>00766131820178260050</t>
  </si>
  <si>
    <t>00835617320178260050</t>
  </si>
  <si>
    <t>00401377820178260050</t>
  </si>
  <si>
    <t>00920304520168260050</t>
  </si>
  <si>
    <t>01014220920168260050</t>
  </si>
  <si>
    <t>00073404020178260635</t>
  </si>
  <si>
    <t>00449574320178260050</t>
  </si>
  <si>
    <t>00424620220128260050</t>
  </si>
  <si>
    <t>00909865420178260050</t>
  </si>
  <si>
    <t>00534911020168260050</t>
  </si>
  <si>
    <t>00671297620178260050</t>
  </si>
  <si>
    <t>00722915220178260050</t>
  </si>
  <si>
    <t>00762234820178260050</t>
  </si>
  <si>
    <t>00566826320168260050</t>
  </si>
  <si>
    <t>00080818020178260635</t>
  </si>
  <si>
    <t>00502580520168260050</t>
  </si>
  <si>
    <t>00087859320178260635</t>
  </si>
  <si>
    <t>00914499320178260050</t>
  </si>
  <si>
    <t>00836110220178260050</t>
  </si>
  <si>
    <t>00545032520178260050</t>
  </si>
  <si>
    <t>00894328420178260050</t>
  </si>
  <si>
    <t>00920884820168260050</t>
  </si>
  <si>
    <t>00366709120178260050</t>
  </si>
  <si>
    <t>00090855520178260635</t>
  </si>
  <si>
    <t>00771891120178260050</t>
  </si>
  <si>
    <t>00209898120178260050</t>
  </si>
  <si>
    <t>00269803820178260050</t>
  </si>
  <si>
    <t>00680867720178260050</t>
  </si>
  <si>
    <t>00888005820178260050</t>
  </si>
  <si>
    <t>00778309620178260050</t>
  </si>
  <si>
    <t>00752136620178260050</t>
  </si>
  <si>
    <t>00482269020178260050</t>
  </si>
  <si>
    <t>00068208020178260635</t>
  </si>
  <si>
    <t>00894539420168260050</t>
  </si>
  <si>
    <t>00627361120178260050</t>
  </si>
  <si>
    <t>00770145120168260050</t>
  </si>
  <si>
    <t>00175105620128260050</t>
  </si>
  <si>
    <t>00662749720178260050</t>
  </si>
  <si>
    <t>00083987820178260635</t>
  </si>
  <si>
    <t>00100079620178260635</t>
  </si>
  <si>
    <t>00874798520178260050</t>
  </si>
  <si>
    <t>00904114620178260050</t>
  </si>
  <si>
    <t>00762226320178260050</t>
  </si>
  <si>
    <t>00181499820178260050</t>
  </si>
  <si>
    <t>00751001520178260050</t>
  </si>
  <si>
    <t>00523115620168260050</t>
  </si>
  <si>
    <t>00083051820178260635</t>
  </si>
  <si>
    <t>00646172320178260050</t>
  </si>
  <si>
    <t>00316132920168260050</t>
  </si>
  <si>
    <t>00572227720178260050</t>
  </si>
  <si>
    <t>00013949620178260050</t>
  </si>
  <si>
    <t>00703064820178260050</t>
  </si>
  <si>
    <t>00314025620178260050</t>
  </si>
  <si>
    <t>00971142720168260050</t>
  </si>
  <si>
    <t>00059729320178260635</t>
  </si>
  <si>
    <t>00837452920178260050</t>
  </si>
  <si>
    <t>00090101620178260635</t>
  </si>
  <si>
    <t>00751382720178260050</t>
  </si>
  <si>
    <t>00078739620178260635</t>
  </si>
  <si>
    <t>00249875720178260050</t>
  </si>
  <si>
    <t>00887494720178260050</t>
  </si>
  <si>
    <t>00078808820178260635</t>
  </si>
  <si>
    <t>00742505820178260050</t>
  </si>
  <si>
    <t>00657500320178260050</t>
  </si>
  <si>
    <t>00017030520178260540</t>
  </si>
  <si>
    <t>00080973420178260635</t>
  </si>
  <si>
    <t>00983057320178260050</t>
  </si>
  <si>
    <t>00549683420178260050</t>
  </si>
  <si>
    <t>00909934620178260050</t>
  </si>
  <si>
    <t>00529844920168260050</t>
  </si>
  <si>
    <t>00342380220178260050</t>
  </si>
  <si>
    <t>00054169120178260635</t>
  </si>
  <si>
    <t>00716774720178260050</t>
  </si>
  <si>
    <t>00872875520178260050</t>
  </si>
  <si>
    <t>00742124620178260050</t>
  </si>
  <si>
    <t>00675073220178260050</t>
  </si>
  <si>
    <t>00011039620178260050</t>
  </si>
  <si>
    <t>00747295120178260050</t>
  </si>
  <si>
    <t>00029537920178260635</t>
  </si>
  <si>
    <t>00295032320178260050</t>
  </si>
  <si>
    <t>00635251020178260050</t>
  </si>
  <si>
    <t>00443661820168260050</t>
  </si>
  <si>
    <t>00942057520178260050</t>
  </si>
  <si>
    <t>00446742020178260050</t>
  </si>
  <si>
    <t>00668944620168260050</t>
  </si>
  <si>
    <t>00837140920178260050</t>
  </si>
  <si>
    <t>00798921220178260050</t>
  </si>
  <si>
    <t>00251321620178260050</t>
  </si>
  <si>
    <t>00795950520178260050</t>
  </si>
  <si>
    <t>00088829320178260635</t>
  </si>
  <si>
    <t>00082818720178260635</t>
  </si>
  <si>
    <t>00657665420178260050</t>
  </si>
  <si>
    <t>00054012520178260635</t>
  </si>
  <si>
    <t>00193667920178260050</t>
  </si>
  <si>
    <t>00216177020178260050</t>
  </si>
  <si>
    <t>00096112220178260635</t>
  </si>
  <si>
    <t>00483402920178260050</t>
  </si>
  <si>
    <t>00140303120168260050</t>
  </si>
  <si>
    <t>00930409020178260050</t>
  </si>
  <si>
    <t>00876573420178260050</t>
  </si>
  <si>
    <t>00054948520178260635</t>
  </si>
  <si>
    <t>00554594120178260050</t>
  </si>
  <si>
    <t>00063358020178260635</t>
  </si>
  <si>
    <t>00788623920178260050</t>
  </si>
  <si>
    <t>00680989120178260050</t>
  </si>
  <si>
    <t>00093696320178260635</t>
  </si>
  <si>
    <t>00495788320178260050</t>
  </si>
  <si>
    <t>00205012920178260050</t>
  </si>
  <si>
    <t>00674761220178260050</t>
  </si>
  <si>
    <t>00208592820168260050</t>
  </si>
  <si>
    <t>00210097220178260050</t>
  </si>
  <si>
    <t>00667166320178260050</t>
  </si>
  <si>
    <t>00816598520178260050</t>
  </si>
  <si>
    <t>00073845920178260635</t>
  </si>
  <si>
    <t>00650563420178260050</t>
  </si>
  <si>
    <t>00663364020178260050</t>
  </si>
  <si>
    <t>00242237120178260050</t>
  </si>
  <si>
    <t>00667729620178260050</t>
  </si>
  <si>
    <t>00582589120168260050</t>
  </si>
  <si>
    <t>00919594320168260050</t>
  </si>
  <si>
    <t>00482208320178260050</t>
  </si>
  <si>
    <t>00689952220178260050</t>
  </si>
  <si>
    <t>00122159620168260050</t>
  </si>
  <si>
    <t>00657864520178260050</t>
  </si>
  <si>
    <t>00910298820178260050</t>
  </si>
  <si>
    <t>00118997420168260635</t>
  </si>
  <si>
    <t>00080592220178260635</t>
  </si>
  <si>
    <t>00690212020178260050</t>
  </si>
  <si>
    <t>00521752520178260050</t>
  </si>
  <si>
    <t>00482120920178260050</t>
  </si>
  <si>
    <t>00209135720178260050</t>
  </si>
  <si>
    <t>00075101220178260635</t>
  </si>
  <si>
    <t>00092033120178260635</t>
  </si>
  <si>
    <t>00810795520178260050</t>
  </si>
  <si>
    <t>00515699420178260050</t>
  </si>
  <si>
    <t>00750810920178260050</t>
  </si>
  <si>
    <t>00808725620178260050</t>
  </si>
  <si>
    <t>00831916520158260050</t>
  </si>
  <si>
    <t>00791051720168260050</t>
  </si>
  <si>
    <t>00078184820178260635</t>
  </si>
  <si>
    <t>00486019120178260050</t>
  </si>
  <si>
    <t>00592147320178260050</t>
  </si>
  <si>
    <t>00053848620178260635</t>
  </si>
  <si>
    <t>00723097320178260050</t>
  </si>
  <si>
    <t>00631094220178260050</t>
  </si>
  <si>
    <t>00073915120178260635</t>
  </si>
  <si>
    <t>00295023820178260050</t>
  </si>
  <si>
    <t>00920503620168260050</t>
  </si>
  <si>
    <t>00064622720178260050</t>
  </si>
  <si>
    <t>00872060920178260050</t>
  </si>
  <si>
    <t>00086221620178260635</t>
  </si>
  <si>
    <t>00254041020178260050</t>
  </si>
  <si>
    <t>00837349720178260050</t>
  </si>
  <si>
    <t>00064491920178260635</t>
  </si>
  <si>
    <t>00783228820178260050</t>
  </si>
  <si>
    <t>01021943520178260050</t>
  </si>
  <si>
    <t>00054422620168260635</t>
  </si>
  <si>
    <t>00095489420178260635</t>
  </si>
  <si>
    <t>00626650920178260050</t>
  </si>
  <si>
    <t>00874896620168260050</t>
  </si>
  <si>
    <t>00680417320178260050</t>
  </si>
  <si>
    <t>00534371020178260050</t>
  </si>
  <si>
    <t>00019222420178260635</t>
  </si>
  <si>
    <t>00078964220178260635</t>
  </si>
  <si>
    <t>00077968720178260635</t>
  </si>
  <si>
    <t>00872884020178260050</t>
  </si>
  <si>
    <t>00090465820178260635</t>
  </si>
  <si>
    <t>00275338520178260050</t>
  </si>
  <si>
    <t>00067783120178260635</t>
  </si>
  <si>
    <t>00718480420178260050</t>
  </si>
  <si>
    <t>00076349220178260635</t>
  </si>
  <si>
    <t>00072936620178260635</t>
  </si>
  <si>
    <t>00084004820178260635</t>
  </si>
  <si>
    <t>00382600620178260050</t>
  </si>
  <si>
    <t>00894310220178260050</t>
  </si>
  <si>
    <t>00045923520178260635</t>
  </si>
  <si>
    <t>00854185720178260050</t>
  </si>
  <si>
    <t>00838605020178260050</t>
  </si>
  <si>
    <t>00730086420178260050</t>
  </si>
  <si>
    <t>00421617920178260050</t>
  </si>
  <si>
    <t>00007358720178260050</t>
  </si>
  <si>
    <t>00680113820178260050</t>
  </si>
  <si>
    <t>00049535220178260635</t>
  </si>
  <si>
    <t>00024333120178260050</t>
  </si>
  <si>
    <t>00791112420168260050</t>
  </si>
  <si>
    <t>00072425520178260635</t>
  </si>
  <si>
    <t>00076868820178260635</t>
  </si>
  <si>
    <t>00072182720178260635</t>
  </si>
  <si>
    <t>00067619220178260635</t>
  </si>
  <si>
    <t>00018738320178260537</t>
  </si>
  <si>
    <t>00083311620178260635</t>
  </si>
  <si>
    <t>00346130320178260050</t>
  </si>
  <si>
    <t>00027269820178260050</t>
  </si>
  <si>
    <t>00571915720178260050</t>
  </si>
  <si>
    <t>00009558520178260050</t>
  </si>
  <si>
    <t>00730120420178260050</t>
  </si>
  <si>
    <t>00075725220178260635</t>
  </si>
  <si>
    <t>00776528420168260050</t>
  </si>
  <si>
    <t>00475131820178260050</t>
  </si>
  <si>
    <t>00447391520178260050</t>
  </si>
  <si>
    <t>00044989620178260050</t>
  </si>
  <si>
    <t>00882449020168260050</t>
  </si>
  <si>
    <t>00521310620178260050</t>
  </si>
  <si>
    <t>00796323220178260050</t>
  </si>
  <si>
    <t>00058273720178260635</t>
  </si>
  <si>
    <t>00747182220178260050</t>
  </si>
  <si>
    <t>00570149320178260050</t>
  </si>
  <si>
    <t>00040415520178260635</t>
  </si>
  <si>
    <t>00939485020178260050</t>
  </si>
  <si>
    <t>00746662620178260050</t>
  </si>
  <si>
    <t>00582715620178260050</t>
  </si>
  <si>
    <t>00746628620178260050</t>
  </si>
  <si>
    <t>00729730720178260050</t>
  </si>
  <si>
    <t>00053779420178260635</t>
  </si>
  <si>
    <t>00794565320178260050</t>
  </si>
  <si>
    <t>00008969720178260050</t>
  </si>
  <si>
    <t>00301461520168260050</t>
  </si>
  <si>
    <t>00709335220178260050</t>
  </si>
  <si>
    <t>00746610420178260050</t>
  </si>
  <si>
    <t>00570885020178260050</t>
  </si>
  <si>
    <t>00626703120178260050</t>
  </si>
  <si>
    <t>00111159720168260635</t>
  </si>
  <si>
    <t>00722741620178260050</t>
  </si>
  <si>
    <t>00841292620168260050</t>
  </si>
  <si>
    <t>00307174920178260050</t>
  </si>
  <si>
    <t>00029194120168260635</t>
  </si>
  <si>
    <t>00062015320178260635</t>
  </si>
  <si>
    <t>00416759420178260050</t>
  </si>
  <si>
    <t>00675567320178260050</t>
  </si>
  <si>
    <t>00813307320178260050</t>
  </si>
  <si>
    <t>00067134520178260050</t>
  </si>
  <si>
    <t>00708390720178260050</t>
  </si>
  <si>
    <t>00571855020178260050</t>
  </si>
  <si>
    <t>00193858520178260050</t>
  </si>
  <si>
    <t>00143720820178260050</t>
  </si>
  <si>
    <t>00586023820178260050</t>
  </si>
  <si>
    <t>00131873220178260050</t>
  </si>
  <si>
    <t>00032412720178260635</t>
  </si>
  <si>
    <t>00030432420168260635</t>
  </si>
  <si>
    <t>00703948620178260050</t>
  </si>
  <si>
    <t>00270514020178260050</t>
  </si>
  <si>
    <t>00068878820168260050</t>
  </si>
  <si>
    <t>00164969520168260050</t>
  </si>
  <si>
    <t>00072754520178260635</t>
  </si>
  <si>
    <t>00703628120178260050</t>
  </si>
  <si>
    <t>00798887220178260050</t>
  </si>
  <si>
    <t>00723460320178260050</t>
  </si>
  <si>
    <t>00384942220168260050</t>
  </si>
  <si>
    <t>00136368720178260050</t>
  </si>
  <si>
    <t>00694481720178260050</t>
  </si>
  <si>
    <t>00716818420178260050</t>
  </si>
  <si>
    <t>00657215020178260050</t>
  </si>
  <si>
    <t>00014298120168260635</t>
  </si>
  <si>
    <t>00122678320168260635</t>
  </si>
  <si>
    <t>00228552720178260050</t>
  </si>
  <si>
    <t>00702960420178260050</t>
  </si>
  <si>
    <t>00101121920168260050</t>
  </si>
  <si>
    <t>00390854720178260050</t>
  </si>
  <si>
    <t>00853917420178260050</t>
  </si>
  <si>
    <t>00675558820178260050</t>
  </si>
  <si>
    <t>00070156520178260635</t>
  </si>
  <si>
    <t>00001887220168260635</t>
  </si>
  <si>
    <t>00836084720178260050</t>
  </si>
  <si>
    <t>00814086720178260050</t>
  </si>
  <si>
    <t>00055806520178260050</t>
  </si>
  <si>
    <t>00730241820178260050</t>
  </si>
  <si>
    <t>00647012420178260050</t>
  </si>
  <si>
    <t>00719278020178260050</t>
  </si>
  <si>
    <t>00697582320178260050</t>
  </si>
  <si>
    <t>00001434320178260050</t>
  </si>
  <si>
    <t>00743077620178260050</t>
  </si>
  <si>
    <t>00454485020178260050</t>
  </si>
  <si>
    <t>00697651520178260050</t>
  </si>
  <si>
    <t>00342071620168260050</t>
  </si>
  <si>
    <t>00124756720168260635</t>
  </si>
  <si>
    <t>01040540820168260050</t>
  </si>
  <si>
    <t>00605917920178260050</t>
  </si>
  <si>
    <t>00130931220168260635</t>
  </si>
  <si>
    <t>00586145220178260050</t>
  </si>
  <si>
    <t>00508493520148260050</t>
  </si>
  <si>
    <t>00084082520178260635</t>
  </si>
  <si>
    <t>00077962420168260635</t>
  </si>
  <si>
    <t>00705068920168260050</t>
  </si>
  <si>
    <t>00817204320178260050</t>
  </si>
  <si>
    <t>00610481420178260050</t>
  </si>
  <si>
    <t>00586639320178260050</t>
  </si>
  <si>
    <t>00000290720178260050</t>
  </si>
  <si>
    <t>00412246920178260050</t>
  </si>
  <si>
    <t>00045251620168260050</t>
  </si>
  <si>
    <t>00941072720168260050</t>
  </si>
  <si>
    <t>00126478120178260050</t>
  </si>
  <si>
    <t>00356076520168260050</t>
  </si>
  <si>
    <t>00032751120178260050</t>
  </si>
  <si>
    <t>00269637020158260050</t>
  </si>
  <si>
    <t>00471529820178260050</t>
  </si>
  <si>
    <t>00134921620178260050</t>
  </si>
  <si>
    <t>00450804120178260050</t>
  </si>
  <si>
    <t>00789013620178260050</t>
  </si>
  <si>
    <t>00583616420178260050</t>
  </si>
  <si>
    <t>00698361720178260050</t>
  </si>
  <si>
    <t>00558318720178260050</t>
  </si>
  <si>
    <t>00070659120178260635</t>
  </si>
  <si>
    <t>00708417420178260050</t>
  </si>
  <si>
    <t>00073802220178260635</t>
  </si>
  <si>
    <t>00747320620178260050</t>
  </si>
  <si>
    <t>00699741820168260050</t>
  </si>
  <si>
    <t>00813410520178260050</t>
  </si>
  <si>
    <t>00537994620168260050</t>
  </si>
  <si>
    <t>00671530720178260050</t>
  </si>
  <si>
    <t>00824291520168260050</t>
  </si>
  <si>
    <t>00771995520178260050</t>
  </si>
  <si>
    <t>00600270320178260050</t>
  </si>
  <si>
    <t>00600513120178260050</t>
  </si>
  <si>
    <t>00415485920178260050</t>
  </si>
  <si>
    <t>00411943420178260050</t>
  </si>
  <si>
    <t>00737058520178260050</t>
  </si>
  <si>
    <t>00940013120178260050</t>
  </si>
  <si>
    <t>00425402020178260050</t>
  </si>
  <si>
    <t>00646268220178260050</t>
  </si>
  <si>
    <t>00344433120178260050</t>
  </si>
  <si>
    <t>00130980920178260050</t>
  </si>
  <si>
    <t>00709525820178260050</t>
  </si>
  <si>
    <t>00066683220178260635</t>
  </si>
  <si>
    <t>00037488520178260635</t>
  </si>
  <si>
    <t>00006387820178260635</t>
  </si>
  <si>
    <t>00751929020178260050</t>
  </si>
  <si>
    <t>00778707820178260050</t>
  </si>
  <si>
    <t>00029701820178260635</t>
  </si>
  <si>
    <t>00496021420178260050</t>
  </si>
  <si>
    <t>00722975920178260050</t>
  </si>
  <si>
    <t>00425150720178260050</t>
  </si>
  <si>
    <t>00952080220168260050</t>
  </si>
  <si>
    <t>00896175920168260050</t>
  </si>
  <si>
    <t>00119445320178260050</t>
  </si>
  <si>
    <t>00425272120178260050</t>
  </si>
  <si>
    <t>00060753720168260635</t>
  </si>
  <si>
    <t>00113763720178260050</t>
  </si>
  <si>
    <t>00377829520178260050</t>
  </si>
  <si>
    <t>00553919120178260050</t>
  </si>
  <si>
    <t>00114112220168260635</t>
  </si>
  <si>
    <t>00586907620178260050</t>
  </si>
  <si>
    <t>00680520520178260050</t>
  </si>
  <si>
    <t>00139263020168260635</t>
  </si>
  <si>
    <t>00059928420178260635</t>
  </si>
  <si>
    <t>00627188720178260050</t>
  </si>
  <si>
    <t>00718308020178260050</t>
  </si>
  <si>
    <t>00016407720178260540</t>
  </si>
  <si>
    <t>00333321220178260050</t>
  </si>
  <si>
    <t>00975196320168260050</t>
  </si>
  <si>
    <t>00717631820178260050</t>
  </si>
  <si>
    <t>00049457520178260635</t>
  </si>
  <si>
    <t>00433222720178260050</t>
  </si>
  <si>
    <t>00121777520168260635</t>
  </si>
  <si>
    <t>00165641120178260050</t>
  </si>
  <si>
    <t>00073265620178260635</t>
  </si>
  <si>
    <t>00700036820168260050</t>
  </si>
  <si>
    <t>00729600820178260050</t>
  </si>
  <si>
    <t>00697902820178260050</t>
  </si>
  <si>
    <t>00000152320178260050</t>
  </si>
  <si>
    <t>00704269120178260050</t>
  </si>
  <si>
    <t>00607557820168260050</t>
  </si>
  <si>
    <t>00078959120168260635</t>
  </si>
  <si>
    <t>00486218220178260050</t>
  </si>
  <si>
    <t>01030260520168260050</t>
  </si>
  <si>
    <t>00747883920178260050</t>
  </si>
  <si>
    <t>00725115520148260050</t>
  </si>
  <si>
    <t>00657899720178260050</t>
  </si>
  <si>
    <t>00917472220168260050</t>
  </si>
  <si>
    <t>00662039520178260050</t>
  </si>
  <si>
    <t>00446360820178260050</t>
  </si>
  <si>
    <t>00073526320178260050</t>
  </si>
  <si>
    <t>00828385420178260050</t>
  </si>
  <si>
    <t>00006665520178260050</t>
  </si>
  <si>
    <t>00630704520178260050</t>
  </si>
  <si>
    <t>00330966020178260050</t>
  </si>
  <si>
    <t>00033201520178260050</t>
  </si>
  <si>
    <t>00228171520178260050</t>
  </si>
  <si>
    <t>00667279220178260050</t>
  </si>
  <si>
    <t>00719217320178260050</t>
  </si>
  <si>
    <t>00433863720178260050</t>
  </si>
  <si>
    <t>00013065820178260050</t>
  </si>
  <si>
    <t>00772368220178260050</t>
  </si>
  <si>
    <t>00270505520178260050</t>
  </si>
  <si>
    <t>00049483020178260635</t>
  </si>
  <si>
    <t>00461214320178260050</t>
  </si>
  <si>
    <t>00070694020178260050</t>
  </si>
  <si>
    <t>00798939420178260050</t>
  </si>
  <si>
    <t>00065618520178260635</t>
  </si>
  <si>
    <t>00487554620168260050</t>
  </si>
  <si>
    <t>00059936920178260635</t>
  </si>
  <si>
    <t>00544357520178260050</t>
  </si>
  <si>
    <t>00447759620138260050</t>
  </si>
  <si>
    <t>00680226720178260050</t>
  </si>
  <si>
    <t>00064206620178260635</t>
  </si>
  <si>
    <t>00127025720168260635</t>
  </si>
  <si>
    <t>00406270320178260050</t>
  </si>
  <si>
    <t>00024964720178260635</t>
  </si>
  <si>
    <t>00394137420178260050</t>
  </si>
  <si>
    <t>00057538020178260635</t>
  </si>
  <si>
    <t>00837270820178260050</t>
  </si>
  <si>
    <t>00347403820178260050</t>
  </si>
  <si>
    <t>00064553520178260050</t>
  </si>
  <si>
    <t>00686185120178260050</t>
  </si>
  <si>
    <t>00215089020168260050</t>
  </si>
  <si>
    <t>00565307820178260050</t>
  </si>
  <si>
    <t>00871310420168260050</t>
  </si>
  <si>
    <t>00409154820178260050</t>
  </si>
  <si>
    <t>00532867820168260050</t>
  </si>
  <si>
    <t>00002958220178260635</t>
  </si>
  <si>
    <t>00132038320178260050</t>
  </si>
  <si>
    <t>00255196520168260050</t>
  </si>
  <si>
    <t>00880652520178260050</t>
  </si>
  <si>
    <t>00736564420178260050</t>
  </si>
  <si>
    <t>00474846520178260050</t>
  </si>
  <si>
    <t>00028272920178260635</t>
  </si>
  <si>
    <t>00071740820178260635</t>
  </si>
  <si>
    <t>00718766920178260050</t>
  </si>
  <si>
    <t>00694187920178260050</t>
  </si>
  <si>
    <t>00004708520178260050</t>
  </si>
  <si>
    <t>00401715320178260050</t>
  </si>
  <si>
    <t>00310977220178260050</t>
  </si>
  <si>
    <t>00126263320168260635</t>
  </si>
  <si>
    <t>00765612220178260050</t>
  </si>
  <si>
    <t>00482701220178260050</t>
  </si>
  <si>
    <t>00645947720178260050</t>
  </si>
  <si>
    <t>00471408420178260050</t>
  </si>
  <si>
    <t>00689883020178260050</t>
  </si>
  <si>
    <t>00295595620178260050</t>
  </si>
  <si>
    <t>00006820920178260050</t>
  </si>
  <si>
    <t>00058940220178260635</t>
  </si>
  <si>
    <t>00946867220168260050</t>
  </si>
  <si>
    <t>00072486220178260635</t>
  </si>
  <si>
    <t>00638984120178260050</t>
  </si>
  <si>
    <t>00620138920178260050</t>
  </si>
  <si>
    <t>00716766220178260050</t>
  </si>
  <si>
    <t>00722638420178260050</t>
  </si>
  <si>
    <t>00685942320178260050</t>
  </si>
  <si>
    <t>00300462620178260050</t>
  </si>
  <si>
    <t>00475395020168260050</t>
  </si>
  <si>
    <t>00433769020178260050</t>
  </si>
  <si>
    <t>00647238220178260050</t>
  </si>
  <si>
    <t>00737620620178260050</t>
  </si>
  <si>
    <t>00772428920178260050</t>
  </si>
  <si>
    <t>00064258820178260635</t>
  </si>
  <si>
    <t>00515482120178260050</t>
  </si>
  <si>
    <t>00565670820178260050</t>
  </si>
  <si>
    <t>00074824420178260635</t>
  </si>
  <si>
    <t>00382332320178260050</t>
  </si>
  <si>
    <t>00916017820168260050</t>
  </si>
  <si>
    <t>00752023720178260050</t>
  </si>
  <si>
    <t>00794634520178260050</t>
  </si>
  <si>
    <t>00123301120168260635</t>
  </si>
  <si>
    <t>00063521920178260635</t>
  </si>
  <si>
    <t>00686956020178260050</t>
  </si>
  <si>
    <t>00427276220168260050</t>
  </si>
  <si>
    <t>00419478820178260050</t>
  </si>
  <si>
    <t>00757774520178260050</t>
  </si>
  <si>
    <t>00418309720178260050</t>
  </si>
  <si>
    <t>00006561120178260050</t>
  </si>
  <si>
    <t>00339055020178260050</t>
  </si>
  <si>
    <t>00533756720178260050</t>
  </si>
  <si>
    <t>00513724220178260050</t>
  </si>
  <si>
    <t>00065756920178260635</t>
  </si>
  <si>
    <t>00007400320178260635</t>
  </si>
  <si>
    <t>00080405020168260635</t>
  </si>
  <si>
    <t>00011566820178260635</t>
  </si>
  <si>
    <t>00709448120178260050</t>
  </si>
  <si>
    <t>00042953720178260050</t>
  </si>
  <si>
    <t>00199002320178260050</t>
  </si>
  <si>
    <t>00743519520178260050</t>
  </si>
  <si>
    <t>00027017620178260635</t>
  </si>
  <si>
    <t>00170598920168260050</t>
  </si>
  <si>
    <t>00287454420178260050</t>
  </si>
  <si>
    <t>00668092620178260050</t>
  </si>
  <si>
    <t>00383821920178260050</t>
  </si>
  <si>
    <t>00440341720178260050</t>
  </si>
  <si>
    <t>00052237620178260635</t>
  </si>
  <si>
    <t>00067523320178260635</t>
  </si>
  <si>
    <t>00501053520178260050</t>
  </si>
  <si>
    <t>00952314520168260050</t>
  </si>
  <si>
    <t>00036726120178260635</t>
  </si>
  <si>
    <t>00919759420168260050</t>
  </si>
  <si>
    <t>00090397520178260050</t>
  </si>
  <si>
    <t>00086900920168260050</t>
  </si>
  <si>
    <t>00545214620178260050</t>
  </si>
  <si>
    <t>00429605920168260050</t>
  </si>
  <si>
    <t>00644227220168260050</t>
  </si>
  <si>
    <t>00249416820178260050</t>
  </si>
  <si>
    <t>00334958920178260050</t>
  </si>
  <si>
    <t>00835761320158260050</t>
  </si>
  <si>
    <t>01009267720168260050</t>
  </si>
  <si>
    <t>00283071820178260050</t>
  </si>
  <si>
    <t>00708668720178260050</t>
  </si>
  <si>
    <t>00658271220178260050</t>
  </si>
  <si>
    <t>00669460820178260050</t>
  </si>
  <si>
    <t>00704522620168260050</t>
  </si>
  <si>
    <t>00230241420178260050</t>
  </si>
  <si>
    <t>00054670520178260635</t>
  </si>
  <si>
    <t>00498077720168260050</t>
  </si>
  <si>
    <t>00694525420178260050</t>
  </si>
  <si>
    <t>00004152820178260635</t>
  </si>
  <si>
    <t>00073958820178260635</t>
  </si>
  <si>
    <t>00657673920178260050</t>
  </si>
  <si>
    <t>00390620420178260050</t>
  </si>
  <si>
    <t>00606653620178260050</t>
  </si>
  <si>
    <t>00894816220168260050</t>
  </si>
  <si>
    <t>00723304920178260050</t>
  </si>
  <si>
    <t>00546052820098260050</t>
  </si>
  <si>
    <t>01030503320168260050</t>
  </si>
  <si>
    <t>00482355220178260050</t>
  </si>
  <si>
    <t>00275450220178260050</t>
  </si>
  <si>
    <t>00036683320178260050</t>
  </si>
  <si>
    <t>00694915120178260050</t>
  </si>
  <si>
    <t>00623870820178260050</t>
  </si>
  <si>
    <t>00676034720178260050</t>
  </si>
  <si>
    <t>00817334220178260050</t>
  </si>
  <si>
    <t>00057269720178260635</t>
  </si>
  <si>
    <t>00630635320178260050</t>
  </si>
  <si>
    <t>00068589220178260635</t>
  </si>
  <si>
    <t>00017577420178260635</t>
  </si>
  <si>
    <t>00056354120168260635</t>
  </si>
  <si>
    <t>00181456120178260050</t>
  </si>
  <si>
    <t>00221286820178260050</t>
  </si>
  <si>
    <t>00446681320178260050</t>
  </si>
  <si>
    <t>00762217820178260050</t>
  </si>
  <si>
    <t>00635944220178260050</t>
  </si>
  <si>
    <t>00451817820178260050</t>
  </si>
  <si>
    <t>00624333120168260050</t>
  </si>
  <si>
    <t>00553676320178260050</t>
  </si>
  <si>
    <t>00646042420178260050</t>
  </si>
  <si>
    <t>00516507720168260050</t>
  </si>
  <si>
    <t>00581295220178260050</t>
  </si>
  <si>
    <t>00571932720178260050</t>
  </si>
  <si>
    <t>00610057720178260050</t>
  </si>
  <si>
    <t>00680633420178260050</t>
  </si>
  <si>
    <t>00072555420178260635</t>
  </si>
  <si>
    <t>00416732720178260050</t>
  </si>
  <si>
    <t>00173340420178260050</t>
  </si>
  <si>
    <t>00405551620178260050</t>
  </si>
  <si>
    <t>00080099320178260635</t>
  </si>
  <si>
    <t>00053224620178260635</t>
  </si>
  <si>
    <t>00065679220178260635</t>
  </si>
  <si>
    <t>00762000520178260050</t>
  </si>
  <si>
    <t>00501382520178260050</t>
  </si>
  <si>
    <t>00060638620178260635</t>
  </si>
  <si>
    <t>00609121720178260050</t>
  </si>
  <si>
    <t>01019200820168260050</t>
  </si>
  <si>
    <t>00418213820178260050</t>
  </si>
  <si>
    <t>00191903720168260050</t>
  </si>
  <si>
    <t>00457034220168260050</t>
  </si>
  <si>
    <t>00522636320178260050</t>
  </si>
  <si>
    <t>00342781820168260050</t>
  </si>
  <si>
    <t>00196932420178260050</t>
  </si>
  <si>
    <t>00571924220178260050</t>
  </si>
  <si>
    <t>00013619720178260635</t>
  </si>
  <si>
    <t>00027719320178260635</t>
  </si>
  <si>
    <t>00076643020178260635</t>
  </si>
  <si>
    <t>00115699120138260050</t>
  </si>
  <si>
    <t>00011878820178260635</t>
  </si>
  <si>
    <t>00737829420178260050</t>
  </si>
  <si>
    <t>00492855020168260050</t>
  </si>
  <si>
    <t>00635529020178260050</t>
  </si>
  <si>
    <t>00056117620178260635</t>
  </si>
  <si>
    <t>00051588120178260635</t>
  </si>
  <si>
    <t>00037262720178260635</t>
  </si>
  <si>
    <t>00572062620178260050</t>
  </si>
  <si>
    <t>00546306020178260050</t>
  </si>
  <si>
    <t>00571872020178260050</t>
  </si>
  <si>
    <t>00384012520178260050</t>
  </si>
  <si>
    <t>00374174120178260050</t>
  </si>
  <si>
    <t>00605744320178260050</t>
  </si>
  <si>
    <t>00047672920178260635</t>
  </si>
  <si>
    <t>00609173920178260050</t>
  </si>
  <si>
    <t>00617209020158260050</t>
  </si>
  <si>
    <t>00970207920168260050</t>
  </si>
  <si>
    <t>00283704320178260050</t>
  </si>
  <si>
    <t>00558846820178260050</t>
  </si>
  <si>
    <t>01007803620168260050</t>
  </si>
  <si>
    <t>00889342220168260050</t>
  </si>
  <si>
    <t>00345458720168260050</t>
  </si>
  <si>
    <t>00626512520178260050</t>
  </si>
  <si>
    <t>00553052320178260050</t>
  </si>
  <si>
    <t>00040285620178260635</t>
  </si>
  <si>
    <t>00144613120178260050</t>
  </si>
  <si>
    <t>00528790920158260050</t>
  </si>
  <si>
    <t>00366353420178260050</t>
  </si>
  <si>
    <t>00530205720178260050</t>
  </si>
  <si>
    <t>00165979820178260050</t>
  </si>
  <si>
    <t>00629313020168260050</t>
  </si>
  <si>
    <t>00668733620178260050</t>
  </si>
  <si>
    <t>00043057220178260635</t>
  </si>
  <si>
    <t>00691379420158260050</t>
  </si>
  <si>
    <t>00066354220178260635</t>
  </si>
  <si>
    <t>00573396820178260050</t>
  </si>
  <si>
    <t>00173470320178260050</t>
  </si>
  <si>
    <t>00495849020178260050</t>
  </si>
  <si>
    <t>00885688020168260050</t>
  </si>
  <si>
    <t>00215873520178260050</t>
  </si>
  <si>
    <t>00485862520178260050</t>
  </si>
  <si>
    <t>01049894820168260050</t>
  </si>
  <si>
    <t>00624356420178260050</t>
  </si>
  <si>
    <t>00046564520178260635</t>
  </si>
  <si>
    <t>00539740620178260050</t>
  </si>
  <si>
    <t>00051301620178260635</t>
  </si>
  <si>
    <t>00102756220178260050</t>
  </si>
  <si>
    <t>00708937020178260050</t>
  </si>
  <si>
    <t>00035548520178260635</t>
  </si>
  <si>
    <t>00410263220178260050</t>
  </si>
  <si>
    <t>01014247620168260050</t>
  </si>
  <si>
    <t>00482545820178260050</t>
  </si>
  <si>
    <t>00074633820178260635</t>
  </si>
  <si>
    <t>00067705420178260635</t>
  </si>
  <si>
    <t>00055497020168260635</t>
  </si>
  <si>
    <t>00630947320178260050</t>
  </si>
  <si>
    <t>00614093120178260050</t>
  </si>
  <si>
    <t>00057936220178260635</t>
  </si>
  <si>
    <t>00053371520178260635</t>
  </si>
  <si>
    <t>00344606720178260050</t>
  </si>
  <si>
    <t>00687839820178260050</t>
  </si>
  <si>
    <t>00016433820178260635</t>
  </si>
  <si>
    <t>00978978720148260050</t>
  </si>
  <si>
    <t>00544998520178260050</t>
  </si>
  <si>
    <t>00561790820178260050</t>
  </si>
  <si>
    <t>00663753720178260050</t>
  </si>
  <si>
    <t>00533955820178260050</t>
  </si>
  <si>
    <t>00028377320178260635</t>
  </si>
  <si>
    <t>00702822020178260050</t>
  </si>
  <si>
    <t>00053180920178260635</t>
  </si>
  <si>
    <t>00459309520178260050</t>
  </si>
  <si>
    <t>00433803020178260050</t>
  </si>
  <si>
    <t>00115496120178260050</t>
  </si>
  <si>
    <t>00535177120178260050</t>
  </si>
  <si>
    <t>00916849420168260050</t>
  </si>
  <si>
    <t>00057563520178260635</t>
  </si>
  <si>
    <t>00095056920178260050</t>
  </si>
  <si>
    <t>00136361520168260635</t>
  </si>
  <si>
    <t>00635719620178260050</t>
  </si>
  <si>
    <t>00461197320178260050</t>
  </si>
  <si>
    <t>00410271720178260050</t>
  </si>
  <si>
    <t>00739249820178260050</t>
  </si>
  <si>
    <t>00471624520178260050</t>
  </si>
  <si>
    <t>00472135620178260050</t>
  </si>
  <si>
    <t>00582724120178260050</t>
  </si>
  <si>
    <t>00558750920178260050</t>
  </si>
  <si>
    <t>00062006820178260635</t>
  </si>
  <si>
    <t>00068155820178260635</t>
  </si>
  <si>
    <t>00534345520178260050</t>
  </si>
  <si>
    <t>00459563020168260050</t>
  </si>
  <si>
    <t>00488784420168260050</t>
  </si>
  <si>
    <t>00056559520178260635</t>
  </si>
  <si>
    <t>00951769420168260050</t>
  </si>
  <si>
    <t>00022626520178260635</t>
  </si>
  <si>
    <t>00034777620178260635</t>
  </si>
  <si>
    <t>00355389620178260050</t>
  </si>
  <si>
    <t>00063660320178260635</t>
  </si>
  <si>
    <t>00022230520168260635</t>
  </si>
  <si>
    <t>00377274720178260050</t>
  </si>
  <si>
    <t>00690593220178260050</t>
  </si>
  <si>
    <t>00065237320178260635</t>
  </si>
  <si>
    <t>00610074720178260050</t>
  </si>
  <si>
    <t>00600305520178260050</t>
  </si>
  <si>
    <t>00044840620178260635</t>
  </si>
  <si>
    <t>00780892820168260050</t>
  </si>
  <si>
    <t>00037115820178260635</t>
  </si>
  <si>
    <t>00012155620178260635</t>
  </si>
  <si>
    <t>00421557220178260050</t>
  </si>
  <si>
    <t>00956872920158260050</t>
  </si>
  <si>
    <t>00500603120178260050</t>
  </si>
  <si>
    <t>00093161920168260635</t>
  </si>
  <si>
    <t>00239526220178260050</t>
  </si>
  <si>
    <t>00405794420178260050</t>
  </si>
  <si>
    <t>00962976020168260050</t>
  </si>
  <si>
    <t>00334291220178260050</t>
  </si>
  <si>
    <t>01058451220168260050</t>
  </si>
  <si>
    <t>00560186620158260050</t>
  </si>
  <si>
    <t>00042685420178260050</t>
  </si>
  <si>
    <t>00496108820178260050</t>
  </si>
  <si>
    <t>00632099420178260050</t>
  </si>
  <si>
    <t>00694092520148260050</t>
  </si>
  <si>
    <t>00650494220178260050</t>
  </si>
  <si>
    <t>00138336720168260635</t>
  </si>
  <si>
    <t>00592719120178260050</t>
  </si>
  <si>
    <t>00558769120178260050</t>
  </si>
  <si>
    <t>00099837720178260050</t>
  </si>
  <si>
    <t>00152884220178260050</t>
  </si>
  <si>
    <t>00526958220178260050</t>
  </si>
  <si>
    <t>00390655620178260050</t>
  </si>
  <si>
    <t>00450969220178260050</t>
  </si>
  <si>
    <t>00034491120178260635</t>
  </si>
  <si>
    <t>00333174320178260050</t>
  </si>
  <si>
    <t>00055269020178260635</t>
  </si>
  <si>
    <t>00477802420168260050</t>
  </si>
  <si>
    <t>00585989820178260050</t>
  </si>
  <si>
    <t>00392422020178260050</t>
  </si>
  <si>
    <t>00635866520178260050</t>
  </si>
  <si>
    <t>00719182120178260050</t>
  </si>
  <si>
    <t>00159093920178260050</t>
  </si>
  <si>
    <t>00631553120178260050</t>
  </si>
  <si>
    <t>00631085720178260050</t>
  </si>
  <si>
    <t>00409423120178260050</t>
  </si>
  <si>
    <t>00486191520178260050</t>
  </si>
  <si>
    <t>00070372620178260635</t>
  </si>
  <si>
    <t>00060551220178260635</t>
  </si>
  <si>
    <t>00461352720178260050</t>
  </si>
  <si>
    <t>00400225720178260050</t>
  </si>
  <si>
    <t>00021145420178260635</t>
  </si>
  <si>
    <t>00050479720178260635</t>
  </si>
  <si>
    <t>00197053820178260050</t>
  </si>
  <si>
    <t>00731552720168260050</t>
  </si>
  <si>
    <t>00063444220178260635</t>
  </si>
  <si>
    <t>00433352620178260050</t>
  </si>
  <si>
    <t>00454510520178260050</t>
  </si>
  <si>
    <t>00016927920178260635</t>
  </si>
  <si>
    <t>00666057920178260050</t>
  </si>
  <si>
    <t>00056714920178260635</t>
  </si>
  <si>
    <t>00036779220178260050</t>
  </si>
  <si>
    <t>00293726320088260050</t>
  </si>
  <si>
    <t>00675004020178260050</t>
  </si>
  <si>
    <t>00246662220178260050</t>
  </si>
  <si>
    <t>00043404120178260050</t>
  </si>
  <si>
    <t>00592208020178260050</t>
  </si>
  <si>
    <t>00358143020178260050</t>
  </si>
  <si>
    <t>00060222220178260635</t>
  </si>
  <si>
    <t>00339750420168260050</t>
  </si>
  <si>
    <t>00152523420168260050</t>
  </si>
  <si>
    <t>00086571020168260635</t>
  </si>
  <si>
    <t>00929199620168260050</t>
  </si>
  <si>
    <t>00036535520178260635</t>
  </si>
  <si>
    <t>00058516520178260635</t>
  </si>
  <si>
    <t>00461361220178260050</t>
  </si>
  <si>
    <t>00502430220178260050</t>
  </si>
  <si>
    <t>00600609020178260050</t>
  </si>
  <si>
    <t>00064302220178260050</t>
  </si>
  <si>
    <t>00941177120168260050</t>
  </si>
  <si>
    <t>00452248820128260050</t>
  </si>
  <si>
    <t>00290254920168260050</t>
  </si>
  <si>
    <t>00173756820178260050</t>
  </si>
  <si>
    <t>00483527720168260050</t>
  </si>
  <si>
    <t>00276317020178260050</t>
  </si>
  <si>
    <t>00043949520178260635</t>
  </si>
  <si>
    <t>00119696620178260050</t>
  </si>
  <si>
    <t>00066071120168260635</t>
  </si>
  <si>
    <t>00007635520178260050</t>
  </si>
  <si>
    <t>00241717520178260050</t>
  </si>
  <si>
    <t>00643687220178260050</t>
  </si>
  <si>
    <t>00285964820178260050</t>
  </si>
  <si>
    <t>00669342820168260050</t>
  </si>
  <si>
    <t>00343584520178260050</t>
  </si>
  <si>
    <t>00065834620178260635</t>
  </si>
  <si>
    <t>00549744120178260050</t>
  </si>
  <si>
    <t>00062170720178260635</t>
  </si>
  <si>
    <t>00259653420178260050</t>
  </si>
  <si>
    <t>00052696520178260635</t>
  </si>
  <si>
    <t>00043637520178260635</t>
  </si>
  <si>
    <t>00211197120178260050</t>
  </si>
  <si>
    <t>00353036620168260050</t>
  </si>
  <si>
    <t>00373905820178260050</t>
  </si>
  <si>
    <t>00548618720178260050</t>
  </si>
  <si>
    <t>00100688820168260635</t>
  </si>
  <si>
    <t>00647116820178260050</t>
  </si>
  <si>
    <t>00635147820178260050</t>
  </si>
  <si>
    <t>01002584320158260050</t>
  </si>
  <si>
    <t>00433119520178260050</t>
  </si>
  <si>
    <t>00250135520178260050</t>
  </si>
  <si>
    <t>00323769320178260050</t>
  </si>
  <si>
    <t>00314423820178260050</t>
  </si>
  <si>
    <t>00418188320178260050</t>
  </si>
  <si>
    <t>00143911420178260050</t>
  </si>
  <si>
    <t>00459188120178260050</t>
  </si>
  <si>
    <t>00173967820168260050</t>
  </si>
  <si>
    <t>00409389120178260050</t>
  </si>
  <si>
    <t>00476027520168260050</t>
  </si>
  <si>
    <t>00317057020178260050</t>
  </si>
  <si>
    <t>00735849120168260050</t>
  </si>
  <si>
    <t>00047231020178260635</t>
  </si>
  <si>
    <t>00261610420178260050</t>
  </si>
  <si>
    <t>00609347520178260050</t>
  </si>
  <si>
    <t>00300047420178260050</t>
  </si>
  <si>
    <t>00697487620178260050</t>
  </si>
  <si>
    <t>00461560320178260050</t>
  </si>
  <si>
    <t>00629564320168260050</t>
  </si>
  <si>
    <t>00428020420168260050</t>
  </si>
  <si>
    <t>00614197520178260050</t>
  </si>
  <si>
    <t>00022452920178260635</t>
  </si>
  <si>
    <t>00583090520168260050</t>
  </si>
  <si>
    <t>00495779820178260050</t>
  </si>
  <si>
    <t>00063850920178260635</t>
  </si>
  <si>
    <t>00144353320178260050</t>
  </si>
  <si>
    <t>00605882720178260050</t>
  </si>
  <si>
    <t>00524726620168260050</t>
  </si>
  <si>
    <t>00498692020168260050</t>
  </si>
  <si>
    <t>00096851320168260635</t>
  </si>
  <si>
    <t>00495467820178260050</t>
  </si>
  <si>
    <t>00066640920148260050</t>
  </si>
  <si>
    <t>00618686720168260050</t>
  </si>
  <si>
    <t>00045967220178260635</t>
  </si>
  <si>
    <t>00549796320178260050</t>
  </si>
  <si>
    <t>00053008520178260635</t>
  </si>
  <si>
    <t>00382020320178260050</t>
  </si>
  <si>
    <t>00592545520178260050</t>
  </si>
  <si>
    <t>00057701920178260635</t>
  </si>
  <si>
    <t>00343714420178260050</t>
  </si>
  <si>
    <t>00231913120178260050</t>
  </si>
  <si>
    <t>00039973620178260635</t>
  </si>
  <si>
    <t>00516317120168260050</t>
  </si>
  <si>
    <t>00600426920178260050</t>
  </si>
  <si>
    <t>00345429820178260050</t>
  </si>
  <si>
    <t>00197747020178260050</t>
  </si>
  <si>
    <t>00635277720178260050</t>
  </si>
  <si>
    <t>00970825620158260050</t>
  </si>
  <si>
    <t>00205402620178260050</t>
  </si>
  <si>
    <t>00774691620168260050</t>
  </si>
  <si>
    <t>00242080520178260050</t>
  </si>
  <si>
    <t>00025573920168260635</t>
  </si>
  <si>
    <t>00954956220168260050</t>
  </si>
  <si>
    <t>00839797920158260050</t>
  </si>
  <si>
    <t>00613608720178260050</t>
  </si>
  <si>
    <t>00608068920168260050</t>
  </si>
  <si>
    <t>00521440520178260050</t>
  </si>
  <si>
    <t>00316788720178260050</t>
  </si>
  <si>
    <t>00344121120178260050</t>
  </si>
  <si>
    <t>00656078220158260050</t>
  </si>
  <si>
    <t>00249754320178260050</t>
  </si>
  <si>
    <t>00042883620178260635</t>
  </si>
  <si>
    <t>00037756820178260635</t>
  </si>
  <si>
    <t>00081418720168260635</t>
  </si>
  <si>
    <t>00680948820168260050</t>
  </si>
  <si>
    <t>00145912120178260050</t>
  </si>
  <si>
    <t>00304377820178260050</t>
  </si>
  <si>
    <t>00558551820178260050</t>
  </si>
  <si>
    <t>00457741020178260050</t>
  </si>
  <si>
    <t>00316736520178260050</t>
  </si>
  <si>
    <t>00115949020168260635</t>
  </si>
  <si>
    <t>00009557620178260635</t>
  </si>
  <si>
    <t>00029632620178260635</t>
  </si>
  <si>
    <t>00836157320168260050</t>
  </si>
  <si>
    <t>00465267920178260050</t>
  </si>
  <si>
    <t>00173635420178260050</t>
  </si>
  <si>
    <t>00004534920178260050</t>
  </si>
  <si>
    <t>00109842520168260635</t>
  </si>
  <si>
    <t>00441294720178260050</t>
  </si>
  <si>
    <t>00527928220178260050</t>
  </si>
  <si>
    <t>00927415020168260050</t>
  </si>
  <si>
    <t>00631986520178260050</t>
  </si>
  <si>
    <t>00316632120178260050</t>
  </si>
  <si>
    <t>00500525420178260050</t>
  </si>
  <si>
    <t>00382237620178260050</t>
  </si>
  <si>
    <t>00041636820178260635</t>
  </si>
  <si>
    <t>00740975920168260050</t>
  </si>
  <si>
    <t>00388805220168260050</t>
  </si>
  <si>
    <t>00344510820178260050</t>
  </si>
  <si>
    <t>00825946220168260050</t>
  </si>
  <si>
    <t>00043290320178260635</t>
  </si>
  <si>
    <t>00449140920178260050</t>
  </si>
  <si>
    <t>00458287320178260050</t>
  </si>
  <si>
    <t>00416533620178260050</t>
  </si>
  <si>
    <t>00900705420168260050</t>
  </si>
  <si>
    <t>00832193320158260050</t>
  </si>
  <si>
    <t>00204606220178260050</t>
  </si>
  <si>
    <t>00249450820178260050</t>
  </si>
  <si>
    <t>00630419220178260050</t>
  </si>
  <si>
    <t>00421488020178260050</t>
  </si>
  <si>
    <t>01011216220168260050</t>
  </si>
  <si>
    <t>01008289220168260050</t>
  </si>
  <si>
    <t>00032881020178260050</t>
  </si>
  <si>
    <t>00020482020168260050</t>
  </si>
  <si>
    <t>00050704320178260635</t>
  </si>
  <si>
    <t>00432954420178260050</t>
  </si>
  <si>
    <t>00054021020178260635</t>
  </si>
  <si>
    <t>00116483120178260050</t>
  </si>
  <si>
    <t>00858285220168260050</t>
  </si>
  <si>
    <t>00600808120178260050</t>
  </si>
  <si>
    <t>00379595920178260050</t>
  </si>
  <si>
    <t>00620034520178260050</t>
  </si>
  <si>
    <t>00553641120178260050</t>
  </si>
  <si>
    <t>00192957720178260050</t>
  </si>
  <si>
    <t>00558413420178260050</t>
  </si>
  <si>
    <t>00433023620178260050</t>
  </si>
  <si>
    <t>00581607220178260050</t>
  </si>
  <si>
    <t>00042858120178260635</t>
  </si>
  <si>
    <t>00038146520178260635</t>
  </si>
  <si>
    <t>00545249820178260050</t>
  </si>
  <si>
    <t>00840764520168260050</t>
  </si>
  <si>
    <t>00553312120178260050</t>
  </si>
  <si>
    <t>00836191320168260050</t>
  </si>
  <si>
    <t>00024844220178260050</t>
  </si>
  <si>
    <t>00283626620178260050</t>
  </si>
  <si>
    <t>00204484820178260050</t>
  </si>
  <si>
    <t>00076493220158260635</t>
  </si>
  <si>
    <t>00323405120178260050</t>
  </si>
  <si>
    <t>00717652220168260050</t>
  </si>
  <si>
    <t>00549086120178260050</t>
  </si>
  <si>
    <t>00521042320178260050</t>
  </si>
  <si>
    <t>00521848420178260050</t>
  </si>
  <si>
    <t>00198612620178260050</t>
  </si>
  <si>
    <t>00558933020178260050</t>
  </si>
  <si>
    <t>00247034920178260050</t>
  </si>
  <si>
    <t>00249867220178260050</t>
  </si>
  <si>
    <t>00073551820178260050</t>
  </si>
  <si>
    <t>00110223720168260635</t>
  </si>
  <si>
    <t>00795434320168260050</t>
  </si>
  <si>
    <t>00012077920178260635</t>
  </si>
  <si>
    <t>00993894620168260050</t>
  </si>
  <si>
    <t>00083721720168260635</t>
  </si>
  <si>
    <t>00013776020178260050</t>
  </si>
  <si>
    <t>00295327320178260050</t>
  </si>
  <si>
    <t>00199521920178260050</t>
  </si>
  <si>
    <t>00969843720168260050</t>
  </si>
  <si>
    <t>00118409520168260050</t>
  </si>
  <si>
    <t>00034526320178260635</t>
  </si>
  <si>
    <t>00254231620178260050</t>
  </si>
  <si>
    <t>00323690420178260050</t>
  </si>
  <si>
    <t>01040324720168260050</t>
  </si>
  <si>
    <t>00339002820178260050</t>
  </si>
  <si>
    <t>00313765820178260050</t>
  </si>
  <si>
    <t>00522800220178260050</t>
  </si>
  <si>
    <t>00192085820168260050</t>
  </si>
  <si>
    <t>00035557020178260635</t>
  </si>
  <si>
    <t>00849970420168260050</t>
  </si>
  <si>
    <t>00570702920178260050</t>
  </si>
  <si>
    <t>00533063520178260050</t>
  </si>
  <si>
    <t>00607009320178260050</t>
  </si>
  <si>
    <t>00028221620178260050</t>
  </si>
  <si>
    <t>00527798320178260050</t>
  </si>
  <si>
    <t>00487762220168260050</t>
  </si>
  <si>
    <t>00064431220178260635</t>
  </si>
  <si>
    <t>00534374420168260050</t>
  </si>
  <si>
    <t>00136102620168260050</t>
  </si>
  <si>
    <t>00264901620178260050</t>
  </si>
  <si>
    <t>00501321820178260050</t>
  </si>
  <si>
    <t>00535141920178260050</t>
  </si>
  <si>
    <t>00496004420178260050</t>
  </si>
  <si>
    <t>00120199220178260050</t>
  </si>
  <si>
    <t>00157353020178260050</t>
  </si>
  <si>
    <t>00313696620178260050</t>
  </si>
  <si>
    <t>00786201720168260050</t>
  </si>
  <si>
    <t>00019213920178260635</t>
  </si>
  <si>
    <t>00416801920178260050</t>
  </si>
  <si>
    <t>00247043420178260050</t>
  </si>
  <si>
    <t>00333547020178260050</t>
  </si>
  <si>
    <t>00009661720178260050</t>
  </si>
  <si>
    <t>00486520520178260050</t>
  </si>
  <si>
    <t>00585247820168260050</t>
  </si>
  <si>
    <t>00977838020168260050</t>
  </si>
  <si>
    <t>00382107720178260050</t>
  </si>
  <si>
    <t>00249307320168260050</t>
  </si>
  <si>
    <t>00053310820178260635</t>
  </si>
  <si>
    <t>00650182220178260050</t>
  </si>
  <si>
    <t>00485889220178260050</t>
  </si>
  <si>
    <t>00945862020168260050</t>
  </si>
  <si>
    <t>00552905420178260050</t>
  </si>
  <si>
    <t>00461413420178260050</t>
  </si>
  <si>
    <t>00603106020168260050</t>
  </si>
  <si>
    <t>00025051820178260050</t>
  </si>
  <si>
    <t>00990127520168260050</t>
  </si>
  <si>
    <t>00358212220178260050</t>
  </si>
  <si>
    <t>00637584120168260050</t>
  </si>
  <si>
    <t>00057659420178260635</t>
  </si>
  <si>
    <t>00326084220168260050</t>
  </si>
  <si>
    <t>00044381720178260635</t>
  </si>
  <si>
    <t>00524691420168260050</t>
  </si>
  <si>
    <t>00300393420178260050</t>
  </si>
  <si>
    <t>00936121720158260050</t>
  </si>
  <si>
    <t>00492148220158260050</t>
  </si>
  <si>
    <t>00311777020168260050</t>
  </si>
  <si>
    <t>00397705920148260050</t>
  </si>
  <si>
    <t>00475192520178260050</t>
  </si>
  <si>
    <t>00020219120178260635</t>
  </si>
  <si>
    <t>00189553620178260050</t>
  </si>
  <si>
    <t>00252768720178260050</t>
  </si>
  <si>
    <t>00032006020178260635</t>
  </si>
  <si>
    <t>00066606420178260050</t>
  </si>
  <si>
    <t>00446379020178260050</t>
  </si>
  <si>
    <t>00406590820178260050</t>
  </si>
  <si>
    <t>00122712320168260635</t>
  </si>
  <si>
    <t>00255329820158260050</t>
  </si>
  <si>
    <t>00160210820178260050</t>
  </si>
  <si>
    <t>00142300420178260050</t>
  </si>
  <si>
    <t>00377863520178260050</t>
  </si>
  <si>
    <t>00008292620178260635</t>
  </si>
  <si>
    <t>00967343820158260050</t>
  </si>
  <si>
    <t>00709190520168260050</t>
  </si>
  <si>
    <t>00709165020168260050</t>
  </si>
  <si>
    <t>00717609720168260050</t>
  </si>
  <si>
    <t>00215665920178260050</t>
  </si>
  <si>
    <t>00311098620178260050</t>
  </si>
  <si>
    <t>00500542420178260050</t>
  </si>
  <si>
    <t>00339557620178260050</t>
  </si>
  <si>
    <t>00978799520168260050</t>
  </si>
  <si>
    <t>00482727920178260050</t>
  </si>
  <si>
    <t>00113019520178260050</t>
  </si>
  <si>
    <t>00193771120178260050</t>
  </si>
  <si>
    <t>00593492220168260050</t>
  </si>
  <si>
    <t>00300523320178260050</t>
  </si>
  <si>
    <t>00033487120178260635</t>
  </si>
  <si>
    <t>00891978820158260050</t>
  </si>
  <si>
    <t>00039921420178260635</t>
  </si>
  <si>
    <t>00505947220178260050</t>
  </si>
  <si>
    <t>00025310720178260635</t>
  </si>
  <si>
    <t>00654767320168260050</t>
  </si>
  <si>
    <t>00400035120178260050</t>
  </si>
  <si>
    <t>00448916320178260050</t>
  </si>
  <si>
    <t>00812395120158260050</t>
  </si>
  <si>
    <t>00174284920178260050</t>
  </si>
  <si>
    <t>00300150620178260050</t>
  </si>
  <si>
    <t>00904698320168260050</t>
  </si>
  <si>
    <t>00270098820178260050</t>
  </si>
  <si>
    <t>00406037220178260050</t>
  </si>
  <si>
    <t>00448128420178260050</t>
  </si>
  <si>
    <t>00136498620178260050</t>
  </si>
  <si>
    <t>00300020720178260050</t>
  </si>
  <si>
    <t>00041965820178260635</t>
  </si>
  <si>
    <t>00053911520168260635</t>
  </si>
  <si>
    <t>00242436220178260050</t>
  </si>
  <si>
    <t>00685469820168260050</t>
  </si>
  <si>
    <t>00037522520178260635</t>
  </si>
  <si>
    <t>00185373520168260050</t>
  </si>
  <si>
    <t>00544695020178260050</t>
  </si>
  <si>
    <t>00533323320178260050</t>
  </si>
  <si>
    <t>00156980320178260050</t>
  </si>
  <si>
    <t>00384743120168260050</t>
  </si>
  <si>
    <t>00440429120178260050</t>
  </si>
  <si>
    <t>00246844320178260050</t>
  </si>
  <si>
    <t>00169841620178260050</t>
  </si>
  <si>
    <t>00131492020178260050</t>
  </si>
  <si>
    <t>00204554020178260050</t>
  </si>
  <si>
    <t>01018811120168260050</t>
  </si>
  <si>
    <t>00042866620178260635</t>
  </si>
  <si>
    <t>00231731020178260050</t>
  </si>
  <si>
    <t>00527789820178260050</t>
  </si>
  <si>
    <t>00610213120178260050</t>
  </si>
  <si>
    <t>00610525120178260050</t>
  </si>
  <si>
    <t>00031737720178260635</t>
  </si>
  <si>
    <t>00138481120178260050</t>
  </si>
  <si>
    <t>00053501420178260635</t>
  </si>
  <si>
    <t>00052644320178260635</t>
  </si>
  <si>
    <t>00124055020168260635</t>
  </si>
  <si>
    <t>00027311420178260635</t>
  </si>
  <si>
    <t>00040268620178260635</t>
  </si>
  <si>
    <t>00113558620168260635</t>
  </si>
  <si>
    <t>00145591620178260050</t>
  </si>
  <si>
    <t>00099257420178260050</t>
  </si>
  <si>
    <t>00409726620178260050</t>
  </si>
  <si>
    <t>00045550820178260635</t>
  </si>
  <si>
    <t>00136197620168260635</t>
  </si>
  <si>
    <t>01054095320168260050</t>
  </si>
  <si>
    <t>00418448120178260050</t>
  </si>
  <si>
    <t>00095792620178260050</t>
  </si>
  <si>
    <t>00749422820158260050</t>
  </si>
  <si>
    <t>00312224020178260050</t>
  </si>
  <si>
    <t>00058109820178260635</t>
  </si>
  <si>
    <t>00168456420178260050</t>
  </si>
  <si>
    <t>00448353020178260050</t>
  </si>
  <si>
    <t>00003963120178260050</t>
  </si>
  <si>
    <t>00333218020178260050</t>
  </si>
  <si>
    <t>00232199620178260050</t>
  </si>
  <si>
    <t>00263380220168260050</t>
  </si>
  <si>
    <t>00096023120158260635</t>
  </si>
  <si>
    <t>00262096020178260050</t>
  </si>
  <si>
    <t>00405742220178260050</t>
  </si>
  <si>
    <t>00377620720178260050</t>
  </si>
  <si>
    <t>00310197820178260050</t>
  </si>
  <si>
    <t>00335391120178260050</t>
  </si>
  <si>
    <t>00382055520178260050</t>
  </si>
  <si>
    <t>00970112020168260050</t>
  </si>
  <si>
    <t>00410081120178260050</t>
  </si>
  <si>
    <t>00548092820168260050</t>
  </si>
  <si>
    <t>00854595820168260050</t>
  </si>
  <si>
    <t>00105937920168260050</t>
  </si>
  <si>
    <t>00524368720178260050</t>
  </si>
  <si>
    <t>00875401420158260050</t>
  </si>
  <si>
    <t>00011367720178260635</t>
  </si>
  <si>
    <t>00054749420178260635</t>
  </si>
  <si>
    <t>00054211620178260635</t>
  </si>
  <si>
    <t>00690328320168260050</t>
  </si>
  <si>
    <t>00043030520178260635</t>
  </si>
  <si>
    <t>00475062620178260050</t>
  </si>
  <si>
    <t>00530052520168260050</t>
  </si>
  <si>
    <t>00181179320178260050</t>
  </si>
  <si>
    <t>00411926420178260050</t>
  </si>
  <si>
    <t>00100028320178260050</t>
  </si>
  <si>
    <t>00465548120168260050</t>
  </si>
  <si>
    <t>00406114920178260050</t>
  </si>
  <si>
    <t>00689236920168260050</t>
  </si>
  <si>
    <t>00331580320178260050</t>
  </si>
  <si>
    <t>00221373020178260050</t>
  </si>
  <si>
    <t>00383069220178260050</t>
  </si>
  <si>
    <t>00120476020178260050</t>
  </si>
  <si>
    <t>00025492820178260635</t>
  </si>
  <si>
    <t>00612944420168260050</t>
  </si>
  <si>
    <t>00473573020178260050</t>
  </si>
  <si>
    <t>00433387820178260050</t>
  </si>
  <si>
    <t>00341393220178260050</t>
  </si>
  <si>
    <t>00418283020178260050</t>
  </si>
  <si>
    <t>01008124120168260050</t>
  </si>
  <si>
    <t>00535081220178260050</t>
  </si>
  <si>
    <t>00092313320168260635</t>
  </si>
  <si>
    <t>00049543720178260635</t>
  </si>
  <si>
    <t>00482528820178260050</t>
  </si>
  <si>
    <t>00028917320168260635</t>
  </si>
  <si>
    <t>00841985820168260050</t>
  </si>
  <si>
    <t>00418230820178260050</t>
  </si>
  <si>
    <t>00529304920178260050</t>
  </si>
  <si>
    <t>00607956020168260050</t>
  </si>
  <si>
    <t>00022488120178260635</t>
  </si>
  <si>
    <t>00152209220178260050</t>
  </si>
  <si>
    <t>00136128420168260635</t>
  </si>
  <si>
    <t>00032854620178260635</t>
  </si>
  <si>
    <t>00254206120178260050</t>
  </si>
  <si>
    <t>00001953920178260050</t>
  </si>
  <si>
    <t>00051703220168260635</t>
  </si>
  <si>
    <t>00007184220178260635</t>
  </si>
  <si>
    <t>00409561520178260050</t>
  </si>
  <si>
    <t>00331208820178260050</t>
  </si>
  <si>
    <t>00005885220178260635</t>
  </si>
  <si>
    <t>00228449520178260050</t>
  </si>
  <si>
    <t>00500733020178260050</t>
  </si>
  <si>
    <t>00131000420168260635</t>
  </si>
  <si>
    <t>01050192020158260050</t>
  </si>
  <si>
    <t>00904152020168260050</t>
  </si>
  <si>
    <t>00457853920178260050</t>
  </si>
  <si>
    <t>00300437120178260050</t>
  </si>
  <si>
    <t>00445977920158260050</t>
  </si>
  <si>
    <t>00215735120178260050</t>
  </si>
  <si>
    <t>00052401520178260635</t>
  </si>
  <si>
    <t>00311115620178260050</t>
  </si>
  <si>
    <t>00514356720178260050</t>
  </si>
  <si>
    <t>00022132420178260635</t>
  </si>
  <si>
    <t>00344502320178260050</t>
  </si>
  <si>
    <t>00089282820168260050</t>
  </si>
  <si>
    <t>00534894020168260050</t>
  </si>
  <si>
    <t>00702739220168260050</t>
  </si>
  <si>
    <t>00066964320168260050</t>
  </si>
  <si>
    <t>00694935520168260050</t>
  </si>
  <si>
    <t>00713365520168260050</t>
  </si>
  <si>
    <t>00836044420168260050</t>
  </si>
  <si>
    <t>00874957320168260050</t>
  </si>
  <si>
    <t>00053519620178260635</t>
  </si>
  <si>
    <t>00421643420178260050</t>
  </si>
  <si>
    <t>00383622820178260050</t>
  </si>
  <si>
    <t>00033467220158260635</t>
  </si>
  <si>
    <t>00358048320178260050</t>
  </si>
  <si>
    <t>00471754420178260050</t>
  </si>
  <si>
    <t>00059019120178260635</t>
  </si>
  <si>
    <t>00440559020178260050</t>
  </si>
  <si>
    <t>00109814520178260050</t>
  </si>
  <si>
    <t>00522116720178260050</t>
  </si>
  <si>
    <t>00448811920178260050</t>
  </si>
  <si>
    <t>00092853320158260635</t>
  </si>
  <si>
    <t>00874385520168260050</t>
  </si>
  <si>
    <t>00353951020178260050</t>
  </si>
  <si>
    <t>01030252020168260050</t>
  </si>
  <si>
    <t>01009431620168260050</t>
  </si>
  <si>
    <t>00033417920178260635</t>
  </si>
  <si>
    <t>00093324520178260050</t>
  </si>
  <si>
    <t>00451237520178260050</t>
  </si>
  <si>
    <t>00969206620128260050</t>
  </si>
  <si>
    <t>00043151920178260635</t>
  </si>
  <si>
    <t>00501417720178260050</t>
  </si>
  <si>
    <t>00461899020178260050</t>
  </si>
  <si>
    <t>00567163820168260050</t>
  </si>
  <si>
    <t>00717912020168260050</t>
  </si>
  <si>
    <t>00500680820178260050</t>
  </si>
  <si>
    <t>00039774520178260635</t>
  </si>
  <si>
    <t>00127086420168260635</t>
  </si>
  <si>
    <t>00755802720168260050</t>
  </si>
  <si>
    <t>00505522320178260050</t>
  </si>
  <si>
    <t>00033720220178260635</t>
  </si>
  <si>
    <t>00050626620178260635</t>
  </si>
  <si>
    <t>00027278320178260050</t>
  </si>
  <si>
    <t>00406097920178260050</t>
  </si>
  <si>
    <t>00275529120178260050</t>
  </si>
  <si>
    <t>00008881420178260635</t>
  </si>
  <si>
    <t>00146596820178260050</t>
  </si>
  <si>
    <t>00398926720178260050</t>
  </si>
  <si>
    <t>00344441620178260050</t>
  </si>
  <si>
    <t>01011614420168260050</t>
  </si>
  <si>
    <t>00007461920178260050</t>
  </si>
  <si>
    <t>00633634920168260050</t>
  </si>
  <si>
    <t>00492737020158260050</t>
  </si>
  <si>
    <t>00012882820178260635</t>
  </si>
  <si>
    <t>00300072920178260050</t>
  </si>
  <si>
    <t>00270920720178260050</t>
  </si>
  <si>
    <t>00533055020178260050</t>
  </si>
  <si>
    <t>00358957620178260050</t>
  </si>
  <si>
    <t>00885445220168260050</t>
  </si>
  <si>
    <t>00649259320168260050</t>
  </si>
  <si>
    <t>00268802020168260050</t>
  </si>
  <si>
    <t>00970155720168260050</t>
  </si>
  <si>
    <t>01051421820158260050</t>
  </si>
  <si>
    <t>00007038220178260050</t>
  </si>
  <si>
    <t>00025761120178260635</t>
  </si>
  <si>
    <t>00055072120168260635</t>
  </si>
  <si>
    <t>00603946120168260050</t>
  </si>
  <si>
    <t>00947187720168260050</t>
  </si>
  <si>
    <t>00048179820168260050</t>
  </si>
  <si>
    <t>00954834820168260050</t>
  </si>
  <si>
    <t>00093471420178260050</t>
  </si>
  <si>
    <t>00211318520178260050</t>
  </si>
  <si>
    <t>00634977620168260050</t>
  </si>
  <si>
    <t>00962898320168260050</t>
  </si>
  <si>
    <t>00286943320178260050</t>
  </si>
  <si>
    <t>00919906320168260050</t>
  </si>
  <si>
    <t>00021568320158260050</t>
  </si>
  <si>
    <t>00270367120178260050</t>
  </si>
  <si>
    <t>01011528220168260050</t>
  </si>
  <si>
    <t>00522061620158260050</t>
  </si>
  <si>
    <t>00916026320168260050</t>
  </si>
  <si>
    <t>00047880520178260635</t>
  </si>
  <si>
    <t>00521103020178260050</t>
  </si>
  <si>
    <t>01036167920168260050</t>
  </si>
  <si>
    <t>00039540220178260635</t>
  </si>
  <si>
    <t>01053749320168260050</t>
  </si>
  <si>
    <t>00116823120168260635</t>
  </si>
  <si>
    <t>00412766520178260050</t>
  </si>
  <si>
    <t>00027485020178260635</t>
  </si>
  <si>
    <t>00409466820178260050</t>
  </si>
  <si>
    <t>00013930520178260635</t>
  </si>
  <si>
    <t>00414559620178260050</t>
  </si>
  <si>
    <t>00064406620178260050</t>
  </si>
  <si>
    <t>00005443320178260635</t>
  </si>
  <si>
    <t>00990395820168260050</t>
  </si>
  <si>
    <t>00399090620178260050</t>
  </si>
  <si>
    <t>00135623320178260050</t>
  </si>
  <si>
    <t>00821234620168260050</t>
  </si>
  <si>
    <t>00400121320178260050</t>
  </si>
  <si>
    <t>00366682420178260050</t>
  </si>
  <si>
    <t>00131648620178260050</t>
  </si>
  <si>
    <t>01036513920168260050</t>
  </si>
  <si>
    <t>00037782320178260635</t>
  </si>
  <si>
    <t>00007497120178260050</t>
  </si>
  <si>
    <t>00409579720178260050</t>
  </si>
  <si>
    <t>00479600620178260050</t>
  </si>
  <si>
    <t>00076660920178260050</t>
  </si>
  <si>
    <t>00323647920178260050</t>
  </si>
  <si>
    <t>00110983620178260050</t>
  </si>
  <si>
    <t>00116036120168260050</t>
  </si>
  <si>
    <t>00478244320168260050</t>
  </si>
  <si>
    <t>00035955220178260635</t>
  </si>
  <si>
    <t>00333997420178260050</t>
  </si>
  <si>
    <t>00418837820178260050</t>
  </si>
  <si>
    <t>01037328520168260050</t>
  </si>
  <si>
    <t>00025033920178260635</t>
  </si>
  <si>
    <t>00124072020168260635</t>
  </si>
  <si>
    <t>00359217420178260050</t>
  </si>
  <si>
    <t>00330991520178260050</t>
  </si>
  <si>
    <t>00046937220178260635</t>
  </si>
  <si>
    <t>00115377220168260635</t>
  </si>
  <si>
    <t>00049867620168260635</t>
  </si>
  <si>
    <t>00930301720158260050</t>
  </si>
  <si>
    <t>00108612720168260635</t>
  </si>
  <si>
    <t>00141082520168260050</t>
  </si>
  <si>
    <t>00330377220178260050</t>
  </si>
  <si>
    <t>00077382120168260635</t>
  </si>
  <si>
    <t>00629027720168260050</t>
  </si>
  <si>
    <t>00009249020168260635</t>
  </si>
  <si>
    <t>00333117520138260050</t>
  </si>
  <si>
    <t>00450801220158260050</t>
  </si>
  <si>
    <t>00181837320178260050</t>
  </si>
  <si>
    <t>00045525320178260635</t>
  </si>
  <si>
    <t>00042746120178260050</t>
  </si>
  <si>
    <t>00246446120178260050</t>
  </si>
  <si>
    <t>00210859620178260050</t>
  </si>
  <si>
    <t>00899882320168260050</t>
  </si>
  <si>
    <t>00025674920178260635</t>
  </si>
  <si>
    <t>00678177220168260050</t>
  </si>
  <si>
    <t>00030135220178260635</t>
  </si>
  <si>
    <t>00116925020178260050</t>
  </si>
  <si>
    <t>00022920320178260635</t>
  </si>
  <si>
    <t>00534841820168260050</t>
  </si>
  <si>
    <t>00247459820178260050</t>
  </si>
  <si>
    <t>00045889520178260635</t>
  </si>
  <si>
    <t>00023076920178260635</t>
  </si>
  <si>
    <t>00333442620178260050</t>
  </si>
  <si>
    <t>00113183420178260050</t>
  </si>
  <si>
    <t>00043083620178260050</t>
  </si>
  <si>
    <t>01003788620158260050</t>
  </si>
  <si>
    <t>00343965720178260050</t>
  </si>
  <si>
    <t>00405968020178260050</t>
  </si>
  <si>
    <t>00049451220168260635</t>
  </si>
  <si>
    <t>00125221620178260050</t>
  </si>
  <si>
    <t>00289077320168260050</t>
  </si>
  <si>
    <t>00199228120178260050</t>
  </si>
  <si>
    <t>00995245820168260050</t>
  </si>
  <si>
    <t>01053913220168260050</t>
  </si>
  <si>
    <t>00015862020178260635</t>
  </si>
  <si>
    <t>00537561220168260050</t>
  </si>
  <si>
    <t>00032655520178260635</t>
  </si>
  <si>
    <t>00038605420178260635</t>
  </si>
  <si>
    <t>00027883220178260635</t>
  </si>
  <si>
    <t>00173367120178260050</t>
  </si>
  <si>
    <t>00004464820178260635</t>
  </si>
  <si>
    <t>00129867420168260050</t>
  </si>
  <si>
    <t>00005495520178260635</t>
  </si>
  <si>
    <t>00033651020178260635</t>
  </si>
  <si>
    <t>00204830820178260050</t>
  </si>
  <si>
    <t>00382072520178260050</t>
  </si>
  <si>
    <t>00015239220178260635</t>
  </si>
  <si>
    <t>00344598220178260050</t>
  </si>
  <si>
    <t>00929849120168260050</t>
  </si>
  <si>
    <t>00182088620178260050</t>
  </si>
  <si>
    <t>00809118720168260050</t>
  </si>
  <si>
    <t>00130308420168260635</t>
  </si>
  <si>
    <t>00377257720178260050</t>
  </si>
  <si>
    <t>00032940820178260635</t>
  </si>
  <si>
    <t>00635635620168260050</t>
  </si>
  <si>
    <t>00209152720178260050</t>
  </si>
  <si>
    <t>00366076620178260050</t>
  </si>
  <si>
    <t>00317403020178260050</t>
  </si>
  <si>
    <t>00151983420178260050</t>
  </si>
  <si>
    <t>00095966220178260050</t>
  </si>
  <si>
    <t>00011748920178260635</t>
  </si>
  <si>
    <t>00884561420168260050</t>
  </si>
  <si>
    <t>00432111420158260050</t>
  </si>
  <si>
    <t>00353674220178260050</t>
  </si>
  <si>
    <t>01036228620168260050</t>
  </si>
  <si>
    <t>00035782520178260050</t>
  </si>
  <si>
    <t>00339704520178260050</t>
  </si>
  <si>
    <t>00337585820168260050</t>
  </si>
  <si>
    <t>00890278220168260050</t>
  </si>
  <si>
    <t>00025597220178260635</t>
  </si>
  <si>
    <t>00119246220178260050</t>
  </si>
  <si>
    <t>00007894420178260635</t>
  </si>
  <si>
    <t>00653615220168260050</t>
  </si>
  <si>
    <t>00152157020178260050</t>
  </si>
  <si>
    <t>00117265920168260050</t>
  </si>
  <si>
    <t>00043221120178260635</t>
  </si>
  <si>
    <t>00450812620178260050</t>
  </si>
  <si>
    <t>00184732520168260050</t>
  </si>
  <si>
    <t>00116197820178260050</t>
  </si>
  <si>
    <t>00890234520168260050</t>
  </si>
  <si>
    <t>00038649120178260635</t>
  </si>
  <si>
    <t>00398849020178260050</t>
  </si>
  <si>
    <t>00009826820178260050</t>
  </si>
  <si>
    <t>00042595420158260635</t>
  </si>
  <si>
    <t>00168594820178260050</t>
  </si>
  <si>
    <t>00228734820178260050</t>
  </si>
  <si>
    <t>00110870720178260050</t>
  </si>
  <si>
    <t>00008803720178260635</t>
  </si>
  <si>
    <t>00030290620178260635</t>
  </si>
  <si>
    <t>00035418620178260635</t>
  </si>
  <si>
    <t>01078062220158260050</t>
  </si>
  <si>
    <t>00224741920178260050</t>
  </si>
  <si>
    <t>00121543220168260635</t>
  </si>
  <si>
    <t>00174085820178260050</t>
  </si>
  <si>
    <t>00624402320168260050</t>
  </si>
  <si>
    <t>00731587920168260050</t>
  </si>
  <si>
    <t>00135947220168260050</t>
  </si>
  <si>
    <t>00032959020178260635</t>
  </si>
  <si>
    <t>00415538120178260050</t>
  </si>
  <si>
    <t>00289796020168260050</t>
  </si>
  <si>
    <t>00310639720178260050</t>
  </si>
  <si>
    <t>00382081020178260050</t>
  </si>
  <si>
    <t>00043905820178260635</t>
  </si>
  <si>
    <t>00200235520168260050</t>
  </si>
  <si>
    <t>00551193420168260050</t>
  </si>
  <si>
    <t>00409778820178260050</t>
  </si>
  <si>
    <t>00097466820168260635</t>
  </si>
  <si>
    <t>00977161820168260050</t>
  </si>
  <si>
    <t>00145903620178260050</t>
  </si>
  <si>
    <t>00109961420178260050</t>
  </si>
  <si>
    <t>00331139620178260050</t>
  </si>
  <si>
    <t>00023163120178260635</t>
  </si>
  <si>
    <t>00704687720168260050</t>
  </si>
  <si>
    <t>00814912020168260050</t>
  </si>
  <si>
    <t>00143703820178260050</t>
  </si>
  <si>
    <t>00024644220178260635</t>
  </si>
  <si>
    <t>00390018020168260050</t>
  </si>
  <si>
    <t>00181975720178260050</t>
  </si>
  <si>
    <t>00013342620178260050</t>
  </si>
  <si>
    <t>01053818520168260050</t>
  </si>
  <si>
    <t>00049024120178260635</t>
  </si>
  <si>
    <t>00261714820178260050</t>
  </si>
  <si>
    <t>00377456820178260050</t>
  </si>
  <si>
    <t>00027165420178260050</t>
  </si>
  <si>
    <t>00109712620168260635</t>
  </si>
  <si>
    <t>00391235920178260050</t>
  </si>
  <si>
    <t>01030182820168260050</t>
  </si>
  <si>
    <t>00359026820178260050</t>
  </si>
  <si>
    <t>00717834320168260050</t>
  </si>
  <si>
    <t>00083558720168260050</t>
  </si>
  <si>
    <t>00001321420178260050</t>
  </si>
  <si>
    <t>00034664720178260635</t>
  </si>
  <si>
    <t>00132687820178260050</t>
  </si>
  <si>
    <t>01041883520168260050</t>
  </si>
  <si>
    <t>00480646620158260050</t>
  </si>
  <si>
    <t>00023951020178260635</t>
  </si>
  <si>
    <t>00325535720178260050</t>
  </si>
  <si>
    <t>00113703020178260050</t>
  </si>
  <si>
    <t>00012120420178260635</t>
  </si>
  <si>
    <t>00446907120178260050</t>
  </si>
  <si>
    <t>00009938820178260635</t>
  </si>
  <si>
    <t>00295639320178260050</t>
  </si>
  <si>
    <t>00125042020168260635</t>
  </si>
  <si>
    <t>00850594420168260050</t>
  </si>
  <si>
    <t>00036657820178260050</t>
  </si>
  <si>
    <t>00092528120178260050</t>
  </si>
  <si>
    <t>00334031420178260050</t>
  </si>
  <si>
    <t>00841344820168260050</t>
  </si>
  <si>
    <t>00101283620178260050</t>
  </si>
  <si>
    <t>00002136020178260050</t>
  </si>
  <si>
    <t>00586538320168260050</t>
  </si>
  <si>
    <t>00779744620128260050</t>
  </si>
  <si>
    <t>00253894120178260050</t>
  </si>
  <si>
    <t>00130957920168260635</t>
  </si>
  <si>
    <t>00043048720178260635</t>
  </si>
  <si>
    <t>00411865720178260050</t>
  </si>
  <si>
    <t>00261949120178260050</t>
  </si>
  <si>
    <t>00113315820168260635</t>
  </si>
  <si>
    <t>00204857520178260050</t>
  </si>
  <si>
    <t>00042832320178260050</t>
  </si>
  <si>
    <t>00101266620178260050</t>
  </si>
  <si>
    <t>00035963720178260635</t>
  </si>
  <si>
    <t>00221867120178260050</t>
  </si>
  <si>
    <t>00748216320168260050</t>
  </si>
  <si>
    <t>00028385820178260635</t>
  </si>
  <si>
    <t>00030455720178260635</t>
  </si>
  <si>
    <t>00377993420178260050</t>
  </si>
  <si>
    <t>00139489720168260050</t>
  </si>
  <si>
    <t>00258992520158260050</t>
  </si>
  <si>
    <t>00228163020178260050</t>
  </si>
  <si>
    <t>00899631020168260050</t>
  </si>
  <si>
    <t>00599243020168260050</t>
  </si>
  <si>
    <t>00808260420168260050</t>
  </si>
  <si>
    <t>00994284320168260050</t>
  </si>
  <si>
    <t>00405777420178260050</t>
  </si>
  <si>
    <t>00037185020178260635</t>
  </si>
  <si>
    <t>00034595520178260635</t>
  </si>
  <si>
    <t>00338855920178260050</t>
  </si>
  <si>
    <t>00035323620178260050</t>
  </si>
  <si>
    <t>00007566320178260050</t>
  </si>
  <si>
    <t>00216323920178260050</t>
  </si>
  <si>
    <t>00055754320178260050</t>
  </si>
  <si>
    <t>00534799320168260050</t>
  </si>
  <si>
    <t>00026838920168260635</t>
  </si>
  <si>
    <t>00649787420168260050</t>
  </si>
  <si>
    <t>00718682920168260050</t>
  </si>
  <si>
    <t>00155653220138260007</t>
  </si>
  <si>
    <t>00612996620168260050</t>
  </si>
  <si>
    <t>00120633920168260635</t>
  </si>
  <si>
    <t>00390837720178260050</t>
  </si>
  <si>
    <t>00468206820168260050</t>
  </si>
  <si>
    <t>00803670220168260050</t>
  </si>
  <si>
    <t>00036466320178260635</t>
  </si>
  <si>
    <t>00076999620178260050</t>
  </si>
  <si>
    <t>00031685520178260635</t>
  </si>
  <si>
    <t>00043992020178260635</t>
  </si>
  <si>
    <t>00333295720178260050</t>
  </si>
  <si>
    <t>00982522920168260050</t>
  </si>
  <si>
    <t>00269925220178260050</t>
  </si>
  <si>
    <t>00310223320178260050</t>
  </si>
  <si>
    <t>00634093820168260050</t>
  </si>
  <si>
    <t>00120590220168260635</t>
  </si>
  <si>
    <t>00048869620178260050</t>
  </si>
  <si>
    <t>00044740520168260050</t>
  </si>
  <si>
    <t>00125068720168260635</t>
  </si>
  <si>
    <t>00028004620178260635</t>
  </si>
  <si>
    <t>00094311520178260050</t>
  </si>
  <si>
    <t>00426363520178260050</t>
  </si>
  <si>
    <t>00168681020178260050</t>
  </si>
  <si>
    <t>00300081420178260050</t>
  </si>
  <si>
    <t>00550596120168260050</t>
  </si>
  <si>
    <t>00048972820178260050</t>
  </si>
  <si>
    <t>00844861120138260050</t>
  </si>
  <si>
    <t>00859982420168260050</t>
  </si>
  <si>
    <t>00043152820178260050</t>
  </si>
  <si>
    <t>00529861920168260050</t>
  </si>
  <si>
    <t>00204995920178260050</t>
  </si>
  <si>
    <t>00253850420178260050</t>
  </si>
  <si>
    <t>00025302220178260635</t>
  </si>
  <si>
    <t>00602647120168260050</t>
  </si>
  <si>
    <t>00031893120178260635</t>
  </si>
  <si>
    <t>00751914220168260050</t>
  </si>
  <si>
    <t>00117992220168260635</t>
  </si>
  <si>
    <t>00005799020178260635</t>
  </si>
  <si>
    <t>00262320620178260050</t>
  </si>
  <si>
    <t>00048419220178260050</t>
  </si>
  <si>
    <t>00787369620118260050</t>
  </si>
  <si>
    <t>00894166720168260050</t>
  </si>
  <si>
    <t>01011848720168260050</t>
  </si>
  <si>
    <t>00141299820168260050</t>
  </si>
  <si>
    <t>00081428620138260050</t>
  </si>
  <si>
    <t>00039489220178260635</t>
  </si>
  <si>
    <t>00045572120168260050</t>
  </si>
  <si>
    <t>00890988920138260050</t>
  </si>
  <si>
    <t>00037271220178260635</t>
  </si>
  <si>
    <t>00210114220178260050</t>
  </si>
  <si>
    <t>00038111320178260635</t>
  </si>
  <si>
    <t>00053497220168260050</t>
  </si>
  <si>
    <t>00106829320168260635</t>
  </si>
  <si>
    <t>00006266420178260635</t>
  </si>
  <si>
    <t>00130955420178260050</t>
  </si>
  <si>
    <t>00123094920138260050</t>
  </si>
  <si>
    <t>00012286420178260050</t>
  </si>
  <si>
    <t>00399853020178260050</t>
  </si>
  <si>
    <t>00011713720178260635</t>
  </si>
  <si>
    <t>00009437120178260050</t>
  </si>
  <si>
    <t>00942363220168260050</t>
  </si>
  <si>
    <t>00037660920178260635</t>
  </si>
  <si>
    <t>00314094820178260050</t>
  </si>
  <si>
    <t>00033807620178260635</t>
  </si>
  <si>
    <t>00067532720178260050</t>
  </si>
  <si>
    <t>01077831320148260050</t>
  </si>
  <si>
    <t>00334161320178260050</t>
  </si>
  <si>
    <t>00044789620178260635</t>
  </si>
  <si>
    <t>01014117720168260050</t>
  </si>
  <si>
    <t>00314865720178260050</t>
  </si>
  <si>
    <t>00063367420178260050</t>
  </si>
  <si>
    <t>00246402420178260050</t>
  </si>
  <si>
    <t>00035213220168260635</t>
  </si>
  <si>
    <t>00633781820168260050</t>
  </si>
  <si>
    <t>00386328620168260050</t>
  </si>
  <si>
    <t>00585308520168260050</t>
  </si>
  <si>
    <t>00022358220178260635</t>
  </si>
  <si>
    <t>00007487720178260635</t>
  </si>
  <si>
    <t>00035846620168260050</t>
  </si>
  <si>
    <t>00157673520178260050</t>
  </si>
  <si>
    <t>00197755520178260050</t>
  </si>
  <si>
    <t>00217051120178260050</t>
  </si>
  <si>
    <t>01040489820168260050</t>
  </si>
  <si>
    <t>00424882420178260050</t>
  </si>
  <si>
    <t>00174102820178260050</t>
  </si>
  <si>
    <t>00200345020178260050</t>
  </si>
  <si>
    <t>00019011920158260635</t>
  </si>
  <si>
    <t>00809759720168260050</t>
  </si>
  <si>
    <t>00037326820168260635</t>
  </si>
  <si>
    <t>00033885320178260635</t>
  </si>
  <si>
    <t>01040986120158260050</t>
  </si>
  <si>
    <t>00378227720178260050</t>
  </si>
  <si>
    <t>00270141320178260050</t>
  </si>
  <si>
    <t>00011141920178260635</t>
  </si>
  <si>
    <t>00370245320168260050</t>
  </si>
  <si>
    <t>00097483820168260635</t>
  </si>
  <si>
    <t>00630997120128260050</t>
  </si>
  <si>
    <t>00126315520168260635</t>
  </si>
  <si>
    <t>00250602920178260050</t>
  </si>
  <si>
    <t>00011843620178260635</t>
  </si>
  <si>
    <t>01037154920168260050</t>
  </si>
  <si>
    <t>00990560220138260050</t>
  </si>
  <si>
    <t>00022618020178260635</t>
  </si>
  <si>
    <t>00900696920168260050</t>
  </si>
  <si>
    <t>00527079620178260050</t>
  </si>
  <si>
    <t>00584229020158260050</t>
  </si>
  <si>
    <t>00846755220148260050</t>
  </si>
  <si>
    <t>00134283120168260635</t>
  </si>
  <si>
    <t>00295823620168260050</t>
  </si>
  <si>
    <t>00246783620178260050</t>
  </si>
  <si>
    <t>00208676820178260050</t>
  </si>
  <si>
    <t>00070304320178260050</t>
  </si>
  <si>
    <t>00153533720178260050</t>
  </si>
  <si>
    <t>00088632420168260635</t>
  </si>
  <si>
    <t>00174301920178260050</t>
  </si>
  <si>
    <t>00970042820168260050</t>
  </si>
  <si>
    <t>00684898020168260050</t>
  </si>
  <si>
    <t>00130905720168260635</t>
  </si>
  <si>
    <t>00711919620168260050</t>
  </si>
  <si>
    <t>00032517120178260635</t>
  </si>
  <si>
    <t>00113694520178260050</t>
  </si>
  <si>
    <t>00004265720178260635</t>
  </si>
  <si>
    <t>00132826220178260050</t>
  </si>
  <si>
    <t>00130784320168260635</t>
  </si>
  <si>
    <t>00008032820178260635</t>
  </si>
  <si>
    <t>01030494820168260050</t>
  </si>
  <si>
    <t>00269458320148260050</t>
  </si>
  <si>
    <t>00243475420178260050</t>
  </si>
  <si>
    <t>00294946120178260050</t>
  </si>
  <si>
    <t>00317030320178260050</t>
  </si>
  <si>
    <t>00221251620178260050</t>
  </si>
  <si>
    <t>00354237520178260050</t>
  </si>
  <si>
    <t>00249789520178260050</t>
  </si>
  <si>
    <t>00008284120178260635</t>
  </si>
  <si>
    <t>00026246720178260635</t>
  </si>
  <si>
    <t>00776051320168260050</t>
  </si>
  <si>
    <t>00850014120168260050</t>
  </si>
  <si>
    <t>00310240320178260050</t>
  </si>
  <si>
    <t>00173297920178260050</t>
  </si>
  <si>
    <t>00241495120168260050</t>
  </si>
  <si>
    <t>00994370520168260050</t>
  </si>
  <si>
    <t>00954627220168260050</t>
  </si>
  <si>
    <t>00125527620168260635</t>
  </si>
  <si>
    <t>01058036020168260050</t>
  </si>
  <si>
    <t>00099620420178260050</t>
  </si>
  <si>
    <t>00011921320178260635</t>
  </si>
  <si>
    <t>00982141720168260050</t>
  </si>
  <si>
    <t>00699611920168260050</t>
  </si>
  <si>
    <t>00032724720178260635</t>
  </si>
  <si>
    <t>00023397420178260635</t>
  </si>
  <si>
    <t>00110550220178260050</t>
  </si>
  <si>
    <t>00955180820168260050</t>
  </si>
  <si>
    <t>00253435220178260050</t>
  </si>
  <si>
    <t>00210703020178260050</t>
  </si>
  <si>
    <t>00130342420168260635</t>
  </si>
  <si>
    <t>00001537820178260635</t>
  </si>
  <si>
    <t>00071006020178260050</t>
  </si>
  <si>
    <t>00006430320178260635</t>
  </si>
  <si>
    <t>00138455620178260050</t>
  </si>
  <si>
    <t>00016251720178260635</t>
  </si>
  <si>
    <t>00382340820178260050</t>
  </si>
  <si>
    <t>00314207720178260050</t>
  </si>
  <si>
    <t>00119843520178260050</t>
  </si>
  <si>
    <t>00034959720178260635</t>
  </si>
  <si>
    <t>00102922620168260635</t>
  </si>
  <si>
    <t>00120501520178260050</t>
  </si>
  <si>
    <t>00242115720178260050</t>
  </si>
  <si>
    <t>00228527220178260050</t>
  </si>
  <si>
    <t>00427588220168260050</t>
  </si>
  <si>
    <t>00119083620168260635</t>
  </si>
  <si>
    <t>00193096120178260050</t>
  </si>
  <si>
    <t>00098298420168260635</t>
  </si>
  <si>
    <t>00006425220168260635</t>
  </si>
  <si>
    <t>00261238920178260050</t>
  </si>
  <si>
    <t>00103182420168260635</t>
  </si>
  <si>
    <t>00138221320178260050</t>
  </si>
  <si>
    <t>00250369820178260050</t>
  </si>
  <si>
    <t>00883054820168260050</t>
  </si>
  <si>
    <t>00006560220178260635</t>
  </si>
  <si>
    <t>00832920520158260050</t>
  </si>
  <si>
    <t>00116422420178260050</t>
  </si>
  <si>
    <t>00961368420158260050</t>
  </si>
  <si>
    <t>00089247920168260635</t>
  </si>
  <si>
    <t>00438864020168260050</t>
  </si>
  <si>
    <t>00723475620158260050</t>
  </si>
  <si>
    <t>00043638420178260050</t>
  </si>
  <si>
    <t>00276264820178260050</t>
  </si>
  <si>
    <t>00894478720168260050</t>
  </si>
  <si>
    <t>00093523620178260050</t>
  </si>
  <si>
    <t>00174077320178260050</t>
  </si>
  <si>
    <t>00250568920178260050</t>
  </si>
  <si>
    <t>00009982220178260050</t>
  </si>
  <si>
    <t>00024361120168260635</t>
  </si>
  <si>
    <t>00013827320178260635</t>
  </si>
  <si>
    <t>00534573520168260050</t>
  </si>
  <si>
    <t>00241968820178260050</t>
  </si>
  <si>
    <t>00025078520178260050</t>
  </si>
  <si>
    <t>00267047520158260050</t>
  </si>
  <si>
    <t>00815431620168260050</t>
  </si>
  <si>
    <t>00035826220178260050</t>
  </si>
  <si>
    <t>00081294820178260050</t>
  </si>
  <si>
    <t>01036011320168260050</t>
  </si>
  <si>
    <t>00562443720168260050</t>
  </si>
  <si>
    <t>00437929220168260050</t>
  </si>
  <si>
    <t>00820723520168260050</t>
  </si>
  <si>
    <t>00021840820168260635</t>
  </si>
  <si>
    <t>00818186220168260050</t>
  </si>
  <si>
    <t>00133094520178260050</t>
  </si>
  <si>
    <t>00138499320178260050</t>
  </si>
  <si>
    <t>00300783120178260050</t>
  </si>
  <si>
    <t>01057975320168260050</t>
  </si>
  <si>
    <t>00662475120168260050</t>
  </si>
  <si>
    <t>00696121620168260050</t>
  </si>
  <si>
    <t>00036786820178260635</t>
  </si>
  <si>
    <t>00130851020178260050</t>
  </si>
  <si>
    <t>00139390420178260050</t>
  </si>
  <si>
    <t>00027631920178260635</t>
  </si>
  <si>
    <t>00829591920168260050</t>
  </si>
  <si>
    <t>00019119220178260635</t>
  </si>
  <si>
    <t>00443341320168260050</t>
  </si>
  <si>
    <t>00022678720178260635</t>
  </si>
  <si>
    <t>00157300820178260050</t>
  </si>
  <si>
    <t>00189423720178260050</t>
  </si>
  <si>
    <t>00051952020178260050</t>
  </si>
  <si>
    <t>00051779620178260050</t>
  </si>
  <si>
    <t>01007717420168260050</t>
  </si>
  <si>
    <t>00054916720168260635</t>
  </si>
  <si>
    <t>00286207620178260050</t>
  </si>
  <si>
    <t>00018356820178260635</t>
  </si>
  <si>
    <t>01012558920168260050</t>
  </si>
  <si>
    <t>00181204820178260050</t>
  </si>
  <si>
    <t>00033219720178260050</t>
  </si>
  <si>
    <t>00147401720178260050</t>
  </si>
  <si>
    <t>00825954720168260050</t>
  </si>
  <si>
    <t>00126359220168260635</t>
  </si>
  <si>
    <t>00035708220168260050</t>
  </si>
  <si>
    <t>00027640420178260635</t>
  </si>
  <si>
    <t>00858069120168260050</t>
  </si>
  <si>
    <t>00809793720168260050</t>
  </si>
  <si>
    <t>00455224120168260050</t>
  </si>
  <si>
    <t>00241751520178260050</t>
  </si>
  <si>
    <t>00118182820168260635</t>
  </si>
  <si>
    <t>00731804020168260050</t>
  </si>
  <si>
    <t>00854465920168260050</t>
  </si>
  <si>
    <t>00007002120178260635</t>
  </si>
  <si>
    <t>00624705820168260050</t>
  </si>
  <si>
    <t>00006733820178260635</t>
  </si>
  <si>
    <t>01058763220168260050</t>
  </si>
  <si>
    <t>00028264420178260635</t>
  </si>
  <si>
    <t>00032482820178260050</t>
  </si>
  <si>
    <t>00040199420178260635</t>
  </si>
  <si>
    <t>00969852220168260050</t>
  </si>
  <si>
    <t>00954809320168260050</t>
  </si>
  <si>
    <t>00147575320178260050</t>
  </si>
  <si>
    <t>01050336720168260050</t>
  </si>
  <si>
    <t>00161199020178260050</t>
  </si>
  <si>
    <t>00305462920168260050</t>
  </si>
  <si>
    <t>00602577920168260050</t>
  </si>
  <si>
    <t>00090105020168260635</t>
  </si>
  <si>
    <t>00249580720178260050</t>
  </si>
  <si>
    <t>01008063420168260050</t>
  </si>
  <si>
    <t>00037739820178260635</t>
  </si>
  <si>
    <t>00215718120178260050</t>
  </si>
  <si>
    <t>00027035520178260050</t>
  </si>
  <si>
    <t>00016486020178260635</t>
  </si>
  <si>
    <t>00033131420178260635</t>
  </si>
  <si>
    <t>00585212620168260050</t>
  </si>
  <si>
    <t>00661444420168260050</t>
  </si>
  <si>
    <t>00073750920178260050</t>
  </si>
  <si>
    <t>00934810820168260050</t>
  </si>
  <si>
    <t>00124080520168260635</t>
  </si>
  <si>
    <t>00073811620178260050</t>
  </si>
  <si>
    <t>00507015320168260050</t>
  </si>
  <si>
    <t>00818220220168260050</t>
  </si>
  <si>
    <t>00197322120178260050</t>
  </si>
  <si>
    <t>00138975220178260050</t>
  </si>
  <si>
    <t>00815743620168260050</t>
  </si>
  <si>
    <t>00036691820178260050</t>
  </si>
  <si>
    <t>00194586220148260050</t>
  </si>
  <si>
    <t>00263545320168260050</t>
  </si>
  <si>
    <t>00529905620168260050</t>
  </si>
  <si>
    <t>00537198220168260050</t>
  </si>
  <si>
    <t>00731166420158260050</t>
  </si>
  <si>
    <t>00102773220178260050</t>
  </si>
  <si>
    <t>00740058120168260050</t>
  </si>
  <si>
    <t>00197478720178260050</t>
  </si>
  <si>
    <t>00015792820178260635</t>
  </si>
  <si>
    <t>00820853420168260050</t>
  </si>
  <si>
    <t>00108653920178260050</t>
  </si>
  <si>
    <t>00070962320178260050</t>
  </si>
  <si>
    <t>00043092120178260050</t>
  </si>
  <si>
    <t>00020106220178260635</t>
  </si>
  <si>
    <t>00010302720178260050</t>
  </si>
  <si>
    <t>00130869220178260050</t>
  </si>
  <si>
    <t>00008847420178260635</t>
  </si>
  <si>
    <t>00022289020178260635</t>
  </si>
  <si>
    <t>00607159620168260050</t>
  </si>
  <si>
    <t>00027147520178260635</t>
  </si>
  <si>
    <t>00668737020168260050</t>
  </si>
  <si>
    <t>00873461420158260050</t>
  </si>
  <si>
    <t>00004992920178260635</t>
  </si>
  <si>
    <t>01049017820148260050</t>
  </si>
  <si>
    <t>00534317120158260050</t>
  </si>
  <si>
    <t>00700279620168260050</t>
  </si>
  <si>
    <t>00900125120168260050</t>
  </si>
  <si>
    <t>00204510320178260050</t>
  </si>
  <si>
    <t>00102886120178260050</t>
  </si>
  <si>
    <t>00012779620178260635</t>
  </si>
  <si>
    <t>00128039420168260635</t>
  </si>
  <si>
    <t>00204459320178260050</t>
  </si>
  <si>
    <t>00032387220178260635</t>
  </si>
  <si>
    <t>00024134020178260050</t>
  </si>
  <si>
    <t>00924842520168260050</t>
  </si>
  <si>
    <t>00019880420178260635</t>
  </si>
  <si>
    <t>00101034820168260635</t>
  </si>
  <si>
    <t>01000770820168260050</t>
  </si>
  <si>
    <t>00295664820178260050</t>
  </si>
  <si>
    <t>00142750820178260050</t>
  </si>
  <si>
    <t>00122167220168260635</t>
  </si>
  <si>
    <t>01072904120118260050</t>
  </si>
  <si>
    <t>00618175620168260050</t>
  </si>
  <si>
    <t>01018854820168260050</t>
  </si>
  <si>
    <t>00857860320168260050</t>
  </si>
  <si>
    <t>00105304520168260635</t>
  </si>
  <si>
    <t>00917732020168260050</t>
  </si>
  <si>
    <t>00874619820168260050</t>
  </si>
  <si>
    <t>00134913120178260050</t>
  </si>
  <si>
    <t>00193728620178260050</t>
  </si>
  <si>
    <t>00016529720178260635</t>
  </si>
  <si>
    <t>00995080720168260050</t>
  </si>
  <si>
    <t>00218319520168260050</t>
  </si>
  <si>
    <t>00015784320178260635</t>
  </si>
  <si>
    <t>00152469020178260050</t>
  </si>
  <si>
    <t>00132958620168260635</t>
  </si>
  <si>
    <t>00815016420168260050</t>
  </si>
  <si>
    <t>00013411820178260050</t>
  </si>
  <si>
    <t>00197252920178260050</t>
  </si>
  <si>
    <t>00224486020138260050</t>
  </si>
  <si>
    <t>00110160520178260050</t>
  </si>
  <si>
    <t>00249884220178260050</t>
  </si>
  <si>
    <t>00095405420168260635</t>
  </si>
  <si>
    <t>00006760220178260050</t>
  </si>
  <si>
    <t>00515407820168260050</t>
  </si>
  <si>
    <t>00011592320178260635</t>
  </si>
  <si>
    <t>00093526120168260635</t>
  </si>
  <si>
    <t>01047279820168260050</t>
  </si>
  <si>
    <t>00276221120178260050</t>
  </si>
  <si>
    <t>00700288120168260050</t>
  </si>
  <si>
    <t>00476174420168260050</t>
  </si>
  <si>
    <t>00100374320178260050</t>
  </si>
  <si>
    <t>00200304720168260050</t>
  </si>
  <si>
    <t>00107902520168260635</t>
  </si>
  <si>
    <t>00038514320138260050</t>
  </si>
  <si>
    <t>00994041520168260050</t>
  </si>
  <si>
    <t>00017646620178260635</t>
  </si>
  <si>
    <t>00905624620168260050</t>
  </si>
  <si>
    <t>00010527620178260635</t>
  </si>
  <si>
    <t>00095888520178260050</t>
  </si>
  <si>
    <t>01009423120168260050</t>
  </si>
  <si>
    <t>00690215420168260050</t>
  </si>
  <si>
    <t>00124297820168260635</t>
  </si>
  <si>
    <t>00242618320178260050</t>
  </si>
  <si>
    <t>00035825320178260635</t>
  </si>
  <si>
    <t>00095767120178260050</t>
  </si>
  <si>
    <t>00168707720178260050</t>
  </si>
  <si>
    <t>00006630320178260050</t>
  </si>
  <si>
    <t>00001156620178260635</t>
  </si>
  <si>
    <t>00194022420178260050</t>
  </si>
  <si>
    <t>00132897920168260635</t>
  </si>
  <si>
    <t>00103190920168260635</t>
  </si>
  <si>
    <t>00900133620168260050</t>
  </si>
  <si>
    <t>00249572220178260050</t>
  </si>
  <si>
    <t>00119116320178260050</t>
  </si>
  <si>
    <t>00124555120178260050</t>
  </si>
  <si>
    <t>00253841920178260050</t>
  </si>
  <si>
    <t>00096237020168260635</t>
  </si>
  <si>
    <t>00139600520168260635</t>
  </si>
  <si>
    <t>00032993920178260050</t>
  </si>
  <si>
    <t>00120218720168260635</t>
  </si>
  <si>
    <t>00246532320178260050</t>
  </si>
  <si>
    <t>00705033720168260050</t>
  </si>
  <si>
    <t>00174138020178260050</t>
  </si>
  <si>
    <t>00006769020178260635</t>
  </si>
  <si>
    <t>00146579820178260050</t>
  </si>
  <si>
    <t>00143695320178260050</t>
  </si>
  <si>
    <t>00479725420168260050</t>
  </si>
  <si>
    <t>00020937820178260635</t>
  </si>
  <si>
    <t>00959900920168260050</t>
  </si>
  <si>
    <t>00136170920168260635</t>
  </si>
  <si>
    <t>00009722420178260050</t>
  </si>
  <si>
    <t>00035237420178260050</t>
  </si>
  <si>
    <t>00695004720168260050</t>
  </si>
  <si>
    <t>00030447220178260635</t>
  </si>
  <si>
    <t>01012827220168260050</t>
  </si>
  <si>
    <t>01011830520168260050</t>
  </si>
  <si>
    <t>00748017220168260050</t>
  </si>
  <si>
    <t>00119551020168260635</t>
  </si>
  <si>
    <t>00136985520168260635</t>
  </si>
  <si>
    <t>00123145720168260635</t>
  </si>
  <si>
    <t>00667402820168260050</t>
  </si>
  <si>
    <t>00962932320168260050</t>
  </si>
  <si>
    <t>00969835220168260050</t>
  </si>
  <si>
    <t>00774423320168260050</t>
  </si>
  <si>
    <t>00917203920168260050</t>
  </si>
  <si>
    <t>00140439320178260050</t>
  </si>
  <si>
    <t>00101121020168260635</t>
  </si>
  <si>
    <t>00106988120158260635</t>
  </si>
  <si>
    <t>00052376920178260050</t>
  </si>
  <si>
    <t>00537085320168260050</t>
  </si>
  <si>
    <t>00582779720168260050</t>
  </si>
  <si>
    <t>00006795420178260050</t>
  </si>
  <si>
    <t>00701413520168260050</t>
  </si>
  <si>
    <t>00486749720168260050</t>
  </si>
  <si>
    <t>00882899420168260050</t>
  </si>
  <si>
    <t>00793627620158260050</t>
  </si>
  <si>
    <t>00130764820178260050</t>
  </si>
  <si>
    <t>00042298220168260635</t>
  </si>
  <si>
    <t>00055615920178260050</t>
  </si>
  <si>
    <t>00078104220158260635</t>
  </si>
  <si>
    <t>00003997420178260635</t>
  </si>
  <si>
    <t>00093575820178260050</t>
  </si>
  <si>
    <t>00135426720168260635</t>
  </si>
  <si>
    <t>01058547120168260050</t>
  </si>
  <si>
    <t>00147887320178260050</t>
  </si>
  <si>
    <t>00108482820168260635</t>
  </si>
  <si>
    <t>01061794620168260050</t>
  </si>
  <si>
    <t>00039128420168260635</t>
  </si>
  <si>
    <t>00695073920168260050</t>
  </si>
  <si>
    <t>00145063520178260050</t>
  </si>
  <si>
    <t>00983042520168260050</t>
  </si>
  <si>
    <t>00022054720178260635</t>
  </si>
  <si>
    <t>00011462420178260635</t>
  </si>
  <si>
    <t>00018538920178260635</t>
  </si>
  <si>
    <t>00057211220168260635</t>
  </si>
  <si>
    <t>01011946820158260050</t>
  </si>
  <si>
    <t>00001382120178260050</t>
  </si>
  <si>
    <t>00025337420178260635</t>
  </si>
  <si>
    <t>00969627620168260050</t>
  </si>
  <si>
    <t>00715074620158260050</t>
  </si>
  <si>
    <t>00052489820178260050</t>
  </si>
  <si>
    <t>00119453820178260050</t>
  </si>
  <si>
    <t>00165113020178260050</t>
  </si>
  <si>
    <t>00467979320148260050</t>
  </si>
  <si>
    <t>00099658120168260635</t>
  </si>
  <si>
    <t>00001962420178260050</t>
  </si>
  <si>
    <t>00990768520168260050</t>
  </si>
  <si>
    <t>00889325220168260050</t>
  </si>
  <si>
    <t>00128108620168260635</t>
  </si>
  <si>
    <t>00067316620178260050</t>
  </si>
  <si>
    <t>00091845920168260635</t>
  </si>
  <si>
    <t>00135614820178260050</t>
  </si>
  <si>
    <t>00010163420178260635</t>
  </si>
  <si>
    <t>00109955420168260635</t>
  </si>
  <si>
    <t>00128636720168260635</t>
  </si>
  <si>
    <t>00095041220168260635</t>
  </si>
  <si>
    <t>00872177220168260050</t>
  </si>
  <si>
    <t>00144560920178260050</t>
  </si>
  <si>
    <t>00900202820168260050</t>
  </si>
  <si>
    <t>00007582420178260635</t>
  </si>
  <si>
    <t>00774718320168260050</t>
  </si>
  <si>
    <t>00930882020158260050</t>
  </si>
  <si>
    <t>01036470220168260050</t>
  </si>
  <si>
    <t>00110152020178260050</t>
  </si>
  <si>
    <t>00850663620168260050</t>
  </si>
  <si>
    <t>00089819720168260635</t>
  </si>
  <si>
    <t>01030243520168260050</t>
  </si>
  <si>
    <t>00122739020168260635</t>
  </si>
  <si>
    <t>00894313620168260050</t>
  </si>
  <si>
    <t>00383602920158260050</t>
  </si>
  <si>
    <t>00019233720168260540</t>
  </si>
  <si>
    <t>00011471820178260050</t>
  </si>
  <si>
    <t>00687479020168260050</t>
  </si>
  <si>
    <t>01058061520168260050</t>
  </si>
  <si>
    <t>00010225020178260050</t>
  </si>
  <si>
    <t>00603244420168260050</t>
  </si>
  <si>
    <t>00107051420178260050</t>
  </si>
  <si>
    <t>01059135920168260050</t>
  </si>
  <si>
    <t>00117447120168260635</t>
  </si>
  <si>
    <t>00608102920168260050</t>
  </si>
  <si>
    <t>00776536920168260050</t>
  </si>
  <si>
    <t>00117411920168260635</t>
  </si>
  <si>
    <t>00509478320158260050</t>
  </si>
  <si>
    <t>00008467120178260050</t>
  </si>
  <si>
    <t>00951604320168260050</t>
  </si>
  <si>
    <t>00168508620178260050</t>
  </si>
  <si>
    <t>00006786920178260050</t>
  </si>
  <si>
    <t>00197504220178260050</t>
  </si>
  <si>
    <t>00003946120178260050</t>
  </si>
  <si>
    <t>00567960220168260050</t>
  </si>
  <si>
    <t>00033305920178260050</t>
  </si>
  <si>
    <t>00810105720168260050</t>
  </si>
  <si>
    <t>00012017220178260635</t>
  </si>
  <si>
    <t>00122374820168260635</t>
  </si>
  <si>
    <t>00157742720178260050</t>
  </si>
  <si>
    <t>00003945220178260635</t>
  </si>
  <si>
    <t>00008215820178260050</t>
  </si>
  <si>
    <t>00296230320168260050</t>
  </si>
  <si>
    <t>00954661220168260050</t>
  </si>
  <si>
    <t>00007590920178260635</t>
  </si>
  <si>
    <t>00242358520178260050</t>
  </si>
  <si>
    <t>00795538720168260050</t>
  </si>
  <si>
    <t>00904308620168260050</t>
  </si>
  <si>
    <t>01020486220158260050</t>
  </si>
  <si>
    <t>00102938320178260050</t>
  </si>
  <si>
    <t>00067455020178260050</t>
  </si>
  <si>
    <t>00501239020168260050</t>
  </si>
  <si>
    <t>00209100520178260050</t>
  </si>
  <si>
    <t>00043646920178260050</t>
  </si>
  <si>
    <t>00714872120168260050</t>
  </si>
  <si>
    <t>00131373120168260635</t>
  </si>
  <si>
    <t>00232078220178260050</t>
  </si>
  <si>
    <t>00088900720168260635</t>
  </si>
  <si>
    <t>00103786920178260050</t>
  </si>
  <si>
    <t>00818705820168260050</t>
  </si>
  <si>
    <t>00116849820168260635</t>
  </si>
  <si>
    <t>00142595420178260050</t>
  </si>
  <si>
    <t>00131552720178260050</t>
  </si>
  <si>
    <t>00975161120168260050</t>
  </si>
  <si>
    <t>00006657020178260050</t>
  </si>
  <si>
    <t>00106578020168260635</t>
  </si>
  <si>
    <t>00117646220168260635</t>
  </si>
  <si>
    <t>00970805220168260050</t>
  </si>
  <si>
    <t>00461364620168260050</t>
  </si>
  <si>
    <t>00263172620168260050</t>
  </si>
  <si>
    <t>00004188020178260635</t>
  </si>
  <si>
    <t>00942207820168260050</t>
  </si>
  <si>
    <t>00900376420168260050</t>
  </si>
  <si>
    <t>00920694220168260050</t>
  </si>
  <si>
    <t>00292238620168260050</t>
  </si>
  <si>
    <t>00107738620168260635</t>
  </si>
  <si>
    <t>00215954620168260050</t>
  </si>
  <si>
    <t>00977439820168260050</t>
  </si>
  <si>
    <t>00007072220178260050</t>
  </si>
  <si>
    <t>00211032020178260050</t>
  </si>
  <si>
    <t>00904862220168260050</t>
  </si>
  <si>
    <t>00084501120168260635</t>
  </si>
  <si>
    <t>00000948420178260540</t>
  </si>
  <si>
    <t>00011982020178260635</t>
  </si>
  <si>
    <t>00858310720168260050</t>
  </si>
  <si>
    <t>01047273520158260050</t>
  </si>
  <si>
    <t>00902500720158260050</t>
  </si>
  <si>
    <t>00133339820168260635</t>
  </si>
  <si>
    <t>00136319020168260635</t>
  </si>
  <si>
    <t>00009713920178260050</t>
  </si>
  <si>
    <t>00845172620168260050</t>
  </si>
  <si>
    <t>00026515920178260050</t>
  </si>
  <si>
    <t>00829768920158260050</t>
  </si>
  <si>
    <t>00481642120158260050</t>
  </si>
  <si>
    <t>00472156020168260050</t>
  </si>
  <si>
    <t>00008207320178260050</t>
  </si>
  <si>
    <t>00151845020178260050</t>
  </si>
  <si>
    <t>00115333520168260635</t>
  </si>
  <si>
    <t>00665670420168260050</t>
  </si>
  <si>
    <t>00007306520178260050</t>
  </si>
  <si>
    <t>00698007720148260050</t>
  </si>
  <si>
    <t>00022106920178260635</t>
  </si>
  <si>
    <t>01014239120168260050</t>
  </si>
  <si>
    <t>00120192020168260635</t>
  </si>
  <si>
    <t>00970753020168260050</t>
  </si>
  <si>
    <t>00534642720168260050</t>
  </si>
  <si>
    <t>00220378520118260050</t>
  </si>
  <si>
    <t>00903849720168260050</t>
  </si>
  <si>
    <t>00043161320178260050</t>
  </si>
  <si>
    <t>00993886120168260050</t>
  </si>
  <si>
    <t>00012666720178260635</t>
  </si>
  <si>
    <t>00795737820168260050</t>
  </si>
  <si>
    <t>00464655820168260050</t>
  </si>
  <si>
    <t>00067709720168260050</t>
  </si>
  <si>
    <t>00401987020168260050</t>
  </si>
  <si>
    <t>00079158220168260635</t>
  </si>
  <si>
    <t>00307239020168260050</t>
  </si>
  <si>
    <t>00008319320178260635</t>
  </si>
  <si>
    <t>00448870220128260050</t>
  </si>
  <si>
    <t>00002828320178260635</t>
  </si>
  <si>
    <t>00092987020178260050</t>
  </si>
  <si>
    <t>00043179520178260050</t>
  </si>
  <si>
    <t>00295511620168260050</t>
  </si>
  <si>
    <t>00013905020178260635</t>
  </si>
  <si>
    <t>00066684120178260050</t>
  </si>
  <si>
    <t>00048392520178260050</t>
  </si>
  <si>
    <t>00003850220178260050</t>
  </si>
  <si>
    <t>00014017920178260635</t>
  </si>
  <si>
    <t>00093255320178260050</t>
  </si>
  <si>
    <t>00036366220168260050</t>
  </si>
  <si>
    <t>00121335620168260635</t>
  </si>
  <si>
    <t>00048595020168260050</t>
  </si>
  <si>
    <t>00051285520178260050</t>
  </si>
  <si>
    <t>00056049320178260050</t>
  </si>
  <si>
    <t>00104202120178260050</t>
  </si>
  <si>
    <t>00100279620178260050</t>
  </si>
  <si>
    <t>00210772220178260050</t>
  </si>
  <si>
    <t>00969722320168260050</t>
  </si>
  <si>
    <t>00126730720168260635</t>
  </si>
  <si>
    <t>00138630520168260635</t>
  </si>
  <si>
    <t>00133122520168260635</t>
  </si>
  <si>
    <t>00790515120168260050</t>
  </si>
  <si>
    <t>00004551020178260635</t>
  </si>
  <si>
    <t>00009749120178260050</t>
  </si>
  <si>
    <t>00136169620178260050</t>
  </si>
  <si>
    <t>00072280820168260635</t>
  </si>
  <si>
    <t>00014009420178260635</t>
  </si>
  <si>
    <t>00817830520168260050</t>
  </si>
  <si>
    <t>00823633520168260050</t>
  </si>
  <si>
    <t>00954826320168260050</t>
  </si>
  <si>
    <t>00882491520168260050</t>
  </si>
  <si>
    <t>00797706720158260050</t>
  </si>
  <si>
    <t>00421309320168260050</t>
  </si>
  <si>
    <t>00130712620178260050</t>
  </si>
  <si>
    <t>00118165820168260635</t>
  </si>
  <si>
    <t>00050809620178260050</t>
  </si>
  <si>
    <t>00899649220168260050</t>
  </si>
  <si>
    <t>00894244420168260050</t>
  </si>
  <si>
    <t>00005573220178260635</t>
  </si>
  <si>
    <t>00002637720178260635</t>
  </si>
  <si>
    <t>00073509320178260050</t>
  </si>
  <si>
    <t>00007842220178260635</t>
  </si>
  <si>
    <t>00725228420148260050</t>
  </si>
  <si>
    <t>00875719720168260050</t>
  </si>
  <si>
    <t>00033582720178260050</t>
  </si>
  <si>
    <t>00013091320178260050</t>
  </si>
  <si>
    <t>00094479120168260635</t>
  </si>
  <si>
    <t>00780563820168260050</t>
  </si>
  <si>
    <t>00005686120178260635</t>
  </si>
  <si>
    <t>00472112320168260050</t>
  </si>
  <si>
    <t>00769547820168260050</t>
  </si>
  <si>
    <t>00152027120178260050</t>
  </si>
  <si>
    <t>00430263920168260050</t>
  </si>
  <si>
    <t>00120521920168260050</t>
  </si>
  <si>
    <t>00920061720168260050</t>
  </si>
  <si>
    <t>00136380420108260050</t>
  </si>
  <si>
    <t>00003868420178260050</t>
  </si>
  <si>
    <t>00079224920178260050</t>
  </si>
  <si>
    <t>00009913020178260050</t>
  </si>
  <si>
    <t>00068635120168260635</t>
  </si>
  <si>
    <t>00007602820168260635</t>
  </si>
  <si>
    <t>00585264820168260050</t>
  </si>
  <si>
    <t>00130057120168260635</t>
  </si>
  <si>
    <t>00139165820178260050</t>
  </si>
  <si>
    <t>00808936620168260050</t>
  </si>
  <si>
    <t>00077008120178260050</t>
  </si>
  <si>
    <t>01040255520168260050</t>
  </si>
  <si>
    <t>00069008720168260050</t>
  </si>
  <si>
    <t>00803627720168260050</t>
  </si>
  <si>
    <t>00306935520168260050</t>
  </si>
  <si>
    <t>00477900520158260050</t>
  </si>
  <si>
    <t>00731787020168260050</t>
  </si>
  <si>
    <t>01037146420168260050</t>
  </si>
  <si>
    <t>00003710920178260635</t>
  </si>
  <si>
    <t>00653156320168260050</t>
  </si>
  <si>
    <t>00100220220168260635</t>
  </si>
  <si>
    <t>00002127520178260050</t>
  </si>
  <si>
    <t>00919629520168260050</t>
  </si>
  <si>
    <t>00539637920148260050</t>
  </si>
  <si>
    <t>00134437220178260050</t>
  </si>
  <si>
    <t>00119100620168260635</t>
  </si>
  <si>
    <t>00174651320168260050</t>
  </si>
  <si>
    <t>00982904120168260050</t>
  </si>
  <si>
    <t>00010277220178260050</t>
  </si>
  <si>
    <t>00582727520168260050</t>
  </si>
  <si>
    <t>00860329620168260050</t>
  </si>
  <si>
    <t>00111490920158260635</t>
  </si>
  <si>
    <t>01008652220168260050</t>
  </si>
  <si>
    <t>00870972920168260050</t>
  </si>
  <si>
    <t>00977932720168260050</t>
  </si>
  <si>
    <t>00971818920168260050</t>
  </si>
  <si>
    <t>00052446120178260050</t>
  </si>
  <si>
    <t>00012111920178260635</t>
  </si>
  <si>
    <t>00919533620168260050</t>
  </si>
  <si>
    <t>00689834220168260050</t>
  </si>
  <si>
    <t>00598178320168260050</t>
  </si>
  <si>
    <t>00065067120168260635</t>
  </si>
  <si>
    <t>00690353820168260050</t>
  </si>
  <si>
    <t>00524524620148260050</t>
  </si>
  <si>
    <t>00624437520168260050</t>
  </si>
  <si>
    <t>00517088020168260050</t>
  </si>
  <si>
    <t>00570056820168260050</t>
  </si>
  <si>
    <t>00001892320178260635</t>
  </si>
  <si>
    <t>00637523420168260050</t>
  </si>
  <si>
    <t>01055662620168260050</t>
  </si>
  <si>
    <t>00790749420168260050</t>
  </si>
  <si>
    <t>00144319320178260050</t>
  </si>
  <si>
    <t>00119081120178260050</t>
  </si>
  <si>
    <t>00029384720168260635</t>
  </si>
  <si>
    <t>00011662420178260050</t>
  </si>
  <si>
    <t>00009428620178260050</t>
  </si>
  <si>
    <t>00118763120168260635</t>
  </si>
  <si>
    <t>00100085220158260635</t>
  </si>
  <si>
    <t>00147592320178260050</t>
  </si>
  <si>
    <t>00007574820178260050</t>
  </si>
  <si>
    <t>00578474820168260050</t>
  </si>
  <si>
    <t>00262107920168260050</t>
  </si>
  <si>
    <t>00755139620158260050</t>
  </si>
  <si>
    <t>00095784120178260050</t>
  </si>
  <si>
    <t>00562885620168260050</t>
  </si>
  <si>
    <t>00078059220168260050</t>
  </si>
  <si>
    <t>00139202320168260635</t>
  </si>
  <si>
    <t>00063453620178260050</t>
  </si>
  <si>
    <t>00012548720168260635</t>
  </si>
  <si>
    <t>00665506520168260050</t>
  </si>
  <si>
    <t>00034986120178260050</t>
  </si>
  <si>
    <t>00982488920168260050</t>
  </si>
  <si>
    <t>00770128120168260050</t>
  </si>
  <si>
    <t>00150358820168260050</t>
  </si>
  <si>
    <t>00165598620178260050</t>
  </si>
  <si>
    <t>00858614220168260050</t>
  </si>
  <si>
    <t>00468068420168260050</t>
  </si>
  <si>
    <t>00063162020168260050</t>
  </si>
  <si>
    <t>00090538420168260635</t>
  </si>
  <si>
    <t>00100393820168260635</t>
  </si>
  <si>
    <t>00832510420168260050</t>
  </si>
  <si>
    <t>00473333620168260050</t>
  </si>
  <si>
    <t>00665020920168260050</t>
  </si>
  <si>
    <t>00077253620138260050</t>
  </si>
  <si>
    <t>00820740520168260050</t>
  </si>
  <si>
    <t>00751455320168260050</t>
  </si>
  <si>
    <t>00974494620168260050</t>
  </si>
  <si>
    <t>00013804020168260635</t>
  </si>
  <si>
    <t>00582796720168260050</t>
  </si>
  <si>
    <t>00946659620168260050</t>
  </si>
  <si>
    <t>00009947320178260635</t>
  </si>
  <si>
    <t>00134170220168260635</t>
  </si>
  <si>
    <t>00480297220168260050</t>
  </si>
  <si>
    <t>00087316420168260635</t>
  </si>
  <si>
    <t>00371033220168260050</t>
  </si>
  <si>
    <t>00420044820138260050</t>
  </si>
  <si>
    <t>00127009620168260050</t>
  </si>
  <si>
    <t>01011822020168260050</t>
  </si>
  <si>
    <t>00427345420168260050</t>
  </si>
  <si>
    <t>00037688520178260050</t>
  </si>
  <si>
    <t>01053791820168260050</t>
  </si>
  <si>
    <t>00027546620178260050</t>
  </si>
  <si>
    <t>00116355720168260635</t>
  </si>
  <si>
    <t>00904853720168260050</t>
  </si>
  <si>
    <t>00080040820168260635</t>
  </si>
  <si>
    <t>00755274620168260050</t>
  </si>
  <si>
    <t>00092917820178260050</t>
  </si>
  <si>
    <t>00005479420178260050</t>
  </si>
  <si>
    <t>01061327220168260050</t>
  </si>
  <si>
    <t>00140447820178260050</t>
  </si>
  <si>
    <t>00006335620178260635</t>
  </si>
  <si>
    <t>00120937420168260635</t>
  </si>
  <si>
    <t>00119802320168260635</t>
  </si>
  <si>
    <t>00414813120168260050</t>
  </si>
  <si>
    <t>00112103020168260635</t>
  </si>
  <si>
    <t>00991244420168260050</t>
  </si>
  <si>
    <t>00105616520168260635</t>
  </si>
  <si>
    <t>00288895220168260050</t>
  </si>
  <si>
    <t>00007124420178260050</t>
  </si>
  <si>
    <t>00904706820168260050</t>
  </si>
  <si>
    <t>00100341620168260635</t>
  </si>
  <si>
    <t>01074892420158260050</t>
  </si>
  <si>
    <t>00779524620168260050</t>
  </si>
  <si>
    <t>00665402120168260050</t>
  </si>
  <si>
    <t>00035664520168260050</t>
  </si>
  <si>
    <t>00066614920178260050</t>
  </si>
  <si>
    <t>00043542520178260050</t>
  </si>
  <si>
    <t>00266109320168260050</t>
  </si>
  <si>
    <t>00047806220168260635</t>
  </si>
  <si>
    <t>00510271320168260050</t>
  </si>
  <si>
    <t>00112906620178260050</t>
  </si>
  <si>
    <t>00886528120168260050</t>
  </si>
  <si>
    <t>00118806820168260635</t>
  </si>
  <si>
    <t>00809456220168260050</t>
  </si>
  <si>
    <t>00906900320158260050</t>
  </si>
  <si>
    <t>00114589320168260635</t>
  </si>
  <si>
    <t>00893976120168260050</t>
  </si>
  <si>
    <t>00955163820168260050</t>
  </si>
  <si>
    <t>00118859020168260635</t>
  </si>
  <si>
    <t>00014961220178260635</t>
  </si>
  <si>
    <t>00500017720168260050</t>
  </si>
  <si>
    <t>00678661620168260050</t>
  </si>
  <si>
    <t>00015187920178260050</t>
  </si>
  <si>
    <t>00098523020168260635</t>
  </si>
  <si>
    <t>00120902220168260635</t>
  </si>
  <si>
    <t>00102853420168260635</t>
  </si>
  <si>
    <t>00102455220168260635</t>
  </si>
  <si>
    <t>00136899320168260635</t>
  </si>
  <si>
    <t>00644928920168260050</t>
  </si>
  <si>
    <t>00039838620168260635</t>
  </si>
  <si>
    <t>00009670220178260050</t>
  </si>
  <si>
    <t>00131901220168260635</t>
  </si>
  <si>
    <t>00067299620178260050</t>
  </si>
  <si>
    <t>00006249420178260635</t>
  </si>
  <si>
    <t>00119107820178260050</t>
  </si>
  <si>
    <t>00357289320168260050</t>
  </si>
  <si>
    <t>00190933720168260050</t>
  </si>
  <si>
    <t>00955138320168260050</t>
  </si>
  <si>
    <t>00116710220168260635</t>
  </si>
  <si>
    <t>01049695720168260050</t>
  </si>
  <si>
    <t>00010510320178260050</t>
  </si>
  <si>
    <t>00005991820168260635</t>
  </si>
  <si>
    <t>00051999120168260050</t>
  </si>
  <si>
    <t>00800969020168260050</t>
  </si>
  <si>
    <t>00068889820158260635</t>
  </si>
  <si>
    <t>00134871920168260635</t>
  </si>
  <si>
    <t>00090408520168260635</t>
  </si>
  <si>
    <t>00492291720168260050</t>
  </si>
  <si>
    <t>00990482020168260050</t>
  </si>
  <si>
    <t>00124947320168260635</t>
  </si>
  <si>
    <t>00004101520178260050</t>
  </si>
  <si>
    <t>00981914220148260050</t>
  </si>
  <si>
    <t>00871683120168260050</t>
  </si>
  <si>
    <t>00635748520168260050</t>
  </si>
  <si>
    <t>00009757620178260050</t>
  </si>
  <si>
    <t>00307819320168260050</t>
  </si>
  <si>
    <t>00978496020168260050</t>
  </si>
  <si>
    <t>00035298120178260050</t>
  </si>
  <si>
    <t>00755708020168260050</t>
  </si>
  <si>
    <t>00009619220178260050</t>
  </si>
  <si>
    <t>00043456320178260050</t>
  </si>
  <si>
    <t>00117897520168260635</t>
  </si>
  <si>
    <t>00009766120178260050</t>
  </si>
  <si>
    <t>00002577020178260635</t>
  </si>
  <si>
    <t>00110154520168260635</t>
  </si>
  <si>
    <t>00011775320178260050</t>
  </si>
  <si>
    <t>00120573220168260635</t>
  </si>
  <si>
    <t>00598256020168260050</t>
  </si>
  <si>
    <t>00820827920168260050</t>
  </si>
  <si>
    <t>00803099620168260050</t>
  </si>
  <si>
    <t>00004661020158260635</t>
  </si>
  <si>
    <t>00103410420158260635</t>
  </si>
  <si>
    <t>00874377020168260050</t>
  </si>
  <si>
    <t>00105685720168260635</t>
  </si>
  <si>
    <t>00924435820168260050</t>
  </si>
  <si>
    <t>00005375020178260050</t>
  </si>
  <si>
    <t>00067394320178260050</t>
  </si>
  <si>
    <t>00111618620168260635</t>
  </si>
  <si>
    <t>00032734120178260050</t>
  </si>
  <si>
    <t>00088814520168260635</t>
  </si>
  <si>
    <t>00769746920168260050</t>
  </si>
  <si>
    <t>00781074920168260050</t>
  </si>
  <si>
    <t>00672893820168260050</t>
  </si>
  <si>
    <t>00191713120168260050</t>
  </si>
  <si>
    <t>01019495820168260050</t>
  </si>
  <si>
    <t>00942152720148260050</t>
  </si>
  <si>
    <t>00839993620168260050</t>
  </si>
  <si>
    <t>00121449420168260050</t>
  </si>
  <si>
    <t>01037163420168260050</t>
  </si>
  <si>
    <t>00009108120178260050</t>
  </si>
  <si>
    <t>00026593620178260050</t>
  </si>
  <si>
    <t>00513268720168260050</t>
  </si>
  <si>
    <t>00717947220168260050</t>
  </si>
  <si>
    <t>00505959120168260050</t>
  </si>
  <si>
    <t>00073794620178260050</t>
  </si>
  <si>
    <t>00112389520168260635</t>
  </si>
  <si>
    <t>00010605320178260635</t>
  </si>
  <si>
    <t>00140554420168260050</t>
  </si>
  <si>
    <t>00946771320168260050</t>
  </si>
  <si>
    <t>00004699120178260635</t>
  </si>
  <si>
    <t>00009627720178260050</t>
  </si>
  <si>
    <t>00001824020178260050</t>
  </si>
  <si>
    <t>00858857020168260050</t>
  </si>
  <si>
    <t>00524117920148260050</t>
  </si>
  <si>
    <t>00131339120168260635</t>
  </si>
  <si>
    <t>00045485920168260050</t>
  </si>
  <si>
    <t>00607193620168260050</t>
  </si>
  <si>
    <t>01030191320168260050</t>
  </si>
  <si>
    <t>00970008820168260050</t>
  </si>
  <si>
    <t>00954904020168260050</t>
  </si>
  <si>
    <t>00637965320168260050</t>
  </si>
  <si>
    <t>00086510320168260635</t>
  </si>
  <si>
    <t>00573469420168260050</t>
  </si>
  <si>
    <t>00427267720168260050</t>
  </si>
  <si>
    <t>00049503420168260635</t>
  </si>
  <si>
    <t>00974852520158260050</t>
  </si>
  <si>
    <t>00086788320168260635</t>
  </si>
  <si>
    <t>00951560620168260050</t>
  </si>
  <si>
    <t>00751472320168260050</t>
  </si>
  <si>
    <t>00975439120168260050</t>
  </si>
  <si>
    <t>00262818120168260050</t>
  </si>
  <si>
    <t>00871743820168260050</t>
  </si>
  <si>
    <t>00695333720168260050</t>
  </si>
  <si>
    <t>00033314420178260050</t>
  </si>
  <si>
    <t>00795478020168260050</t>
  </si>
  <si>
    <t>00916329820168260050</t>
  </si>
  <si>
    <t>00718370920168260050</t>
  </si>
  <si>
    <t>00931173620168260050</t>
  </si>
  <si>
    <t>00112328820168260635</t>
  </si>
  <si>
    <t>00916164720168260050</t>
  </si>
  <si>
    <t>00899796120168260050</t>
  </si>
  <si>
    <t>00602785520168260050</t>
  </si>
  <si>
    <t>00874636820168260050</t>
  </si>
  <si>
    <t>00118539420168260050</t>
  </si>
  <si>
    <t>00343292920168260050</t>
  </si>
  <si>
    <t>00326543120168260050</t>
  </si>
  <si>
    <t>01059248820168260050</t>
  </si>
  <si>
    <t>00052117120178260050</t>
  </si>
  <si>
    <t>00963114420168260050</t>
  </si>
  <si>
    <t>00002853820178260635</t>
  </si>
  <si>
    <t>00421282620168260050</t>
  </si>
  <si>
    <t>00836243520168260050</t>
  </si>
  <si>
    <t>00941774420168260050</t>
  </si>
  <si>
    <t>00981925620168260050</t>
  </si>
  <si>
    <t>00009912120178260635</t>
  </si>
  <si>
    <t>00004872420178260050</t>
  </si>
  <si>
    <t>00755222420168260050</t>
  </si>
  <si>
    <t>00051268520178260050</t>
  </si>
  <si>
    <t>00138475120168260635</t>
  </si>
  <si>
    <t>00825677920168260050</t>
  </si>
  <si>
    <t>00134379020168260635</t>
  </si>
  <si>
    <t>00356422520168260050</t>
  </si>
  <si>
    <t>00007895320178260050</t>
  </si>
  <si>
    <t>00122808220168260635</t>
  </si>
  <si>
    <t>00032494720168260050</t>
  </si>
  <si>
    <t>00109834020168260635</t>
  </si>
  <si>
    <t>00644608420168260050</t>
  </si>
  <si>
    <t>00378455720168260050</t>
  </si>
  <si>
    <t>01053619420168260050</t>
  </si>
  <si>
    <t>00093341520178260050</t>
  </si>
  <si>
    <t>00529922620168260050</t>
  </si>
  <si>
    <t>00118339420168260635</t>
  </si>
  <si>
    <t>00669212920168260050</t>
  </si>
  <si>
    <t>00573321320168260050</t>
  </si>
  <si>
    <t>00598021720168260050</t>
  </si>
  <si>
    <t>00975213320168260050</t>
  </si>
  <si>
    <t>00604846920168260050</t>
  </si>
  <si>
    <t>00850516720168260050</t>
  </si>
  <si>
    <t>00005671320168260635</t>
  </si>
  <si>
    <t>00585593820168260050</t>
  </si>
  <si>
    <t>01050328220168260050</t>
  </si>
  <si>
    <t>01024432020168260050</t>
  </si>
  <si>
    <t>00108275220168260635</t>
  </si>
  <si>
    <t>00951474420168260050</t>
  </si>
  <si>
    <t>00160482520168260050</t>
  </si>
  <si>
    <t>00885150220168260050</t>
  </si>
  <si>
    <t>00537950920168260050</t>
  </si>
  <si>
    <t>00982003320168260050</t>
  </si>
  <si>
    <t>00823824120168260050</t>
  </si>
  <si>
    <t>00756487420168260050</t>
  </si>
  <si>
    <t>00809923620168260050</t>
  </si>
  <si>
    <t>00113800220168260635</t>
  </si>
  <si>
    <t>00068488220168260635</t>
  </si>
  <si>
    <t>00129095620168260635</t>
  </si>
  <si>
    <t>00803280520168260050</t>
  </si>
  <si>
    <t>00141637320168260050</t>
  </si>
  <si>
    <t>00106612020168260635</t>
  </si>
  <si>
    <t>00995283220158260050</t>
  </si>
  <si>
    <t>00817718820168260050</t>
  </si>
  <si>
    <t>00871301920168260050</t>
  </si>
  <si>
    <t>00407130820168260050</t>
  </si>
  <si>
    <t>00136803420168260635</t>
  </si>
  <si>
    <t>01049790420168260050</t>
  </si>
  <si>
    <t>00543765820158260050</t>
  </si>
  <si>
    <t>00044791820168260635</t>
  </si>
  <si>
    <t>01019711920168260050</t>
  </si>
  <si>
    <t>00900454120168260050</t>
  </si>
  <si>
    <t>01058218120168260050</t>
  </si>
  <si>
    <t>00006388720178260050</t>
  </si>
  <si>
    <t>01058469420168260050</t>
  </si>
  <si>
    <t>00110552720168260635</t>
  </si>
  <si>
    <t>00993946820168260050</t>
  </si>
  <si>
    <t>00567700420168260050</t>
  </si>
  <si>
    <t>00888753420168260050</t>
  </si>
  <si>
    <t>00882970820158260050</t>
  </si>
  <si>
    <t>01030417120168260050</t>
  </si>
  <si>
    <t>00582476220168260050</t>
  </si>
  <si>
    <t>01019602420158260050</t>
  </si>
  <si>
    <t>00850334620168260050</t>
  </si>
  <si>
    <t>00760185320168260050</t>
  </si>
  <si>
    <t>00900497820168260050</t>
  </si>
  <si>
    <t>00607488620168260050</t>
  </si>
  <si>
    <t>00786029320168260050</t>
  </si>
  <si>
    <t>00004014420178260635</t>
  </si>
  <si>
    <t>00520274820168260050</t>
  </si>
  <si>
    <t>00105965920158260635</t>
  </si>
  <si>
    <t>00727100920168260050</t>
  </si>
  <si>
    <t>00032872520178260050</t>
  </si>
  <si>
    <t>00946130320168260050</t>
  </si>
  <si>
    <t>00644746820168260050</t>
  </si>
  <si>
    <t>00085677420178260050</t>
  </si>
  <si>
    <t>00053251020178260050</t>
  </si>
  <si>
    <t>00562548120168260050</t>
  </si>
  <si>
    <t>00115913820168260635</t>
  </si>
  <si>
    <t>01014074020168260050</t>
  </si>
  <si>
    <t>00930731720168260050</t>
  </si>
  <si>
    <t>00998366820158260050</t>
  </si>
  <si>
    <t>00101606620168260635</t>
  </si>
  <si>
    <t>00117819820168260635</t>
  </si>
  <si>
    <t>00895006820168260050</t>
  </si>
  <si>
    <t>00658208820158260050</t>
  </si>
  <si>
    <t>00797894420138260050</t>
  </si>
  <si>
    <t>00981674320168260050</t>
  </si>
  <si>
    <t>00076637920168260635</t>
  </si>
  <si>
    <t>00262280320168260050</t>
  </si>
  <si>
    <t>00994059720168260050</t>
  </si>
  <si>
    <t>00022326420168260635</t>
  </si>
  <si>
    <t>00644816020168260050</t>
  </si>
  <si>
    <t>00977517520168260050</t>
  </si>
  <si>
    <t>01036713020168260050</t>
  </si>
  <si>
    <t>00882483020168260050</t>
  </si>
  <si>
    <t>00607470420168260050</t>
  </si>
  <si>
    <t>00114727720168260635</t>
  </si>
  <si>
    <t>00769573320168260050</t>
  </si>
  <si>
    <t>00774848220168260050</t>
  </si>
  <si>
    <t>00818341620168260050</t>
  </si>
  <si>
    <t>00831860920168260050</t>
  </si>
  <si>
    <t>00132213220168260635</t>
  </si>
  <si>
    <t>00099951920168260635</t>
  </si>
  <si>
    <t>00977655920168260050</t>
  </si>
  <si>
    <t>00803619220168260050</t>
  </si>
  <si>
    <t>00915913420168260050</t>
  </si>
  <si>
    <t>00502771120168260050</t>
  </si>
  <si>
    <t>01043884220168260050</t>
  </si>
  <si>
    <t>00129944220168260635</t>
  </si>
  <si>
    <t>01040454620168260050</t>
  </si>
  <si>
    <t>00915073320168260050</t>
  </si>
  <si>
    <t>00537795520168260050</t>
  </si>
  <si>
    <t>00452002120168260050</t>
  </si>
  <si>
    <t>00013585420178260050</t>
  </si>
  <si>
    <t>00962647020168260050</t>
  </si>
  <si>
    <t>00701742520168260050</t>
  </si>
  <si>
    <t>00079720320168260635</t>
  </si>
  <si>
    <t>00480322720168260050</t>
  </si>
  <si>
    <t>00717626720168260050</t>
  </si>
  <si>
    <t>00068081220168260050</t>
  </si>
  <si>
    <t>00123977320168260635</t>
  </si>
  <si>
    <t>00982081020168260050</t>
  </si>
  <si>
    <t>00977915720168260050</t>
  </si>
  <si>
    <t>00123128720168260635</t>
  </si>
  <si>
    <t>00123985820168260635</t>
  </si>
  <si>
    <t>00889333720168260050</t>
  </si>
  <si>
    <t>00885947820168260050</t>
  </si>
  <si>
    <t>00045607320168260050</t>
  </si>
  <si>
    <t>00769720220168260050</t>
  </si>
  <si>
    <t>00604838420168260050</t>
  </si>
  <si>
    <t>00919741220168260050</t>
  </si>
  <si>
    <t>00836209520168260050</t>
  </si>
  <si>
    <t>00492664420168260050</t>
  </si>
  <si>
    <t>01011649620168260050</t>
  </si>
  <si>
    <t>00010700920178260050</t>
  </si>
  <si>
    <t>00108266720168260635</t>
  </si>
  <si>
    <t>00578232020168260050</t>
  </si>
  <si>
    <t>00790844120168260050</t>
  </si>
  <si>
    <t>00037523420178260050</t>
  </si>
  <si>
    <t>00113272120168260635</t>
  </si>
  <si>
    <t>00429752820168260050</t>
  </si>
  <si>
    <t>00129156320168260635</t>
  </si>
  <si>
    <t>00098514520168260635</t>
  </si>
  <si>
    <t>00126705220168260635</t>
  </si>
  <si>
    <t>00305532120168260050</t>
  </si>
  <si>
    <t>00651034220168260050</t>
  </si>
  <si>
    <t>00058311120168260635</t>
  </si>
  <si>
    <t>00775708720158260050</t>
  </si>
  <si>
    <t>00713954320168260050</t>
  </si>
  <si>
    <t>00009116620178260050</t>
  </si>
  <si>
    <t>00802839820168260050</t>
  </si>
  <si>
    <t>00461260220168260050</t>
  </si>
  <si>
    <t>00118044420168260635</t>
  </si>
  <si>
    <t>00641377920168260050</t>
  </si>
  <si>
    <t>00325971320168260050</t>
  </si>
  <si>
    <t>00220536820138260050</t>
  </si>
  <si>
    <t>00977742120168260050</t>
  </si>
  <si>
    <t>00973646020168260050</t>
  </si>
  <si>
    <t>01004273020158260050</t>
  </si>
  <si>
    <t>00899995220168260050</t>
  </si>
  <si>
    <t>00117394920168260635</t>
  </si>
  <si>
    <t>00115853120168260635</t>
  </si>
  <si>
    <t>00974287020168260050</t>
  </si>
  <si>
    <t>00436768620168260050</t>
  </si>
  <si>
    <t>00769833120168260050</t>
  </si>
  <si>
    <t>00817614420168260050</t>
  </si>
  <si>
    <t>01011406820168260050</t>
  </si>
  <si>
    <t>00199898020168260050</t>
  </si>
  <si>
    <t>00107521320168260635</t>
  </si>
  <si>
    <t>01007778120168260050</t>
  </si>
  <si>
    <t>00122911420168260635</t>
  </si>
  <si>
    <t>00927691820168260050</t>
  </si>
  <si>
    <t>01019512820168260050</t>
  </si>
  <si>
    <t>00782356920168260050</t>
  </si>
  <si>
    <t>00112215920168260635</t>
  </si>
  <si>
    <t>00516723820168260050</t>
  </si>
  <si>
    <t>00105226820168260635</t>
  </si>
  <si>
    <t>01014662820168260050</t>
  </si>
  <si>
    <t>00740456320168260050</t>
  </si>
  <si>
    <t>00626585120168260050</t>
  </si>
  <si>
    <t>00955111620168260050</t>
  </si>
  <si>
    <t>00770352720168260050</t>
  </si>
  <si>
    <t>00273947020168260050</t>
  </si>
  <si>
    <t>00748614520168260050</t>
  </si>
  <si>
    <t>00356414020168260050</t>
  </si>
  <si>
    <t>00833039720168260050</t>
  </si>
  <si>
    <t>00095621520168260635</t>
  </si>
  <si>
    <t>00631288220168260050</t>
  </si>
  <si>
    <t>00690198420168260050</t>
  </si>
  <si>
    <t>00358544620168260050</t>
  </si>
  <si>
    <t>00952452920168260050</t>
  </si>
  <si>
    <t>00700588720148260050</t>
  </si>
  <si>
    <t>00000334420178260050</t>
  </si>
  <si>
    <t>01058235120168260050</t>
  </si>
  <si>
    <t>00927605620168260050</t>
  </si>
  <si>
    <t>00268542220168260050</t>
  </si>
  <si>
    <t>00118088120168260635</t>
  </si>
  <si>
    <t>00023247620158260635</t>
  </si>
  <si>
    <t>00832398720168260050</t>
  </si>
  <si>
    <t>00920486620168260050</t>
  </si>
  <si>
    <t>00125519120168260635</t>
  </si>
  <si>
    <t>00994397220168260050</t>
  </si>
  <si>
    <t>00264169320168260050</t>
  </si>
  <si>
    <t>00007141420178260050</t>
  </si>
  <si>
    <t>00709823020168260050</t>
  </si>
  <si>
    <t>00836572520168260050</t>
  </si>
  <si>
    <t>00045502020168260635</t>
  </si>
  <si>
    <t>00890477320168260050</t>
  </si>
  <si>
    <t>00022127320168260635</t>
  </si>
  <si>
    <t>00113567120168260635</t>
  </si>
  <si>
    <t>00597900320168260050</t>
  </si>
  <si>
    <t>00112180720168260635</t>
  </si>
  <si>
    <t>00905044320168260050</t>
  </si>
  <si>
    <t>00004084520178260050</t>
  </si>
  <si>
    <t>00824136120168260050</t>
  </si>
  <si>
    <t>00885782720168260050</t>
  </si>
  <si>
    <t>00850343120168260050</t>
  </si>
  <si>
    <t>00522509820168260050</t>
  </si>
  <si>
    <t>00840816720168260050</t>
  </si>
  <si>
    <t>00850230220168260050</t>
  </si>
  <si>
    <t>00138041720168260635</t>
  </si>
  <si>
    <t>00044489520168260635</t>
  </si>
  <si>
    <t>00542671020168260050</t>
  </si>
  <si>
    <t>00769937520168260050</t>
  </si>
  <si>
    <t>00775246420168260050</t>
  </si>
  <si>
    <t>00289414820168260050</t>
  </si>
  <si>
    <t>00579038120168260050</t>
  </si>
  <si>
    <t>00836953720168260050</t>
  </si>
  <si>
    <t>00765087520168260050</t>
  </si>
  <si>
    <t>00795780320168260050</t>
  </si>
  <si>
    <t>00101900420168260635</t>
  </si>
  <si>
    <t>00573653720158260050</t>
  </si>
  <si>
    <t>00780165620168260050</t>
  </si>
  <si>
    <t>00648384520138260050</t>
  </si>
  <si>
    <t>00900168820168260050</t>
  </si>
  <si>
    <t>00279593420168260050</t>
  </si>
  <si>
    <t>00695758620168260050</t>
  </si>
  <si>
    <t>00886562120168260050</t>
  </si>
  <si>
    <t>00858216020168260050</t>
  </si>
  <si>
    <t>00452366320168260050</t>
  </si>
  <si>
    <t>00512064420168260050</t>
  </si>
  <si>
    <t>00894123020168260050</t>
  </si>
  <si>
    <t>00945974920168260050</t>
  </si>
  <si>
    <t>00970285620168260050</t>
  </si>
  <si>
    <t>00114155920168260635</t>
  </si>
  <si>
    <t>00499246820168260050</t>
  </si>
  <si>
    <t>00512670220168260050</t>
  </si>
  <si>
    <t>00092478420168260635</t>
  </si>
  <si>
    <t>00632991520118260050</t>
  </si>
  <si>
    <t>00942302520168260050</t>
  </si>
  <si>
    <t>00990343620168260050</t>
  </si>
  <si>
    <t>00689306120168260050</t>
  </si>
  <si>
    <t>00814981220168260050</t>
  </si>
  <si>
    <t>00826136820168260050</t>
  </si>
  <si>
    <t>01069887020158260050</t>
  </si>
  <si>
    <t>00917325320168260050</t>
  </si>
  <si>
    <t>00664986920168260050</t>
  </si>
  <si>
    <t>00475369520168260050</t>
  </si>
  <si>
    <t>00546863020168260050</t>
  </si>
  <si>
    <t>00782486820168260050</t>
  </si>
  <si>
    <t>00039811920168260635</t>
  </si>
  <si>
    <t>00971194920168260050</t>
  </si>
  <si>
    <t>00945767320168260050</t>
  </si>
  <si>
    <t>00900558520168260050</t>
  </si>
  <si>
    <t>00121404820168260635</t>
  </si>
  <si>
    <t>00681104220168260050</t>
  </si>
  <si>
    <t>00115325020168260635</t>
  </si>
  <si>
    <t>00689453020168260050</t>
  </si>
  <si>
    <t>00894330620168260050</t>
  </si>
  <si>
    <t>00739867520168260050</t>
  </si>
  <si>
    <t>00990672620168260050</t>
  </si>
  <si>
    <t>00064426120168260635</t>
  </si>
  <si>
    <t>00139306720168260635</t>
  </si>
  <si>
    <t>00644677620168260050</t>
  </si>
  <si>
    <t>00078967620168260635</t>
  </si>
  <si>
    <t>00871666120168260050</t>
  </si>
  <si>
    <t>00726893320168260050</t>
  </si>
  <si>
    <t>00802735420168260050</t>
  </si>
  <si>
    <t>00505655620168260050</t>
  </si>
  <si>
    <t>00174288320168260050</t>
  </si>
  <si>
    <t>00131477520168260635</t>
  </si>
  <si>
    <t>00973420220168260050</t>
  </si>
  <si>
    <t>00702582620168260050</t>
  </si>
  <si>
    <t>00044697120168260635</t>
  </si>
  <si>
    <t>00903918920168260050</t>
  </si>
  <si>
    <t>00196251120168260050</t>
  </si>
  <si>
    <t>00695126120168260050</t>
  </si>
  <si>
    <t>00735770220168260050</t>
  </si>
  <si>
    <t>00310928420168260050</t>
  </si>
  <si>
    <t>00811058720168260050</t>
  </si>
  <si>
    <t>00821148420168260050</t>
  </si>
  <si>
    <t>00199915020168260050</t>
  </si>
  <si>
    <t>00654516020168260050</t>
  </si>
  <si>
    <t>00894841720168260050</t>
  </si>
  <si>
    <t>00770006720168260050</t>
  </si>
  <si>
    <t>00341581920098260050</t>
  </si>
  <si>
    <t>00748589020168260050</t>
  </si>
  <si>
    <t>00257067320168260050</t>
  </si>
  <si>
    <t>01032775720158260050</t>
  </si>
  <si>
    <t>00818368320168260050</t>
  </si>
  <si>
    <t>00832098620158260050</t>
  </si>
  <si>
    <t>00817891220168260050</t>
  </si>
  <si>
    <t>00941887320168260050</t>
  </si>
  <si>
    <t>00886094720168260050</t>
  </si>
  <si>
    <t>01014949320168260050</t>
  </si>
  <si>
    <t>00117983720168260635</t>
  </si>
  <si>
    <t>00840444020168260050</t>
  </si>
  <si>
    <t>00713330320168260050</t>
  </si>
  <si>
    <t>00900584020168260050</t>
  </si>
  <si>
    <t>00919793420168260050</t>
  </si>
  <si>
    <t>00118823820168260635</t>
  </si>
  <si>
    <t>00977768820168260050</t>
  </si>
  <si>
    <t>00410578620168260050</t>
  </si>
  <si>
    <t>00093829620168260635</t>
  </si>
  <si>
    <t>00092539120168260635</t>
  </si>
  <si>
    <t>00024189620168260050</t>
  </si>
  <si>
    <t>00955674920168260050</t>
  </si>
  <si>
    <t>00914830520168260050</t>
  </si>
  <si>
    <t>00301479720168260050</t>
  </si>
  <si>
    <t>00573584520158260050</t>
  </si>
  <si>
    <t>00927865420168260050</t>
  </si>
  <si>
    <t>00316746520088260050</t>
  </si>
  <si>
    <t>00061732220168260635</t>
  </si>
  <si>
    <t>00722952620168260050</t>
  </si>
  <si>
    <t>00607583320168260050</t>
  </si>
  <si>
    <t>00685434620168260050</t>
  </si>
  <si>
    <t>00874532420168260050</t>
  </si>
  <si>
    <t>00919776420168260050</t>
  </si>
  <si>
    <t>00521357720168260050</t>
  </si>
  <si>
    <t>00736065220168260050</t>
  </si>
  <si>
    <t>00058536920168260635</t>
  </si>
  <si>
    <t>00798249620168260050</t>
  </si>
  <si>
    <t>00994128920168260050</t>
  </si>
  <si>
    <t>00709060620168260050</t>
  </si>
  <si>
    <t>00105677220168260635</t>
  </si>
  <si>
    <t>00486800720168260050</t>
  </si>
  <si>
    <t>00103762720168260635</t>
  </si>
  <si>
    <t>00624021120168260050</t>
  </si>
  <si>
    <t>00305454420168260050</t>
  </si>
  <si>
    <t>00581313220118260050</t>
  </si>
  <si>
    <t>00120824520168260635</t>
  </si>
  <si>
    <t>00477863120168260050</t>
  </si>
  <si>
    <t>00337793420168260050</t>
  </si>
  <si>
    <t>00097752120168260635</t>
  </si>
  <si>
    <t>00820801220168260050</t>
  </si>
  <si>
    <t>00101572320168260050</t>
  </si>
  <si>
    <t>00048456620168260050</t>
  </si>
  <si>
    <t>00945775820168260050</t>
  </si>
  <si>
    <t>00073415920168260635</t>
  </si>
  <si>
    <t>00916416020168260050</t>
  </si>
  <si>
    <t>00094885820168260635</t>
  </si>
  <si>
    <t>00048550420168260635</t>
  </si>
  <si>
    <t>00904126520168260050</t>
  </si>
  <si>
    <t>00476668520168260050</t>
  </si>
  <si>
    <t>00037837920168260635</t>
  </si>
  <si>
    <t>00164925820168260050</t>
  </si>
  <si>
    <t>00119360420168260635</t>
  </si>
  <si>
    <t>00584814420168260050</t>
  </si>
  <si>
    <t>00962993020168260050</t>
  </si>
  <si>
    <t>00815094120168260050</t>
  </si>
  <si>
    <t>00482006320158260050</t>
  </si>
  <si>
    <t>00775280420168260050</t>
  </si>
  <si>
    <t>00537942420168260050</t>
  </si>
  <si>
    <t>00823625020168260050</t>
  </si>
  <si>
    <t>00578007420168260050</t>
  </si>
  <si>
    <t>00976832820168260050</t>
  </si>
  <si>
    <t>01040117120168260050</t>
  </si>
  <si>
    <t>00790896320168260050</t>
  </si>
  <si>
    <t>00684854320168260050</t>
  </si>
  <si>
    <t>00900445620168260050</t>
  </si>
  <si>
    <t>00540390620148260050</t>
  </si>
  <si>
    <t>00850127020168260050</t>
  </si>
  <si>
    <t>00832026020168260050</t>
  </si>
  <si>
    <t>00607461920168260050</t>
  </si>
  <si>
    <t>00103875620168260635</t>
  </si>
  <si>
    <t>00023617820168260050</t>
  </si>
  <si>
    <t>00997639620158260050</t>
  </si>
  <si>
    <t>00812447320158260050</t>
  </si>
  <si>
    <t>00701162220168260050</t>
  </si>
  <si>
    <t>00941860620168260050</t>
  </si>
  <si>
    <t>00810036520168260050</t>
  </si>
  <si>
    <t>00261995020168260050</t>
  </si>
  <si>
    <t>00135895020168260050</t>
  </si>
  <si>
    <t>00394244020168260050</t>
  </si>
  <si>
    <t>00078906920168260635</t>
  </si>
  <si>
    <t>00629088420168260050</t>
  </si>
  <si>
    <t>00829271420168260050</t>
  </si>
  <si>
    <t>00100455420168260050</t>
  </si>
  <si>
    <t>00892668620168260050</t>
  </si>
  <si>
    <t>01036046520168260050</t>
  </si>
  <si>
    <t>00032087120168260635</t>
  </si>
  <si>
    <t>00042566520168260635</t>
  </si>
  <si>
    <t>00048318220168260050</t>
  </si>
  <si>
    <t>00099519720168260635</t>
  </si>
  <si>
    <t>00089958120168260635</t>
  </si>
  <si>
    <t>00796551220168260050</t>
  </si>
  <si>
    <t>00570281420168260050</t>
  </si>
  <si>
    <t>00916658820168260050</t>
  </si>
  <si>
    <t>00452331120168260050</t>
  </si>
  <si>
    <t>00624151020168260050</t>
  </si>
  <si>
    <t>00525246220168260050</t>
  </si>
  <si>
    <t>00478235820168260050</t>
  </si>
  <si>
    <t>00850196220168260050</t>
  </si>
  <si>
    <t>00070470720168260635</t>
  </si>
  <si>
    <t>00883253920168260050</t>
  </si>
  <si>
    <t>00451639120168260050</t>
  </si>
  <si>
    <t>00103615820168260635</t>
  </si>
  <si>
    <t>00096037920168260635</t>
  </si>
  <si>
    <t>00785950420168260050</t>
  </si>
  <si>
    <t>00899873820168260050</t>
  </si>
  <si>
    <t>00820602120168260050</t>
  </si>
  <si>
    <t>00061775920168260635</t>
  </si>
  <si>
    <t>00074689420168260635</t>
  </si>
  <si>
    <t>01035942120168260050</t>
  </si>
  <si>
    <t>00106777120168260635</t>
  </si>
  <si>
    <t>00836599220168260050</t>
  </si>
  <si>
    <t>00451880720168260050</t>
  </si>
  <si>
    <t>00731648620168260050</t>
  </si>
  <si>
    <t>00699672620168260050</t>
  </si>
  <si>
    <t>00871337120168260050</t>
  </si>
  <si>
    <t>00110596420168260635</t>
  </si>
  <si>
    <t>00766273620168260050</t>
  </si>
  <si>
    <t>00900471120168260050</t>
  </si>
  <si>
    <t>00055436320168260635</t>
  </si>
  <si>
    <t>00695637220168260050</t>
  </si>
  <si>
    <t>00946347620168260050</t>
  </si>
  <si>
    <t>00841968820168260050</t>
  </si>
  <si>
    <t>00538315120168260050</t>
  </si>
  <si>
    <t>00229768920168260050</t>
  </si>
  <si>
    <t>00039708720168260635</t>
  </si>
  <si>
    <t>00916372320168260050</t>
  </si>
  <si>
    <t>00099297320158260635</t>
  </si>
  <si>
    <t>00097648920168260635</t>
  </si>
  <si>
    <t>00733796220168260050</t>
  </si>
  <si>
    <t>01014758720168260050</t>
  </si>
  <si>
    <t>00871796020168260050</t>
  </si>
  <si>
    <t>00755941120168260050</t>
  </si>
  <si>
    <t>00048230820168260050</t>
  </si>
  <si>
    <t>00412059720168260050</t>
  </si>
  <si>
    <t>00915177720168260050</t>
  </si>
  <si>
    <t>00512653220168260050</t>
  </si>
  <si>
    <t>00824448120168260050</t>
  </si>
  <si>
    <t>00498655120148260050</t>
  </si>
  <si>
    <t>00323130520168260050</t>
  </si>
  <si>
    <t>00779949520168260050</t>
  </si>
  <si>
    <t>00765823220168260050</t>
  </si>
  <si>
    <t>00702201420168260050</t>
  </si>
  <si>
    <t>00094929520168260635</t>
  </si>
  <si>
    <t>00279706320168260050</t>
  </si>
  <si>
    <t>00070323820168260635</t>
  </si>
  <si>
    <t>00055249120158260635</t>
  </si>
  <si>
    <t>00136241020168260050</t>
  </si>
  <si>
    <t>00904057320168260050</t>
  </si>
  <si>
    <t>00054154320168260635</t>
  </si>
  <si>
    <t>00695974720168260050</t>
  </si>
  <si>
    <t>00756062520168260050</t>
  </si>
  <si>
    <t>00047580420168260635</t>
  </si>
  <si>
    <t>00487372520168260050</t>
  </si>
  <si>
    <t>00582952120168260050</t>
  </si>
  <si>
    <t>00088571720168260635</t>
  </si>
  <si>
    <t>00467842620168260050</t>
  </si>
  <si>
    <t>00143074720168260050</t>
  </si>
  <si>
    <t>01040621920158260050</t>
  </si>
  <si>
    <t>00783136320168260050</t>
  </si>
  <si>
    <t>00102966320168260635</t>
  </si>
  <si>
    <t>00836252020168260050</t>
  </si>
  <si>
    <t>00899943020168260050</t>
  </si>
  <si>
    <t>00522881320168260050</t>
  </si>
  <si>
    <t>00820922620168260050</t>
  </si>
  <si>
    <t>00739997420168260050</t>
  </si>
  <si>
    <t>00366486720168260050</t>
  </si>
  <si>
    <t>00142813620158260001</t>
  </si>
  <si>
    <t>00099329120168260635</t>
  </si>
  <si>
    <t>00617811420168260050</t>
  </si>
  <si>
    <t>00756403420158260050</t>
  </si>
  <si>
    <t>00924444320168260050</t>
  </si>
  <si>
    <t>00532221520098260050</t>
  </si>
  <si>
    <t>00356041320168260050</t>
  </si>
  <si>
    <t>00226555420168260050</t>
  </si>
  <si>
    <t>00498354520168260050</t>
  </si>
  <si>
    <t>00633152720158260050</t>
  </si>
  <si>
    <t>00736013020168260050</t>
  </si>
  <si>
    <t>00279767020168260050</t>
  </si>
  <si>
    <t>00095235220158260635</t>
  </si>
  <si>
    <t>00022291220168260635</t>
  </si>
  <si>
    <t>00637587520158260050</t>
  </si>
  <si>
    <t>00054535520168260635</t>
  </si>
  <si>
    <t>00814790620168260050</t>
  </si>
  <si>
    <t>00701457220168260050</t>
  </si>
  <si>
    <t>00585629020168260050</t>
  </si>
  <si>
    <t>00699785520168260050</t>
  </si>
  <si>
    <t>00119361320168260050</t>
  </si>
  <si>
    <t>00739876020168260050</t>
  </si>
  <si>
    <t>00064261020168260635</t>
  </si>
  <si>
    <t>00521244820168260050</t>
  </si>
  <si>
    <t>00969878920168260050</t>
  </si>
  <si>
    <t>00092157920168260635</t>
  </si>
  <si>
    <t>00774752320168260050</t>
  </si>
  <si>
    <t>00731527220168260050</t>
  </si>
  <si>
    <t>00803194320168260050</t>
  </si>
  <si>
    <t>00791269020168260050</t>
  </si>
  <si>
    <t>00748813620168260050</t>
  </si>
  <si>
    <t>00653814320168260050</t>
  </si>
  <si>
    <t>00711710820168260050</t>
  </si>
  <si>
    <t>00921647220168260050</t>
  </si>
  <si>
    <t>00774588420168260050</t>
  </si>
  <si>
    <t>00748233320168260050</t>
  </si>
  <si>
    <t>00824421420168260050</t>
  </si>
  <si>
    <t>00673396420168260050</t>
  </si>
  <si>
    <t>00756481120158260050</t>
  </si>
  <si>
    <t>00064166320168260635</t>
  </si>
  <si>
    <t>00690050320168260050</t>
  </si>
  <si>
    <t>00926907320158260050</t>
  </si>
  <si>
    <t>00894435020168260050</t>
  </si>
  <si>
    <t>00774570220168260050</t>
  </si>
  <si>
    <t>00941600820168260050</t>
  </si>
  <si>
    <t>00904801520168260050</t>
  </si>
  <si>
    <t>00086961620168260050</t>
  </si>
  <si>
    <t>00796100820168260050</t>
  </si>
  <si>
    <t>00850273920168260050</t>
  </si>
  <si>
    <t>00090659820168260635</t>
  </si>
  <si>
    <t>01077326520158260050</t>
  </si>
  <si>
    <t>00795385520158260050</t>
  </si>
  <si>
    <t>00068270920168260635</t>
  </si>
  <si>
    <t>01033044020158260050</t>
  </si>
  <si>
    <t>00988199420158260050</t>
  </si>
  <si>
    <t>00598455120168260050</t>
  </si>
  <si>
    <t>00010253020168260635</t>
  </si>
  <si>
    <t>00703267320168260050</t>
  </si>
  <si>
    <t>00916770520168260050</t>
  </si>
  <si>
    <t>00709078820168260050</t>
  </si>
  <si>
    <t>00795365120168260050</t>
  </si>
  <si>
    <t>00103797920168260635</t>
  </si>
  <si>
    <t>00475741020168260050</t>
  </si>
  <si>
    <t>00649848120168260050</t>
  </si>
  <si>
    <t>00113212320168260050</t>
  </si>
  <si>
    <t>00696087620168260050</t>
  </si>
  <si>
    <t>00092556120168260635</t>
  </si>
  <si>
    <t>00097475320168260635</t>
  </si>
  <si>
    <t>00709156520168260050</t>
  </si>
  <si>
    <t>00473325120168260050</t>
  </si>
  <si>
    <t>00305791920168260050</t>
  </si>
  <si>
    <t>00040618020168260635</t>
  </si>
  <si>
    <t>00078510920158260635</t>
  </si>
  <si>
    <t>00427726620168260050</t>
  </si>
  <si>
    <t>00781100420168260050</t>
  </si>
  <si>
    <t>00035221720168260635</t>
  </si>
  <si>
    <t>00100515220168260635</t>
  </si>
  <si>
    <t>00086857520168260635</t>
  </si>
  <si>
    <t>00660612820168260050</t>
  </si>
  <si>
    <t>00665298920168260050</t>
  </si>
  <si>
    <t>00823729420168260050</t>
  </si>
  <si>
    <t>00102472220168260635</t>
  </si>
  <si>
    <t>00946919420168260050</t>
  </si>
  <si>
    <t>00084821620168260635</t>
  </si>
  <si>
    <t>00824222320168260050</t>
  </si>
  <si>
    <t>00713512420168260050</t>
  </si>
  <si>
    <t>00451829720168260050</t>
  </si>
  <si>
    <t>00673457120168260050</t>
  </si>
  <si>
    <t>00520249320168260050</t>
  </si>
  <si>
    <t>00053886020168260635</t>
  </si>
  <si>
    <t>00103209120168260635</t>
  </si>
  <si>
    <t>00818056320168260050</t>
  </si>
  <si>
    <t>00649622320168260050</t>
  </si>
  <si>
    <t>00674158820168260050</t>
  </si>
  <si>
    <t>00769963020168260050</t>
  </si>
  <si>
    <t>00610589220168260050</t>
  </si>
  <si>
    <t>00102914120168260635</t>
  </si>
  <si>
    <t>00220285020168260050</t>
  </si>
  <si>
    <t>00883201720168260050</t>
  </si>
  <si>
    <t>00803401920168260050</t>
  </si>
  <si>
    <t>00066409820168260635</t>
  </si>
  <si>
    <t>00215147320118260050</t>
  </si>
  <si>
    <t>00617932820168260050</t>
  </si>
  <si>
    <t>00557204020168260050</t>
  </si>
  <si>
    <t>00066651420168260635</t>
  </si>
  <si>
    <t>00098679620168260635</t>
  </si>
  <si>
    <t>00542272820168260050</t>
  </si>
  <si>
    <t>00731630420168260050</t>
  </si>
  <si>
    <t>00178526220158260050</t>
  </si>
  <si>
    <t>00822265320168260050</t>
  </si>
  <si>
    <t>00015657820168260635</t>
  </si>
  <si>
    <t>00665229720168260050</t>
  </si>
  <si>
    <t>00809135720168260050</t>
  </si>
  <si>
    <t>00533100920168260050</t>
  </si>
  <si>
    <t>00727075420168260050</t>
  </si>
  <si>
    <t>00001260720178260050</t>
  </si>
  <si>
    <t>00003901520178260635</t>
  </si>
  <si>
    <t>00006283420178260635</t>
  </si>
  <si>
    <t>00006716820178260635</t>
  </si>
  <si>
    <t>00006881620178260050</t>
  </si>
  <si>
    <t>00999354320128260050</t>
  </si>
  <si>
    <t>00009055020178260635</t>
  </si>
  <si>
    <t>00009255020178260050</t>
  </si>
  <si>
    <t>00010711920168260635</t>
  </si>
  <si>
    <t>00013317120178260050</t>
  </si>
  <si>
    <t>00765043820168260050</t>
  </si>
  <si>
    <t>00014529020178260635</t>
  </si>
  <si>
    <t>00019733520178260635</t>
  </si>
  <si>
    <t>00020366020178260635</t>
  </si>
  <si>
    <t>00024687920178260635</t>
  </si>
  <si>
    <t>00032095620168260635</t>
  </si>
  <si>
    <t>00032586320178260635</t>
  </si>
  <si>
    <t>00034413420178260635</t>
  </si>
  <si>
    <t>00036544920178260050</t>
  </si>
  <si>
    <t>00040631620178260635</t>
  </si>
  <si>
    <t>00042693020178260635</t>
  </si>
  <si>
    <t>00043213520178260050</t>
  </si>
  <si>
    <t>00054131020158260635</t>
  </si>
  <si>
    <t>00055407420178260635</t>
  </si>
  <si>
    <t>00066667120178260050</t>
  </si>
  <si>
    <t>00068329420178260635</t>
  </si>
  <si>
    <t>00309573820178260050</t>
  </si>
  <si>
    <t>00086476320168260635</t>
  </si>
  <si>
    <t>00089983620168260635</t>
  </si>
  <si>
    <t>00091120920158260635</t>
  </si>
  <si>
    <t>00094877320168260635</t>
  </si>
  <si>
    <t>00096595820158260050</t>
  </si>
  <si>
    <t>00099666620168260635</t>
  </si>
  <si>
    <t>00100592920168260635</t>
  </si>
  <si>
    <t>00113868120178260050</t>
  </si>
  <si>
    <t>00136186620178260050</t>
  </si>
  <si>
    <t>00136610320178260050</t>
  </si>
  <si>
    <t>00139731320168260050</t>
  </si>
  <si>
    <t>00140485220168260050</t>
  </si>
  <si>
    <t>00152774720168260050</t>
  </si>
  <si>
    <t>00221944820178260050</t>
  </si>
  <si>
    <t>00251443020178260050</t>
  </si>
  <si>
    <t>00454285920178260050</t>
  </si>
  <si>
    <t>00255923720168260050</t>
  </si>
  <si>
    <t>00259393620178260050</t>
  </si>
  <si>
    <t>01040922020168260050</t>
  </si>
  <si>
    <t>00276273320178260050</t>
  </si>
  <si>
    <t>00301167720168260050</t>
  </si>
  <si>
    <t>00316952620178260050</t>
  </si>
  <si>
    <t>00327513120168260050</t>
  </si>
  <si>
    <t>00330368720178260050</t>
  </si>
  <si>
    <t>00339522420178260050</t>
  </si>
  <si>
    <t>00339549120178260050</t>
  </si>
  <si>
    <t>00349575220158260050</t>
  </si>
  <si>
    <t>00418291520178260050</t>
  </si>
  <si>
    <t>00440299220178260050</t>
  </si>
  <si>
    <t>00472291020178260050</t>
  </si>
  <si>
    <t>00492534520168260050</t>
  </si>
  <si>
    <t>00516109520168260050</t>
  </si>
  <si>
    <t>00603123020168260050</t>
  </si>
  <si>
    <t>00623065920178260050</t>
  </si>
  <si>
    <t>00666655220178260050</t>
  </si>
  <si>
    <t>00668075620178260050</t>
  </si>
  <si>
    <t>00673465620168260050</t>
  </si>
  <si>
    <t>00675116920178260050</t>
  </si>
  <si>
    <t>00689375320168260050</t>
  </si>
  <si>
    <t>00696243020168260050</t>
  </si>
  <si>
    <t>00713451720168260050</t>
  </si>
  <si>
    <t>00727318220168260050</t>
  </si>
  <si>
    <t>01050552820168260050</t>
  </si>
  <si>
    <t>00775133520168260050</t>
  </si>
  <si>
    <t>00798941620168260050</t>
  </si>
  <si>
    <t>00809248620168260050</t>
  </si>
  <si>
    <t>00809452820178260050</t>
  </si>
  <si>
    <t>00815571020108260050</t>
  </si>
  <si>
    <t>00824439620168260050</t>
  </si>
  <si>
    <t>00828905020178260050</t>
  </si>
  <si>
    <t>00832009020168260050</t>
  </si>
  <si>
    <t>00832078220168260050</t>
  </si>
  <si>
    <t>00845077920168260050</t>
  </si>
  <si>
    <t>00854462520178260050</t>
  </si>
  <si>
    <t>00871068820168260050</t>
  </si>
  <si>
    <t>00885384520168260050</t>
  </si>
  <si>
    <t>00899865320168260050</t>
  </si>
  <si>
    <t>00915081820168260050</t>
  </si>
  <si>
    <t>00915758020168260050</t>
  </si>
  <si>
    <t>00927787720168260050</t>
  </si>
  <si>
    <t>00945853520168260050</t>
  </si>
  <si>
    <t>00959892420168260050</t>
  </si>
  <si>
    <t>00962525620168260050</t>
  </si>
  <si>
    <t>00977465320168260050</t>
  </si>
  <si>
    <t>00994102220168260050</t>
  </si>
  <si>
    <t>01013372320168260050</t>
  </si>
  <si>
    <t>01036314820168260050</t>
  </si>
  <si>
    <t>01041026420168260050</t>
  </si>
  <si>
    <t>01068293020158260050</t>
  </si>
  <si>
    <t>NUM_PROCESSO</t>
  </si>
  <si>
    <t>NME_FORO</t>
  </si>
  <si>
    <t>NME_VARA</t>
  </si>
  <si>
    <t>NME_REU</t>
  </si>
  <si>
    <t>IDADE_REU</t>
  </si>
  <si>
    <t>TPO_GENERO</t>
  </si>
  <si>
    <t>DSC_COR</t>
  </si>
  <si>
    <t>00003703320178260050</t>
  </si>
  <si>
    <t>Foro Central Criminal Barra Funda</t>
  </si>
  <si>
    <t>PATRICK DE CAMPOS SAPRAGONES CANO</t>
  </si>
  <si>
    <t>M</t>
  </si>
  <si>
    <t>Pardo</t>
  </si>
  <si>
    <t>00006579320178260050</t>
  </si>
  <si>
    <t>ALEXANDRE RODRIGUES</t>
  </si>
  <si>
    <t>00007825220178260635</t>
  </si>
  <si>
    <t>ADRIANO ROGERIO RIBEIRO</t>
  </si>
  <si>
    <t>Preto</t>
  </si>
  <si>
    <t>00009201920178260635</t>
  </si>
  <si>
    <t>DILEIA OLIVEIRA DA SILVA</t>
  </si>
  <si>
    <t>F</t>
  </si>
  <si>
    <t>LUIZ FELIPE DE MIRANDA SANTOS</t>
  </si>
  <si>
    <t>00011299420178260050</t>
  </si>
  <si>
    <t>FERNANDO RIBEIRO CREMASCO</t>
  </si>
  <si>
    <t>JURANDIR JEREMIAS</t>
  </si>
  <si>
    <t>00011470920178260635</t>
  </si>
  <si>
    <t>MAURICIO DA SILVA MORAIS (Matrícula SAP 354340-2)</t>
  </si>
  <si>
    <t>ROBSON LUIZ DOS SANTOS</t>
  </si>
  <si>
    <t>00011647920168260635</t>
  </si>
  <si>
    <t>VAGNER FELIX DO NASCIMENTO</t>
  </si>
  <si>
    <t>NULL</t>
  </si>
  <si>
    <t>KAIQUE HUMBERTO DA SILVA</t>
  </si>
  <si>
    <t>00012632420178260050</t>
  </si>
  <si>
    <t>JOSE BEZERRA DA SILVA</t>
  </si>
  <si>
    <t>00028350620178260635</t>
  </si>
  <si>
    <t>BRUNA SANTOS SILVA</t>
  </si>
  <si>
    <t>00029319820158260050</t>
  </si>
  <si>
    <t>ITALO DE OLIVEIRA</t>
  </si>
  <si>
    <t>FABRICIO DE SOUZA ALVES</t>
  </si>
  <si>
    <t>00029592320168260635</t>
  </si>
  <si>
    <t>JOSEMAR JOSE DOS SANTOS</t>
  </si>
  <si>
    <t>00035774020178260050</t>
  </si>
  <si>
    <t>WINICIUS SANTOS MATOS SOARES</t>
  </si>
  <si>
    <t>00041925520168260635</t>
  </si>
  <si>
    <t>LUCAS DE SOUZA LEANDRO</t>
  </si>
  <si>
    <t>00043707620178260050</t>
  </si>
  <si>
    <t>RAFAEL SILVA DE ALMEIDA</t>
  </si>
  <si>
    <t>00044342320168260050</t>
  </si>
  <si>
    <t>JAILSON ANDRE DA SILVA</t>
  </si>
  <si>
    <t>00051957920158260635</t>
  </si>
  <si>
    <t>RUBENS APARECIDO LEITE RODRIGUES</t>
  </si>
  <si>
    <t>00055632920178260050</t>
  </si>
  <si>
    <t>PAULO PEREIRA SANTANA</t>
  </si>
  <si>
    <t>ANTONIO GOMES CAMACHO FILHO</t>
  </si>
  <si>
    <t>00058398520168260635</t>
  </si>
  <si>
    <t>RENATO LOPES DOS SANTOS</t>
  </si>
  <si>
    <t>00058897720178260635</t>
  </si>
  <si>
    <t>RONILDO JOSE PADOIM</t>
  </si>
  <si>
    <t>EDSON DOMINGUES DA SILVA JUNIOR</t>
  </si>
  <si>
    <t>00067758520178260050</t>
  </si>
  <si>
    <t>JAIR CARLOS DE MOURA JUNIOR</t>
  </si>
  <si>
    <t>00073621020178260050</t>
  </si>
  <si>
    <t>WELBER DOS SANTOS COSTA</t>
  </si>
  <si>
    <t>ALEXANDRE ALVES DOS SANTOS MAIA</t>
  </si>
  <si>
    <t>00074581620178260635</t>
  </si>
  <si>
    <t>WILLES RENATO DOS SANTOS SILVA</t>
  </si>
  <si>
    <t>00078395820168260635</t>
  </si>
  <si>
    <t>THIAGO TEIXEIRA DE LIMA</t>
  </si>
  <si>
    <t>JONATAN ALVES PAIXAO</t>
  </si>
  <si>
    <t>00081270620168260635</t>
  </si>
  <si>
    <t>KARINA APARECIDA DE OLIVEIRA</t>
  </si>
  <si>
    <t>JOSEMAR APARECIDO DE SOUZA SENNE</t>
  </si>
  <si>
    <t>00084804620168260635</t>
  </si>
  <si>
    <t>CHRISTIAN MARINHO CHAGAS</t>
  </si>
  <si>
    <t>00091473220168260635</t>
  </si>
  <si>
    <t>SERGIO CARDOSO DE SA</t>
  </si>
  <si>
    <t>EDNALDO LUIZ DA SILVA</t>
  </si>
  <si>
    <t>00092763720168260635</t>
  </si>
  <si>
    <t>VINICIUS COUTINHO DE SOUZA</t>
  </si>
  <si>
    <t>00109132320168260635</t>
  </si>
  <si>
    <t>KAIQUE SANTOS DE JESUS</t>
  </si>
  <si>
    <t>00111358820168260635</t>
  </si>
  <si>
    <t>ANDERSON MARCIANO GUARESMA</t>
  </si>
  <si>
    <t>00119964920178260050</t>
  </si>
  <si>
    <t>MAICON EMANOEL BARBOSA ARAUJO</t>
  </si>
  <si>
    <t>00120582620168260050</t>
  </si>
  <si>
    <t>ROBERTO DE SOUZA CORREIA</t>
  </si>
  <si>
    <t>00121327120168260635</t>
  </si>
  <si>
    <t>CAUE LEANDRO DA SILVA CEGARRA LYRA</t>
  </si>
  <si>
    <t>00122703820168260635</t>
  </si>
  <si>
    <t>ADALBERTO SANTOS VICENTE</t>
  </si>
  <si>
    <t>00123828420148260050</t>
  </si>
  <si>
    <t>ANA CLAUDIA VERISSIMO</t>
  </si>
  <si>
    <t>00124453220168260635</t>
  </si>
  <si>
    <t>VILSON DA COSTA CLAUDINO</t>
  </si>
  <si>
    <t>00130695620178260050</t>
  </si>
  <si>
    <t>PAULO MENDES FILHO</t>
  </si>
  <si>
    <t>00133235420168260635</t>
  </si>
  <si>
    <t>CLEVERSON PEREIRA DOS SANTOS</t>
  </si>
  <si>
    <t>00137479620168260635</t>
  </si>
  <si>
    <t>SILVANIL CAMPANHA VIEIRA</t>
  </si>
  <si>
    <t>00150124520168260050</t>
  </si>
  <si>
    <t>ODAIR JOSE COSTA SANTANA</t>
  </si>
  <si>
    <t>00156937820178260050</t>
  </si>
  <si>
    <t>VICTOR DO NASCIMENTO TAGLIACOLLI</t>
  </si>
  <si>
    <t>00160237520178260050</t>
  </si>
  <si>
    <t>LUIZ DIAS DE OLIVEIRA</t>
  </si>
  <si>
    <t>00226970620168260050</t>
  </si>
  <si>
    <t>RAFAEL DOS SANTOS VITOR</t>
  </si>
  <si>
    <t>JULIANO GOMES MARTINS</t>
  </si>
  <si>
    <t>DAYANE LAVOR LIMA</t>
  </si>
  <si>
    <t>MICHEL CARDOSO DA SILVA</t>
  </si>
  <si>
    <t>00241769720178260050</t>
  </si>
  <si>
    <t>WELLINGTON WILLIAN FELIPE DE PAULA</t>
  </si>
  <si>
    <t>00242972820178260050</t>
  </si>
  <si>
    <t>ACLEDSON SANTIAGO DE ALMEIDA</t>
  </si>
  <si>
    <t>00260139020178260050</t>
  </si>
  <si>
    <t>RONALDO GOMES DA SILVA</t>
  </si>
  <si>
    <t>00302994820168260050</t>
  </si>
  <si>
    <t>ANUNCIATO MARCELINO DE OLIVEIRA NETO</t>
  </si>
  <si>
    <t>00315544120168260050</t>
  </si>
  <si>
    <t>klaus dos santos souza</t>
  </si>
  <si>
    <t>00330614720108260050</t>
  </si>
  <si>
    <t>SONIA APARECIDA ROSSI</t>
  </si>
  <si>
    <t>Sidney da Silva Moreira</t>
  </si>
  <si>
    <t>RENATO ALEXANDRE JUNIOR</t>
  </si>
  <si>
    <t>VANDO FRANCISCO SCALEZE</t>
  </si>
  <si>
    <t>EDNEY FERREIRA MARQUES</t>
  </si>
  <si>
    <t>FERNANDO OLIVEIRA DAS NEVES</t>
  </si>
  <si>
    <t>RODRIGO UBIRAJARA DE GOUVEA</t>
  </si>
  <si>
    <t>CLEBER PILLA DOS SANTOS</t>
  </si>
  <si>
    <t>RAFAEL CHAVES FRIAS</t>
  </si>
  <si>
    <t>00382047020178260050</t>
  </si>
  <si>
    <t>CICERO DOS SANTOS SILVA</t>
  </si>
  <si>
    <t>00385660920168260050</t>
  </si>
  <si>
    <t>MARCOS PEDROSO DOS SANTOS</t>
  </si>
  <si>
    <t>00403765820128260050</t>
  </si>
  <si>
    <t>JAILTON DOS SANTOS SOARES</t>
  </si>
  <si>
    <t>00405254920158260050</t>
  </si>
  <si>
    <t>TIAGO FERREIRA ALVES</t>
  </si>
  <si>
    <t>00427942720168260050</t>
  </si>
  <si>
    <t>anderson carlos gomes da silva</t>
  </si>
  <si>
    <t>rodrigo cordeiro da silva</t>
  </si>
  <si>
    <t>00433092820178260050</t>
  </si>
  <si>
    <t>LUCIANO JOSE DA SILVA SANTOS</t>
  </si>
  <si>
    <t>00455414720168260050</t>
  </si>
  <si>
    <t>CIRO DA ROCHA NUNES DOS SANTOS</t>
  </si>
  <si>
    <t>00460013420168260050</t>
  </si>
  <si>
    <t>DONVANE SANTOS RIBEIRO</t>
  </si>
  <si>
    <t>00471633020178260050</t>
  </si>
  <si>
    <t>LEONARDO CARDOSO VIEIRA</t>
  </si>
  <si>
    <t>TATIANE BECKER DOS SANTOS</t>
  </si>
  <si>
    <t>00484791520168260050</t>
  </si>
  <si>
    <t>daniel gomes de souza</t>
  </si>
  <si>
    <t>00529703120178260050</t>
  </si>
  <si>
    <t>JOHNATAN PEREIRA DA SILVA</t>
  </si>
  <si>
    <t>00567086120168260050</t>
  </si>
  <si>
    <t>MAGNO MARTINHO DA SILVA</t>
  </si>
  <si>
    <t>00582761520168260050</t>
  </si>
  <si>
    <t>CAIO VINICIUS DE ALMEIDA SANTOS</t>
  </si>
  <si>
    <t>00585296620178260050</t>
  </si>
  <si>
    <t>ALDEM HENRIQUE FREIRE LUDUVICO</t>
  </si>
  <si>
    <t>00585845120168260050</t>
  </si>
  <si>
    <t>LUIZ PAULO SANTOS</t>
  </si>
  <si>
    <t>00592329420178260050</t>
  </si>
  <si>
    <t>HIDEKI ANTONIO DA SILVA</t>
  </si>
  <si>
    <t>00592987920148260050</t>
  </si>
  <si>
    <t>ROBERT OLIVEIRA DE JESUS</t>
  </si>
  <si>
    <t>00598429620168260050</t>
  </si>
  <si>
    <t>VICTOR HUGO AMARAL</t>
  </si>
  <si>
    <t>00626718420158260050</t>
  </si>
  <si>
    <t>GEORGE SILVA DO NASCIMENTO</t>
  </si>
  <si>
    <t>00657044820168260050</t>
  </si>
  <si>
    <t>GABRIEL CAETANO GUIMARAES ANDRADE</t>
  </si>
  <si>
    <t>00680105320178260050</t>
  </si>
  <si>
    <t>LEONARDO VINICIUS MONTEIRO DE MELO</t>
  </si>
  <si>
    <t>IGOR DA SILVA ANDRADE</t>
  </si>
  <si>
    <t>00702046020168260050</t>
  </si>
  <si>
    <t>RICARDO SATIRO DA SILVA</t>
  </si>
  <si>
    <t>SILVIO PUERTA</t>
  </si>
  <si>
    <t>00709052120168260050</t>
  </si>
  <si>
    <t>JOÃO BANDEIRA DA SILVA  ROLIM</t>
  </si>
  <si>
    <t>00769799120168260050</t>
  </si>
  <si>
    <t>MARCOS MORENO DE ALMEIDA</t>
  </si>
  <si>
    <t>00776078020168260050</t>
  </si>
  <si>
    <t>PAULO HENRIQUE FERREIRA FERNANDES</t>
  </si>
  <si>
    <t>00780970520168260050</t>
  </si>
  <si>
    <t>GABRIEL JOSE DA SILVA</t>
  </si>
  <si>
    <t>00790645020168260050</t>
  </si>
  <si>
    <t>LUCAS SOUZA ROQUE</t>
  </si>
  <si>
    <t>00817631420168260050</t>
  </si>
  <si>
    <t>FABIO JOSE DA SILVA</t>
  </si>
  <si>
    <t>00840357820168260050</t>
  </si>
  <si>
    <t>ROSE APARECIDA ALVES</t>
  </si>
  <si>
    <t>00859990920168260050</t>
  </si>
  <si>
    <t>DARCIO FRANCISCO DOS SANTOS</t>
  </si>
  <si>
    <t>00871215720168260050</t>
  </si>
  <si>
    <t>LUCAS REZENDE VIANA</t>
  </si>
  <si>
    <t>00889308220168260050</t>
  </si>
  <si>
    <t>WESLLEY MOREIRA DOS SANTOS</t>
  </si>
  <si>
    <t>00895032320168260050</t>
  </si>
  <si>
    <t>LUIZ CARLOS LEITE JUNIOR</t>
  </si>
  <si>
    <t>00900489320168260050</t>
  </si>
  <si>
    <t>WENDELL SANTOS NASCIMENTO (Matrícula SAP 522703-8)</t>
  </si>
  <si>
    <t>00904828220168260050</t>
  </si>
  <si>
    <t>RANDSON GUEDES COSTA</t>
  </si>
  <si>
    <t>00928904620168260050</t>
  </si>
  <si>
    <t>DAVID AMAECHI AGUSIONU</t>
  </si>
  <si>
    <t>00933962220168260050</t>
  </si>
  <si>
    <t>FERNANDO ROCHA DE LIMA</t>
  </si>
  <si>
    <t>00945723620168260050</t>
  </si>
  <si>
    <t>00969636120168260050</t>
  </si>
  <si>
    <t>GABRIEL SANCHEZ ORLANDO</t>
  </si>
  <si>
    <t>FERNANDO RODRIGUES SEVILHANO</t>
  </si>
  <si>
    <t>01011103320168260050</t>
  </si>
  <si>
    <t>HIAGO SOUZA DE FRANCA</t>
  </si>
  <si>
    <t>01012532220168260050</t>
  </si>
  <si>
    <t>DIEGO HENRIQUE MARTINS</t>
  </si>
  <si>
    <t>01018863320168260050</t>
  </si>
  <si>
    <t>WILTON BRUNO SILVA DE ASSIS</t>
  </si>
  <si>
    <t>01036176420168260050</t>
  </si>
  <si>
    <t>JOHNNY SOARES SANTIAGO</t>
  </si>
  <si>
    <t>JEFERSON DE SOUSA SANTOS</t>
  </si>
  <si>
    <t>01040800620168260050</t>
  </si>
  <si>
    <t>LUIZ HENRIQUE GOMES DE GODOY</t>
  </si>
  <si>
    <t>DEIVID MARQUES RAMOS</t>
  </si>
  <si>
    <t>LEANDRO RAMOS DOS SANTOS</t>
  </si>
  <si>
    <t>FELIPE AMARAL DE OLIVEIRA</t>
  </si>
  <si>
    <t>CLOVIS WEVERTON DOS SANTOS TELES</t>
  </si>
  <si>
    <t>LUCAS RENAN SOUZA SILVA</t>
  </si>
  <si>
    <t>JULIO CEZAR MARIANO DA SILVA</t>
  </si>
  <si>
    <t>HELIO ALFEU DE OLIVEIRA SCALQUETTE</t>
  </si>
  <si>
    <t>LEONARDO DA SILVA ATILIO</t>
  </si>
  <si>
    <t>TIAGO WILSON MARTINS DOS SANTOS</t>
  </si>
  <si>
    <t>FRANCISCO CELSO RIBEIRO FILHO</t>
  </si>
  <si>
    <t>KAIO WINICIUS DOS SANTOS</t>
  </si>
  <si>
    <t>PATRICK VANDIE PEREIRA</t>
  </si>
  <si>
    <t>PAULO HENRIQUE VIEIRA SILVA</t>
  </si>
  <si>
    <t>JORGE WILLIAM CANDIDO DOS SANTOS</t>
  </si>
  <si>
    <t>MICAELLI CAMBUI DA SILVA</t>
  </si>
  <si>
    <t>ROBERTO JESUS DOS SANTOS</t>
  </si>
  <si>
    <t>MARCEL APARECIDO PEREIRA</t>
  </si>
  <si>
    <t>LUCAS VINICIUS DA SILVA</t>
  </si>
  <si>
    <t>DIEGO SAMUEL CORTIS FARAVELLI</t>
  </si>
  <si>
    <t>MAXWELL DA SILVA MEDEIROS</t>
  </si>
  <si>
    <t>IVAN FAGUNDES DOS SANTOS</t>
  </si>
  <si>
    <t>JULIO CESAR COSTA DOS SANTOS</t>
  </si>
  <si>
    <t>CLAUDIO MARCOS QUEIROZ DA SILVA</t>
  </si>
  <si>
    <t>FABIO CLARINDO DA SILVA</t>
  </si>
  <si>
    <t>00059272620168260635</t>
  </si>
  <si>
    <t>MARITZA VERONICA PAULINA</t>
  </si>
  <si>
    <t>ANDERSON DE JESUS GOUVEIA</t>
  </si>
  <si>
    <t>MARCOS DOS SANTOS FERREIRA LOBESTEN</t>
  </si>
  <si>
    <t>JOSE CLAUDINO DE OLIVEIRA</t>
  </si>
  <si>
    <t>LUIS GUILHERME DA CONCEIÇÃO</t>
  </si>
  <si>
    <t>DANTE LIBANORE FILHO</t>
  </si>
  <si>
    <t>JAINE DA SILVA SOUZA</t>
  </si>
  <si>
    <t>ALESSANDRO FILGUEIRAS LIU DOS SANTOS</t>
  </si>
  <si>
    <t>LAMARCK SOUZA DE ARAUJO</t>
  </si>
  <si>
    <t>VICTOR DA SILVA COSTA</t>
  </si>
  <si>
    <t>BRUNO TEODORO DE SOUZA</t>
  </si>
  <si>
    <t>JOSE LUIS SANCHEZ MONTERO</t>
  </si>
  <si>
    <t>TIAGO FAUSTINO PLAZA</t>
  </si>
  <si>
    <t>FABIO FERREIRA NUNES</t>
  </si>
  <si>
    <t>ANGELO BOAVENTURA DELMONDES</t>
  </si>
  <si>
    <t>ROBERT CESAR DA SILVA</t>
  </si>
  <si>
    <t>WANDERLEI DA SILVA PRADO</t>
  </si>
  <si>
    <t>ALISSON FERREIRA DE LIMA</t>
  </si>
  <si>
    <t>ALBERTO DIEGO DOS REMEDIOS PEREIRA</t>
  </si>
  <si>
    <t>MOISES HENRIQUE RIBEIRO DA CUNHA</t>
  </si>
  <si>
    <t>FAGNER CLAUDISETE ALEIXO</t>
  </si>
  <si>
    <t>MARLON SULLYVAN SILVA</t>
  </si>
  <si>
    <t>GUILHERME ROCHA FONSECA</t>
  </si>
  <si>
    <t>MARCOS VINICIUS DA SILVA MATOS</t>
  </si>
  <si>
    <t>ADELSON ARGOLO TAVARES JUNIOR</t>
  </si>
  <si>
    <t>JUCELIO FELIPE DOS SANTOS</t>
  </si>
  <si>
    <t>IAGO MESSIAS AMARO</t>
  </si>
  <si>
    <t>MAURICIO AMARO DO NASCIMENTO</t>
  </si>
  <si>
    <t>FELIPE DE LIMA DA SILVA</t>
  </si>
  <si>
    <t>ALMIRO DA SILVA JUNIOR</t>
  </si>
  <si>
    <t>MAYSON KEVIN CORREIA</t>
  </si>
  <si>
    <t>ULLY DA COSTA SILVA</t>
  </si>
  <si>
    <t>WANDERSON GUILHERME VICENTE</t>
  </si>
  <si>
    <t>WAGNER BATISTA SIQUEIRA</t>
  </si>
  <si>
    <t>ANDERSON BERNARDO FELIZARDO</t>
  </si>
  <si>
    <t>MARIO SERGIO DA SILVA CERQUEIRA</t>
  </si>
  <si>
    <t>RAFAEL VINICIO SOUZA DOS SANTOS</t>
  </si>
  <si>
    <t>DIEGO DE ALMEIDA SANTOS</t>
  </si>
  <si>
    <t>JANIO DO NASCIMENTO BARROSO</t>
  </si>
  <si>
    <t>JOSEMAR DOS SANTOS</t>
  </si>
  <si>
    <t>MARCOS EDUARDO ATHAYDE DA ROCHA</t>
  </si>
  <si>
    <t>EVERTON DE JESUS CAVALCANTE ONOFRE</t>
  </si>
  <si>
    <t>HELOISA MICHELE FRANCISCA DOS SANTOS</t>
  </si>
  <si>
    <t>00521882420178260050</t>
  </si>
  <si>
    <t>RENAN DOS SANTOS MINAS</t>
  </si>
  <si>
    <t>ANDERSON BARBOSA DOS SANTOS</t>
  </si>
  <si>
    <t>MARCOS ANTONIO GONCALVES DOS SANTOS</t>
  </si>
  <si>
    <t>00532926120118260050</t>
  </si>
  <si>
    <t>ANDRE RICARDO CARDOSO SANTANA</t>
  </si>
  <si>
    <t>ARNALDO ALVES CARDOSO</t>
  </si>
  <si>
    <t>Jefferson Ribeiro da Silva</t>
  </si>
  <si>
    <t>BRUNO APARECIDO MORAIS DE SA</t>
  </si>
  <si>
    <t>ERIK BATISTA FARIA</t>
  </si>
  <si>
    <t>PAULO ROBERTO PROMECIA</t>
  </si>
  <si>
    <t>DOUGLAS NASCIMENTO LABOREDO</t>
  </si>
  <si>
    <t>RIOSO VILLARROEL VEIZAGA</t>
  </si>
  <si>
    <t>BRUNO ROSSATO DE SOUZA</t>
  </si>
  <si>
    <t>THIAGO APARECIDO DA SILVA</t>
  </si>
  <si>
    <t>EMERSON LUIZ DA SILVA PEREIRA</t>
  </si>
  <si>
    <t>WYGOR GREGORIO DA SILVA</t>
  </si>
  <si>
    <t>ELIANE RODRIGUES PEREIRA DA SILVA (ou ELIANE RODRIGES MAIA)</t>
  </si>
  <si>
    <t>MAIRA DE ALMEIDA SILVA</t>
  </si>
  <si>
    <t>RODRIGO PEREIRA DA ROCHA</t>
  </si>
  <si>
    <t>DOUGLAS GREGORIO BATISTA</t>
  </si>
  <si>
    <t>RIVALDO GABRIEL RAMOS DA SILVA</t>
  </si>
  <si>
    <t>CASSIO MENDES DE MATOS</t>
  </si>
  <si>
    <t>MATHEUS SILVA PERUCCHI</t>
  </si>
  <si>
    <t>ADRIANO DE SOUZA OLIVEIRA</t>
  </si>
  <si>
    <t>ALISSON VERA VALDEVINO</t>
  </si>
  <si>
    <t>EDMAR GONCALVES DE OLIVEIRA</t>
  </si>
  <si>
    <t>RENATO PEREIRA DOS SANTOS</t>
  </si>
  <si>
    <t>DAVID CUNHA DA MOTA</t>
  </si>
  <si>
    <t>ERASMO DOS SANTOS CANDIDO</t>
  </si>
  <si>
    <t>JACKSON ROBERTO SANTOS GONCALVES</t>
  </si>
  <si>
    <t>JACKSON FARIAS CEUTA JUNIOR</t>
  </si>
  <si>
    <t>WILSON ESTEVAO DA SILVA</t>
  </si>
  <si>
    <t>WELINTON PATRICIO DE SOUZA</t>
  </si>
  <si>
    <t>EDSON DAMASCENO TEIXEIRA</t>
  </si>
  <si>
    <t>FRANCISCO WAGNER LINS DA SILVA</t>
  </si>
  <si>
    <t>SABRYNA DYONETI PEREIRA BARRA</t>
  </si>
  <si>
    <t>JOSE HILLES RONALDO DA SILVA ARAUJO</t>
  </si>
  <si>
    <t>BRUNO DE SIQUEIRA HENRIQUE</t>
  </si>
  <si>
    <t>Amarelo</t>
  </si>
  <si>
    <t>RAFAEL FERREIRA</t>
  </si>
  <si>
    <t>JOSE WELLINGTON DO NASCIMENTO FERREIRA</t>
  </si>
  <si>
    <t>00007521720178260635</t>
  </si>
  <si>
    <t>LUIZ GUILHERME MATEUS ARAUJO DOS SANTOS</t>
  </si>
  <si>
    <t>THIAGO AMORIM CARTAXO</t>
  </si>
  <si>
    <t>MARIVAM DA SILVA</t>
  </si>
  <si>
    <t>MATHEUS CARDOSO</t>
  </si>
  <si>
    <t>GUILHERME DAS NEVES</t>
  </si>
  <si>
    <t>MILENA DE PAULA DIAS</t>
  </si>
  <si>
    <t>ADIMILSON BASILIO LOPES</t>
  </si>
  <si>
    <t>CLEBER BASTOS BARRETO</t>
  </si>
  <si>
    <t>Antony Ricardo Madeira dos Santos</t>
  </si>
  <si>
    <t>Victor Vicente Aleixo Silva</t>
  </si>
  <si>
    <t>Cleyton Gomes Orrico</t>
  </si>
  <si>
    <t>Bruno Rodrigo Silva de Lemos</t>
  </si>
  <si>
    <t>Reginaldo Souza dos Santos</t>
  </si>
  <si>
    <t>Luciano Emerson da Silva Nascimento</t>
  </si>
  <si>
    <t>Israel da Silva Dias</t>
  </si>
  <si>
    <t>00056996520138260050</t>
  </si>
  <si>
    <t>WILSON MISAEL DE JESUS CARDOSO SANTOS</t>
  </si>
  <si>
    <t>CLOVIS DOS SANTOS FILHO</t>
  </si>
  <si>
    <t>FABIO BATISTA DE LIMA</t>
  </si>
  <si>
    <t>WASHINGTON MIRANDA MOREIRA</t>
  </si>
  <si>
    <t>DANIEL ROCHA PEREIRA PINTO</t>
  </si>
  <si>
    <t>ALEX GABRIEL COELHO DE ARAUJO</t>
  </si>
  <si>
    <t>TELMA APARECIDA DA SILVA RIBEIRO</t>
  </si>
  <si>
    <t>BRUNO FERREIRA SANTOS</t>
  </si>
  <si>
    <t>AYRTON MATEUS MENDONÇA DA SILVA</t>
  </si>
  <si>
    <t>00104607120158260050</t>
  </si>
  <si>
    <t>NALBERT IAGO VIEIRA AZEVEDO</t>
  </si>
  <si>
    <t>RICARDO SILVA DE PAULA</t>
  </si>
  <si>
    <t>GUILHERME DE LIMA</t>
  </si>
  <si>
    <t>RALPH MARTON WEIRICH</t>
  </si>
  <si>
    <t>Douglas Antonio Bernardino</t>
  </si>
  <si>
    <t>ALEX SANDRO AGUIAR DA SILVA</t>
  </si>
  <si>
    <t>ADRIANO PEREIRA</t>
  </si>
  <si>
    <t>ADRIANO THIAGO DA SILVA</t>
  </si>
  <si>
    <t>00157052920168260050</t>
  </si>
  <si>
    <t>GABRIEL MARCAL VIRGILIO</t>
  </si>
  <si>
    <t>DANILO ALMEIDA SANTOS</t>
  </si>
  <si>
    <t>RODRIGO AGILSON DOS SANTOS SILVA</t>
  </si>
  <si>
    <t>VITOR VAGNER DOS SANTOS SILVA</t>
  </si>
  <si>
    <t>CAIO BARBOSA INACIO</t>
  </si>
  <si>
    <t>00342132320168260050</t>
  </si>
  <si>
    <t>AILTON ALVES DOS SANTOS</t>
  </si>
  <si>
    <t>00358689320178260050</t>
  </si>
  <si>
    <t>THIAGO DA SILVA RIBEIRO</t>
  </si>
  <si>
    <t>ANA ALINE CARDOSO TOSO</t>
  </si>
  <si>
    <t>JADE DE SOUZA MENDES</t>
  </si>
  <si>
    <t>ALESSANDRO DE OLIVEIRA SOARES</t>
  </si>
  <si>
    <t>FELIPE SANTOS ACIOLE</t>
  </si>
  <si>
    <t>ALDEMIR DE OLIVEIRA</t>
  </si>
  <si>
    <t>00455080420098260050</t>
  </si>
  <si>
    <t>Diego Ribeiro da Silva</t>
  </si>
  <si>
    <t>Fernando Pereira Lacerda</t>
  </si>
  <si>
    <t>CLEVTOM CARVALHO DA SILVA</t>
  </si>
  <si>
    <t>VERISSIMO OLIVEIRA DE SOUZA FILHO</t>
  </si>
  <si>
    <t>00529801220168260050</t>
  </si>
  <si>
    <t>DENISE RODRIGUES DE ARAUJO</t>
  </si>
  <si>
    <t>CARLOS ALBERTO MALANZUK</t>
  </si>
  <si>
    <t>ANDERSON ALBERTO DE OLIVEIRA</t>
  </si>
  <si>
    <t>PAULO ROBERTO KIILER</t>
  </si>
  <si>
    <t>MAURICIO VIEIRA DE MACEDO</t>
  </si>
  <si>
    <t>RUTEMBERG DA SILVA</t>
  </si>
  <si>
    <t>ANTONIO GERALDO DE SOUZA</t>
  </si>
  <si>
    <t>BRUNA TOMAZ DA CONCEICAO</t>
  </si>
  <si>
    <t>JONATAN BRANDÃO MELO</t>
  </si>
  <si>
    <t>TIAGO GUEDES CAVALCANTE GIGLIO</t>
  </si>
  <si>
    <t>MARCIO MORAES JUNIOR</t>
  </si>
  <si>
    <t>ELIVELTON DE OLIVEIRA ELOY</t>
  </si>
  <si>
    <t>DANIEL PEREIRA DOS SANTOS</t>
  </si>
  <si>
    <t>JHONATAN DANTAS ALVES DE LUNA</t>
  </si>
  <si>
    <t>JHONATAN BARBOSA DA SILVA</t>
  </si>
  <si>
    <t>VALDEMIR LOBO FILHO</t>
  </si>
  <si>
    <t>DENIS MAXIMO DA SILVA</t>
  </si>
  <si>
    <t>RENATO DE PAULA</t>
  </si>
  <si>
    <t>00815114520158260050</t>
  </si>
  <si>
    <t>DIOU DE OLIVEIRA MIRANDA</t>
  </si>
  <si>
    <t>LEANDRO DOS SANTOS</t>
  </si>
  <si>
    <t>ROGERIO MOREIRA JUNIOR</t>
  </si>
  <si>
    <t>EVANDRO SOUZA DA SILVA</t>
  </si>
  <si>
    <t>CARLOS EDUARDO MARTINS</t>
  </si>
  <si>
    <t>LUAN DE JESUS VIANA</t>
  </si>
  <si>
    <t>MURILO TERRAS DE ALMEIDA</t>
  </si>
  <si>
    <t>ALEF LUIZ DOS SANTOS</t>
  </si>
  <si>
    <t>ANTONIO CARLOS PEREIRA SANTOS</t>
  </si>
  <si>
    <t>PAULO ALVES</t>
  </si>
  <si>
    <t>JORGE COCA PAZ</t>
  </si>
  <si>
    <t>FABIO ALEIXO DA SILVA</t>
  </si>
  <si>
    <t>WILLY ALBERTO CRESPO PAZ</t>
  </si>
  <si>
    <t>ANTONIO FRANCISCO LOPES DE MEDEIROS</t>
  </si>
  <si>
    <t>00907203820158260050</t>
  </si>
  <si>
    <t>JONATHAN COSTA DIAS</t>
  </si>
  <si>
    <t>DIEGO SANTOS LEMES DE SOUZA</t>
  </si>
  <si>
    <t>GETULIO NASCIMENTO BARROS</t>
  </si>
  <si>
    <t>ANGELO FARIA DE OLIVEIRA</t>
  </si>
  <si>
    <t>MARCOS GUILHERME NUNES CAMPOS</t>
  </si>
  <si>
    <t>MATEUS DOMINGOS DA SILVA</t>
  </si>
  <si>
    <t>00930772020178260050</t>
  </si>
  <si>
    <t>SAMUEL MESSIAS DA SILVA LINS</t>
  </si>
  <si>
    <t>MARCOS ROBERTO SOARES SANTIAGO</t>
  </si>
  <si>
    <t>WILLIAN DE JESUS NASCIMENTO</t>
  </si>
  <si>
    <t>MARCOS PAULO FIDELIS</t>
  </si>
  <si>
    <t>BRUNO BATISTA DA SILVA</t>
  </si>
  <si>
    <t>EMERSON JUNIOR BARBOSA DE ALMEIDA</t>
  </si>
  <si>
    <t>CARLOS EDUARDO DE SOUZA</t>
  </si>
  <si>
    <t>00988460920178260050</t>
  </si>
  <si>
    <t>MAXWELL SABINO</t>
  </si>
  <si>
    <t>RODNEY DO NASCIMENTO LEITE</t>
  </si>
  <si>
    <t>01000207320058260050</t>
  </si>
  <si>
    <t>Antonio Carlos Pinheiro</t>
  </si>
  <si>
    <t>Luis Choqueira Vargas</t>
  </si>
  <si>
    <t>Juan Carlos Talamas</t>
  </si>
  <si>
    <t>José Antonio Cucolo</t>
  </si>
  <si>
    <t>Marcelo Arcanjo dos Santos</t>
  </si>
  <si>
    <t>LEANDRO RODRIGUES DOS SANTOS PIRES</t>
  </si>
  <si>
    <t>01169952920128260050</t>
  </si>
  <si>
    <t>DOUGLAS TEODORO DAVATZ</t>
  </si>
  <si>
    <t>WILSON RODRIGUES DOS SANTOS</t>
  </si>
  <si>
    <t>ISAQUE SILVA COELHO</t>
  </si>
  <si>
    <t>RENAN LUIS DA SILVA</t>
  </si>
  <si>
    <t>BRUNO ROMANO MARQUES</t>
  </si>
  <si>
    <t>CLAYTON SOUZA SOARES</t>
  </si>
  <si>
    <t>ÁLVARO PINTO JUNIOR</t>
  </si>
  <si>
    <t>BRUNO MARCELINO TRINCI</t>
  </si>
  <si>
    <t>ALEXANDRE TITO AMÂNCIO</t>
  </si>
  <si>
    <t>MARCIO ANTONIO TEODORO</t>
  </si>
  <si>
    <t>GRACIETE LOPES DE SOUSA</t>
  </si>
  <si>
    <t>VINICIUS BATISTA DOS SANTOS</t>
  </si>
  <si>
    <t>GUILHERME ROBERTO DOS SANTOS NASCIMENTO</t>
  </si>
  <si>
    <t>SHIRLEY BORGES</t>
  </si>
  <si>
    <t>CARLOS RICARDO FERREIRA</t>
  </si>
  <si>
    <t>DIEGO FERNANDES RODRIGUES BRAGA</t>
  </si>
  <si>
    <t>CAIQUE ALMEIDA CHAVES</t>
  </si>
  <si>
    <t>AMAURY SILVA DE SOUSA</t>
  </si>
  <si>
    <t>FILIPE CAMPOS GUIMARAES</t>
  </si>
  <si>
    <t>LIGIA SANCHES MORO</t>
  </si>
  <si>
    <t>ALEX CESAR MACIEL</t>
  </si>
  <si>
    <t>REGINALDO FLORÊNCIO DA COSTA</t>
  </si>
  <si>
    <t>00089610920168260635</t>
  </si>
  <si>
    <t>FERNANDO SOARES DA SILVA</t>
  </si>
  <si>
    <t>FRANCISCO GONÇALVES DE SOUZA FILHO</t>
  </si>
  <si>
    <t>VITOR VIANA NASCIMENTO</t>
  </si>
  <si>
    <t>JULIO CESAR GOIS DA SILVA</t>
  </si>
  <si>
    <t>FRANCIELE SILVA DOS SANTOS</t>
  </si>
  <si>
    <t>00110329119968260050</t>
  </si>
  <si>
    <t>ROGERIO DA SILVA</t>
  </si>
  <si>
    <t>PAULO JOSE DA SILVA</t>
  </si>
  <si>
    <t>ROBSON DE MOURA SILVA</t>
  </si>
  <si>
    <t>LEANDRO MARTINS DOS SANTOS</t>
  </si>
  <si>
    <t>RHAONY ANTONY DAMIÃO</t>
  </si>
  <si>
    <t>DIEGO HENRIQUE CARLOS DA SILVA</t>
  </si>
  <si>
    <t>CLEBER CRISTIANO CORREA</t>
  </si>
  <si>
    <t>ANTONIO OSMAR ALVES DA SILVA</t>
  </si>
  <si>
    <t>DARIO OLIVEIRA SILVA JUNIOR</t>
  </si>
  <si>
    <t>00148089820168260050</t>
  </si>
  <si>
    <t>GABRIEL PITTA RIBEIRO</t>
  </si>
  <si>
    <t>00186225020188260050</t>
  </si>
  <si>
    <t>JUCELI PORTO FEITOZA</t>
  </si>
  <si>
    <t>GUILHERME NASCIMENTO DIOGO DE LIMA</t>
  </si>
  <si>
    <t>00208994420158260050</t>
  </si>
  <si>
    <t>YAGO WIRTHMANN STORNIOLI</t>
  </si>
  <si>
    <t>WILKER CAMARGO FERREIRA</t>
  </si>
  <si>
    <t>ARLEY SANTOS VEIGA</t>
  </si>
  <si>
    <t>JONATHAN PEREIRA DA SILVA</t>
  </si>
  <si>
    <t>LUIS CARLOS NOGUEIRA MACHADO</t>
  </si>
  <si>
    <t>ANIZIO ICARO LIMA VIEIRA</t>
  </si>
  <si>
    <t>00339513920178260050</t>
  </si>
  <si>
    <t>JHONATAN LUIZ LIMA DE OLIVEIRA</t>
  </si>
  <si>
    <t>00343705920178260050</t>
  </si>
  <si>
    <t>EDUARDO AURELIANO DA SILVA</t>
  </si>
  <si>
    <t>AIRON APARECIDO FERREIRA CARLOS</t>
  </si>
  <si>
    <t>ANDRÉ JULIANO CHIARELLI</t>
  </si>
  <si>
    <t>00399108820178260050</t>
  </si>
  <si>
    <t>LEONARDO HENRIQUE CAMPOS MEDEIROS</t>
  </si>
  <si>
    <t>00409129320178260050</t>
  </si>
  <si>
    <t>PAULO RICARDO DA SILVA MACEDO</t>
  </si>
  <si>
    <t>JHONATA ALEXANDRE FEITOZA DA SILVA</t>
  </si>
  <si>
    <t>MANOEL CAETANO DE ANDRADE</t>
  </si>
  <si>
    <t>MARIA DAS GRACAS BATISTA DOS SANTOS ANDRADE</t>
  </si>
  <si>
    <t>MIKE FRANCIS FERREIRA DA SILVA</t>
  </si>
  <si>
    <t>EDUARDO SILVA RODRIGUES</t>
  </si>
  <si>
    <t>GUILHERME HENRIQUE MENDES DA SILVA</t>
  </si>
  <si>
    <t>FABIO CAMPOS SOUZA</t>
  </si>
  <si>
    <t>REGINALDO TAVARES JUNIOR</t>
  </si>
  <si>
    <t>JONHATY DA SILVA</t>
  </si>
  <si>
    <t>IVAN JULIO DO NASCIMENTO FIALHO</t>
  </si>
  <si>
    <t>JONATHAN DAVID DO NASCIMENTO</t>
  </si>
  <si>
    <t>ALEXANDRE FIGUEIREDO DE ANDRADE</t>
  </si>
  <si>
    <t>CRISTIANO RODRIGUES PEDROSO</t>
  </si>
  <si>
    <t>FLAVIO ALVES DE SOUZA</t>
  </si>
  <si>
    <t>ROBSON DE AMORIM BEZERRA</t>
  </si>
  <si>
    <t>LINCOLN GARCIA DA SILVA</t>
  </si>
  <si>
    <t>HUGO HIPÓLITO DOS SANTOS</t>
  </si>
  <si>
    <t>LUIZ HENRIQUE DE CAMPOS</t>
  </si>
  <si>
    <t>ANTONIO CICERO DE OLIVEIRA</t>
  </si>
  <si>
    <t>DANILO ALVES SERRÃO</t>
  </si>
  <si>
    <t>ARNALDO DOS SANTOS</t>
  </si>
  <si>
    <t>JOÃO VICTOR SANTOS MOREIRA</t>
  </si>
  <si>
    <t>WENDELL MEIRELLES DOS SANTOS</t>
  </si>
  <si>
    <t>BRUNO OLIVEIRA GIMENEZ MONTEIRO</t>
  </si>
  <si>
    <t>JOHNNY HENRIQUE DE ARAUJO SILVA</t>
  </si>
  <si>
    <t>HUGO DE SOUZA TEIXEIRA</t>
  </si>
  <si>
    <t>JOÃO RICARDO SANTOS SALVADOR</t>
  </si>
  <si>
    <t>RAUL GOMES DOS REIS</t>
  </si>
  <si>
    <t>ADRIANO SILVA BRITO</t>
  </si>
  <si>
    <t>DEIVID ANJOS DA CRUZ</t>
  </si>
  <si>
    <t>JOÃO MANOEL DO NASCIMENTO JUNIOR</t>
  </si>
  <si>
    <t>ISRAEL SALOMÃO DOS SANTOS MENDONÇA</t>
  </si>
  <si>
    <t>TARSO NEP FERREIRA</t>
  </si>
  <si>
    <t>EDERSON PEREIRA ESMERALDO</t>
  </si>
  <si>
    <t>CELSO RICARDO PEREIRA MILIANO</t>
  </si>
  <si>
    <t>INACIO JHONATAN DA SILVA MEDEIROS</t>
  </si>
  <si>
    <t>YURI FERREIRA DE GOES</t>
  </si>
  <si>
    <t>GUILHERME HENRIQUE DA SILVA ROCHA</t>
  </si>
  <si>
    <t>OLIVER ALVARO FERREIRA</t>
  </si>
  <si>
    <t>ALEX DE OLIVEIRA DA SILVA</t>
  </si>
  <si>
    <t>SONIA CASTANHEIRA</t>
  </si>
  <si>
    <t>KALLYANE TAYNARA SILVA</t>
  </si>
  <si>
    <t>MICHEL LUCAS LEITAO DE OLIVEIRA</t>
  </si>
  <si>
    <t>AMILTON DA SILVA SOARES</t>
  </si>
  <si>
    <t>ROBSON APARECIDO DA SILVA DOS SANTOS</t>
  </si>
  <si>
    <t>ANDERSON BARBOSA RODRIGUES</t>
  </si>
  <si>
    <t>SHEILA MARIA BONFIM DO NASCIMENTO</t>
  </si>
  <si>
    <t>MATHEUS CAPELETTI DE ASSIS</t>
  </si>
  <si>
    <t>IFEANYI DAMIAN</t>
  </si>
  <si>
    <t>ELAN FRANCA DE ANDRADE</t>
  </si>
  <si>
    <t>SERGIO PEREIRA DE JESUS</t>
  </si>
  <si>
    <t>LUCAS MAGALHÃES DE CARVALHO</t>
  </si>
  <si>
    <t>FELIPE QUEIROZ SOARES</t>
  </si>
  <si>
    <t>ERIC MUZETTI PERIC</t>
  </si>
  <si>
    <t>EMEKA CHRISTIAN OKOYE</t>
  </si>
  <si>
    <t>EVAIR FERREIRA DE SOUZA</t>
  </si>
  <si>
    <t>ALYSSON DOS SANTOS RIBEIRO</t>
  </si>
  <si>
    <t>KHALID SHABAN MIZUNGU</t>
  </si>
  <si>
    <t>IRAN RODRIGUES DE OLIVEIRA</t>
  </si>
  <si>
    <t>CAIQUE NOVAIS SAO PEDRO</t>
  </si>
  <si>
    <t>FABRICIO HENRIQUE DONATO FONTOURA</t>
  </si>
  <si>
    <t>JULIANA DA SILVA GONÇALVES</t>
  </si>
  <si>
    <t>THULIO AMUI SCANDAR</t>
  </si>
  <si>
    <t>NOEL BOMFIM LUZ</t>
  </si>
  <si>
    <t>JOSE DE AQUINO PINHEIRO NETO</t>
  </si>
  <si>
    <t>00038002720168260050</t>
  </si>
  <si>
    <t>ALMIR SANTANA DA SILVA</t>
  </si>
  <si>
    <t>ALEXANDRE  NASCIMENTO NAZARETH</t>
  </si>
  <si>
    <t>RAFAEL BRITO SANTOS</t>
  </si>
  <si>
    <t>LUCAS THADEU PEREIRA VILELA</t>
  </si>
  <si>
    <t>JACKSON MATHIAS RODRIGUES</t>
  </si>
  <si>
    <t>ELISANDRA DE ASSIS LIMA SOUZA</t>
  </si>
  <si>
    <t>ADRIANO NOVAES SANTANA DE PINA</t>
  </si>
  <si>
    <t>00046527620158260635</t>
  </si>
  <si>
    <t>SHEILA THANDIWE MSELEKU</t>
  </si>
  <si>
    <t>JONNATHAN DA SILVA SANTOS</t>
  </si>
  <si>
    <t>BRUNO DE JESUS LAURINDO</t>
  </si>
  <si>
    <t>ALANA DA SILVA SANTOS</t>
  </si>
  <si>
    <t>WELLINGTON CORREA RIBEIRO</t>
  </si>
  <si>
    <t>BRUNO SANTOS GONCALVES</t>
  </si>
  <si>
    <t>00059584620168260635</t>
  </si>
  <si>
    <t>RAFAEL SANTOS CAVALCANTE</t>
  </si>
  <si>
    <t>00061634120178260635</t>
  </si>
  <si>
    <t>THIAGO FREITAS DE SOUZA</t>
  </si>
  <si>
    <t>DHIEGO FERREIRA DE SOUSA</t>
  </si>
  <si>
    <t>CARLOS EDUARDO DA SILVA SANTOS</t>
  </si>
  <si>
    <t>EDVALDO DA SILVA ALVES</t>
  </si>
  <si>
    <t>TIAGO BONIFACIO DE BEZERRA</t>
  </si>
  <si>
    <t>LUCAS RODRIGUES</t>
  </si>
  <si>
    <t>RENATO MARTINS SILVA</t>
  </si>
  <si>
    <t>BRUNO DE JESUS</t>
  </si>
  <si>
    <t>EDUARDO HENRIQUE MOREIRA</t>
  </si>
  <si>
    <t>00085709319988260050</t>
  </si>
  <si>
    <t>WILSON ALVES DA SILVA</t>
  </si>
  <si>
    <t>HELIO MACIEL BALDRAIA</t>
  </si>
  <si>
    <t>RONIELE ALVES CUNHA</t>
  </si>
  <si>
    <t>ALEXSANDRO SILVA DE SOUZA</t>
  </si>
  <si>
    <t>LUANA OLIVEIRA DE JESUS</t>
  </si>
  <si>
    <t>ANA KAROLINA FERREIRA MARTINS</t>
  </si>
  <si>
    <t>William Santos Mendes</t>
  </si>
  <si>
    <t>00108420620118260050</t>
  </si>
  <si>
    <t>Débora Maria Ponciano</t>
  </si>
  <si>
    <t>Bruno Alexandre Lima</t>
  </si>
  <si>
    <t>Daniel Ferreira Belarmino</t>
  </si>
  <si>
    <t>Ihury Santos de Jesus</t>
  </si>
  <si>
    <t>PEDRO HENRIQUE RODRIGUES DE LIMA</t>
  </si>
  <si>
    <t>ALESSANDRA DA SILVA PEREIRA</t>
  </si>
  <si>
    <t>MIKE JONATHAN DOS SANTOS</t>
  </si>
  <si>
    <t>LUCAS PEREIRA DOS SANTOS</t>
  </si>
  <si>
    <t>JOAO VICTOR MATIAS VELOSO</t>
  </si>
  <si>
    <t>RODRIGO DE PAIVA SOARES</t>
  </si>
  <si>
    <t>IVO APARECIDO SILVA</t>
  </si>
  <si>
    <t>KLEBER TIM DE RESENDE PROSPERO</t>
  </si>
  <si>
    <t>MAICON HONORIO DA SILVA</t>
  </si>
  <si>
    <t>LEONARDO DOS SANTOS</t>
  </si>
  <si>
    <t>THIAGO DE LIMA BARBOSA</t>
  </si>
  <si>
    <t>00139359820168260050</t>
  </si>
  <si>
    <t>SIDNEI CARVALHO PERDIGAO</t>
  </si>
  <si>
    <t>GILMAR FERNANDES DA GAMA</t>
  </si>
  <si>
    <t>RODRIGO PEREIRA DOS SANTOS</t>
  </si>
  <si>
    <t>NATALIA LARISSA DE SANTANA SOUZA</t>
  </si>
  <si>
    <t>00167913520168260050</t>
  </si>
  <si>
    <t>WELLINGTON ASSIS DOS SANTOS</t>
  </si>
  <si>
    <t>DENILSON PENA MENDES</t>
  </si>
  <si>
    <t>MICHEL OLIVEIRA GALDINO</t>
  </si>
  <si>
    <t>DENIS WILLIAM FERREIRA DE SOUZA</t>
  </si>
  <si>
    <t>ELIZANDRA VANESSA DA SILVA</t>
  </si>
  <si>
    <t>JOSE IGLAILTON ARAUJO DE SOUSA</t>
  </si>
  <si>
    <t>DANILO DE OLIVEIRA ARAUJO</t>
  </si>
  <si>
    <t>WILSON GOMES FIRMINO DA SILVA</t>
  </si>
  <si>
    <t>EDUARDO FRANCISCO MEDEIROS DO PRADO</t>
  </si>
  <si>
    <t>CRISTHIANO CARLOS SIZENANDO DAS MERCES</t>
  </si>
  <si>
    <t>CLAUDIO ELIVELTON BLONDET TEIXEIRA</t>
  </si>
  <si>
    <t>RODRIGO MARQUES BARBOSA</t>
  </si>
  <si>
    <t>ANA PAULA DE OLIVEIRA SOBRAL</t>
  </si>
  <si>
    <t>FLAVIA MARINA PINHEIRO DA SILVA</t>
  </si>
  <si>
    <t>JOAO SILVA DE OLIVEIRA</t>
  </si>
  <si>
    <t>EDIVANIO DAMIAO DA SILVA</t>
  </si>
  <si>
    <t>FRANCISCO RENE DE CARVALHO</t>
  </si>
  <si>
    <t>JOSE PAULO DA SILVA</t>
  </si>
  <si>
    <t>00319439420148260050</t>
  </si>
  <si>
    <t>JONATHAN PRUDENTE DO CARMO</t>
  </si>
  <si>
    <t>ALISSON WILKER SOUZA MENDES</t>
  </si>
  <si>
    <t>WAGNER DE PAULA SILVA</t>
  </si>
  <si>
    <t>MARCELO ANDRE</t>
  </si>
  <si>
    <t>WASHINGTON GONÇALVES SILVA</t>
  </si>
  <si>
    <t>DOUGLAS JONAS DE MORAES BARROS</t>
  </si>
  <si>
    <t>LUIS ALFREDO RIBEIRO JORDAO</t>
  </si>
  <si>
    <t>BRUNO ALMEIDA DE LIMA</t>
  </si>
  <si>
    <t>MIGUEL PINTO DE OLIVEIRA</t>
  </si>
  <si>
    <t>00381796720118260050</t>
  </si>
  <si>
    <t>CLAUDIO SILVA NOGUEIRA CAMPOS</t>
  </si>
  <si>
    <t>00383886020168260050</t>
  </si>
  <si>
    <t>RICARDO PEREIRA RIBEIRO</t>
  </si>
  <si>
    <t>VALDECI SABINO PINHEIRO</t>
  </si>
  <si>
    <t>VINICIUS QUEIROZ NASCIMENTO</t>
  </si>
  <si>
    <t>00410445320178260050</t>
  </si>
  <si>
    <t>PETERSON ALGARVE LAUREANO</t>
  </si>
  <si>
    <t>LEANDRO RIBEIRO SOARES</t>
  </si>
  <si>
    <t>WILLIAN AMARAL DA SILVA</t>
  </si>
  <si>
    <t>RAFAEL BENEDITO DOS SANTOS</t>
  </si>
  <si>
    <t>ROGERIO E SOUZA</t>
  </si>
  <si>
    <t>CLAUDEMIR MORAES DE ALMEIDA</t>
  </si>
  <si>
    <t>JONATHAN TEODOSIO LINO DA SILVA</t>
  </si>
  <si>
    <t>LUANA ALVES DE ARAUJO</t>
  </si>
  <si>
    <t>AUGUSTO BARROS DA SILVA</t>
  </si>
  <si>
    <t>ERINALDO PAULINO DA SILVA</t>
  </si>
  <si>
    <t>LUANA LAYANE SERAFIM SILVA</t>
  </si>
  <si>
    <t>NADSON ALVES RODRIGUES</t>
  </si>
  <si>
    <t>JEFFERSON BATISTA DOS SANTOS</t>
  </si>
  <si>
    <t>CARLOS INACIO DA SILVA</t>
  </si>
  <si>
    <t>ALEXANDRE MARIANO DOS SANTOS</t>
  </si>
  <si>
    <t>DEIVID SANTANA DA SILVA</t>
  </si>
  <si>
    <t>00522798520158260050</t>
  </si>
  <si>
    <t>YGOR DE JESUS SOARES</t>
  </si>
  <si>
    <t>GUILHERME CARVALHO ROMERA</t>
  </si>
  <si>
    <t>MARCELO JESUS DA SILVA</t>
  </si>
  <si>
    <t>RAFAEL ERICK BARBOSA SILVA</t>
  </si>
  <si>
    <t>WESLEY HENRIQUE NOGUEIRA DE ASSIS</t>
  </si>
  <si>
    <t>FELIPE ELIAS GIUNTINI</t>
  </si>
  <si>
    <t>ALEXANDRE APARECIDO ALVES</t>
  </si>
  <si>
    <t>00584185320158260050</t>
  </si>
  <si>
    <t>MARLON PEREIRA</t>
  </si>
  <si>
    <t>STANLLEY PAES PENAS</t>
  </si>
  <si>
    <t>00598607420038260050</t>
  </si>
  <si>
    <t>Carolina Cristina Palácio</t>
  </si>
  <si>
    <t>Robson Freire</t>
  </si>
  <si>
    <t>Oswaldo Rodrigo Machado</t>
  </si>
  <si>
    <t>ALESSANDRO MOREIRA RODRIGUES DE ABREU</t>
  </si>
  <si>
    <t>GEAN CARLOS ALVES DE OLIVEIRA</t>
  </si>
  <si>
    <t>ROBERTH ABREU CARDOSO DA SILVA</t>
  </si>
  <si>
    <t>DIEGO ALMEIDA PEREIRA</t>
  </si>
  <si>
    <t>MARY JANE DA CONCEICAO DE ANDRADE</t>
  </si>
  <si>
    <t>JORGE DE FREITAS NETO</t>
  </si>
  <si>
    <t>FERNANDO DOS SANTOS FIALHO</t>
  </si>
  <si>
    <t>LUCAS SEVERINO DE SOUSA</t>
  </si>
  <si>
    <t>EDUARDO LUIZ DA SILVA</t>
  </si>
  <si>
    <t>NATALIA LOURENCO FRANCO</t>
  </si>
  <si>
    <t>GABRIEL DO AMARAL BARROS PADILHA</t>
  </si>
  <si>
    <t>WEBERTH SALOMAO RIBEIRO VASCONCELOS BATISTA</t>
  </si>
  <si>
    <t>JONATHAN DA SILVA</t>
  </si>
  <si>
    <t>CAIO CESAR DOS SANTOS</t>
  </si>
  <si>
    <t>EDSON ANDRADE DOS SANTOS FILHO</t>
  </si>
  <si>
    <t>JONATHAN CARDOSO</t>
  </si>
  <si>
    <t>LEONARDO EVANGELISTA DOS SANTOS</t>
  </si>
  <si>
    <t>KLEISSON SOARES CAVALCANTE</t>
  </si>
  <si>
    <t>EDWIN FERNANDO MARTINS BERESOSKI.</t>
  </si>
  <si>
    <t>RENE CLAUDIO DE SOUZA NETO</t>
  </si>
  <si>
    <t>EVANIEL DA COSTA E SILVA</t>
  </si>
  <si>
    <t>WESLEY DE OLIVEIRA SOARES</t>
  </si>
  <si>
    <t>00779305120178260050</t>
  </si>
  <si>
    <t>RITA DE CASSIA SILVA</t>
  </si>
  <si>
    <t>00779706720168260050</t>
  </si>
  <si>
    <t>DANILO LOPES SOARES DE AZEVEDO</t>
  </si>
  <si>
    <t>MATHEUS DE ALMEIDA PRADO LITVIN</t>
  </si>
  <si>
    <t>DENILSON FERREIRA DA SILVA</t>
  </si>
  <si>
    <t>JERFERSON URAQUITAN DA SILVA</t>
  </si>
  <si>
    <t>BRUNO DE SOUZA FERREIRA</t>
  </si>
  <si>
    <t>LUIZ FERNANDO FRIZZA JUSTINO</t>
  </si>
  <si>
    <t>EDUARDO PADOVAN</t>
  </si>
  <si>
    <t>ALEF ALMEIDA LEITE DE PAULA</t>
  </si>
  <si>
    <t>Danillo Galdino da Silva</t>
  </si>
  <si>
    <t>KAIKE ANDRADE SANTOS</t>
  </si>
  <si>
    <t>PAMELA MARIA DA SILVA</t>
  </si>
  <si>
    <t>WESLEY FERREIRA LAURENCO</t>
  </si>
  <si>
    <t>TIAGO MANOEL DA SILVA</t>
  </si>
  <si>
    <t>REINALDO DOS SANTOS SOARES</t>
  </si>
  <si>
    <t>PAULO HENRIQUE SOARES DE OLIVEIRA</t>
  </si>
  <si>
    <t>CAINAN PEREIRA</t>
  </si>
  <si>
    <t>LAZARO DOS SANTOS GOMES</t>
  </si>
  <si>
    <t>WILLIANS GOMES DE JESUS</t>
  </si>
  <si>
    <t>ROBSON RODRIGUES DE ANDRADE</t>
  </si>
  <si>
    <t>JOSE FERNANDO DOS SANTOS</t>
  </si>
  <si>
    <t>HIGOR SANTANA XAVIER</t>
  </si>
  <si>
    <t>FELIPE AQUINO ALGARVE</t>
  </si>
  <si>
    <t>JOSIANE DA SILVA</t>
  </si>
  <si>
    <t>SIDNEI DOS SANTOS</t>
  </si>
  <si>
    <t>LUCIANO GIMENES LOPES GOMES</t>
  </si>
  <si>
    <t>IVANILDO MOREIRA DE JESUS</t>
  </si>
  <si>
    <t>RICARDO NUNES VIEIRA</t>
  </si>
  <si>
    <t>ALLAN DIAS NASCIMENTO</t>
  </si>
  <si>
    <t>00960504520178260050</t>
  </si>
  <si>
    <t>WELBER LIMA SANTIAGO DO PRADO</t>
  </si>
  <si>
    <t>JOSE BORBOLETA DA SILVA</t>
  </si>
  <si>
    <t>LUCAS JACOBINO DA SILVA</t>
  </si>
  <si>
    <t>REINALDO AZEVEDO FELIPE</t>
  </si>
  <si>
    <t>CESAR AUGUSTO SOARES DE PUGAS</t>
  </si>
  <si>
    <t>DIEGO NOROES DE LIMA</t>
  </si>
  <si>
    <t>BRUNO VELEHOV DE CARVALHO</t>
  </si>
  <si>
    <t>00995233920178260050</t>
  </si>
  <si>
    <t>DANIEL CARLOS DOS SANTOS</t>
  </si>
  <si>
    <t>00995465320158260050</t>
  </si>
  <si>
    <t>NATALIA SILVA NASCIMENTO</t>
  </si>
  <si>
    <t>MIRELLA APARECIDA ALVES DA SILVA DE OLIVEIRA</t>
  </si>
  <si>
    <t>LUCAS ALVES DE OLIVEIRA</t>
  </si>
  <si>
    <t>FELIPE DIOGO DE RAMOS MACEDO</t>
  </si>
  <si>
    <t>DANIEL ABADE DOS SANTOS NETO</t>
  </si>
  <si>
    <t>LEONARDO DIAS FUNGARI</t>
  </si>
  <si>
    <t>JEFFERSON BRASILINO</t>
  </si>
  <si>
    <t>MARCOS VINICIUS DA SILVA BRITO</t>
  </si>
  <si>
    <t>MAGNO CARDOSO OLIVEIRA</t>
  </si>
  <si>
    <t>ROBISON FELIPE LIMA PEREIRA</t>
  </si>
  <si>
    <t>HERICK CRUZ DAMASCENO</t>
  </si>
  <si>
    <t>GUSTAVO MENDES DA COSTA NUNES</t>
  </si>
  <si>
    <t>REVERSON LIMA DA SILVA</t>
  </si>
  <si>
    <t>KELLY DA SILVA PEREIRA</t>
  </si>
  <si>
    <t>JEFFERSON DE OLIVEIRA DA SILVA</t>
  </si>
  <si>
    <t>DENIS WILLIAN DE SOUZA CRUZ</t>
  </si>
  <si>
    <t>CHIBUIKE VICTOR EZECHUKWU</t>
  </si>
  <si>
    <t>AZUBUITE OHADOMA</t>
  </si>
  <si>
    <t>AILTON ALVES DA SILVA</t>
  </si>
  <si>
    <t>RONALDO XAVIER DO NASCIMENTO</t>
  </si>
  <si>
    <t>JUAN GONÇALVES SILVA</t>
  </si>
  <si>
    <t>ADONIAS MATOS PEREIRA DOS SANTOS</t>
  </si>
  <si>
    <t>RONIERE MACEDO DA SILVA</t>
  </si>
  <si>
    <t>JACQUELINE ALVES DE LIMA</t>
  </si>
  <si>
    <t>MILTON DO PRADO ALMEIDA</t>
  </si>
  <si>
    <t>SEVERINO MIGUEL MARTINS FILHO</t>
  </si>
  <si>
    <t>JOÃO PAULO DAMACENO</t>
  </si>
  <si>
    <t>VANDERLUCIO ALVES DIAS</t>
  </si>
  <si>
    <t>GABRIEL SANTOS DE OLIVEIRA</t>
  </si>
  <si>
    <t>DOUGLAS SOARES PIMENTA</t>
  </si>
  <si>
    <t>FREDNEY AUGUSTO SEVERIANO</t>
  </si>
  <si>
    <t>FELIPE CARRICO CORREA</t>
  </si>
  <si>
    <t>EDER ROQUE SOUZA MASETTO</t>
  </si>
  <si>
    <t>HENRIQUE RODRIGUES FARIA</t>
  </si>
  <si>
    <t>IGOR FRANCISCO DE JESUS</t>
  </si>
  <si>
    <t>LUCAS VINICIUS SOUZA PEREIRA</t>
  </si>
  <si>
    <t>DJAIR ALMEIDA RIBEIRO</t>
  </si>
  <si>
    <t>BRUNO DIAS RIBEIRO</t>
  </si>
  <si>
    <t>PATRICK SANTOS LEVY</t>
  </si>
  <si>
    <t>EDUARDO REIS DE LIMA JUNIOR</t>
  </si>
  <si>
    <t>ALEANDRO SANTOS DE MELO</t>
  </si>
  <si>
    <t>ALEXANDRE GOMES DA SILVA</t>
  </si>
  <si>
    <t>WAGNER BATISTA DE OLIVEIRA</t>
  </si>
  <si>
    <t>MARCIA APARECIDA DE ARAUJO SANTOS</t>
  </si>
  <si>
    <t>BRENDO DA SILVA SANTOS</t>
  </si>
  <si>
    <t>JUELSON BRAGANÇA DO NASCIMENTO SILVA</t>
  </si>
  <si>
    <t>RICARDO GOMES DOS SANTOS</t>
  </si>
  <si>
    <t>ROSANGELA FERNANDES DE JESUS</t>
  </si>
  <si>
    <t>THATIANE BARBOSA DA SILVA</t>
  </si>
  <si>
    <t>ALLAN VINICIUS VICTORIO FERNANDES TAVERNA</t>
  </si>
  <si>
    <t>MAICON REZENDE PIRES</t>
  </si>
  <si>
    <t>RAFAEL BATISTA DE OLIVEIRA</t>
  </si>
  <si>
    <t>ALISON KAYNA PEREIRA RIBEIRO</t>
  </si>
  <si>
    <t>PALOMA DOS SANTOS CANDIDO</t>
  </si>
  <si>
    <t>SILVIO JOSE VASCONCELOS</t>
  </si>
  <si>
    <t>WELLINGTON PEREIRA DA SILVA</t>
  </si>
  <si>
    <t>FABRICIO SANTOS DE JESUS</t>
  </si>
  <si>
    <t>CAIO VINICIUS GONÇALVES</t>
  </si>
  <si>
    <t>RAFAEL AUGUSTO DE MORAIS</t>
  </si>
  <si>
    <t>WEBER PEREIRA DA SILVA</t>
  </si>
  <si>
    <t>RICARDO RODRIGUES DA SILVA</t>
  </si>
  <si>
    <t>DJAVAN SANTOS LIMA</t>
  </si>
  <si>
    <t>FRANCIELE TAIS DA SILVA</t>
  </si>
  <si>
    <t>MARCELO DOS SANTOS BERNARDO</t>
  </si>
  <si>
    <t>DAVI DIONELLO DE OLIVEIRA RAMOS</t>
  </si>
  <si>
    <t>EVELYN KATIA AGOSTINHO</t>
  </si>
  <si>
    <t>DIEGO FIRMINO DOS SANTOS</t>
  </si>
  <si>
    <t>WANDER AVILA RAMOS</t>
  </si>
  <si>
    <t>MARCELO BARBOSA DE MIRANDA</t>
  </si>
  <si>
    <t>KLEYTON SANTOS DE OLIVEIRA</t>
  </si>
  <si>
    <t>ALEX SILVA RIBEIRO COSTA</t>
  </si>
  <si>
    <t>MAX LEANDRO DE ALMEIDA</t>
  </si>
  <si>
    <t>BRUNO RIBEIRO DE CASTRO</t>
  </si>
  <si>
    <t>LEANDRO FONTANELLIS DA SILVA</t>
  </si>
  <si>
    <t>MILTON CARLOS DA SILVA JUNIOR</t>
  </si>
  <si>
    <t>FRANCISCO SANDERSON JONAS DO NASCIMENTO</t>
  </si>
  <si>
    <t>CLAUDEMIRO GONCALVES</t>
  </si>
  <si>
    <t>ANDRE ANSELMO ALVES DOS SANTOS</t>
  </si>
  <si>
    <t>MARCELO MARQUES</t>
  </si>
  <si>
    <t>ANDERSON ROBERTO OLIVEIRA DOS SANTOS</t>
  </si>
  <si>
    <t>DANIELA GARCIA DE PAULA</t>
  </si>
  <si>
    <t>MIGUEL CONCEICAO SANTOS</t>
  </si>
  <si>
    <t>JOAO EDUARDO FONTANA</t>
  </si>
  <si>
    <t>ROBSON DE ALMEIDA FERNANDES</t>
  </si>
  <si>
    <t>FLÁVIO SALES DOS SANTOS</t>
  </si>
  <si>
    <t>LUCAS NASCIMENTO DE LIMA</t>
  </si>
  <si>
    <t>ADEMILTON SILVA DOS SANTOS</t>
  </si>
  <si>
    <t>JOAO CARDOSO DA SILVA NETO</t>
  </si>
  <si>
    <t>00340949120188260050</t>
  </si>
  <si>
    <t>PETER ADJEI  APPIAH</t>
  </si>
  <si>
    <t>WALTER GIOVANNI ZAMORA URREGO</t>
  </si>
  <si>
    <t>MARCELO SANTOS DE SOUZA</t>
  </si>
  <si>
    <t>Patrick Tochukwu Okolo</t>
  </si>
  <si>
    <t>DIOGO DOS SANTOS ARAUJO</t>
  </si>
  <si>
    <t>CLEITON GOMES AMELIO</t>
  </si>
  <si>
    <t>TESSIO DE ANDRADE</t>
  </si>
  <si>
    <t>VANDERLON ALMEIDA ROCHA JUNIOR</t>
  </si>
  <si>
    <t>JUAREZ DOS SANTOS MACHADO</t>
  </si>
  <si>
    <t>EDNILSON OLIVEIRA E SILVA</t>
  </si>
  <si>
    <t>RENAN SANTOS DE OLIVEIRA</t>
  </si>
  <si>
    <t>DIEGO MARTINS DE ANDRADE BALBINO</t>
  </si>
  <si>
    <t>JOSE DE SOUSA PEREIRA</t>
  </si>
  <si>
    <t>ERNANDE DE SOUSA OLIVEIRA</t>
  </si>
  <si>
    <t>PHELLIPE GOMES DO PRADO DIAS</t>
  </si>
  <si>
    <t>TASIANO MATOS DOS SANTOS</t>
  </si>
  <si>
    <t>RAFAEL FERNANDES DE SOUZA</t>
  </si>
  <si>
    <t>THIAGO RODRIGUES</t>
  </si>
  <si>
    <t>GUSTAVO HOELZ BAZZON</t>
  </si>
  <si>
    <t>MARCONDES BATISTA DE MORAES JUNIOR</t>
  </si>
  <si>
    <t>MAURICIO ANGELO DOS SANTOS BONFIM</t>
  </si>
  <si>
    <t>FELIPE DE MATOS CERQUEIRA</t>
  </si>
  <si>
    <t>NICOLAS RODRIGUES DA CRUZ</t>
  </si>
  <si>
    <t>JULIO ANACLETO DE CASTILHO</t>
  </si>
  <si>
    <t>GABRIEL AGOSTINHO FERRO</t>
  </si>
  <si>
    <t>PAULO SILAS GOMES DE SOUZA</t>
  </si>
  <si>
    <t>DIEGO DA SILVA</t>
  </si>
  <si>
    <t>TARCISIO SOARES DO NASCIMENTO</t>
  </si>
  <si>
    <t>DIEGO ALVES DOS SANTOS</t>
  </si>
  <si>
    <t>WANDERSON SCHINEIDER OLIVEIRA</t>
  </si>
  <si>
    <t>00688580620188260050</t>
  </si>
  <si>
    <t>DAVI SILVA MELO</t>
  </si>
  <si>
    <t>JORGE ENRIQUE ESCOBAR DOMINGUEZ</t>
  </si>
  <si>
    <t>RENAN SALES BISPO DA SILVA</t>
  </si>
  <si>
    <t>MICHAEL RAFAEL BUENO DE SANT ANA</t>
  </si>
  <si>
    <t>MARCIO APARECIDO ROCHA DOS REIS</t>
  </si>
  <si>
    <t>VINICIUS EDUARDO DE SANTANA</t>
  </si>
  <si>
    <t>VERONICA FERNANDES JERONIMO</t>
  </si>
  <si>
    <t>REINALDO DE MOURA PERES DA SILVA</t>
  </si>
  <si>
    <t>CLAUDEMIR BISPO</t>
  </si>
  <si>
    <t>MARIA DO CARMO PEREIRA LIMA</t>
  </si>
  <si>
    <t>ROGERIO APARECIDO MARTINS MONTEIRO</t>
  </si>
  <si>
    <t>SAMUEL DOUGLAS DA SILVA COSTA</t>
  </si>
  <si>
    <t>MARCIA APARECIDA DE OLIVEIRA</t>
  </si>
  <si>
    <t>BRUNO MOREIRA CORREA</t>
  </si>
  <si>
    <t>BRUNO PASQUALI NETO</t>
  </si>
  <si>
    <t>ALESSANDRO LAUREANO DA SILVA</t>
  </si>
  <si>
    <t>LEANDRO DE OLIVEIRA COSTA</t>
  </si>
  <si>
    <t>00788640920178260050</t>
  </si>
  <si>
    <t>JOAO BATISTA CAGE DOS SANTOS JUNIOR</t>
  </si>
  <si>
    <t>MARCELO GONCALVES OLIVEIRA</t>
  </si>
  <si>
    <t>PABLO RAIONE CARDOSO LOBATO</t>
  </si>
  <si>
    <t>JOAO GUILHERME BRANDAO MARTINS FERREIRA</t>
  </si>
  <si>
    <t>RENATO SANTOS ROQUE</t>
  </si>
  <si>
    <t>DANIEL EUSTAQUIO DOS SANTOS</t>
  </si>
  <si>
    <t>TYAGO MEDEIROS DA SILVA</t>
  </si>
  <si>
    <t>ERICELMA LISBOA DOS REIS ALVES</t>
  </si>
  <si>
    <t>RENILDA ALVES DOS SANTOS</t>
  </si>
  <si>
    <t>ELTON ALVES FERREIRA</t>
  </si>
  <si>
    <t>ALISON ROBERTO DA SILVA VIANA</t>
  </si>
  <si>
    <t>ALEXSANDRO SABINO CORREIA</t>
  </si>
  <si>
    <t>GRACIANO DA CUNHA PESSOA</t>
  </si>
  <si>
    <t>DIONE PEREIRA DA CRUZ</t>
  </si>
  <si>
    <t>FABIANO GUIMARAES NEVES</t>
  </si>
  <si>
    <t>RENATO LIMA DA SILVA</t>
  </si>
  <si>
    <t>HEBERT SANTOS DA SILVA</t>
  </si>
  <si>
    <t>00985598520138260050</t>
  </si>
  <si>
    <t>JACQUELINE DOS SANTOS SILVA</t>
  </si>
  <si>
    <t>EVERALDO LOPES PIRES</t>
  </si>
  <si>
    <t>ALEX LIMA</t>
  </si>
  <si>
    <t>VICTOR HUGO DOS SANTOS</t>
  </si>
  <si>
    <t>RICARDO BATISTA DA SILVA</t>
  </si>
  <si>
    <t>ELISANGELA DA SILVA</t>
  </si>
  <si>
    <t>THOMAS LOPES TORRES</t>
  </si>
  <si>
    <t>DEIVID NOGUEIRA DE LIMA</t>
  </si>
  <si>
    <t>00021266820178260635</t>
  </si>
  <si>
    <t>CRISTIANO ROSA NORMANDIA</t>
  </si>
  <si>
    <t>CLAUDEMIR ANTONIO NEVES</t>
  </si>
  <si>
    <t>00031997520178260635</t>
  </si>
  <si>
    <t>GABRIEL BATISTA DOS SANTOS</t>
  </si>
  <si>
    <t>00035652620178260050</t>
  </si>
  <si>
    <t>FILIPI SILVA</t>
  </si>
  <si>
    <t>MATHEUS HENRIQUE TAVARES</t>
  </si>
  <si>
    <t>00041697520178260635</t>
  </si>
  <si>
    <t>RENATA MENDES DA SILVA</t>
  </si>
  <si>
    <t>ANDRE PACIFICO DE OLIVEIRA</t>
  </si>
  <si>
    <t>ANDRE FRANCISCO DE OLIVEIRA</t>
  </si>
  <si>
    <t>INACIO PEREIRA DE BRITO JUNIOR</t>
  </si>
  <si>
    <t>00051972420168260050</t>
  </si>
  <si>
    <t>EMERSON NASCIMENTO VIEIRA</t>
  </si>
  <si>
    <t>JOEL CRUZ ASSUMPCAO</t>
  </si>
  <si>
    <t>00064187620158260050</t>
  </si>
  <si>
    <t>VALDIZA BARBOSA FERREIRA</t>
  </si>
  <si>
    <t>00073681720178260050</t>
  </si>
  <si>
    <t>CAIO CESAR CAVALCANTE</t>
  </si>
  <si>
    <t>WALLACE JOSÉ DIAMANTINO BORGES</t>
  </si>
  <si>
    <t>00078756620178260635</t>
  </si>
  <si>
    <t>ORIAS PEREIRA CRUZ</t>
  </si>
  <si>
    <t>LEONARDO BRITO BOMFIM</t>
  </si>
  <si>
    <t>EMOKPAZ OSAMUDIAMENZ RAIMUND</t>
  </si>
  <si>
    <t>MATTHEW  IHEANACHO ONUOHA</t>
  </si>
  <si>
    <t>MARCOS VINICIUS SANTOS SALES</t>
  </si>
  <si>
    <t>EDSON DA SILVA</t>
  </si>
  <si>
    <t>00116043720168260635</t>
  </si>
  <si>
    <t>MAXWEL AMORIM RIBEIRO</t>
  </si>
  <si>
    <t>GUILHERME DANIEL NASCIMENTO OLIVEIRA</t>
  </si>
  <si>
    <t>ROGERIO ARAUJO VENTURA</t>
  </si>
  <si>
    <t>DAIANA RIBEIRO DA SILVA</t>
  </si>
  <si>
    <t>CAROLINE ROCHA SANTOS</t>
  </si>
  <si>
    <t>WELTON TELIS DE OLIVEIRA</t>
  </si>
  <si>
    <t>RAY VICTOR BATISTA RODRIGUES</t>
  </si>
  <si>
    <t>JONES SOARES BATISTA</t>
  </si>
  <si>
    <t>ELIAS SILVA ORTOLANI</t>
  </si>
  <si>
    <t>ROBERTO DE CARVALHO PINHEIRO</t>
  </si>
  <si>
    <t>RENAN HENRIQUE RIBEIRO SANTOS</t>
  </si>
  <si>
    <t>EMERSON GIACOMINNI SANTOS</t>
  </si>
  <si>
    <t>VANESSA OLIVEIRA DA SILVA</t>
  </si>
  <si>
    <t>RAELSON PINHEIRO SOARES</t>
  </si>
  <si>
    <t>00189207620178260050</t>
  </si>
  <si>
    <t>FELIPE GOMES RODRIGUES DA SILVA</t>
  </si>
  <si>
    <t>VICENTE AUGUSTO MENDES TAVARES</t>
  </si>
  <si>
    <t>00194049120178260050</t>
  </si>
  <si>
    <t>FLAVIO CORREIA LEITE</t>
  </si>
  <si>
    <t>SAMUEL MORAES LEITE</t>
  </si>
  <si>
    <t>00206367520168260050</t>
  </si>
  <si>
    <t>SERGIO DE JESUS</t>
  </si>
  <si>
    <t>EDSON CABRAL DA SILVA</t>
  </si>
  <si>
    <t>00243276320178260050</t>
  </si>
  <si>
    <t>FELIPE DE PETTA</t>
  </si>
  <si>
    <t>WANDERLEI CORREA ROTA</t>
  </si>
  <si>
    <t>CICERO BATISTA PEREIRA</t>
  </si>
  <si>
    <t>CINTIA VIEIRA PEIXOTO</t>
  </si>
  <si>
    <t>00275676020178260050</t>
  </si>
  <si>
    <t>TALITA SILVA BATISTA</t>
  </si>
  <si>
    <t>00282969620118260050</t>
  </si>
  <si>
    <t>Lucileide Ribeiro do Vale</t>
  </si>
  <si>
    <t>HELTON LUIZ DE AZEVEDO</t>
  </si>
  <si>
    <t>CARLOS AZEVEDO FILHO</t>
  </si>
  <si>
    <t>JACKSON FERREIRA DA ANUNCIACAO DO CARMO</t>
  </si>
  <si>
    <t>RAFAEL DOS SANTOS SILVA</t>
  </si>
  <si>
    <t>GILBERTO CARLOS DA SILVA</t>
  </si>
  <si>
    <t>00452025420178260050</t>
  </si>
  <si>
    <t>MARCIO APARECIDO PESSOA</t>
  </si>
  <si>
    <t>PETER LOUIS OKEKE</t>
  </si>
  <si>
    <t>ANDERSON VIANA DE ALMEIDA</t>
  </si>
  <si>
    <t>00484766020168260050</t>
  </si>
  <si>
    <t>WILSON SANTOS RIBEIRO DO NASCIMENTO</t>
  </si>
  <si>
    <t>IGOR ROSSAFA CONCEICAO</t>
  </si>
  <si>
    <t>00500906620178260050</t>
  </si>
  <si>
    <t>ROSANA RIBEIRO DA SILVA</t>
  </si>
  <si>
    <t>LILIANE APARECIDA DE SA</t>
  </si>
  <si>
    <t>ALINE CRISTINA ROGERIO</t>
  </si>
  <si>
    <t>EDUARDO RODRIGUES DA SILVA</t>
  </si>
  <si>
    <t>FERNANDO ANTONIO DE OLIVEIRA</t>
  </si>
  <si>
    <t>ERIK LUCAS SANTOS NOGUEIRA DE OLIVEIRA</t>
  </si>
  <si>
    <t>LEANDRO MIRANTE DA PAIXÃO</t>
  </si>
  <si>
    <t>00553685820118260050</t>
  </si>
  <si>
    <t>Nilton Isaac Pedro Soares Almeida</t>
  </si>
  <si>
    <t>LUIS CARLOS VILELA COSTA</t>
  </si>
  <si>
    <t>00597274120178260050</t>
  </si>
  <si>
    <t>EDMILSON DA SILVA</t>
  </si>
  <si>
    <t>PATRICK NORBERTO MAGALHAES DOS SANTOS</t>
  </si>
  <si>
    <t>PAULO CESAR CLEMENTINO</t>
  </si>
  <si>
    <t>00631068720178260050</t>
  </si>
  <si>
    <t>MARIVALDO FRANCA MOREIRA</t>
  </si>
  <si>
    <t>00637942020158260050</t>
  </si>
  <si>
    <t>WESLEY CARVALHO DE SOUZA SANTOS</t>
  </si>
  <si>
    <t>00644760420178260050</t>
  </si>
  <si>
    <t>GLEDSON DANILO DE OLIVEIRA PASSOS</t>
  </si>
  <si>
    <t>TIAGO SILVA DE VASCONCELOS</t>
  </si>
  <si>
    <t>ALTAIR JOSE DE ALMEIDA</t>
  </si>
  <si>
    <t>IMER JACSON CUBA BERNARDES</t>
  </si>
  <si>
    <t>00677521920128260050</t>
  </si>
  <si>
    <t>CAIO VINICIUS MARQUES</t>
  </si>
  <si>
    <t>LUIS GUSTAVO DE CASTRO MARCELINO</t>
  </si>
  <si>
    <t>RICARDO BARBOZA</t>
  </si>
  <si>
    <t>00694516920178260050</t>
  </si>
  <si>
    <t>THOMAZ JHEFERSON RODRIGUES DE ARAUJO</t>
  </si>
  <si>
    <t>00695897020168260050</t>
  </si>
  <si>
    <t>GUILHERME DE SOUZA MACHADO</t>
  </si>
  <si>
    <t>ISRAEL SILVA MENDONCA</t>
  </si>
  <si>
    <t>CLEBER DA SILVA ARANHA</t>
  </si>
  <si>
    <t>00731726320168260050</t>
  </si>
  <si>
    <t>EZEQUIEL TEODORO PERIN</t>
  </si>
  <si>
    <t>DIORDNES DIEMIS ESTEVAM</t>
  </si>
  <si>
    <t>00742600520178260050</t>
  </si>
  <si>
    <t>KAUAN DA SILVA SOARES</t>
  </si>
  <si>
    <t>VINICIUS HONORATO DA SILVA</t>
  </si>
  <si>
    <t>00776112020168260050</t>
  </si>
  <si>
    <t>MAYARA ROBERTA PAULINO DA SILVA</t>
  </si>
  <si>
    <t>FELIX ANTONIO DA SILVA</t>
  </si>
  <si>
    <t>00800451120188260050</t>
  </si>
  <si>
    <t>ABDALLAH EDDY THABIT WADAU</t>
  </si>
  <si>
    <t>EDUARDO SANTANA</t>
  </si>
  <si>
    <t>MARCELO SEGOVIA DE LA TORRE</t>
  </si>
  <si>
    <t>JOSIANE APARECIDA RIBEIRO RODRIGUES</t>
  </si>
  <si>
    <t>PAULO HENRIQUE DA SILVA MOTTA</t>
  </si>
  <si>
    <t>EDMILSON CAETANO  DOS SANTOS</t>
  </si>
  <si>
    <t>GUSTAVO LAGE GAETA</t>
  </si>
  <si>
    <t>DIEGO OLIVEIRA DOS SANTOS</t>
  </si>
  <si>
    <t>00890104620168260050</t>
  </si>
  <si>
    <t>TATIANA BARRETO PROFETA</t>
  </si>
  <si>
    <t>00927423520168260050</t>
  </si>
  <si>
    <t>PABLO RODRIGO PACHECO</t>
  </si>
  <si>
    <t>BRUNO PEREIRA DOS SANTOS</t>
  </si>
  <si>
    <t>00994532720148260050</t>
  </si>
  <si>
    <t>MARCIO DOS SANTOS CAMARGO</t>
  </si>
  <si>
    <t>FRANKLY DOS SANTOS FERNANDES</t>
  </si>
  <si>
    <t>01040417220178260050</t>
  </si>
  <si>
    <t>TIAGO GABRIEL SOUZA</t>
  </si>
  <si>
    <t>GILBERTO FELIX DA SILVA JUNIOR</t>
  </si>
  <si>
    <t>ANDERSON CARLOS DE OLIVEIRA</t>
  </si>
  <si>
    <t>WILLIAN DE PAULA SILVA</t>
  </si>
  <si>
    <t>ROSANA FRANCISCA DA SILVA</t>
  </si>
  <si>
    <t>RAMON DE JESUS ALMEIDA</t>
  </si>
  <si>
    <t>DAVISON  DIEGO COSTA</t>
  </si>
  <si>
    <t>GILBERTO VIEIRA DOS SANTOS FILHO</t>
  </si>
  <si>
    <t>WESLEY CARLOS ANDRADE DE SANTANA</t>
  </si>
  <si>
    <t>VITOR HENRIQUE DE SOUZA CESARIO</t>
  </si>
  <si>
    <t>JORGE LUIZ COUTINHO DOS SANTOS</t>
  </si>
  <si>
    <t>JHESIGA FRANCA UGOLINI</t>
  </si>
  <si>
    <t>00026437320178260635</t>
  </si>
  <si>
    <t>PAULO HENRIQUE DOS SANTOS BARROS</t>
  </si>
  <si>
    <t>PAULO HENRIQUE SANTANA DE AZEVEDO</t>
  </si>
  <si>
    <t>LUCAS QUARESMA MOTA</t>
  </si>
  <si>
    <t>THIAGO MARIANO ABAD</t>
  </si>
  <si>
    <t>DIEGO RODRIGUES CATANHA</t>
  </si>
  <si>
    <t>ROBSON BISPO CAVALCANTE</t>
  </si>
  <si>
    <t>LUCAS RIBEIRO DA SILVA</t>
  </si>
  <si>
    <t>ROBERTO PAES GUTIERREZ</t>
  </si>
  <si>
    <t>ANTONIO CARLOS RIBEIRO LIMA</t>
  </si>
  <si>
    <t>ALEX  SANDRO MARTINES DAS GRACAS</t>
  </si>
  <si>
    <t>JOAO JOSE LISBOA DA SILVA</t>
  </si>
  <si>
    <t>DAVID LOPES DA SILVA</t>
  </si>
  <si>
    <t>DANILO CESAR CASTRO DA SILVA</t>
  </si>
  <si>
    <t>MARLON GOMES DA SILVA</t>
  </si>
  <si>
    <t>BRUNO CEZAR DOS SANTOS LIMA</t>
  </si>
  <si>
    <t>JOSE ROBERTO ROSA DOS SANTOS</t>
  </si>
  <si>
    <t>00060880220178260635</t>
  </si>
  <si>
    <t>ROBERTO ALVES DOS SANTOS</t>
  </si>
  <si>
    <t>CASSIMIRO XAVIER DA SILVA</t>
  </si>
  <si>
    <t>GUILHERME HENRIQUE TEOFILO DA SILVA</t>
  </si>
  <si>
    <t>CAIO FERREIRA DA COSTA</t>
  </si>
  <si>
    <t>CARLOS ANTONIO RIBEIRO DE OLIVEIRA</t>
  </si>
  <si>
    <t>ERIVALDO JUSTINO DO NASCIMENTO</t>
  </si>
  <si>
    <t>ISRRAYNER SILVA SANTOS</t>
  </si>
  <si>
    <t>LUCAS REIS DA SILVA</t>
  </si>
  <si>
    <t>TIAGO DA SILVA BERNARDINO</t>
  </si>
  <si>
    <t>BRUNO BRUSCHI SEMIDAMORI</t>
  </si>
  <si>
    <t>JOSE THIAGO DE ARAUJO BARBOSA</t>
  </si>
  <si>
    <t>RICARDO PAULO DA SILVA</t>
  </si>
  <si>
    <t>MARCELO DA CONCEIÇAO SOUZA</t>
  </si>
  <si>
    <t>OMOTEHINSE SOJI LEVI</t>
  </si>
  <si>
    <t>DANIEL NDUBUISI UZOLGWE</t>
  </si>
  <si>
    <t>IFEANYI CHARLES ENYOGHASI</t>
  </si>
  <si>
    <t>IHEDIGBO EMMA EMELIKE</t>
  </si>
  <si>
    <t>LEONARDO ROCHA DE OLIVEIRA PEREIRA</t>
  </si>
  <si>
    <t>EWERTON CLAYTON VIEIRA DA SILVA</t>
  </si>
  <si>
    <t>PEDRO CAIQUE OLIVEIRA DOS SANTOS</t>
  </si>
  <si>
    <t>DEIVID LIMA DE OLIVEIRA</t>
  </si>
  <si>
    <t>CHRISTIAN FURTADO MARIANO</t>
  </si>
  <si>
    <t>JEFERSON WILLIAN TAKAGI</t>
  </si>
  <si>
    <t>00169149620178260050</t>
  </si>
  <si>
    <t>HILTON DE JESUS SANTOS</t>
  </si>
  <si>
    <t>ALEXANDRE DA SILVA SANTOS</t>
  </si>
  <si>
    <t>Fernanda Cruz de Aguiar</t>
  </si>
  <si>
    <t>FABIO LUIS CAMARGO</t>
  </si>
  <si>
    <t>ERALDO SOUSA MARTINS</t>
  </si>
  <si>
    <t>JAIME FERREIRA DE SOUSA</t>
  </si>
  <si>
    <t>MARIA DO CARMO GONÇALVES DA SILVA</t>
  </si>
  <si>
    <t>ODINES MATHEUS ROCHA FERREIRA</t>
  </si>
  <si>
    <t>FABIO LOPES LEMOS</t>
  </si>
  <si>
    <t>JONATHAN MARCOS MESSIAS CARVALHO</t>
  </si>
  <si>
    <t>VINICIUS ALVES VIEIRA</t>
  </si>
  <si>
    <t>KELVIN GUSTAVO DE MORAIS</t>
  </si>
  <si>
    <t>ALEXSANDRO HENRIQUE DE SOUZA</t>
  </si>
  <si>
    <t>JEAN RODRIGUES DOS SANTOS</t>
  </si>
  <si>
    <t>TIAGO TEIXEIRA MIRANDA</t>
  </si>
  <si>
    <t>ÉDIPO FERREIRA SILVA</t>
  </si>
  <si>
    <t>GLEDSON PENHA GOMES</t>
  </si>
  <si>
    <t>00266091120168260050</t>
  </si>
  <si>
    <t>VANDERSON RICARDO DOS REIS</t>
  </si>
  <si>
    <t>00269874020118260050</t>
  </si>
  <si>
    <t>Thiago Tadeu Bertolini Fernandes</t>
  </si>
  <si>
    <t>WELINGTON LOURENCO FAGUNDES</t>
  </si>
  <si>
    <t>MARCOS PAULO FIGUEIRA</t>
  </si>
  <si>
    <t>ANDERSON KALBAITZ GERONIMO</t>
  </si>
  <si>
    <t>WEVERTON LUIS GONCALVES DE OLIVEIRA</t>
  </si>
  <si>
    <t>ITAMAR PEREIRA DOS SANTOS</t>
  </si>
  <si>
    <t>ALAN DOS SANTOS RODRIGUES DA SILVA</t>
  </si>
  <si>
    <t>ERICO SILVA DE SOUSA</t>
  </si>
  <si>
    <t>00374275620158260050</t>
  </si>
  <si>
    <t>GUILHERME DANTAS GOMES</t>
  </si>
  <si>
    <t>MAICON ARAGAO</t>
  </si>
  <si>
    <t>KAIO LINEKER AMORIM DE FIGUEIREDO</t>
  </si>
  <si>
    <t>ELIEDSON JUSTINO DOS SANTOS</t>
  </si>
  <si>
    <t>00402013020138260050</t>
  </si>
  <si>
    <t>JOHN LENNEON DE SOUZA</t>
  </si>
  <si>
    <t>00420633620138260050</t>
  </si>
  <si>
    <t>EDUARDO DE OLIVEIRA ASSIS STRAIOTO</t>
  </si>
  <si>
    <t>ALESSIO VIEIRA DE SANTANA</t>
  </si>
  <si>
    <t>00447929320178260050</t>
  </si>
  <si>
    <t>RIVALDO ANSELMO DE SOUZA</t>
  </si>
  <si>
    <t>VINICIUS DE SOUZA ROMERO RODRIGUES</t>
  </si>
  <si>
    <t>ERICK JOHNNY DE OLIVEIRA</t>
  </si>
  <si>
    <t>ONILDO CHAVES DOS SANTOS FILHO</t>
  </si>
  <si>
    <t>FERNANDO MATOS</t>
  </si>
  <si>
    <t>RODOLFO SIMOES DE ALMEIDA</t>
  </si>
  <si>
    <t>GENIVAL FERNANDES DA SILVA</t>
  </si>
  <si>
    <t>WILSON DANILO DA SILVA</t>
  </si>
  <si>
    <t>MAURICIO PEREIRA</t>
  </si>
  <si>
    <t>SUELI RIBEIRO FARIAS</t>
  </si>
  <si>
    <t>00533421920138260050</t>
  </si>
  <si>
    <t>GUILHERME LUIZ LOMBE</t>
  </si>
  <si>
    <t>KARINA VASQUEZ SILVA</t>
  </si>
  <si>
    <t>ALEXSANDRO APARECIDO EMIDIO DA SILVA</t>
  </si>
  <si>
    <t>MURILO DA SILVA SANTOS</t>
  </si>
  <si>
    <t>BRUNO BEZERRA FERREIRA</t>
  </si>
  <si>
    <t>00554551420118260050</t>
  </si>
  <si>
    <t>Diego da Silva</t>
  </si>
  <si>
    <t>LUCIANA SANTANA BONFIM SILVA</t>
  </si>
  <si>
    <t>MISSAEL ALFREDO ALBINO SCHUFFNER</t>
  </si>
  <si>
    <t>REGIS RAMOS</t>
  </si>
  <si>
    <t>00584128020148260050</t>
  </si>
  <si>
    <t>RODRIGO EXPEDITO DOS SANTOS</t>
  </si>
  <si>
    <t>MIKAEL SANTOS DA SILVA</t>
  </si>
  <si>
    <t>ARCHIMINO DE SA E LYRA NETO</t>
  </si>
  <si>
    <t>00601403520098260050</t>
  </si>
  <si>
    <t>Adriano Martins Miranda Oliveira</t>
  </si>
  <si>
    <t>DOUGLAS WILLIAM BUENO DO PRADO</t>
  </si>
  <si>
    <t>LUCAS DE ALMEIDA BIANCHI</t>
  </si>
  <si>
    <t>BARBARA DE ANDRADE ASSIS</t>
  </si>
  <si>
    <t>00622229220168260050</t>
  </si>
  <si>
    <t>EVANDRO DOS SANTOS CARVALHO</t>
  </si>
  <si>
    <t>MARCOS VINICIUS DE JESUS</t>
  </si>
  <si>
    <t>KAYKE DE SOUSA</t>
  </si>
  <si>
    <t>MAYCON DOUGLAS DOS SANTOS</t>
  </si>
  <si>
    <t>WILLIAN RIBEIRO DE SANTANA</t>
  </si>
  <si>
    <t>00623857220168260050</t>
  </si>
  <si>
    <t>JOZENILDO MONTEIRO DA SILVA</t>
  </si>
  <si>
    <t>CICERO PEREIRA LIMA</t>
  </si>
  <si>
    <t>JOSELINA MARIA MONTEIRO LIMA</t>
  </si>
  <si>
    <t>MARTIM ANIBAL FLEITAS MATIAUDA</t>
  </si>
  <si>
    <t>CRISTIAN ARIEL LEDESMA ENCINA</t>
  </si>
  <si>
    <t>NATHALIA DA SILVA MOREIRA</t>
  </si>
  <si>
    <t>FELIPE CAVALCANTE DOS SANTOS</t>
  </si>
  <si>
    <t>ICARO HENRIQUE MACEDO DA SILVA SOUSA</t>
  </si>
  <si>
    <t>00685551720038260050</t>
  </si>
  <si>
    <t>Alessandra Regina da Silva</t>
  </si>
  <si>
    <t>Marcel Fraioli de Freitas</t>
  </si>
  <si>
    <t>Aparecido Donizete Oliveira Lima</t>
  </si>
  <si>
    <t>Ademilton Souza dos Santos</t>
  </si>
  <si>
    <t>Alexandre Roberto Monteiro do Prado</t>
  </si>
  <si>
    <t>RICARDO SOARES DIAS MATOS</t>
  </si>
  <si>
    <t>ROBSON GILVANI DA SILVA JUNIOR</t>
  </si>
  <si>
    <t>WILLIAM DA CUNHA RIBEIRO</t>
  </si>
  <si>
    <t>IVAN RICARDO MARCELINO</t>
  </si>
  <si>
    <t>WESLLEY DA COSTA OLIVEIRA</t>
  </si>
  <si>
    <t>ROSILENE DANTAS NUNES ROCHA</t>
  </si>
  <si>
    <t>00736930820168260050</t>
  </si>
  <si>
    <t>GABRIEL BORGES TRINDADE</t>
  </si>
  <si>
    <t>THIAGO RODRIGO COLOGNESI</t>
  </si>
  <si>
    <t>RAMOM DA SILVA</t>
  </si>
  <si>
    <t>GABRIEL RODRIGUES DE SOUZA</t>
  </si>
  <si>
    <t>LUCAS BRAGA DA SILVA</t>
  </si>
  <si>
    <t>00790328420128260050</t>
  </si>
  <si>
    <t>JANAINA DOS SANTOS PESSOA</t>
  </si>
  <si>
    <t>SOSTENES FELINTRO DA SILVA</t>
  </si>
  <si>
    <t>00793599720108260050</t>
  </si>
  <si>
    <t>Clóvis de Souza</t>
  </si>
  <si>
    <t>DOUGLAS BATISTA MARQUES</t>
  </si>
  <si>
    <t>BRENO ROGERIO BARBOZA ZACARELLI</t>
  </si>
  <si>
    <t>Silas Camilo de Souza Cardoso</t>
  </si>
  <si>
    <t>SULLIVAN CAMILO DE SOUZA CARDOSO</t>
  </si>
  <si>
    <t>APARECIDO HENRIQUE COSTA DE LIMA</t>
  </si>
  <si>
    <t>HENRIQUE CRISTIANO SILVA DE LIMA</t>
  </si>
  <si>
    <t>ROBSON SANTANA DE MELO</t>
  </si>
  <si>
    <t>ORSIVAN LOPES DE OLIVEIRA</t>
  </si>
  <si>
    <t>JAILSON DE JESUS MENDES</t>
  </si>
  <si>
    <t>00866123420138260050</t>
  </si>
  <si>
    <t>RENATO MENDES DA SILVA</t>
  </si>
  <si>
    <t>MARCELO RIBEIRO</t>
  </si>
  <si>
    <t>JORDAN LUCAS BIANCHINI DA SILVA</t>
  </si>
  <si>
    <t>ANDERSON VIDAL DA SILVA</t>
  </si>
  <si>
    <t>LUIZ CARLOS ALVES DO NASCIMENTO</t>
  </si>
  <si>
    <t>ALAN NASCIMENTO DA SILVA</t>
  </si>
  <si>
    <t>SIDIMAR PEREIRA SOARES</t>
  </si>
  <si>
    <t>00904118020168260050</t>
  </si>
  <si>
    <t>FABIO DE ARAUJO BEZERRA</t>
  </si>
  <si>
    <t>GILSON APARECIDO DE OLIVEIRA</t>
  </si>
  <si>
    <t>SAMUEL ANTONIO BARBOSA</t>
  </si>
  <si>
    <t>ISRAEL APARECIDO BARBOSA</t>
  </si>
  <si>
    <t>DANIEL ANTONIO BARBOSA</t>
  </si>
  <si>
    <t>RUBENS DOS SANTOS SILVA GOMES</t>
  </si>
  <si>
    <t>ORIYOMI DARWOOD</t>
  </si>
  <si>
    <t>SOCRATES RODRIGO VIEIRA</t>
  </si>
  <si>
    <t>CESAR CLINTON COSTA DOMINGUES</t>
  </si>
  <si>
    <t>00983618220128260050</t>
  </si>
  <si>
    <t>LINCON GONÇALVES DUVIQUE</t>
  </si>
  <si>
    <t>RENATO NOVELLI COUTO</t>
  </si>
  <si>
    <t>JOSE JULIO PASSOS MELO</t>
  </si>
  <si>
    <t>DEIVID SANTOS DA SILVA</t>
  </si>
  <si>
    <t>FRANK ROGES DOS SANTOS</t>
  </si>
  <si>
    <t>LEONARDO DIEGO DA SILVA MELO</t>
  </si>
  <si>
    <t>DENIS WILLIAM DE OLIVEIRA</t>
  </si>
  <si>
    <t>MICHEL BORGES DOS SANTOS</t>
  </si>
  <si>
    <t>ELIEL GOMES DA COSTA JUNIOR</t>
  </si>
  <si>
    <t>DANIEL SHIBA FERREIRA</t>
  </si>
  <si>
    <t>RODRIGO MATEUS</t>
  </si>
  <si>
    <t>WITALO ROBERTO DA SILVA</t>
  </si>
  <si>
    <t>LUCAS LUCHETTA</t>
  </si>
  <si>
    <t>LUCAS DE ASSIS SOUZA</t>
  </si>
  <si>
    <t>MARCO ANTONIO MOREIRA DE SOUZA</t>
  </si>
  <si>
    <t>PATRICK SILVA DOS SANTOS</t>
  </si>
  <si>
    <t>CRISTIANO DOS SANTOS LIMA</t>
  </si>
  <si>
    <t>00014345420128260050</t>
  </si>
  <si>
    <t>JUAN CARLOS PARRELA</t>
  </si>
  <si>
    <t>00016795120158260635</t>
  </si>
  <si>
    <t>ROQUE DE OLIVEIRA SANTOS</t>
  </si>
  <si>
    <t>CLAYTON SOUSA MENDES</t>
  </si>
  <si>
    <t>EDER SILVA SANTOS</t>
  </si>
  <si>
    <t>MARCOS SOUZA DE LIMA</t>
  </si>
  <si>
    <t>EDUARDO SOARES FRAGA</t>
  </si>
  <si>
    <t>RAFAELA CAROLINA DE SOUZA</t>
  </si>
  <si>
    <t>AMARILDO GARCIA DE MOURA</t>
  </si>
  <si>
    <t>LEONARDO SILVA PEREIRA</t>
  </si>
  <si>
    <t>JODEDSON ARAUJO ANDRADE</t>
  </si>
  <si>
    <t>LENNON THAYLISON FLORENCIO FERMINO</t>
  </si>
  <si>
    <t>RAFAEL SILVA ALVES</t>
  </si>
  <si>
    <t>00043211120128260050</t>
  </si>
  <si>
    <t>SANDRO JOSE ALVES SIQUEIRA</t>
  </si>
  <si>
    <t>UCHENNA CRISTOPHER NWOKEALISI</t>
  </si>
  <si>
    <t>00050791420178260050</t>
  </si>
  <si>
    <t>LUCAS ANDRADE DA SILVA</t>
  </si>
  <si>
    <t>MARCO ANTONIO RODRIGUES DA COSTA</t>
  </si>
  <si>
    <t>FELIPPE AUGUSTO DE ARAUJO</t>
  </si>
  <si>
    <t>BRUNO ROSA DOMINGUES</t>
  </si>
  <si>
    <t>ITALO ROSA MAIA</t>
  </si>
  <si>
    <t>00057725720158260635</t>
  </si>
  <si>
    <t>HELIO DE DEUS ALMEIDA</t>
  </si>
  <si>
    <t>EVERTON FIGUEREDO</t>
  </si>
  <si>
    <t>MARCOS ANTONIO SANTOS  DO NASCIMENTO</t>
  </si>
  <si>
    <t>THIAGO PEREIRA DA CUNHA</t>
  </si>
  <si>
    <t>CAMILA SILVA POLICARPO</t>
  </si>
  <si>
    <t>GUSTAVO CLEBER DE OLIVEIRA CRUZ SANTOS</t>
  </si>
  <si>
    <t>WELINGTON ANTONIO GOMES CARVALHO</t>
  </si>
  <si>
    <t>DIEGO ALVES RODRIGUES</t>
  </si>
  <si>
    <t>LUAN RODRIGO DE LUNA</t>
  </si>
  <si>
    <t>ISAAC GONÇALVES DE BARROS</t>
  </si>
  <si>
    <t>JHON LENON SOUZA SANTOS</t>
  </si>
  <si>
    <t>LUIZ CARLOS CONCEIÇÃO DA SILVA</t>
  </si>
  <si>
    <t>FERNANDO FERNANDES DO NASCIMENTO</t>
  </si>
  <si>
    <t>THIAGO DA SILVA FERREIRA</t>
  </si>
  <si>
    <t>LEANDRO SILVA DE MORAIS</t>
  </si>
  <si>
    <t>MATEUS TIAGO DOS SANTOS</t>
  </si>
  <si>
    <t>LUAN CARLOS MENDONÇA DOS SANTOS</t>
  </si>
  <si>
    <t>JEFERSON DA SILVA ARAUJO</t>
  </si>
  <si>
    <t>00112228720158260050</t>
  </si>
  <si>
    <t>ROBERTO BARBOSA DA SILVA JUNIOR</t>
  </si>
  <si>
    <t>HUMBERTO ANTONIO DE ALMEIDA SILVA</t>
  </si>
  <si>
    <t>MANOEL SERGIO DA SILVA BEZERRA</t>
  </si>
  <si>
    <t>GIOVANI MARTINS SOUZA</t>
  </si>
  <si>
    <t>RODOLFO JOSE DOS SANTOS</t>
  </si>
  <si>
    <t>GUSTAVO HENRIQUE GOMES DE JESUS</t>
  </si>
  <si>
    <t>DOUGLAS VALDONIS SILVA DO NASCIMENTO</t>
  </si>
  <si>
    <t>EDNILSON ALMEIDA SANTOS</t>
  </si>
  <si>
    <t>CARLOS ANDRE OLIVEIRA PINTO</t>
  </si>
  <si>
    <t>00124474520158260050</t>
  </si>
  <si>
    <t>WESLEY DOS SANTOS SOUZA</t>
  </si>
  <si>
    <t>LUANA BARROS DA SILVA</t>
  </si>
  <si>
    <t>ADAUTO NERI DAS VIRGENS</t>
  </si>
  <si>
    <t>WILLIAM DA SILVA VIEIRA</t>
  </si>
  <si>
    <t>ALEXANDRE MARCELO BORGES</t>
  </si>
  <si>
    <t>RAFAEL DA SILVA MENDES</t>
  </si>
  <si>
    <t>DANILA FERREIRA DE ALMEIDA</t>
  </si>
  <si>
    <t>TALYSON ALVES DE MELO</t>
  </si>
  <si>
    <t>00207781620158260050</t>
  </si>
  <si>
    <t>ALEXANDRE DE OLIVEIRA CRISPIM PEREIRA</t>
  </si>
  <si>
    <t>DANILO RODRIGUES DE SOUSA</t>
  </si>
  <si>
    <t>MARCIO ANTONIO TEIXEIRA DE MORAES</t>
  </si>
  <si>
    <t>WILLIAN ANCELMO DA COSTA</t>
  </si>
  <si>
    <t>00235728320108260050</t>
  </si>
  <si>
    <t>Henrique Tadeu Affonso da Silva Junior</t>
  </si>
  <si>
    <t>RICHARD ANDRADE NASCIMENTO</t>
  </si>
  <si>
    <t>00245269020148260050</t>
  </si>
  <si>
    <t>CAIQUE ALVES</t>
  </si>
  <si>
    <t>ADRIANO CRISTO DOS SANTOS</t>
  </si>
  <si>
    <t>ALLAN ALEXANDRE DA COSTA</t>
  </si>
  <si>
    <t>ADAO VIEIRA DE MATOS NETO</t>
  </si>
  <si>
    <t>00278522420158260050</t>
  </si>
  <si>
    <t>JULIO CESAR SOUSA DE OLIVEIRA</t>
  </si>
  <si>
    <t>00305279620118260050</t>
  </si>
  <si>
    <t>Antonio Rodrigues dos Santos Teixeira</t>
  </si>
  <si>
    <t>Outro</t>
  </si>
  <si>
    <t>00320317420108260050</t>
  </si>
  <si>
    <t>Raylson Assunção da Mata</t>
  </si>
  <si>
    <t>Douglas Vicente de Jesus Silva</t>
  </si>
  <si>
    <t>00330646520118260050</t>
  </si>
  <si>
    <t>Hugo Ferreira Gomes</t>
  </si>
  <si>
    <t>Danilo de Jesus Andrade</t>
  </si>
  <si>
    <t>DANIEL BORGES GOMES</t>
  </si>
  <si>
    <t>MARCOS PAULO CALIXTO DOS SANTOS</t>
  </si>
  <si>
    <t>JAIR CYRILO JUNIOR</t>
  </si>
  <si>
    <t>00355886420138260050</t>
  </si>
  <si>
    <t>ALEX ALBINO DA SILVA</t>
  </si>
  <si>
    <t>LUCAS COELHO DE LIMA</t>
  </si>
  <si>
    <t>00374299420138260050</t>
  </si>
  <si>
    <t>JACKSON DA SILVA</t>
  </si>
  <si>
    <t>THIAGO ALVES DOS REIS</t>
  </si>
  <si>
    <t>FERNANDO RUAS DE OLIVEIRA</t>
  </si>
  <si>
    <t>IVAN MACEDO TEIXEIRA</t>
  </si>
  <si>
    <t>KAUE DA SILVA RODRIGUES</t>
  </si>
  <si>
    <t>00421903720148260050</t>
  </si>
  <si>
    <t>NECMI HAMITOGLU</t>
  </si>
  <si>
    <t>THIAGO FELIPE DA SILVA</t>
  </si>
  <si>
    <t>LUAN CARDOSO MARINHO</t>
  </si>
  <si>
    <t>CLAUDINEI BAZILIO DOS SANTOS</t>
  </si>
  <si>
    <t>PAULO FILIPE BORGES MARTINS TEIXEIRA</t>
  </si>
  <si>
    <t>VINICIUS SEVERIANO FERREIRA</t>
  </si>
  <si>
    <t>JOSE AUGUSTO BISPO DOS SANTOS</t>
  </si>
  <si>
    <t>00492021020118260050</t>
  </si>
  <si>
    <t>Marcelo Melo Costa</t>
  </si>
  <si>
    <t>ADILIO CARDOSO DOS SANTOS</t>
  </si>
  <si>
    <t>KLEYTON AMOS LEANDRO MARQUES</t>
  </si>
  <si>
    <t>REGINA GOMES DA SILVA</t>
  </si>
  <si>
    <t>ALEXANDRE PACIFICO DA SILVA</t>
  </si>
  <si>
    <t>00551716420158260050</t>
  </si>
  <si>
    <t>VANESSA CAMPOS DE CARVALHO</t>
  </si>
  <si>
    <t>CLEYTON MUNIZ DA SILVA</t>
  </si>
  <si>
    <t>ANGELA CRISTINA DA COSTA ALVES</t>
  </si>
  <si>
    <t>MICHELE PINHO</t>
  </si>
  <si>
    <t>LINIKER CAIQUE DOS SANTOS SODRE</t>
  </si>
  <si>
    <t>JONATAN CALIXTO LACERDA DE FREITAS</t>
  </si>
  <si>
    <t>DOUGLAS DA SILVA QUILES</t>
  </si>
  <si>
    <t>WESLEY JOSE PEREIRA</t>
  </si>
  <si>
    <t>00627405820118260050</t>
  </si>
  <si>
    <t>Ricardo Julião Ribeiro</t>
  </si>
  <si>
    <t>EDER FERNANDO FERREIRA LIMA</t>
  </si>
  <si>
    <t>00630399320158260050</t>
  </si>
  <si>
    <t>JOVENAL MENDES PEREIRA</t>
  </si>
  <si>
    <t>BRUNO DIAS DA SILVA</t>
  </si>
  <si>
    <t>PEDRO BOVE DA COSTA BOUCINHAS</t>
  </si>
  <si>
    <t>FABIO GONÇALVES FERNANDES</t>
  </si>
  <si>
    <t>WELLINGTON DIAS DE SOUZA</t>
  </si>
  <si>
    <t>LUIZ FELIPE PRIVADO RIBEIRO</t>
  </si>
  <si>
    <t>PEDRO HENRIQUE SCHINEIDER ARAUJO</t>
  </si>
  <si>
    <t>GERCINO NUNES BEZERRA</t>
  </si>
  <si>
    <t>ELIODORIO DE JESUS MEIRA</t>
  </si>
  <si>
    <t>YAGO MEDEIROS CARDOSO</t>
  </si>
  <si>
    <t>LEANDRO SILVA NUNES</t>
  </si>
  <si>
    <t>WILTON SANCHES BATISTA</t>
  </si>
  <si>
    <t>WESLLEY GONCALVES DOS SANTOS</t>
  </si>
  <si>
    <t>YGOR RODRIGUES BATISTA</t>
  </si>
  <si>
    <t>ELTON EDUARDO DE PAULA</t>
  </si>
  <si>
    <t>ANDRE ROBERTO VIDAL DOS SANTOS</t>
  </si>
  <si>
    <t>FERNANDO DOS SANTOS SILVA</t>
  </si>
  <si>
    <t>ALEXANDRE BATISTA SOBRAL</t>
  </si>
  <si>
    <t>CAUE DA SILVA ANTUNES</t>
  </si>
  <si>
    <t>MAGNO CAMILO DE SOUZA</t>
  </si>
  <si>
    <t>ELISANGELA VITORINO SENE DE OLIVEIRA</t>
  </si>
  <si>
    <t>WELLINGTON ALVES SANTOS</t>
  </si>
  <si>
    <t>00824912620148260050</t>
  </si>
  <si>
    <t>WILLIANS CORREA PEREIRA</t>
  </si>
  <si>
    <t>00853850920138260050</t>
  </si>
  <si>
    <t>MAURICIO ANEZ ROJAS</t>
  </si>
  <si>
    <t>00854731320148260050</t>
  </si>
  <si>
    <t>CAIO HENRIQUE MARTINS MARIA</t>
  </si>
  <si>
    <t>ANTONIO ALISON PASTURINO SALES</t>
  </si>
  <si>
    <t>BRUNO APARECIDO SILVA</t>
  </si>
  <si>
    <t>EZEQUIAS RODRIGUES DA COSTA</t>
  </si>
  <si>
    <t>MATEUS DA SILVA CAVALCANTE</t>
  </si>
  <si>
    <t>00916768820148260050</t>
  </si>
  <si>
    <t>DIEGO AMANCIO DE SOUZA</t>
  </si>
  <si>
    <t>KEYTSON CASSIANO DA SILVA DE FREITAS</t>
  </si>
  <si>
    <t>FRANCISCO MARCIO FELISMINO DE LIMA</t>
  </si>
  <si>
    <t>RENAN GARCEZ DE SOUZA</t>
  </si>
  <si>
    <t>LEANDRO DIAS FELICISSIMO</t>
  </si>
  <si>
    <t>00945773420118260050</t>
  </si>
  <si>
    <t>OSMAR RODRIGUES DE LIMA</t>
  </si>
  <si>
    <t>ANTONIO ROBERTO SILVA DE SOUSA JUNIOR</t>
  </si>
  <si>
    <t>00950687020138260050</t>
  </si>
  <si>
    <t>FELIPE DA SILVA ARAUJO</t>
  </si>
  <si>
    <t>ISRAEL DE SOUZA ARAUJO</t>
  </si>
  <si>
    <t>EVERTON PISELLI DO NASCIMENTO</t>
  </si>
  <si>
    <t>CLAYTON  ROBERTO JANUARIO DE PAULA</t>
  </si>
  <si>
    <t>NATAL RODRIGUES</t>
  </si>
  <si>
    <t>00986772720148260050</t>
  </si>
  <si>
    <t>LUIZ MIGUEL FLORENTINO BARBOZA</t>
  </si>
  <si>
    <t>TABATA PUGLIERI DA SILVA</t>
  </si>
  <si>
    <t>JULIMAR SANTANA MACIEL JUNIOR</t>
  </si>
  <si>
    <t>01007949320118260050</t>
  </si>
  <si>
    <t>FLAVIO CARNEIRO DA SILVA</t>
  </si>
  <si>
    <t>ALEXANDRE DO CARMO SILVA</t>
  </si>
  <si>
    <t>Orlando Gabriel dos Santos</t>
  </si>
  <si>
    <t>LUCAS DOS SANTOS MORAES</t>
  </si>
  <si>
    <t>JONAS DA SILVA RAIMUNDO</t>
  </si>
  <si>
    <t>01023948620108260050</t>
  </si>
  <si>
    <t>Jose Aparecido de Lima</t>
  </si>
  <si>
    <t>01028509420148260050</t>
  </si>
  <si>
    <t>HIGOR HENRIQUE GEREMIAS</t>
  </si>
  <si>
    <t>RAFAEL OTTO LAPA</t>
  </si>
  <si>
    <t>GABRIEL COSTA  BARBOSA DE ALMEIDA</t>
  </si>
  <si>
    <t>RENAN RODRIGUES DOS SANTOS</t>
  </si>
  <si>
    <t>FERNANDO APARECIDO DOS SANTOS</t>
  </si>
  <si>
    <t>01074742620138260050</t>
  </si>
  <si>
    <t>LUIZ EDUARDO REIS LEONARDO</t>
  </si>
  <si>
    <t>01082768720148260050</t>
  </si>
  <si>
    <t>CHRISTIAN VIANA DE OLIVEIRA</t>
  </si>
  <si>
    <t>01105217120148260050</t>
  </si>
  <si>
    <t>EMERSON ALVES PEREIRA</t>
  </si>
  <si>
    <t>00003218520148260635</t>
  </si>
  <si>
    <t>JHONES HENRIQUE SOUZA SANTOS</t>
  </si>
  <si>
    <t>FERNANDO FERREIRA SANTOS</t>
  </si>
  <si>
    <t>WILLIAN SILVA RODRIGUES.</t>
  </si>
  <si>
    <t>EDILBERTO CHAVIER DOS SANTOS JUNIOR..</t>
  </si>
  <si>
    <t>DIEGO COSTA LIMA</t>
  </si>
  <si>
    <t>ADEMIR DE OLIVEIRA JUNIOR..</t>
  </si>
  <si>
    <t>REGINALDO RODRIGUES SOARES</t>
  </si>
  <si>
    <t>EVERSON DOS SANTOS OLIVEIRA BRITO</t>
  </si>
  <si>
    <t>GUSTAVO HENRIQUE SOUZA DE MELO</t>
  </si>
  <si>
    <t>THAINA NERI DA SILVA</t>
  </si>
  <si>
    <t>DAVID SANTOS MEDEIROS.</t>
  </si>
  <si>
    <t>ORLANDO DOS SANTOS SOARES FILHO</t>
  </si>
  <si>
    <t>RODOLFO NOGUEIRA DA SILVA</t>
  </si>
  <si>
    <t>NAUAN ANTONIO FRANCELINO</t>
  </si>
  <si>
    <t>00015221920178260050</t>
  </si>
  <si>
    <t>Celia de Fatima Franco Gomes Cardoso</t>
  </si>
  <si>
    <t>RAFAEL MOREIRA GOMES DE MORAES</t>
  </si>
  <si>
    <t>ANA PAULA CUSTÓDIO.</t>
  </si>
  <si>
    <t>MATHEUS ALVES SANTOS.</t>
  </si>
  <si>
    <t>CLEBER LUIZ SANTANA SANTOS.</t>
  </si>
  <si>
    <t>00035586820168260050</t>
  </si>
  <si>
    <t>ALEX JUNIO FRANKLIN DOS SANTOS</t>
  </si>
  <si>
    <t>ADRIANO ALVES BARBOSA</t>
  </si>
  <si>
    <t>CARLA MIRANDA</t>
  </si>
  <si>
    <t>RODRIGO ANDRADE DE JESUS</t>
  </si>
  <si>
    <t>ALEF MUNIZ DE JESUS</t>
  </si>
  <si>
    <t>ALESSANDRO AUGUSTO DE LIMA</t>
  </si>
  <si>
    <t>ANDREZA TAINARA CARDOSO CAMILO</t>
  </si>
  <si>
    <t>AMILSON PEREIRA DE BARROS</t>
  </si>
  <si>
    <t>MARCO AURELIO GENTIL DOS SANTOS</t>
  </si>
  <si>
    <t>RAFAEL DO NASCIMENTO CONCEIÇÃO</t>
  </si>
  <si>
    <t>MARCOS ANTONIO RODRIGUES DE FREITAS</t>
  </si>
  <si>
    <t>RODRIGO AMANCIO DE OLIVEIRA</t>
  </si>
  <si>
    <t>RODRIGO FERREIRA DE SOUSA</t>
  </si>
  <si>
    <t>CARLOS DIOGO DOS SANTOS SILVA</t>
  </si>
  <si>
    <t>ERIVELTON MATHEUS BESERRA BARROS</t>
  </si>
  <si>
    <t>EISAEL BRODOWSKI DOS REIS.</t>
  </si>
  <si>
    <t>MAXWELL MOREIRA FRANCO</t>
  </si>
  <si>
    <t>00083635520168260635</t>
  </si>
  <si>
    <t>RODRIGO ROSA PETRY</t>
  </si>
  <si>
    <t>PEDRO BOLZANI NETO</t>
  </si>
  <si>
    <t>BRUNA DE MACEDO SOUZA</t>
  </si>
  <si>
    <t>Luiz Fernando Silva de Queiroz</t>
  </si>
  <si>
    <t>CAIO GONÇALVES MIRANDA OLTRAMARI</t>
  </si>
  <si>
    <t>GILBERTO DOS SANTOS CANDIDO SOUZA</t>
  </si>
  <si>
    <t>RAQUEL PAULO</t>
  </si>
  <si>
    <t>RICARDO JOSE DE MELO</t>
  </si>
  <si>
    <t>00101948420158260050</t>
  </si>
  <si>
    <t>WILLIAN TOLEDO OLIVEIRA DE ALMEIDA</t>
  </si>
  <si>
    <t>CARLOS EDUARDO EMERENCIANO.</t>
  </si>
  <si>
    <t>ALEX DE SOUZA NUNES.</t>
  </si>
  <si>
    <t>ROGERIO DE ALCANTARA LIMA</t>
  </si>
  <si>
    <t>VITOR BARBOSA LEITE DOS SANTOS.</t>
  </si>
  <si>
    <t>ALMIR FERREIRA DE FRANCA JUNIOR</t>
  </si>
  <si>
    <t>ANGELICA RODRIGUES DE SOUSA.</t>
  </si>
  <si>
    <t>JOAO ROBERTO BATISTA DA SILVA</t>
  </si>
  <si>
    <t>CLEFSON JUNIOR DE MORAES SILVA</t>
  </si>
  <si>
    <t>TIAGO NOBREGA SILVA</t>
  </si>
  <si>
    <t>Francisco Alcione Alves</t>
  </si>
  <si>
    <t>CLEYTON LEITE FERNANDES</t>
  </si>
  <si>
    <t>RODRIGO MONTEIRO PAULINO</t>
  </si>
  <si>
    <t>CAMILA LEITE FERNANDES</t>
  </si>
  <si>
    <t>PAULO ADRIANO DOS SANTOS</t>
  </si>
  <si>
    <t>JOAO VICTOR DA SILVA</t>
  </si>
  <si>
    <t>MARCOS PIRES DE GODOY</t>
  </si>
  <si>
    <t>JOAO PAULO PIRES DE GODOY</t>
  </si>
  <si>
    <t>BRUNO GUSTAVO BORBA DA SILVA</t>
  </si>
  <si>
    <t>RENATO SILVEIRA BOTELHO</t>
  </si>
  <si>
    <t>HERCULE LACERDA SILVA</t>
  </si>
  <si>
    <t>MIRAILDE ALVES BRITO.</t>
  </si>
  <si>
    <t>RAFAEL JOSE COSTA.</t>
  </si>
  <si>
    <t>CLAUDEMIR LEITE SANTOS.</t>
  </si>
  <si>
    <t>RUAN DA SILVA ROCHA</t>
  </si>
  <si>
    <t>00254515220158260050</t>
  </si>
  <si>
    <t>JULIO CEZAR DA SILVA URIAS</t>
  </si>
  <si>
    <t>FELIPE ARTUR DE PAULA COSTA</t>
  </si>
  <si>
    <t>EVERTON SILVA CHAVES</t>
  </si>
  <si>
    <t>BIANCA DA SILVA ARAUJO</t>
  </si>
  <si>
    <t>VINICIUS FELLIPE OLIVEIRA RODRIGUES</t>
  </si>
  <si>
    <t>FERNANDO CARDOSO TORRES</t>
  </si>
  <si>
    <t>JOSE VANDEVILSON DE SOUZA</t>
  </si>
  <si>
    <t>KLEBER CORDOVA BARBATO</t>
  </si>
  <si>
    <t>JOSIAS  BARRETO FERREIRA DOS SANTOS.</t>
  </si>
  <si>
    <t>JOAO JEFFERSON MACHADO</t>
  </si>
  <si>
    <t>LEANDRO NUNES DE SOUSA.</t>
  </si>
  <si>
    <t>JESSICA CRISTINA DE CARVALHO MARTINS</t>
  </si>
  <si>
    <t>IVAN FELIS DOS SANTOS</t>
  </si>
  <si>
    <t>SIDNEI ALVES</t>
  </si>
  <si>
    <t>EMANOEL FERNANDES DIAS</t>
  </si>
  <si>
    <t>EDERSON CRISLEN DAS DORES SILVA</t>
  </si>
  <si>
    <t>SHIRLEY APARECIDA DE SOUZA</t>
  </si>
  <si>
    <t>LUIZ FELIPE MARTINS DA SILVA</t>
  </si>
  <si>
    <t>DOUGLAS WILLIAM DA SILVA FERREIRA</t>
  </si>
  <si>
    <t>SANDRO NUNES DA SILVA SANTOS.</t>
  </si>
  <si>
    <t>FELIPE MACEDO DOS SANTOS</t>
  </si>
  <si>
    <t>LUIZ EDUARDO DE LIMA DOS SANTOS</t>
  </si>
  <si>
    <t>EDMILSON ROBERTO MORAL</t>
  </si>
  <si>
    <t>AUREA MIRIAM PEREIRA FERRAZ</t>
  </si>
  <si>
    <t>MATHEUS CHIMENES</t>
  </si>
  <si>
    <t>ELISSANDRA MOREIRA DA SILVA</t>
  </si>
  <si>
    <t>EDUARDO OLIVEIRA PEREIRA</t>
  </si>
  <si>
    <t>WESLEY OLIVEIRA DOMINGUES DA SILVA</t>
  </si>
  <si>
    <t>00472923520178260050</t>
  </si>
  <si>
    <t>GILDECY MESSIAS SANTOS</t>
  </si>
  <si>
    <t>JESSICA CRISTINA  GONÇALVES PRADO</t>
  </si>
  <si>
    <t>ASTRID AJDINI</t>
  </si>
  <si>
    <t>JOSEPH ONU NWANI</t>
  </si>
  <si>
    <t>FERNANDO WILLIAN VIEIRA DO CARMO</t>
  </si>
  <si>
    <t>OSMAR CERQUEIRA DA SILVA</t>
  </si>
  <si>
    <t>00559675520158260050</t>
  </si>
  <si>
    <t>ELUAN MENEZES DE OLIVEIRA</t>
  </si>
  <si>
    <t>JEFERSON OLIVEIRA DE MORAIS</t>
  </si>
  <si>
    <t>ANDERSON FERREIRA DO NASCIMENTO</t>
  </si>
  <si>
    <t>LAIANE PEREIRA DOS SANTOS</t>
  </si>
  <si>
    <t>DOUGLAS LOPES DE CAMPOS</t>
  </si>
  <si>
    <t>KLEBER FERREIRA SANTOS</t>
  </si>
  <si>
    <t>JOYCE JAQUELINE MACHADO DE OLIVEIRA</t>
  </si>
  <si>
    <t>JESSICA OLIVEIRA DIAS VIANA</t>
  </si>
  <si>
    <t>JOSE MARCOS SANTOS DA SILVA</t>
  </si>
  <si>
    <t>JONAS MATEUS DA CONCEICAO</t>
  </si>
  <si>
    <t>RODRIGO MARTINS DOS SANTOS</t>
  </si>
  <si>
    <t>WILLIAM MOREIRA NIZA</t>
  </si>
  <si>
    <t>00667469820178260050</t>
  </si>
  <si>
    <t>EMERSON JUNIO GOMES FERREIRA</t>
  </si>
  <si>
    <t>WELITON ARLEN DE SOUSA PORTELA</t>
  </si>
  <si>
    <t>RAFAEL RODRIGUES AVANZO</t>
  </si>
  <si>
    <t>CLAYTON DOS SANTOS</t>
  </si>
  <si>
    <t>FRANCISCO HELIO ALVES DE SOUZA</t>
  </si>
  <si>
    <t>PABLO FELIPE DE LIMA VICENTE</t>
  </si>
  <si>
    <t>DOUGLAS DE BRITO COELHO</t>
  </si>
  <si>
    <t>FABRICIO SANTOS CARDOSO</t>
  </si>
  <si>
    <t>JOSE EDILANDRO RODRIGUES</t>
  </si>
  <si>
    <t>FLAVIO PEREIRA DA SILVA</t>
  </si>
  <si>
    <t>VANESSA MARIA PECHIN</t>
  </si>
  <si>
    <t>ROGERIO DE SOUZA SILVA</t>
  </si>
  <si>
    <t>HELON DE JESUS AMANCIO DE OLIVEIRA</t>
  </si>
  <si>
    <t>DAVID LEITE ANICETO</t>
  </si>
  <si>
    <t>GABRIEL BATISTA DOS SANTOS.</t>
  </si>
  <si>
    <t>MATHEUS TACONELLI FRANCA</t>
  </si>
  <si>
    <t>MARTHA LETICIA DE MEIRELES ANIZEU</t>
  </si>
  <si>
    <t>ROBER GUERRA OCHOA</t>
  </si>
  <si>
    <t>MICHAEL KONONENKO</t>
  </si>
  <si>
    <t>DEIVID ADAN SOUZA LEMA</t>
  </si>
  <si>
    <t>00780454320158260050</t>
  </si>
  <si>
    <t>JOSE ROBERTO DA SILVA LIMA</t>
  </si>
  <si>
    <t>RODRIGO MORAES BARROS</t>
  </si>
  <si>
    <t>MATEUS CARLOS RODRIGUES DA SILVA</t>
  </si>
  <si>
    <t>VAGNER LUCIO CABRAL DA SILVA</t>
  </si>
  <si>
    <t>ARIEL VIEIRA SANTOS</t>
  </si>
  <si>
    <t>VANILDO GOMES DA SILVA</t>
  </si>
  <si>
    <t>ANDERSON CARDOSO DE SANTANA</t>
  </si>
  <si>
    <t>JORGE GABRIEL ALEXANDRINO DE OLIVEIRA</t>
  </si>
  <si>
    <t>PEDRO HENRIQUE SOUSA FERNANDES</t>
  </si>
  <si>
    <t>ANDREA LEONCIO FERREIRA</t>
  </si>
  <si>
    <t>JIHAD EL MOKDAD</t>
  </si>
  <si>
    <t>RAFAEL CALIXTO DA SILVA</t>
  </si>
  <si>
    <t>EVALDO KENNEDY SANTOS DA VILA</t>
  </si>
  <si>
    <t>00865782020178260050</t>
  </si>
  <si>
    <t>GILSON ALVES DA COSTA</t>
  </si>
  <si>
    <t>ALEXSANDRO RONDELI</t>
  </si>
  <si>
    <t>ANTONIO MARCOS MUNIZ MAIA</t>
  </si>
  <si>
    <t>SHOWN ANTHONY PANDOZZI</t>
  </si>
  <si>
    <t>WELLINGTON SOUZA FARIA</t>
  </si>
  <si>
    <t>00918356520138260050</t>
  </si>
  <si>
    <t>JUAN CASTILLO CARRANZA</t>
  </si>
  <si>
    <t>LUCAS LIMA DOS SANTOS</t>
  </si>
  <si>
    <t>VITOR GONÇALVES PEREIRA</t>
  </si>
  <si>
    <t>GUILHERME MORAES AZEVEDO</t>
  </si>
  <si>
    <t>PAULO HENRIQUE ALEIXO DE SOUZA</t>
  </si>
  <si>
    <t>MARIO HENRIQUE DA SILVA BEZERRA</t>
  </si>
  <si>
    <t>ICARO ADAMO DOS SANTOS</t>
  </si>
  <si>
    <t>MATHEUS GOMES SENA</t>
  </si>
  <si>
    <t>LEONARDO DOS PASSOS MOREIRA</t>
  </si>
  <si>
    <t>01077066720158260050</t>
  </si>
  <si>
    <t>VALDIR MANOEL DA SILVA</t>
  </si>
  <si>
    <t>MICHAEL OLIVIERA DOS SANTOS</t>
  </si>
  <si>
    <t>CICERO RICARDO DA SILVA</t>
  </si>
  <si>
    <t>LUCAS SANTOS PEREIRA</t>
  </si>
  <si>
    <t>ZELISCLENIO DE SOUZA TELES</t>
  </si>
  <si>
    <t>ROBSON HENRIQUE PEIXOTO</t>
  </si>
  <si>
    <t>ELI EVERTON MATHEUS</t>
  </si>
  <si>
    <t>ELIAS SOARES DE ALMEIDA</t>
  </si>
  <si>
    <t>00096079120178260050</t>
  </si>
  <si>
    <t>AGUINALDO LUIS HONORATO</t>
  </si>
  <si>
    <t>ELISEU XAVIER DE ALMEIDA</t>
  </si>
  <si>
    <t>ALMIR FERRO DOS SANTOS</t>
  </si>
  <si>
    <t>HERNALDO DA CRUZ AIRES</t>
  </si>
  <si>
    <t>CLINTON MATOS MENDONÇA</t>
  </si>
  <si>
    <t>GABRIEL FAUSTINO SANTOS</t>
  </si>
  <si>
    <t>IVANBERTO CARDOSO DE SOUZA</t>
  </si>
  <si>
    <t>UEMERSON SOUZA DOS SANTOS</t>
  </si>
  <si>
    <t>BRUNO ZEITLER ROQUE DA SILVA</t>
  </si>
  <si>
    <t>VINICIUS RIBEIRO MASCHIO</t>
  </si>
  <si>
    <t>ANTONIO CARLOS SANTANA</t>
  </si>
  <si>
    <t>ALEXSANDER SOUZA ROCHA</t>
  </si>
  <si>
    <t>JAILTON DA SILVA</t>
  </si>
  <si>
    <t>00156727820128260050</t>
  </si>
  <si>
    <t>MAURICIO ILDEFONSO SANTOS</t>
  </si>
  <si>
    <t>HENRIQUE DA CRUZ</t>
  </si>
  <si>
    <t>IVO RODRIGUES DE LIMA</t>
  </si>
  <si>
    <t>MARCELO  GOMES DE SOUSA</t>
  </si>
  <si>
    <t>RICARDO ROGERIO FELICIO</t>
  </si>
  <si>
    <t>Fabiana Souza Queiroz</t>
  </si>
  <si>
    <t>Negro</t>
  </si>
  <si>
    <t>Antonio Marcos dos Santos</t>
  </si>
  <si>
    <t>Irineu Alves Rodrigues Filho</t>
  </si>
  <si>
    <t>BRUNO SALLES CAMPOS</t>
  </si>
  <si>
    <t>JULIO FONSECA DA SILVA NETO</t>
  </si>
  <si>
    <t>CLEBERSON SODRE DE ALMEIDA</t>
  </si>
  <si>
    <t>Thais Coutinho Sant Ana</t>
  </si>
  <si>
    <t>JOABSON GUIMARAES LIMA</t>
  </si>
  <si>
    <t>00436255120118260050</t>
  </si>
  <si>
    <t>Clecio Gomes Chaves</t>
  </si>
  <si>
    <t>Lucas de Jesus Sousa</t>
  </si>
  <si>
    <t>Leonardo Felix da Silva</t>
  </si>
  <si>
    <t>Michael Silva de Oliveira</t>
  </si>
  <si>
    <t>PORTILLO SAUCEDO EVEN MILNER</t>
  </si>
  <si>
    <t>CRISTHIAN RODOLFO BRITEZ MORAN</t>
  </si>
  <si>
    <t>TIAGO PINHEIRO DO NASCIMENTO (mat. 10659993)</t>
  </si>
  <si>
    <t>RENATO ILDEFONSO DE OLIVEIRA</t>
  </si>
  <si>
    <t>CLEITON FELICIANO DE MELO DA SILVA</t>
  </si>
  <si>
    <t>VICTOR HUGO SILVA LIMA</t>
  </si>
  <si>
    <t>THIAGO RODRIGUES CASTANHO</t>
  </si>
  <si>
    <t>00538419520168260050</t>
  </si>
  <si>
    <t>RENATO ROSARIO DE OLIVEIRA</t>
  </si>
  <si>
    <t>EVANGELISTA PEREIRA DOS SANTOS</t>
  </si>
  <si>
    <t>SERGIO RODRIGUES DOS SANTOS</t>
  </si>
  <si>
    <t>EDVALDO BATISTA SANTOS</t>
  </si>
  <si>
    <t>ERICA CAVALCANTI MARTINS</t>
  </si>
  <si>
    <t>ELEUZINA CAMPOS CAVALCANTI</t>
  </si>
  <si>
    <t>JOAB GILENO DOS SANTOS</t>
  </si>
  <si>
    <t>WALLACE FELIPE BATISTA</t>
  </si>
  <si>
    <t>EMERSON WILLIAN DA SILVA</t>
  </si>
  <si>
    <t>LUCIANO ARISTIDES DOS SANTOS</t>
  </si>
  <si>
    <t>ALESSANDRO DA SILVA</t>
  </si>
  <si>
    <t>DAVID DE MESQUITA SOUSA</t>
  </si>
  <si>
    <t>SANDRO MORETTI DOS SANTOS SIMOES JUNIOR</t>
  </si>
  <si>
    <t>ANTONIO CARLOS MOURA SANTOS</t>
  </si>
  <si>
    <t>SIDNEI APARECIDO SEVERIANO</t>
  </si>
  <si>
    <t>WESLEY ROBERTO DOS SANTOS</t>
  </si>
  <si>
    <t>RICARDO JOSE COUTINHO</t>
  </si>
  <si>
    <t>GIVALDO ALMEIDA SILVA</t>
  </si>
  <si>
    <t>UMBERTO APARECIDO MAZZEO JUNIOR</t>
  </si>
  <si>
    <t>FELIPE AUGUSTO DA SILVA VALENTIM</t>
  </si>
  <si>
    <t>PAULO FERREIRA DA SILVA JUNIOR</t>
  </si>
  <si>
    <t>HENRIQUE DOS SANTOS</t>
  </si>
  <si>
    <t>RODOLFO APARECIDO DE ALMEIDA</t>
  </si>
  <si>
    <t>FABIO FERREIRA MARIA</t>
  </si>
  <si>
    <t>LUIS HENRIQUE BARROS PACHECO</t>
  </si>
  <si>
    <t>RUBENS AMORIM BEZERRA MAIA</t>
  </si>
  <si>
    <t>MARCELO REGOLIN</t>
  </si>
  <si>
    <t>CARLOS DE OLIVEIRA LIMA</t>
  </si>
  <si>
    <t>01013754520108260050</t>
  </si>
  <si>
    <t>Diego de Oliveira Lopes Rabelo</t>
  </si>
  <si>
    <t>RUDSON MATHEUS NOBREGA SILVA</t>
  </si>
  <si>
    <t>ARIEL PEREIRA CUNHA</t>
  </si>
  <si>
    <t>UENDERSON XAVIER DE OLIVEIRA</t>
  </si>
  <si>
    <t>WAGNER MARQUES CORNELIO</t>
  </si>
  <si>
    <t>ERICK OLIVEIRA BARRETO</t>
  </si>
  <si>
    <t>PERCIO ULISSES DA SILVA</t>
  </si>
  <si>
    <t>LEONARDO DA SILVA IZIDORIO</t>
  </si>
  <si>
    <t>ALEF FERREIRA DA SILVA</t>
  </si>
  <si>
    <t>HUMBERTO PAFUME OSHIKA JUNIOR</t>
  </si>
  <si>
    <t>RODRIGO PUELKER RENZULLI</t>
  </si>
  <si>
    <t>JOSE CARLOS DOS SANTOS</t>
  </si>
  <si>
    <t>FELIPE DIMAS DA CONCEICAO</t>
  </si>
  <si>
    <t>ROBERT HENRIQUE DE PAULA SANTOS</t>
  </si>
  <si>
    <t>CARLOS EDUARDO CONCEIÇÃO ROCHA</t>
  </si>
  <si>
    <t>JOHNNY FERNANDO LOPES SALES</t>
  </si>
  <si>
    <t>JOSE WALLACE LIMA DO O</t>
  </si>
  <si>
    <t>DANILA SILVA VAZ</t>
  </si>
  <si>
    <t>JOAO VITOR NEPOMUCENO RIBEIRO</t>
  </si>
  <si>
    <t>JAIME SILVA DOS SANTOS</t>
  </si>
  <si>
    <t>JOAO VITOR DE OLIVEIRA</t>
  </si>
  <si>
    <t>LUIZ RODRIGO ALCANTARA VIEIRA DE SOUSA</t>
  </si>
  <si>
    <t>VANELSON RAMOS TEIXEIRA</t>
  </si>
  <si>
    <t>JONATHAN DE SOUZA SANTANA</t>
  </si>
  <si>
    <t>ANDRE LUIZ DE OLIVEIRA</t>
  </si>
  <si>
    <t>CAUE DANTAS</t>
  </si>
  <si>
    <t>BRUNO FERNANDO DE SOUZA</t>
  </si>
  <si>
    <t>HENRIQUE DOS SANTOS RODRIGUES</t>
  </si>
  <si>
    <t>MARCUS VINICIUS FERREIRA DA SILVA</t>
  </si>
  <si>
    <t>FERNANDO DE SOUZA OLIVEIRA</t>
  </si>
  <si>
    <t>CLAUDEMIR MOREIRA DA SILVA</t>
  </si>
  <si>
    <t>MICHEL MARQUES DE OLIVEIRA</t>
  </si>
  <si>
    <t>BRUNO GANDHI SOUZA SANTOS</t>
  </si>
  <si>
    <t>ALAN FRANCISCO ANDRADE DE OLIVEIRA</t>
  </si>
  <si>
    <t>VALMIR PAIXAO MARTINS</t>
  </si>
  <si>
    <t>ANTONIO VIEIRA NETO</t>
  </si>
  <si>
    <t>JOAO BRUNO SANTOS DE JESUS SILVA</t>
  </si>
  <si>
    <t>FABIANA DE JESUS SILVA</t>
  </si>
  <si>
    <t>LUCAS BUENO DA SILVA</t>
  </si>
  <si>
    <t>JACIELE MENDES BARROS</t>
  </si>
  <si>
    <t>LUCAS ALBERTO DA SILVA MOLERO</t>
  </si>
  <si>
    <t>FERNANDO HENRIQUE BARBOSA DE SOUZA</t>
  </si>
  <si>
    <t>DOUGLAS DE CARVALHO</t>
  </si>
  <si>
    <t>DIEGO BARBOSA DIAS</t>
  </si>
  <si>
    <t>LEONARDO VICTOR COSTA DA SILVA</t>
  </si>
  <si>
    <t>00189125620048260050</t>
  </si>
  <si>
    <t>Antonio Miranda</t>
  </si>
  <si>
    <t>VALMIR DE JESUS SANTOS</t>
  </si>
  <si>
    <t>ANDREIA LUIZA DE CARVALHO</t>
  </si>
  <si>
    <t>MARCIO DE MORAES NASCIMENTO</t>
  </si>
  <si>
    <t>GILVAN DOS SANTOS SOUZA</t>
  </si>
  <si>
    <t>LUCAS GASPAR RABELO DE SOUZA</t>
  </si>
  <si>
    <t>JOSE ALFREDO DOS SANTOS JUNIOR</t>
  </si>
  <si>
    <t>FABIANO SANTANA DOS SANTOS</t>
  </si>
  <si>
    <t>YGOR CAMARA SATELES</t>
  </si>
  <si>
    <t>MARTINHO DAS NEVES PEREIRA FILHO</t>
  </si>
  <si>
    <t>VAGNER COSTA OLIVEIRA</t>
  </si>
  <si>
    <t>MATHEUS MARQUES</t>
  </si>
  <si>
    <t>VIVALDO GUEDES</t>
  </si>
  <si>
    <t>00429941020118260050</t>
  </si>
  <si>
    <t>Nicholas Charles Evangelista Lopes</t>
  </si>
  <si>
    <t>DOUGLAS BARROS DE AMORIM</t>
  </si>
  <si>
    <t>WANDERSON GUEIROS DA SILVA</t>
  </si>
  <si>
    <t>VENILSON ALVES DOS SANTOS</t>
  </si>
  <si>
    <t>DANIEL TRAJANO DO NASCIMENTO</t>
  </si>
  <si>
    <t>RENATO STAMATO NETO</t>
  </si>
  <si>
    <t>JONATHAN DOS SANTOS RAIMUNDO</t>
  </si>
  <si>
    <t>MESSIAS DOS SANTOS SOUZA</t>
  </si>
  <si>
    <t>00495424120178260050</t>
  </si>
  <si>
    <t>RICARDO ENGMAMM DE LIMA</t>
  </si>
  <si>
    <t>JOSE VALTER SANTOS DE MATOS</t>
  </si>
  <si>
    <t>GUSTAVO VINICIUS PAES</t>
  </si>
  <si>
    <t>HUDSON CRISTIANO DOS SANTOS BEZERRA</t>
  </si>
  <si>
    <t>JULIO FERREIRA DOS SANTOS</t>
  </si>
  <si>
    <t>FLAVIO SOARES DOS SANTOS</t>
  </si>
  <si>
    <t>LUIS CARLOS DA SILVA ELEUTERIO</t>
  </si>
  <si>
    <t>00615552920048260050</t>
  </si>
  <si>
    <t>Isaires Dias do Nascimento</t>
  </si>
  <si>
    <t>VINICIUS DOS SANTOS SILVA</t>
  </si>
  <si>
    <t>KAUE SANTANA SILVA</t>
  </si>
  <si>
    <t>MICHAEL ROGERIO ALVES</t>
  </si>
  <si>
    <t>EDUARDO HIROSHI KAWAGUCHI</t>
  </si>
  <si>
    <t>DIEGO TAVARES NUNES SOARES</t>
  </si>
  <si>
    <t>VITOR EDUARDO MARCONDES DA COSTA</t>
  </si>
  <si>
    <t>FRANK WILLIAM DE SOUZA</t>
  </si>
  <si>
    <t>WILLIAM LIMA CARDOSO</t>
  </si>
  <si>
    <t>RAFAEL CAMPANHA ALVES DA SILVA</t>
  </si>
  <si>
    <t>SERGIO MOREIRA DE CARVALHO</t>
  </si>
  <si>
    <t>LUCAS DE OLIVEIRA SOUSA DE JESUS</t>
  </si>
  <si>
    <t>LUIZ COELHO DA SILVA JUNIOR</t>
  </si>
  <si>
    <t>ALEXANDRE DA SILVA</t>
  </si>
  <si>
    <t>ELVIS LEITE FERREIRA</t>
  </si>
  <si>
    <t>EVERALDO FERREIRA DE LIMA JUNIOR</t>
  </si>
  <si>
    <t>FABIANO DE ARAUJO</t>
  </si>
  <si>
    <t>ROBSON BARBOSA TRINDADE</t>
  </si>
  <si>
    <t>JOSE SUYE ROMERO</t>
  </si>
  <si>
    <t>00817640920108260050</t>
  </si>
  <si>
    <t>Cleiton Nascimento Moraes</t>
  </si>
  <si>
    <t>FLAVIO AUGUSTO NOBRE DA COSTA FIGO</t>
  </si>
  <si>
    <t>CAIO CESAR DOS SANTOS SILVA</t>
  </si>
  <si>
    <t>ALAN MARTINS DA SILVA</t>
  </si>
  <si>
    <t>ROGERIO SANTOS ARAGAO</t>
  </si>
  <si>
    <t>00861862220138260050</t>
  </si>
  <si>
    <t>ANDRE LUIS DE MORAES</t>
  </si>
  <si>
    <t>PATRICIA DA ROCHA DOS SANTOS</t>
  </si>
  <si>
    <t>WILLIAM MAGNO MALCHIER RIBONDI</t>
  </si>
  <si>
    <t>IGOR JULIAO</t>
  </si>
  <si>
    <t>00902408920178260050</t>
  </si>
  <si>
    <t>SHIRLLEY TEIXEIRA ALVES PEREIRA</t>
  </si>
  <si>
    <t>ADRIANA GALINDO GOMES</t>
  </si>
  <si>
    <t>ELVIS DE MACEDO SILVA</t>
  </si>
  <si>
    <t>CHINWENDU STEPHEN UZOEGBU</t>
  </si>
  <si>
    <t>CHIDERA ANSELM IRUKA</t>
  </si>
  <si>
    <t>CLAUDINEIA SANTOS COSTA</t>
  </si>
  <si>
    <t>WILLIANS ROGER FLORENTINO</t>
  </si>
  <si>
    <t>ALVARO DOS SANTOS TOLENTINO</t>
  </si>
  <si>
    <t>SIMONE NUNES SANTOS</t>
  </si>
  <si>
    <t>MAURICIO DE CARVALHO</t>
  </si>
  <si>
    <t>BRUNO CIPRIANO SAVOIA DA SILVA</t>
  </si>
  <si>
    <t>LUAN FERREIRA DE SANTANA</t>
  </si>
  <si>
    <t>KELVIN BATISTA ROCHA</t>
  </si>
  <si>
    <t>LUIZ HENRIQUE SARSA NABARRO</t>
  </si>
  <si>
    <t>ANDRE REINERIO ALMEIDA</t>
  </si>
  <si>
    <t>LUCAS CESAR DE PAULA</t>
  </si>
  <si>
    <t>RENAN LEITE CAMARGO</t>
  </si>
  <si>
    <t>HENRIQUE SANTOS DA SILVA</t>
  </si>
  <si>
    <t>WALAS SOARES DE OLIVEIRA</t>
  </si>
  <si>
    <t>MARCELO CORCIAK JUNIOR</t>
  </si>
  <si>
    <t>HUMBERTO SOARES DA SILVA</t>
  </si>
  <si>
    <t>ALINE BATISTA</t>
  </si>
  <si>
    <t>KARINE FAGUNDES DE FARIAS</t>
  </si>
  <si>
    <t>KAYAN TOJOHIKO YSHIGUE</t>
  </si>
  <si>
    <t>CRISTIAN SILVEIRA DOS SANTOS</t>
  </si>
  <si>
    <t>SIRLEY ASSIS DE OLIVEIRA</t>
  </si>
  <si>
    <t>DIEGO SANTOS DA SILVA</t>
  </si>
  <si>
    <t>LUCAS SONSIN MARTINS</t>
  </si>
  <si>
    <t>ALISON ALVES MARTINS</t>
  </si>
  <si>
    <t>IAGO HENRIQUE DO NASCIMENTO</t>
  </si>
  <si>
    <t>RODRIGO BASTOS DE OLIVEIRA</t>
  </si>
  <si>
    <t>HUMBERTO VINICIUS DO AMARAL DOS SANTOS</t>
  </si>
  <si>
    <t>HUDSON FRANCIS GOMES ROCHA</t>
  </si>
  <si>
    <t>MARCOS PAULO SILVA</t>
  </si>
  <si>
    <t>ANDREIA NATALICIO DOS SANTOS</t>
  </si>
  <si>
    <t>FELIPE SILVA COSMO</t>
  </si>
  <si>
    <t>SILVANA MARTINS DE QUEIROZ</t>
  </si>
  <si>
    <t>BRUNO EDUARDO OLIVEIRA ROSAS</t>
  </si>
  <si>
    <t>WILLIAM LEDESMA DOS SANTOS</t>
  </si>
  <si>
    <t>ODIRLEI DOS ANJOS OLIVEIRA</t>
  </si>
  <si>
    <t>WELBERT GABRIEL DE LIMA</t>
  </si>
  <si>
    <t>RODRIGO DE JESUS CUCATO</t>
  </si>
  <si>
    <t>MARCOS DE SOUSA MEDEIROS E SILVA</t>
  </si>
  <si>
    <t>GABRIELA DO NASCIMENTO OLIVEIRA</t>
  </si>
  <si>
    <t>FELIPE LIMA SANTOS</t>
  </si>
  <si>
    <t>CARLOS ROBERTO ELIAS SANTANA</t>
  </si>
  <si>
    <t>VINICIUS CANELLA MOREIRA</t>
  </si>
  <si>
    <t>LUIS EDUARDO CHAVES SANTOS</t>
  </si>
  <si>
    <t>ANANIAS CARIOCA DE SOUZA</t>
  </si>
  <si>
    <t>RODNEY ROBERT DA CUNHA MARQUES</t>
  </si>
  <si>
    <t>ANDRE TADEU DA SILVA</t>
  </si>
  <si>
    <t>GENIVALDO OLIVEIRA LOPES</t>
  </si>
  <si>
    <t>LUCAS DA COSTA MOREIRA</t>
  </si>
  <si>
    <t>LAFAETTY JORDAN DOS SANTOS DA SILVA</t>
  </si>
  <si>
    <t>ANA MARIA DE JESUS OLIVEIRA</t>
  </si>
  <si>
    <t>ELVIS SEVERINO DA SILVA</t>
  </si>
  <si>
    <t>BRUNO SOUZA RODRIGUES BITTENCOURT</t>
  </si>
  <si>
    <t>ADRIANO MARQUES AFONSO DOS SANTOS</t>
  </si>
  <si>
    <t>00111283720188260050</t>
  </si>
  <si>
    <t>MONICA CRISTINA DA SILVA</t>
  </si>
  <si>
    <t>WILLIAM JOSE DE ALMEIDA BRAGA</t>
  </si>
  <si>
    <t>WESLEY CARDOSO DE OLIVEIRA</t>
  </si>
  <si>
    <t>FABIO SAVIOLI</t>
  </si>
  <si>
    <t>MAIANE MONIQUE DA SILVA</t>
  </si>
  <si>
    <t>FELIPE DA CONCEIÇÃO</t>
  </si>
  <si>
    <t>NATAN GOMES DE OLIVEIRA</t>
  </si>
  <si>
    <t>FARLEY DA CONCEIÇÃO</t>
  </si>
  <si>
    <t>EDMILSON JOSE GOMES DA SILVA</t>
  </si>
  <si>
    <t>CAIO VINICIUS CAETANO GONCALVES</t>
  </si>
  <si>
    <t>NATALICIO GONCALVES DE AZEVEDO SILVA</t>
  </si>
  <si>
    <t>JEFFERSON OLIVEIRA LEITE DA SILVA</t>
  </si>
  <si>
    <t>JULIANA AMORIM XAVIER DE JESUS</t>
  </si>
  <si>
    <t>CARLOS JOAO FREIRE NASCIMENTO</t>
  </si>
  <si>
    <t>VALDEMIR GLOSS</t>
  </si>
  <si>
    <t>JOSE RAFAELTON ALVES DE MENEZES</t>
  </si>
  <si>
    <t>FELIPE SANTOS MACHADO</t>
  </si>
  <si>
    <t>erro saj</t>
  </si>
  <si>
    <t>ANDERSON SANTOS RODRIGUES</t>
  </si>
  <si>
    <t>HERBERT GONCALVES DOS SANTOS</t>
  </si>
  <si>
    <t>MATHEUS FERREIRA DE OLIVEIRA</t>
  </si>
  <si>
    <t>CLAYTON ALVES DA SILVA</t>
  </si>
  <si>
    <t>MARSON DE CAMPOS BASTOS</t>
  </si>
  <si>
    <t>JOSELIA LINS CLARINDO</t>
  </si>
  <si>
    <t>JACLEDES DOS SANTOS PAIXAO</t>
  </si>
  <si>
    <t>SIDNEY SILVA VIEIRA</t>
  </si>
  <si>
    <t>THIAGO JUVENCIO PEREIRA DA SILVA</t>
  </si>
  <si>
    <t>LEANDRO ARAUJO FEITOSA</t>
  </si>
  <si>
    <t>EDSON PAULO ROMAO</t>
  </si>
  <si>
    <t>RENNER SILVA NOGUEIRA</t>
  </si>
  <si>
    <t>JEFERSON ISIDEO FARIA</t>
  </si>
  <si>
    <t>ANDRÉ MARTINS LEONARDO</t>
  </si>
  <si>
    <t>YGOR ROSA FERREIRA</t>
  </si>
  <si>
    <t>FERNANDA GALVAO</t>
  </si>
  <si>
    <t>RAYR SILVERIO SANTOS</t>
  </si>
  <si>
    <t>KAIQUE DA SILVA FERREIRA</t>
  </si>
  <si>
    <t>PEDRO HENRIQUE DA SILVA</t>
  </si>
  <si>
    <t>RODRIGO DA SILVA</t>
  </si>
  <si>
    <t>RAFAEL GOMES DA SILVA FERREIRA</t>
  </si>
  <si>
    <t>ERISVALDO ALVES DE CARVALHO</t>
  </si>
  <si>
    <t>REGINALDO LUIZ GUEDES</t>
  </si>
  <si>
    <t>00495702920058260050</t>
  </si>
  <si>
    <t>Pedro Martinez Ginez</t>
  </si>
  <si>
    <t>Andreia Aparecida Quirino</t>
  </si>
  <si>
    <t>Adriana Maria da Silva</t>
  </si>
  <si>
    <t>WEVERTON SILVA DE SOUZA</t>
  </si>
  <si>
    <t>ERALDO SAMPAIO DOS SANTOS</t>
  </si>
  <si>
    <t>FAGNER FERNANDES MEDRADO DE SOUZA</t>
  </si>
  <si>
    <t>DOUGLAS DOS SANTOS VIEIRA</t>
  </si>
  <si>
    <t>ALEXANDRE MONTEIRO DE MORAIS</t>
  </si>
  <si>
    <t>LUIS EDVALDO MORAES DA SILVA</t>
  </si>
  <si>
    <t>KAYKE AUGUSTO PIGNATARI LUCENA BORGESI</t>
  </si>
  <si>
    <t>LEANDRO BATISTA SOARES</t>
  </si>
  <si>
    <t>DENIS WILLIAN DA SILVA</t>
  </si>
  <si>
    <t>GUILHERME NUNES DE SOUZA SILVA</t>
  </si>
  <si>
    <t>JONAS CUSTODIO DA SILVA</t>
  </si>
  <si>
    <t>PAMELA CRISTINA GONCALVES DOS SANTOS</t>
  </si>
  <si>
    <t>JOSE LIMA RAMALHO JUNIOR</t>
  </si>
  <si>
    <t>JOSE JEFFERSON DA SILVA SOUSA</t>
  </si>
  <si>
    <t>CLAUDINEI RIBEIRO</t>
  </si>
  <si>
    <t>PAULO BATALHA MESQUITA</t>
  </si>
  <si>
    <t>LUCIANO VIANA DE SANTANA</t>
  </si>
  <si>
    <t>PAULO SERGIO DE SOUZA LOPES</t>
  </si>
  <si>
    <t>LUANA ROBERTA MARIAS DE SOUZA LOPES</t>
  </si>
  <si>
    <t>WAGNER ALVES GABRIEL</t>
  </si>
  <si>
    <t>JOAO LUCAS SANTOS DA SILVA</t>
  </si>
  <si>
    <t>DAVID ANTONIO LIMA PEREIRA</t>
  </si>
  <si>
    <t>VITOR HUGO DE SOUZA RODRIGUES</t>
  </si>
  <si>
    <t>LUCAS RIBEIRO DE JESUS</t>
  </si>
  <si>
    <t>MARCIA MARIA FLAVIO</t>
  </si>
  <si>
    <t>DAVI DE JESUS FLAVIO DOS SANTOS</t>
  </si>
  <si>
    <t>JACKSON ROBERVAL DE SA</t>
  </si>
  <si>
    <t>WESLEI DEIVID DO ROSARIO</t>
  </si>
  <si>
    <t>EMERSON DE CAMPOS</t>
  </si>
  <si>
    <t>EDUARDO OLIVEIRA DA SILVA</t>
  </si>
  <si>
    <t>REGIVAN GUEDES DA SILVA SOUZA</t>
  </si>
  <si>
    <t>VALDEMAR COSTA SANTOS</t>
  </si>
  <si>
    <t>CLAUDENIR OLIVEIRA DA SILVA</t>
  </si>
  <si>
    <t>WILKER  BASTO DE SOUZA GOMES</t>
  </si>
  <si>
    <t>DANIEL GALDIOZO</t>
  </si>
  <si>
    <t>ARISTIDES FERREIRA DA SILVA</t>
  </si>
  <si>
    <t>RAFAEL PEREIRA SANTOS NETO</t>
  </si>
  <si>
    <t>KAIQUE LEITE DA SILVA</t>
  </si>
  <si>
    <t>ALEX D ASSUNCAO DE OLIVEIRA</t>
  </si>
  <si>
    <t>ROGERIO REIS DE BRITO</t>
  </si>
  <si>
    <t>MARIO SERGIO  REIS DE BRITO</t>
  </si>
  <si>
    <t>EVERTON APARECIDO MEIRA DE SANTANA</t>
  </si>
  <si>
    <t>LUAN HENRIQUE SILVA EVANGELISTA</t>
  </si>
  <si>
    <t>ALEXSANDRO VITORINO DOS SANTOS</t>
  </si>
  <si>
    <t>VITOR GOMES BONFIM</t>
  </si>
  <si>
    <t>THIAGO FIGUEIREDO SANTOS</t>
  </si>
  <si>
    <t>JEAN WENDEL DA SILVA</t>
  </si>
  <si>
    <t>DANIEL JUNIOR FREIRE DOS SANTOS</t>
  </si>
  <si>
    <t>LEANDRO VICENTE</t>
  </si>
  <si>
    <t>MALIKI MOHAMEDY MKETTO</t>
  </si>
  <si>
    <t>DIOGO FERNANDO REIS EVARISTO</t>
  </si>
  <si>
    <t>ANDERSON RODRIGUES GARCIA</t>
  </si>
  <si>
    <t>MARCELO LAIA DE SOUSA</t>
  </si>
  <si>
    <t>WELLINGTON FRANCISCO MACIEL</t>
  </si>
  <si>
    <t>RAPHAEL MARCELO DA SILVA ALVES</t>
  </si>
  <si>
    <t>EDSON DOS SANTOS</t>
  </si>
  <si>
    <t>ED CARLOS AMERICO DOS SANTOS</t>
  </si>
  <si>
    <t>00955325520178260050</t>
  </si>
  <si>
    <t>REBECA REGINALDO FARIDES</t>
  </si>
  <si>
    <t>VANDERLINO REBELO DOS SANTOS</t>
  </si>
  <si>
    <t>CARLOS WILKER OLIVEIRA MELO</t>
  </si>
  <si>
    <t>MAGNO KELLY XAVIER DE LIMA</t>
  </si>
  <si>
    <t>FLAVIO RODRIGUES DE FREITAS</t>
  </si>
  <si>
    <t>EDERSON DE ALMEIDA DOS SANTOS</t>
  </si>
  <si>
    <t>ANA PAULA BISPO DOS SANTOS</t>
  </si>
  <si>
    <t>DANIELE ALVES DOS SANTOS</t>
  </si>
  <si>
    <t>RICARDO DE OLIVEIRA PEREIRA</t>
  </si>
  <si>
    <t>VALDIR DE ASSIS COSTA</t>
  </si>
  <si>
    <t>FLAVIO FELIPE DA SILVA</t>
  </si>
  <si>
    <t>MARCIO PEREIRA DA CUNHA</t>
  </si>
  <si>
    <t>WILLIAM DA SILVA GARCIA</t>
  </si>
  <si>
    <t>MARCIO APARECIDO LINS</t>
  </si>
  <si>
    <t>FLORENCIA LUZIA HONORIO DE SOUZA</t>
  </si>
  <si>
    <t>IGOR DOS SANTOS</t>
  </si>
  <si>
    <t>LOHAN DE LIMA SALLES</t>
  </si>
  <si>
    <t>KLEVERTON THIERRY CARLOS SILVA</t>
  </si>
  <si>
    <t>FRANKLIN JOSE DE BRITO</t>
  </si>
  <si>
    <t>JULIANA THOMEO TORRES</t>
  </si>
  <si>
    <t>JOHNNY MATHEUS DA SILVA</t>
  </si>
  <si>
    <t>CARLOS AUGUSTO DE SOUSA SILVA</t>
  </si>
  <si>
    <t>FRANCISCO DE OLIVEIRA SILVA</t>
  </si>
  <si>
    <t>RAFAEL DA SILVA</t>
  </si>
  <si>
    <t>JOSE MARCIO ALVES DA SILVA</t>
  </si>
  <si>
    <t>LEONARDI USTULIN GUTIERREZ</t>
  </si>
  <si>
    <t>ELIAS VIEIRA DA SILVA</t>
  </si>
  <si>
    <t>DANILO CONRADO DA SILVA</t>
  </si>
  <si>
    <t>GILMAR SILVA DE ALMEIDA</t>
  </si>
  <si>
    <t>Odair Moraes de Oliveira</t>
  </si>
  <si>
    <t>ROBSON LUIZ IZIDORIO</t>
  </si>
  <si>
    <t>ANDERSON SANTIAGO LUCENA DA COSTA</t>
  </si>
  <si>
    <t>RODRIGO LOPES DA SILVA</t>
  </si>
  <si>
    <t>MARCELO DE OLIVEIRA SOUSA</t>
  </si>
  <si>
    <t>MAIKO VINICIUS RODRIGUES DA SILVA</t>
  </si>
  <si>
    <t>MAYKON DOUGLAS CAMARGO GALVAO</t>
  </si>
  <si>
    <t>LUCAS SANTOS DOS REIS</t>
  </si>
  <si>
    <t>ALEX ALVES DA SILVA</t>
  </si>
  <si>
    <t>SILVANEI ALVES ROSA</t>
  </si>
  <si>
    <t>BRENO DE OLIVEIRA MENDES FERREIRA</t>
  </si>
  <si>
    <t>RODRIGO DE LIMA MOURA</t>
  </si>
  <si>
    <t>CARLOS WELBER MOREIRA DE OLIVEIRA</t>
  </si>
  <si>
    <t>JANDERSON DE CARVALHO FAUSTINO</t>
  </si>
  <si>
    <t>BRENO HILARIO RODRIGUES</t>
  </si>
  <si>
    <t>FILIPE CHRISTIAN DO NASCIMENTO DANTAS</t>
  </si>
  <si>
    <t>ALEF FERREIRA DOS SANTOS</t>
  </si>
  <si>
    <t>00129247820098260050</t>
  </si>
  <si>
    <t>Felipe de Oliveira da Silva - S O L T O</t>
  </si>
  <si>
    <t>ISAAC FRANCISCO DOS SANTOS</t>
  </si>
  <si>
    <t>JONATHA PAULINO DA SILVA</t>
  </si>
  <si>
    <t>WILSON MAMANI</t>
  </si>
  <si>
    <t>CARLOS ROBERTO DA SILVA</t>
  </si>
  <si>
    <t>VAGNER VALERIO SILVA</t>
  </si>
  <si>
    <t>LUCIANA APARECIDA SEVERINO</t>
  </si>
  <si>
    <t>RAFAEL WILLIAN RIBEIRO ANTONINI</t>
  </si>
  <si>
    <t>ADAILTON DA SILVA SOARES</t>
  </si>
  <si>
    <t>DAVID FERREIRA DOS SANTOS</t>
  </si>
  <si>
    <t>MARCIO FIZIO</t>
  </si>
  <si>
    <t>00310492620118260050</t>
  </si>
  <si>
    <t>Jonatha da Silva Nunes</t>
  </si>
  <si>
    <t>ULISSES DOS SANTOS  SOUZA</t>
  </si>
  <si>
    <t>Wesley Sanchez Lourenço</t>
  </si>
  <si>
    <t>ADRIANA DOMINIQUELI PEREIRA</t>
  </si>
  <si>
    <t>JORGE LUIS DA SILVA PEREIRA</t>
  </si>
  <si>
    <t>MIKAEL MEIRA DEZEDERIO</t>
  </si>
  <si>
    <t>00378867820038260050</t>
  </si>
  <si>
    <t>Nicolas Habib</t>
  </si>
  <si>
    <t>Rui Costa Balan</t>
  </si>
  <si>
    <t>ROBERTO DO NASCIMENTO SILVA</t>
  </si>
  <si>
    <t>MARCIO DA SILVA JUNIOR</t>
  </si>
  <si>
    <t>RENATO RODRIGO DOS SANTOS</t>
  </si>
  <si>
    <t>WELLINGTON DA SILVA LUCAS</t>
  </si>
  <si>
    <t>GILMAR SANTOS DA SILVA</t>
  </si>
  <si>
    <t>MARCOS VINICIUS CARVALHO LOPES</t>
  </si>
  <si>
    <t>ELISMAR FRANCISCO LIMA DINIZ</t>
  </si>
  <si>
    <t>ANTONIO SOARES DE ARAUJO FILHO</t>
  </si>
  <si>
    <t>FERNANDO ALVES DA SILVA</t>
  </si>
  <si>
    <t>FABIANO TIBURCIO DA SILVA</t>
  </si>
  <si>
    <t>VINICIUS ANTONIO DA SILVA MENDONCA</t>
  </si>
  <si>
    <t>Jenivaldo de Jesus Oliveira Santos</t>
  </si>
  <si>
    <t>JULIO CESAR DE SA CARDOSO</t>
  </si>
  <si>
    <t>LUCAS LUCCI</t>
  </si>
  <si>
    <t>HEITOR HUGO GONÇALVES DE SOUZA</t>
  </si>
  <si>
    <t>THAIS HONDA SILVA</t>
  </si>
  <si>
    <t>PETERSON AUGUSTO PEREIRA RIBEIRO</t>
  </si>
  <si>
    <t>THIAGO CORREIA JUSTINO</t>
  </si>
  <si>
    <t>WELLINGTON PEREIRA LOPES</t>
  </si>
  <si>
    <t>Wilker Pinheiro Galvão</t>
  </si>
  <si>
    <t>LEONARDO TRINDADE JUNIOR</t>
  </si>
  <si>
    <t>JUAN ANTONIO ZAVALA</t>
  </si>
  <si>
    <t>ALEXANDRE ALMEIDA PEIXOTO</t>
  </si>
  <si>
    <t>EZEQUIEL MENDES DA SILVA</t>
  </si>
  <si>
    <t>TIAGO DA SILVA JUNIOR</t>
  </si>
  <si>
    <t>CHIDOZIE COLLINS UJUMADU</t>
  </si>
  <si>
    <t>ERICK MATHEUS CAVALCANTE E SILVA</t>
  </si>
  <si>
    <t>ROBERTA BARBOSA LIMA MALAGOLI</t>
  </si>
  <si>
    <t>IGOR TOMAS PEREIRA DE FARIAS</t>
  </si>
  <si>
    <t>EDIVALDO DOS REIS OLIVEIRA</t>
  </si>
  <si>
    <t>ILTON SALES BEZERRA</t>
  </si>
  <si>
    <t>ROBSON PERIS LEPORE</t>
  </si>
  <si>
    <t>00765915720178260050</t>
  </si>
  <si>
    <t>EDSON PEREIRA DE MATOS</t>
  </si>
  <si>
    <t>RENAN DE MELO MONTANHA</t>
  </si>
  <si>
    <t>WILLIAM ANDRADE DOS REIS</t>
  </si>
  <si>
    <t>VICTOR HUGO SANTOS SOUZA</t>
  </si>
  <si>
    <t>WENDEL DA SILVA SANTOS</t>
  </si>
  <si>
    <t>JODERSON DE ARAUJO FARIAS</t>
  </si>
  <si>
    <t>RUBENS DA SILVA CAMILLO</t>
  </si>
  <si>
    <t>JULIO FERREIRA  DA SILVA</t>
  </si>
  <si>
    <t>CLEDSON CORREIA DE ARAUJO</t>
  </si>
  <si>
    <t>00879663620098260050</t>
  </si>
  <si>
    <t>Douglas Marcelo Anselmo</t>
  </si>
  <si>
    <t>MARCOS VINICIUS ANDRADE FELIPE</t>
  </si>
  <si>
    <t>BRUNO HONORATO DE SOUZA</t>
  </si>
  <si>
    <t>MARCELO ANTUNES DA SILVA</t>
  </si>
  <si>
    <t>JOSE RINALDO DOS SANTOS</t>
  </si>
  <si>
    <t>RICARDO ARAUJO PEREIRA</t>
  </si>
  <si>
    <t>ALESSANDRA SOUZA BRITO.</t>
  </si>
  <si>
    <t>RAYMUNDO BARRETTO DA SILVA</t>
  </si>
  <si>
    <t>LEANDRO JOSE DA SILVA</t>
  </si>
  <si>
    <t>RICARDO ANDRADE DE FRANCA</t>
  </si>
  <si>
    <t>GILMAR JOSE DE FREITAS</t>
  </si>
  <si>
    <t>08304018620068260050</t>
  </si>
  <si>
    <t>Michele Neres dos Santos</t>
  </si>
  <si>
    <t>JOSE RONALDO DE ASSIS OLIVEIRA</t>
  </si>
  <si>
    <t>RICHARD ARCAY</t>
  </si>
  <si>
    <t>COSME OLIVEIRA DA SILVA</t>
  </si>
  <si>
    <t>ANDERSON ASSIS DE OLIVEIRA</t>
  </si>
  <si>
    <t>ADER HENRIQUE MENDES</t>
  </si>
  <si>
    <t>ALEX SANDRO DOS SANTOS</t>
  </si>
  <si>
    <t>MARCELO BALBINO DA SILVA</t>
  </si>
  <si>
    <t>DANILO ROCHA MOREIRA</t>
  </si>
  <si>
    <t>DAVISON DOS SANTOS ALVES</t>
  </si>
  <si>
    <t>ALEXANDRE SOUZA DOS SANTOS</t>
  </si>
  <si>
    <t>DJANIRA BENICIO DOS SANTOS</t>
  </si>
  <si>
    <t>JOYCE DOS SANTOS DA SILVA</t>
  </si>
  <si>
    <t>WELLINGTON DOS SANTOS DA SILVA</t>
  </si>
  <si>
    <t>WILLIAM JOSE RIBEIRO</t>
  </si>
  <si>
    <t>YGOR ALEXANDRE TELES QUEIROZ</t>
  </si>
  <si>
    <t>ALESSANDRO JOSE ESTEVAO DA SILVA</t>
  </si>
  <si>
    <t>ANTONIO MANUEL NICODEMO DELGADO ALEXANDRE</t>
  </si>
  <si>
    <t>DHYEGO LOPES DA ROCHA</t>
  </si>
  <si>
    <t>MAGNUM LOURENÇO DA SILVA AQUINO</t>
  </si>
  <si>
    <t>EDNEI DE MORAES</t>
  </si>
  <si>
    <t>ADRIANO TAVARES DE ANDRADE</t>
  </si>
  <si>
    <t>HENRIQUE SOUSA BRITO</t>
  </si>
  <si>
    <t>ISAACK MELO NUNES</t>
  </si>
  <si>
    <t>SUELLEN CHRISTYNE FAGUNDES PEREIRA</t>
  </si>
  <si>
    <t>MATHEUS DE SOUZA LIMA</t>
  </si>
  <si>
    <t>CARLOS TOMAZ DE LIMA</t>
  </si>
  <si>
    <t>JAILTON DE SOUZA RABELLO</t>
  </si>
  <si>
    <t>EDER AUGUSTO FERRO</t>
  </si>
  <si>
    <t>GABRIEL CHRISTINO VIEIRA</t>
  </si>
  <si>
    <t>MATHEUS HENRIQUE BRASILIA DA SILVA</t>
  </si>
  <si>
    <t>JEFFERSON ROBERTO APARECIDO DE ASSIS</t>
  </si>
  <si>
    <t>ANDERSON ALVES DE JESUS</t>
  </si>
  <si>
    <t>FABIO RODRIGUES TEIXEIRA</t>
  </si>
  <si>
    <t>HYAGO GABRIEL SUDARIO LIMA</t>
  </si>
  <si>
    <t>EDILSON MARQUES ALVES</t>
  </si>
  <si>
    <t>DOUGLAS FREITAS MARTINS DOS SANTOS</t>
  </si>
  <si>
    <t>PAULO HENRIQUE DIAS</t>
  </si>
  <si>
    <t>Danilo da Costa Serafim</t>
  </si>
  <si>
    <t>SAMUEL SILVA DE MELO</t>
  </si>
  <si>
    <t>HÉLIO DAMIÃO DA SILVA</t>
  </si>
  <si>
    <t>GILSON MESQUITA NUNES</t>
  </si>
  <si>
    <t>DIOGO CABRAL DOS SANTOS</t>
  </si>
  <si>
    <t>BRUNO BRANDAO CARNEIRO</t>
  </si>
  <si>
    <t>TAINE RAQUEL POSSATTI</t>
  </si>
  <si>
    <t>CESAR RAGAZI MIRANDA</t>
  </si>
  <si>
    <t>KAIO SANTOS SANTANA</t>
  </si>
  <si>
    <t>THIAGO BARBOSA COELHO</t>
  </si>
  <si>
    <t>00208282820048260050</t>
  </si>
  <si>
    <t>Reginaldo Batista</t>
  </si>
  <si>
    <t>SIDNEI DE JESUS SANTOS</t>
  </si>
  <si>
    <t>WESLEY DOS SANTOS PIRES</t>
  </si>
  <si>
    <t>RODRIGO MORETTI GIORDANO</t>
  </si>
  <si>
    <t>CARLOS EDUARDO LIMA DA SILVA</t>
  </si>
  <si>
    <t>ATOS PEREIRA RODRIGUES DA SILVEIRA</t>
  </si>
  <si>
    <t>LUIZ CARLOS FELIX DE SOUZA</t>
  </si>
  <si>
    <t>EVANDRO RODRIGUES DE SOUZA</t>
  </si>
  <si>
    <t>WELLINGTON DE LIMA</t>
  </si>
  <si>
    <t>RANSES PEDRO MARINGOLO</t>
  </si>
  <si>
    <t>ANDERSON CRECHI OLIVEIRA</t>
  </si>
  <si>
    <t>WILIAN SILVA AMARAL JÚNIOR</t>
  </si>
  <si>
    <t>00328855820168260050</t>
  </si>
  <si>
    <t>LAERCIO DIONISIO MATHEUS JÚNIOR</t>
  </si>
  <si>
    <t>RANIELI ARAUJO DE SOUZA</t>
  </si>
  <si>
    <t>ERICK PASSOS COIMBRA</t>
  </si>
  <si>
    <t>HECTOR CESPEDES RODRIGUEZ</t>
  </si>
  <si>
    <t>HOMERO BARBOSA</t>
  </si>
  <si>
    <t>JOSE LEOMAR DO NASCIMENTO</t>
  </si>
  <si>
    <t>RENAN DE CASTILHO PEREIRA DA SILVA</t>
  </si>
  <si>
    <t>ARTHUR SANTOS DA SILVA</t>
  </si>
  <si>
    <t>FABIO ROBERTO COELHO</t>
  </si>
  <si>
    <t>JOAO CARLOS SANTOS PIAUY</t>
  </si>
  <si>
    <t>ATHIRSON LEVY LIMA LEITE</t>
  </si>
  <si>
    <t>JÉSSICA CARVALHO DE SOUSA</t>
  </si>
  <si>
    <t>DANIEL VASALLO LOPES</t>
  </si>
  <si>
    <t>PAULO HENRIQUE BARROS DA SILVA</t>
  </si>
  <si>
    <t>DORIVAL ROZENDO DE SOUZA</t>
  </si>
  <si>
    <t>ADRIANO SANTOS DA SILVA</t>
  </si>
  <si>
    <t>DANIEL LIMA ARAÚJO GUILHERME</t>
  </si>
  <si>
    <t>BRANDOW BATISTA SILVA</t>
  </si>
  <si>
    <t>BRUNO MIGUEL GUIMARÃES DA ROCHA</t>
  </si>
  <si>
    <t>HERNANI APARECIDO PEREIRA</t>
  </si>
  <si>
    <t>Bruno Silva de Oliveira</t>
  </si>
  <si>
    <t>JOSE EVERTON OLIVEIRA DAS GRACAS</t>
  </si>
  <si>
    <t>EMERSON BERNARDO DA SILVA</t>
  </si>
  <si>
    <t>00628173320128260050</t>
  </si>
  <si>
    <t>ISAC MAGALHAES DE ANDRADE</t>
  </si>
  <si>
    <t>ELITON EDMILSON SOARES DA SILVA</t>
  </si>
  <si>
    <t>ALESSANDRO PEREIRA DE MOURA</t>
  </si>
  <si>
    <t>FABIO HENRIQUE MARQUES DE ALMEIDA</t>
  </si>
  <si>
    <t>TONYSON CLEBER RODRIGUES</t>
  </si>
  <si>
    <t>VINICIUS OLIVEIRA SOUSA</t>
  </si>
  <si>
    <t>HEBERT LOPES DOS REIS</t>
  </si>
  <si>
    <t>ERICK ARAUJO SILVA</t>
  </si>
  <si>
    <t>RAFAEL JESUS DE ARAUJO</t>
  </si>
  <si>
    <t>ELISEU SALLES DA SILVA</t>
  </si>
  <si>
    <t>DIOGO RODRIGO DA SILVA MALTA</t>
  </si>
  <si>
    <t>ARTHUR ROBSON ROQUE</t>
  </si>
  <si>
    <t>ANDERSON FERREIRA DA SILVA</t>
  </si>
  <si>
    <t>RAFAEL ALVES BORDIM</t>
  </si>
  <si>
    <t>THAWAN DE LIMA</t>
  </si>
  <si>
    <t>LUCAS DE JESUS YSHISAWA</t>
  </si>
  <si>
    <t>ALEX SILVA DAMACENO</t>
  </si>
  <si>
    <t>WELLINGTON FRANCISCO DA SILVA</t>
  </si>
  <si>
    <t>THIAGO HENRIQUE MELQUIADES DOS SANTOS</t>
  </si>
  <si>
    <t>ALAN JORGE RODRIGUES DA SILVA</t>
  </si>
  <si>
    <t>JULIO RODRIGUES ALVES</t>
  </si>
  <si>
    <t>00864690620178260050</t>
  </si>
  <si>
    <t>CARLOS EDUARDO MARTINUZZO</t>
  </si>
  <si>
    <t>FRANCISCO ABINADABE FALCAO DE SOUZA</t>
  </si>
  <si>
    <t>ALCEU DE PAULA JUNIOR</t>
  </si>
  <si>
    <t>OESLEY DOS SANTOS NICACIO</t>
  </si>
  <si>
    <t>00877170720178260050</t>
  </si>
  <si>
    <t>JOEL MAIA PEREIRA DE SOUZA</t>
  </si>
  <si>
    <t>ALEFE HONORATO DA SILVA</t>
  </si>
  <si>
    <t>JOSE SANDRO DE FREITAS</t>
  </si>
  <si>
    <t>JEAN HONORIO DE SOUSA</t>
  </si>
  <si>
    <t>MATHEUS BATISTA OZILIO</t>
  </si>
  <si>
    <t>WELLINGTON CESAR DE OLIVEIRA PINTO</t>
  </si>
  <si>
    <t>TIAGO ALEXANDRE DA SILVA</t>
  </si>
  <si>
    <t>AUGUSTO CLEBER DE JESUS</t>
  </si>
  <si>
    <t>MAYARA DE SOUZA GIANNINI</t>
  </si>
  <si>
    <t>FELICIANO PEREIRA DE SOUZA</t>
  </si>
  <si>
    <t>MATHEUS SILVA DE ANDRADE</t>
  </si>
  <si>
    <t>DOUGLAS WEVERTON ABREU COSTA</t>
  </si>
  <si>
    <t>WELLINGTON OLIVEIRA CAVALCANTE</t>
  </si>
  <si>
    <t>WENDELL VIEIRA DA SILVA</t>
  </si>
  <si>
    <t>OTAVIO TEIXEIRA</t>
  </si>
  <si>
    <t>LUIZ HENRIQUE BRITO VITALINO</t>
  </si>
  <si>
    <t>DARIO DA SILVA PEREIRA</t>
  </si>
  <si>
    <t>WESLEY NUNES DOS SANTOS</t>
  </si>
  <si>
    <t>DAVID SILVA SANTOS</t>
  </si>
  <si>
    <t>DIEGO LIMA SANTANA</t>
  </si>
  <si>
    <t>CAIO HENRIQUE DOS SANTOS OLIVEIRA</t>
  </si>
  <si>
    <t>MICHEL PINHEIRO ALVES</t>
  </si>
  <si>
    <t>BRUNO DE SOUZA</t>
  </si>
  <si>
    <t>WANDERLEY PEREIRA DE SOUZA</t>
  </si>
  <si>
    <t>LUCAS GENTIL DA SILVA</t>
  </si>
  <si>
    <t>THABATA LEITE HIGUTI OLIVEIRA</t>
  </si>
  <si>
    <t>LUIS EDUARDO DA SILVA GONÇALVES</t>
  </si>
  <si>
    <t>DANIELA FABIANO FERREIRA</t>
  </si>
  <si>
    <t>NELSON DAS CHAGAS</t>
  </si>
  <si>
    <t>ANDRE SANTOS FLORENCIO</t>
  </si>
  <si>
    <t>ALEX FLORIANO DA SILVA</t>
  </si>
  <si>
    <t>RAFAEL CAMARGO</t>
  </si>
  <si>
    <t>FABRICIO MANOEL DE JESUS SILVA</t>
  </si>
  <si>
    <t>ADRIANO DE FARIAS FIDELIX</t>
  </si>
  <si>
    <t>VALMIR DA SILVA SANTOS</t>
  </si>
  <si>
    <t>Tiago Teles de Campos</t>
  </si>
  <si>
    <t>Edgard da Silva Ananias</t>
  </si>
  <si>
    <t>WILLIAM DO NASCIMENTO GONÇALVES</t>
  </si>
  <si>
    <t>DENIS RODRIGUES SOUZA</t>
  </si>
  <si>
    <t>DIEGO HENRIQUE FERREIRA DOS SANTOS</t>
  </si>
  <si>
    <t>JUAREZ PEREIRA DA COSTA JUNIOR</t>
  </si>
  <si>
    <t>SUNDAY MICHEAL OKWUMA</t>
  </si>
  <si>
    <t>LUIS CLAUDIO HONORATO DA SILVA AZEVEDO</t>
  </si>
  <si>
    <t>IGOR GOMES CASTRO RAMALHO</t>
  </si>
  <si>
    <t>WILLIAM GABRIEL DA COSTA</t>
  </si>
  <si>
    <t>BRUNO ARAUJO DA SILVA</t>
  </si>
  <si>
    <t>NATHALIA VALERIANO ALVES DA SILVA</t>
  </si>
  <si>
    <t>AGATHA MORAES BEIRIGO DE SOUSA</t>
  </si>
  <si>
    <t>KAIQUE RAMALHO LOURENÇO</t>
  </si>
  <si>
    <t>UCHENNA CHRISTOPHER NWOKEALIST</t>
  </si>
  <si>
    <t>JEFFERSON OLEGARIO</t>
  </si>
  <si>
    <t>MARIO EVANGELISTA SILVA SOUZA</t>
  </si>
  <si>
    <t>MICHEL ALEXANDRE FERREIRA CABRAL</t>
  </si>
  <si>
    <t>DAYVID GOMES DE FONTES</t>
  </si>
  <si>
    <t>DJAVAN TADEU MARTINS DA SILVA</t>
  </si>
  <si>
    <t>FRANCISCO CLEBER BEZERRA DA SILVA</t>
  </si>
  <si>
    <t>MARCOS ANDRE ALVES DA SILVA</t>
  </si>
  <si>
    <t>FAGNER DA SILVA OHASHI</t>
  </si>
  <si>
    <t>Fabio de Moraes Barros</t>
  </si>
  <si>
    <t>UALLAS SOARES DOS SANTOS</t>
  </si>
  <si>
    <t>Fabio Augusto da Silva</t>
  </si>
  <si>
    <t>ANDRE CORDEIRO VERIDIANO</t>
  </si>
  <si>
    <t>CARLOS ALBERTO ALVES DA SILVA</t>
  </si>
  <si>
    <t>FERNANDO DE JESUS COSTA</t>
  </si>
  <si>
    <t>JAIRO ALEXANDRE FEIJO</t>
  </si>
  <si>
    <t>ANDRE LUIZ VIEIRA DE ARAUJO</t>
  </si>
  <si>
    <t>THABATA GOMES DOS SANTOS</t>
  </si>
  <si>
    <t>WENDER SILVA DE LIMA</t>
  </si>
  <si>
    <t>ALEX CARDOSO JOBRI DOS SANTOS</t>
  </si>
  <si>
    <t>EDNAELSON CARLOS DA SILVA</t>
  </si>
  <si>
    <t>ANDERSON DOS SANTOS</t>
  </si>
  <si>
    <t>WALLACE SAMPAIO DA SILVA</t>
  </si>
  <si>
    <t>WILSON ROBERTO DIAS TAVARES</t>
  </si>
  <si>
    <t>MATHEUS ANTONIO FERNANDES SILVA</t>
  </si>
  <si>
    <t>KEROLIN THAWANI SANTOS DE PAULA</t>
  </si>
  <si>
    <t>ROGERIO HERCULANO SILVA</t>
  </si>
  <si>
    <t>FERNANDO DOS SANTOS JUVENAL</t>
  </si>
  <si>
    <t>LUIZ HENRIQUE GAMA DOS SANTOS</t>
  </si>
  <si>
    <t>JAILSON LUIZ DA SILVA</t>
  </si>
  <si>
    <t>GUSTAVO GUICIARDI DA COSTA</t>
  </si>
  <si>
    <t>MATHEUS ROMANINI DINIZ</t>
  </si>
  <si>
    <t>HONYRO GANGA ZUMBA CORREA MARQUES</t>
  </si>
  <si>
    <t>CARLOS EDUARDO PEREIRA DE CARVALHO</t>
  </si>
  <si>
    <t>BRUNO ALVES MOREIRA</t>
  </si>
  <si>
    <t>JEFFERSON HUDSON DE ANDRADE</t>
  </si>
  <si>
    <t>JEFFERSON DA SILVA NASCIMENTO</t>
  </si>
  <si>
    <t>00277074620078260050</t>
  </si>
  <si>
    <t>José Ricardo de Oliveira Matias</t>
  </si>
  <si>
    <t>HERCULES MARQUES DA SILVA</t>
  </si>
  <si>
    <t>DANTON  EDUARDO DE SANTIS FILHO</t>
  </si>
  <si>
    <t>CAIO CARLOS GOULART DA SILVA</t>
  </si>
  <si>
    <t>WILDER VIDAL FERNANDEZ</t>
  </si>
  <si>
    <t>EDGAR ANTONIO DOS SANTOS</t>
  </si>
  <si>
    <t>MATEUS HERMINIO DE LIMA</t>
  </si>
  <si>
    <t>00416834220158260050</t>
  </si>
  <si>
    <t>RODRIGO OLIVEIRA DA SILVA</t>
  </si>
  <si>
    <t>VALMIR MORENO DE ANDRADE</t>
  </si>
  <si>
    <t>NERIVALDO MARTINS DE SANTANA</t>
  </si>
  <si>
    <t>JOYCE PRISCILA LEAL DE CARVALHO</t>
  </si>
  <si>
    <t>NILMAR RICARDO MELO DOS SANTOS</t>
  </si>
  <si>
    <t>SAMUEL VICTOR DA SILVA</t>
  </si>
  <si>
    <t>HUGO HENRIQUE MATHEUS PASCHINI</t>
  </si>
  <si>
    <t>DOUGLAS DA SILVA REIS</t>
  </si>
  <si>
    <t>WELSON LOREDO DE BRITO</t>
  </si>
  <si>
    <t>00483788020138260050</t>
  </si>
  <si>
    <t>JANNY DOS SANTOS BARATA</t>
  </si>
  <si>
    <t>EDUARDO BISPO SOARES</t>
  </si>
  <si>
    <t>00518401620118260050</t>
  </si>
  <si>
    <t>JOSÉ FELIX ALBUQUERQUE NETO</t>
  </si>
  <si>
    <t>ELISANGELA ANDRADE DE JESUS</t>
  </si>
  <si>
    <t>JANAIRA TAVARES DA SILVA</t>
  </si>
  <si>
    <t>TALISSON LOURENCO SARDINHA</t>
  </si>
  <si>
    <t>GUILHERME FERREIRA DE MELO</t>
  </si>
  <si>
    <t>ALAN EVERTON DA SILVA</t>
  </si>
  <si>
    <t>JONATH SOUSA DA SILVA</t>
  </si>
  <si>
    <t>MAURO ROBERTO VIEIRA DE LIMA</t>
  </si>
  <si>
    <t>DOUGLAS CARVALHO DA SILVA</t>
  </si>
  <si>
    <t>LEANDRO MENDES SILVA</t>
  </si>
  <si>
    <t>WU YUANSHEN</t>
  </si>
  <si>
    <t>LEONARDO NASCIMENTO DOS SANTOS</t>
  </si>
  <si>
    <t>GILBERT CANDIDO DE CASTRO JUNIOR</t>
  </si>
  <si>
    <t>WELINGTON CALIXTO</t>
  </si>
  <si>
    <t>JEAN GABRIEL MONTEIRO DA SILVA</t>
  </si>
  <si>
    <t>BRUNO LIMA ROQUE</t>
  </si>
  <si>
    <t>ROBSON LUIZ DA SILVA</t>
  </si>
  <si>
    <t>ALESSANDRO DE SOUZA SANTANA</t>
  </si>
  <si>
    <t>FABIOLA ABEL DA SILVA</t>
  </si>
  <si>
    <t>CLEBERSON SILVA DE CARVALHO</t>
  </si>
  <si>
    <t>EMEKA HENRY IGBOANUGO</t>
  </si>
  <si>
    <t>VINICIUS CLEBERSON DOS SANTOS</t>
  </si>
  <si>
    <t>DAIANE DELFINO DA SILVA</t>
  </si>
  <si>
    <t>ELTON DA ROCHA FEITOSA</t>
  </si>
  <si>
    <t>00767547120168260050</t>
  </si>
  <si>
    <t>LUCAS DA SILVA CARDOSO</t>
  </si>
  <si>
    <t>ARTHUR SILVA NUNES NASCIMENTO</t>
  </si>
  <si>
    <t>EBUKA STEPHEN OFFOR</t>
  </si>
  <si>
    <t>RICHARD ARON ORTEGA</t>
  </si>
  <si>
    <t>GISELDA DE LIMA SANTOS</t>
  </si>
  <si>
    <t>LEONARDO DA SILVEIRA DE CASTRO SANTOS</t>
  </si>
  <si>
    <t>EZIO GUIMARÃES DOS SANTOS</t>
  </si>
  <si>
    <t>SEBASTIAO BARRETO SANTOS</t>
  </si>
  <si>
    <t>JOAO VICTOR CARVALHO DOS SANTOS</t>
  </si>
  <si>
    <t>THIAGO CORDEIRO WANDERLEY</t>
  </si>
  <si>
    <t>TAIS MARCIA MOREIRA RODRIGUES</t>
  </si>
  <si>
    <t>PAULO SANTOS MATIAS DA SILVA</t>
  </si>
  <si>
    <t>LUIZ FELIPE SOBREIRA DOS SANTOS  LOURENCI</t>
  </si>
  <si>
    <t>00864962820138260050</t>
  </si>
  <si>
    <t>DEBORA ROSSETI</t>
  </si>
  <si>
    <t>ARISTIDES FRANCA DA SILVA JUNIOR</t>
  </si>
  <si>
    <t>ANTONIO BATISTA DE FRANCA</t>
  </si>
  <si>
    <t>RAFAEL RODRIGUES DA SILVA JUNIOR</t>
  </si>
  <si>
    <t>ADLER SAIN SEVERIANO</t>
  </si>
  <si>
    <t>FELIPE DOS SANTOS ANDRADE</t>
  </si>
  <si>
    <t>MARCELO LOPES SASSO</t>
  </si>
  <si>
    <t>JOAO MARCOS SILVA SANTANA</t>
  </si>
  <si>
    <t>EDMAR SANTOS SILVA</t>
  </si>
  <si>
    <t>LEONARDO ALCERITO MACHADO</t>
  </si>
  <si>
    <t>01062484420178260050</t>
  </si>
  <si>
    <t>JOYCIEL MESAQUE CAMPOS RODRIGUES</t>
  </si>
  <si>
    <t>08303643020048260050</t>
  </si>
  <si>
    <t>Jason Malone</t>
  </si>
  <si>
    <t>CLAUDIO AUGUSTO SANTANA SANTOS</t>
  </si>
  <si>
    <t>PAMELA HERCILIA PEREIRA QUINTILIANO</t>
  </si>
  <si>
    <t>GUSTAVO DE CASTRO</t>
  </si>
  <si>
    <t>ANTONIO RIBEIRO DA SILVA JUNIOR</t>
  </si>
  <si>
    <t>BRUNO LOPES DE OLIVEIRA</t>
  </si>
  <si>
    <t>MARCOS VINICIUS DE JESUS SANTOS</t>
  </si>
  <si>
    <t>JOSE EUCELIO DE OLIVEIRA CAMELO</t>
  </si>
  <si>
    <t>EDUARDO FABRICIO PEREIRA</t>
  </si>
  <si>
    <t>THIAGO NASCIMENTO LIMA</t>
  </si>
  <si>
    <t>RENATO MONTEIRO</t>
  </si>
  <si>
    <t>ELIARB ANTONIO CASAIS RIBEIRO</t>
  </si>
  <si>
    <t>LEONARDO ANDRADE SOUZA</t>
  </si>
  <si>
    <t>FELIPE MARTINS DA SILVA</t>
  </si>
  <si>
    <t>RODRIGO ADRIANO LISBOA</t>
  </si>
  <si>
    <t>BRUNO TADEU PEREIRA BORGES</t>
  </si>
  <si>
    <t>GABRIEL RODRIGUES CAMARGO</t>
  </si>
  <si>
    <t>LUIS CLAUDIO GOMES</t>
  </si>
  <si>
    <t>JEFERSON DE JESUS SANTOS</t>
  </si>
  <si>
    <t>WESLLEY MARTINS DE MIRANDA PACIENCIA</t>
  </si>
  <si>
    <t>JAILTON MOREIRA DE JESUS</t>
  </si>
  <si>
    <t>00046701420128260050</t>
  </si>
  <si>
    <t>ISMAEL DE OLIVEIRA GOMES</t>
  </si>
  <si>
    <t>OTONIEL GOMES DA SILVA</t>
  </si>
  <si>
    <t>WESLEY FELIPE ASSUNÇÃO</t>
  </si>
  <si>
    <t>WAGNER AMORIM DOS SANTOS</t>
  </si>
  <si>
    <t>DANIEL LIMA DE SOUZA</t>
  </si>
  <si>
    <t>ERIKE DAS DORES SANTOS</t>
  </si>
  <si>
    <t>WESLEY FERREIRA</t>
  </si>
  <si>
    <t>ERICA CAMARGO GONÇALVES</t>
  </si>
  <si>
    <t>ALLAN WAGNER SOARES TENÓRIO DE MORAIS</t>
  </si>
  <si>
    <t>FRANCISCO APRIGIO DA SILVA</t>
  </si>
  <si>
    <t>Anderson Norberto da Conceição</t>
  </si>
  <si>
    <t>FRANCISCO CLAIRTON DA SILVA NASCIMENTO</t>
  </si>
  <si>
    <t>Sandra Jaques Gonçalves</t>
  </si>
  <si>
    <t>BRUNO CRISTO DIAS</t>
  </si>
  <si>
    <t>RODRIGO SANTOS SILVA</t>
  </si>
  <si>
    <t>00074127520138260050</t>
  </si>
  <si>
    <t>ANDERSON CHARLES SANTOS DO NASCIMENTO</t>
  </si>
  <si>
    <t>MARCIO SANTOS NASCIMENTO</t>
  </si>
  <si>
    <t>CLEITON SOARES DE OLIVEIRA</t>
  </si>
  <si>
    <t>NELSON BAZAR JUNIOR</t>
  </si>
  <si>
    <t>ROGERIO ESTEVES DO NASCIMENTO</t>
  </si>
  <si>
    <t>PAULO HENRIQUE LOPEZ SILVEIRA</t>
  </si>
  <si>
    <t>MARCELO SOARES DOS SANTOS</t>
  </si>
  <si>
    <t>ISABELLA RAMOS DA SILVA</t>
  </si>
  <si>
    <t>RICARDO ROCHA ANTUNES</t>
  </si>
  <si>
    <t>MARCELO ALVES</t>
  </si>
  <si>
    <t>MAURICIO NICOLAU DE ARAUJO VIEIRA</t>
  </si>
  <si>
    <t>WALLACE DEMETRIO SOUZA</t>
  </si>
  <si>
    <t>CARLOS HENRIQUE DA SILVA</t>
  </si>
  <si>
    <t>IBRAHIMA DIALLO</t>
  </si>
  <si>
    <t>SERGIO MONTEIRO JUNIOR</t>
  </si>
  <si>
    <t>ANDRE LUIZ CORDEIRO</t>
  </si>
  <si>
    <t>ALEX BARTOLOMEU DA SILVA</t>
  </si>
  <si>
    <t>ANDRE LUIZ CABECA</t>
  </si>
  <si>
    <t>ADEILSON SANTOS ALVES</t>
  </si>
  <si>
    <t>DAVI DIEGO MAGALHAES</t>
  </si>
  <si>
    <t>KAUE DE JESUS PINHEIRO</t>
  </si>
  <si>
    <t>FELIPE SOUZA LIMA</t>
  </si>
  <si>
    <t>VINICIUS DE OLIVEIRA SILVA</t>
  </si>
  <si>
    <t>WELLINGTON GARDIM MARCAL DA SILVA</t>
  </si>
  <si>
    <t>JOHNNY MARLEY CRAVO DE ALMEIDA</t>
  </si>
  <si>
    <t>MARCUS VINICIUS DA CONSEICAO</t>
  </si>
  <si>
    <t>MARCELO APARECIDO PELEGRINO</t>
  </si>
  <si>
    <t>MARCO AURELIO DE JESUS</t>
  </si>
  <si>
    <t>DIOGINIS LUIZ CAMARGO</t>
  </si>
  <si>
    <t>LUCAS OLIVEIRA SOUZA DIAS</t>
  </si>
  <si>
    <t>ROBSON JAIME DA SILVA</t>
  </si>
  <si>
    <t>ITALO CARLOS VITOR</t>
  </si>
  <si>
    <t>ALESSANDRO LUIZ MUNHAES</t>
  </si>
  <si>
    <t>WILSON SILVA FREITAS JUNIOR</t>
  </si>
  <si>
    <t>FELIPE BALBINO</t>
  </si>
  <si>
    <t>DENILSON MARCOS DE LIMA</t>
  </si>
  <si>
    <t>MARCOS MORAIS DE ALMEIDA</t>
  </si>
  <si>
    <t>VALDIR HOLGADO</t>
  </si>
  <si>
    <t>ICARO HENRIQUE MARTINIANO ALVES</t>
  </si>
  <si>
    <t>GENIVAL ROCHA DOS SANTOS JUNIOR</t>
  </si>
  <si>
    <t>HAAM CESAR SANTOS FERREIRA</t>
  </si>
  <si>
    <t>JACKSON DA SILVA IZIDORIO</t>
  </si>
  <si>
    <t>ISAIAS LOURENCO GRANDI</t>
  </si>
  <si>
    <t>CICERO CABRAL DE ALMEIDA</t>
  </si>
  <si>
    <t>RAFAEL BELARMINO DA SILVA</t>
  </si>
  <si>
    <t>EVANDRO MATIAS DA SILVA</t>
  </si>
  <si>
    <t>JONATHAN DO NASCIMENTO</t>
  </si>
  <si>
    <t>VINICIUS OLIVEIRA DE FREITAS</t>
  </si>
  <si>
    <t>LUIZ CARLOS SOUZA DE MENEZES</t>
  </si>
  <si>
    <t>GERIVALDO SILVA ROCHA</t>
  </si>
  <si>
    <t>DIOGO LOPES</t>
  </si>
  <si>
    <t>EDNA DA SILVA MARTINS</t>
  </si>
  <si>
    <t>VINICIUS RIME CERQUEIRA</t>
  </si>
  <si>
    <t>FABIO EDUARDO CONEJAN CONSONI</t>
  </si>
  <si>
    <t>LUCAS MARCIO BISPO DOS SANTOS SILVA</t>
  </si>
  <si>
    <t>00661700820178260050</t>
  </si>
  <si>
    <t>THIAGO RODRIGUES DE SOUZA</t>
  </si>
  <si>
    <t>JOSE RENAN DOS SANTOS NASCIMENTO</t>
  </si>
  <si>
    <t>Dagolberto Rudge Carlini Neto</t>
  </si>
  <si>
    <t>TIAGO CARLOS LACERDA RAMOS</t>
  </si>
  <si>
    <t>DANILO MARQUES SOUZA</t>
  </si>
  <si>
    <t>FELIPE GOMES AMORIM</t>
  </si>
  <si>
    <t>DIEGO DA SILVA DE PAULA</t>
  </si>
  <si>
    <t>WILTON ANANIAS RIBEIRO DOS SANTOS</t>
  </si>
  <si>
    <t>RODRIGO SILVA DE SOUZA</t>
  </si>
  <si>
    <t>JOHNNY VICTOR SANTOS</t>
  </si>
  <si>
    <t>CARLOS ALEXANDRE BALIERO RODRIGUES</t>
  </si>
  <si>
    <t>DANILO AUGUSTO DOS SANTOS</t>
  </si>
  <si>
    <t>FABIANO SOUZA DA SILVA</t>
  </si>
  <si>
    <t>ALISSON LOPES DO NASCIMENTO</t>
  </si>
  <si>
    <t>RYNCON ALVES DOS SANTOS</t>
  </si>
  <si>
    <t>DIOGENES DE OLIVEIRA DA SILVA</t>
  </si>
  <si>
    <t>JOSE LUCAS CRUZ DOS SANTOS</t>
  </si>
  <si>
    <t>KATIA SIMONE ROSA BENEDITO</t>
  </si>
  <si>
    <t>EVERSON SILVA ROCHA OLIVEIRA</t>
  </si>
  <si>
    <t>AMILTON FERNANDES SHIGAKI</t>
  </si>
  <si>
    <t>ANTONIO FRANCISCO DE OLIVEIRA</t>
  </si>
  <si>
    <t>ANTHONY EMENIKE OKAFOR</t>
  </si>
  <si>
    <t>MARCOS HENRIQUE DE MATOS</t>
  </si>
  <si>
    <t>FABIO CORREA FERREIRA</t>
  </si>
  <si>
    <t>FERNANDO DE JESUS NASCIMENTO</t>
  </si>
  <si>
    <t>JOSE CARLOS NUNES MARCAL ROSA</t>
  </si>
  <si>
    <t>MAYKON FABRICIO LOPES ROSA</t>
  </si>
  <si>
    <t>REGINALDO FERNANDES DOS SANTOS</t>
  </si>
  <si>
    <t>MARCOS ROBERTO SANTOS VELOSO</t>
  </si>
  <si>
    <t>CAMILA FREITAS VIOTTO</t>
  </si>
  <si>
    <t>AIRTON ACACIO VENTURA JUNIOR</t>
  </si>
  <si>
    <t>GERSON DE JESUS SIMOES</t>
  </si>
  <si>
    <t>LUCAS MARTINS COSTA</t>
  </si>
  <si>
    <t>LUCAS LEANDRO FERREIRA DE LAVOR</t>
  </si>
  <si>
    <t>EVANDRO ALMEIDA DOS SANTOS</t>
  </si>
  <si>
    <t>TATIANE MICHELE DOS SANTOS</t>
  </si>
  <si>
    <t>IGOR PAULO CIPRIANO DOS SANTOS</t>
  </si>
  <si>
    <t>RAFAEL LUIZ DA SILVA</t>
  </si>
  <si>
    <t>FLAVIO PATRICIO DE SENA</t>
  </si>
  <si>
    <t>LETICIA FRANCISCA DA SILVA RODRIGUES</t>
  </si>
  <si>
    <t>MARCELO  FERREIRA PINTO</t>
  </si>
  <si>
    <t>JOSE ADEMILTON SANTOS NASCIMENTO</t>
  </si>
  <si>
    <t>SERGIO CARDOSO DE NEGREIROS</t>
  </si>
  <si>
    <t>EDVALDO AUGUSTO RODRIGUES BUENO GODOY</t>
  </si>
  <si>
    <t>RODRIGO BARRETO ROSA</t>
  </si>
  <si>
    <t>IZAIAS DA SILVA JUNIOR</t>
  </si>
  <si>
    <t>JOHNNY LISIER DE SOUZA</t>
  </si>
  <si>
    <t>ALLISON GONÇALVES DE CAMPOS</t>
  </si>
  <si>
    <t>LUCAS RODRIGUES GOMES</t>
  </si>
  <si>
    <t>CARLOS DE FREITAS ROCHA LUCIO</t>
  </si>
  <si>
    <t>ELIEZER GUSTAVO GOMES SACRAMENTO</t>
  </si>
  <si>
    <t>EMERSON COUTO MARTINS</t>
  </si>
  <si>
    <t>FABIANO SIMAO TOME DE BRITO</t>
  </si>
  <si>
    <t>LUCAS LUIS ARAUJO DOS SANTOS</t>
  </si>
  <si>
    <t>JANDERSON MATOS DE SANTANA</t>
  </si>
  <si>
    <t>GILBERTO VIEIRA DE QUEIROZ</t>
  </si>
  <si>
    <t>01141623820128260050</t>
  </si>
  <si>
    <t>KULTEERA MINGKAEW</t>
  </si>
  <si>
    <t>DONATUS CHINENYE</t>
  </si>
  <si>
    <t>AKHONA KHOLEKA BUJELA</t>
  </si>
  <si>
    <t>NONDUMISO THANDAZILE GUMEDE</t>
  </si>
  <si>
    <t>JOAB MENDES RODRIGUES</t>
  </si>
  <si>
    <t>JOSÉ FERNANDES DA SILVA</t>
  </si>
  <si>
    <t>GLAUCIA BEATRIZ LOYOLA MOREIRA</t>
  </si>
  <si>
    <t>FABIO MARTINS MOREIRA</t>
  </si>
  <si>
    <t>CARLOS ANDRE DA SILVA</t>
  </si>
  <si>
    <t>KAIQUE LOPES MOREIRA</t>
  </si>
  <si>
    <t>ADRIANO SANTOS RAMOS</t>
  </si>
  <si>
    <t>LUIZ MIGUEL GONÇALVES DOS SANTOS</t>
  </si>
  <si>
    <t>WERICK FELIPE VIEIRA DA SILVA</t>
  </si>
  <si>
    <t>IGOR DIAS PEREIRA</t>
  </si>
  <si>
    <t>MARCELO FLORIANO DA SILVA</t>
  </si>
  <si>
    <t>ALEXANDRE MELO DA SILVA</t>
  </si>
  <si>
    <t>WAGNER ALVES</t>
  </si>
  <si>
    <t>JEFFERSON COSMO DA SILVA</t>
  </si>
  <si>
    <t>00072552920188260050</t>
  </si>
  <si>
    <t>WILLIAM DAVIS</t>
  </si>
  <si>
    <t>ALESSANDRO DO NASCIMENTO COSTA</t>
  </si>
  <si>
    <t>CAYQUE SILVA ANDRADE</t>
  </si>
  <si>
    <t>CRISTIANO DOS SANTOS GOMES JUNIOR</t>
  </si>
  <si>
    <t>JONATHAN ELIAS DA CRUZ</t>
  </si>
  <si>
    <t>ROGER ELIAS MISAEL</t>
  </si>
  <si>
    <t>MATHEUS DE JESUS</t>
  </si>
  <si>
    <t>JEFERSON CARLOS SOUZA DOS SANTOS</t>
  </si>
  <si>
    <t>RICARDO FRANCISCO DA SILVA</t>
  </si>
  <si>
    <t>CLEBER PEREIRA DA SILVA</t>
  </si>
  <si>
    <t>ALESSANDRA SOUZA BRITO</t>
  </si>
  <si>
    <t>THIAGO ALEXANDRE MOREIRA</t>
  </si>
  <si>
    <t>WESLEY ALEXANDRINO EROTIDES RAMOS</t>
  </si>
  <si>
    <t>MARCO LUCIUS DIAS</t>
  </si>
  <si>
    <t>CARLA REGINA OLIVEIRA DE JESUS</t>
  </si>
  <si>
    <t>YURI JOSE DA SILVA</t>
  </si>
  <si>
    <t>EVANDRO VENANCIO</t>
  </si>
  <si>
    <t>WILLIAN DE OLIVEIRA</t>
  </si>
  <si>
    <t>CARLOS WILLIAN NOVAIS MOREIRA</t>
  </si>
  <si>
    <t>PAULO VITA DE SOUZA</t>
  </si>
  <si>
    <t>KLEBER DOS SANTOS CAMPOS</t>
  </si>
  <si>
    <t>ALEXANDRE RODRIGUES FRAZAO</t>
  </si>
  <si>
    <t>GILBERLAN OLIVEIRA DE PINHO</t>
  </si>
  <si>
    <t>Dair Soares Pereira</t>
  </si>
  <si>
    <t>CLAYTON BORGES</t>
  </si>
  <si>
    <t>ROBSON FELICIANO QUEIROZ</t>
  </si>
  <si>
    <t>PATRICIA APARECIDA DE SOUSA MOREIRA</t>
  </si>
  <si>
    <t>JOSENILDO ALVES DA SILVA</t>
  </si>
  <si>
    <t>CRISTIAN RODRIGO DE OLIVEIRA RODRIGUES</t>
  </si>
  <si>
    <t>HELDER PRATES DOS SANTOS</t>
  </si>
  <si>
    <t>WEMERSON DA SILVA SANTOS</t>
  </si>
  <si>
    <t>JEFFERSON SANTOS DA SILVA</t>
  </si>
  <si>
    <t>CECILIA ALENCAR MATOS</t>
  </si>
  <si>
    <t>GUSTAVO ALVES</t>
  </si>
  <si>
    <t>LARISSA EVELYN PEREIRA SIQUEIRA</t>
  </si>
  <si>
    <t>CRISTIANO FERREIRA DE BARROS</t>
  </si>
  <si>
    <t>RONEI RIBEIRO DE SALES</t>
  </si>
  <si>
    <t>THIAGO APARECIDO SANTA RITA</t>
  </si>
  <si>
    <t>NATANAEL GOMES DA SILVA</t>
  </si>
  <si>
    <t>LUIZ FERNANDO ALVES PEREIRA</t>
  </si>
  <si>
    <t>RAFAEL DA SILVA LIMA</t>
  </si>
  <si>
    <t>KAEL FERREIRA DA SILVA</t>
  </si>
  <si>
    <t>ESAU JOSE FERREIRA DANTAS</t>
  </si>
  <si>
    <t>JEFFERSON OLIVEIRA GOMES BERALDO</t>
  </si>
  <si>
    <t>FABRICIO CORDEIRO RODRIGUES</t>
  </si>
  <si>
    <t>FELIPE NASCIMENTO SANTOS SILVA</t>
  </si>
  <si>
    <t>AMAURI BARBOSA DOS SANTOS</t>
  </si>
  <si>
    <t>VAGNER LUIS DE LIMA</t>
  </si>
  <si>
    <t>WESLEY DE SOUZA CESAR PEREIRA</t>
  </si>
  <si>
    <t>LUTTY FELIPE DE SOUZA</t>
  </si>
  <si>
    <t>TATIANA BURCIO SEREJO</t>
  </si>
  <si>
    <t>PETERSON PINTO DA SILVA</t>
  </si>
  <si>
    <t>FABIANO GODOI PYLRO</t>
  </si>
  <si>
    <t>ADRIANO PEREZ BARBOZA</t>
  </si>
  <si>
    <t>WILLIAM VENANCIO BEZERRA</t>
  </si>
  <si>
    <t>DIEGO AUGUSTO PASCOAL</t>
  </si>
  <si>
    <t>JOSE CRUZ FILHO</t>
  </si>
  <si>
    <t>JOHNATAN NOVAIS</t>
  </si>
  <si>
    <t>ELIANE DE JESUS</t>
  </si>
  <si>
    <t>ERIK FRANCISCO DOS SANTOS</t>
  </si>
  <si>
    <t>MARCOS PAULO SILVA DE SOUSA</t>
  </si>
  <si>
    <t>LUCAS INACIO GOMES DA CONCEICAO</t>
  </si>
  <si>
    <t>DORIVAL DA SILVA LIMA</t>
  </si>
  <si>
    <t>ANDERSON PORTO DE ANDRADE</t>
  </si>
  <si>
    <t>RENATO LIMA DOS SANTOS</t>
  </si>
  <si>
    <t>DIEGO FELIPE PEREIRA RIBEIRO</t>
  </si>
  <si>
    <t>JUAN DE MELO EPIFANIO</t>
  </si>
  <si>
    <t>JOSUE JOSE DOS SANTOS NETO</t>
  </si>
  <si>
    <t>MARCOS ADRIANO VIANA DE AZEVEDO</t>
  </si>
  <si>
    <t>00581067220188260050</t>
  </si>
  <si>
    <t>HALI SAID ADA</t>
  </si>
  <si>
    <t>THIAGO SOARES DUTRA</t>
  </si>
  <si>
    <t>CRISTIANO DA SILVA DE JESUS</t>
  </si>
  <si>
    <t>MARCITO FELIX REIS MENEZES</t>
  </si>
  <si>
    <t>DIEGO SOUZA SILVA</t>
  </si>
  <si>
    <t>MARIANA OLERIANO</t>
  </si>
  <si>
    <t>LUIZ GUSTAVO FERREIRA TAVARES</t>
  </si>
  <si>
    <t>MARCIO ROCHA PAES</t>
  </si>
  <si>
    <t>DANILO ESTEVAM DA CRUZ</t>
  </si>
  <si>
    <t>FRANCISCO DORISVAN SAMPAIO</t>
  </si>
  <si>
    <t>BIANCA EVANGELISTA SOUZA</t>
  </si>
  <si>
    <t>LUIZ FELIPE SOUZA NOGUEIRA SANTOS</t>
  </si>
  <si>
    <t>ANDERSON DA SILVA JULIO</t>
  </si>
  <si>
    <t>MARIO MARTINS NETO</t>
  </si>
  <si>
    <t>RAPHAEL PAZ OLEGARIO</t>
  </si>
  <si>
    <t>MARCIO ROBERTO DO ESPIRITO SANTO</t>
  </si>
  <si>
    <t>DANIEL ALVES FIRMINO DA SILVA</t>
  </si>
  <si>
    <t>ALEXANDRE DA CRUZ DE OLIVEIRA JUNIOR</t>
  </si>
  <si>
    <t>DANIEL LIMA ARAUJO GUILHERME</t>
  </si>
  <si>
    <t>ROBSON TORRES DA SILVA</t>
  </si>
  <si>
    <t>FRANK WILLIAN JONHSON</t>
  </si>
  <si>
    <t>JOSE DE ARIMATEA  SILVA MEMORIA</t>
  </si>
  <si>
    <t>EDSON DE SOUZA LIMA</t>
  </si>
  <si>
    <t>MAYCON DOUGLAS DE SOUZA SANTOS</t>
  </si>
  <si>
    <t>MURILO DE ALMEIDA PINHEIRO</t>
  </si>
  <si>
    <t>EDIEL TETSUO UEDA</t>
  </si>
  <si>
    <t>JEFFERSON LOPES DE PAULA</t>
  </si>
  <si>
    <t>DANIEL CESAR SANTOS SOARES</t>
  </si>
  <si>
    <t>CAIO COSTA FOMM</t>
  </si>
  <si>
    <t>ITAMAR SILVA DE OLIVEIRA</t>
  </si>
  <si>
    <t>DEBORA TAINA CARDOSO SANTOS</t>
  </si>
  <si>
    <t>EZEQUIEL DA SILVA GOMES</t>
  </si>
  <si>
    <t>LUIZ FERNANDO NUNES MICHELUCCI</t>
  </si>
  <si>
    <t>MATHEUS DA SILVA CRUZ</t>
  </si>
  <si>
    <t>00921566120178260050</t>
  </si>
  <si>
    <t>ISLAN FERNANDO PEREIRA</t>
  </si>
  <si>
    <t>RHUAUDERMANN RAMOS SILVEIRA</t>
  </si>
  <si>
    <t>WESLEY DE JESUS SILVA</t>
  </si>
  <si>
    <t>RAMON LIMA DA SILVA</t>
  </si>
  <si>
    <t>MARIA ISABEL CHICONI</t>
  </si>
  <si>
    <t>MARIA LUCIA DOS SANTOS ROSA</t>
  </si>
  <si>
    <t>GILBERTO OLEGARIO JUNIOR</t>
  </si>
  <si>
    <t>FELIPE CRUZ DOS SANTOS</t>
  </si>
  <si>
    <t>SCHMEICHEL CHAVES LIMA DE MENEZES</t>
  </si>
  <si>
    <t>MARCOS TEIXEIRA DE JESUS</t>
  </si>
  <si>
    <t>ROBERTO ALVES DE ALMEIDA</t>
  </si>
  <si>
    <t>OZIEL GOMES DA SILVA</t>
  </si>
  <si>
    <t>JONATHAN DE JESUS ROSA</t>
  </si>
  <si>
    <t>VALDINEY CARLOS PEREIRA</t>
  </si>
  <si>
    <t>PAULO ROBERTO CORREIA FILHO</t>
  </si>
  <si>
    <t>RENATO DA SILVA</t>
  </si>
  <si>
    <t>THIAGO TORRES DOS SANTOS</t>
  </si>
  <si>
    <t>WILLY KATEZ DE OLIVEIRA MENEZES</t>
  </si>
  <si>
    <t>EDSON NELSON GALINDO</t>
  </si>
  <si>
    <t>00010573520168260635</t>
  </si>
  <si>
    <t>WALTER BARROS DIAS</t>
  </si>
  <si>
    <t>RENAN FURTADO MARIANO</t>
  </si>
  <si>
    <t>CELSO AUGUSTO FANTASIA</t>
  </si>
  <si>
    <t>WENDER LUIZ CASTRO AJALA</t>
  </si>
  <si>
    <t>LEANDRO SILVA DIAS</t>
  </si>
  <si>
    <t>00025902920168260635</t>
  </si>
  <si>
    <t>LUIZ RODRIGO MARINHO DOS SANTOS</t>
  </si>
  <si>
    <t>JESSICA APARECIDA LEMOS DE LIMA</t>
  </si>
  <si>
    <t>LUCAS SAMUEL GUIMARAES DE FRANCA</t>
  </si>
  <si>
    <t>ANDRE LUIS ALMEIDA DOS SANTOS</t>
  </si>
  <si>
    <t>BRUNO REBOUÇAS SENA</t>
  </si>
  <si>
    <t>KAIAN FELIPE SANTOS RETAMALES MANQUEIN</t>
  </si>
  <si>
    <t>ANTONIO CARLOS RIBEIRO DE SOUSA</t>
  </si>
  <si>
    <t>00045228620158260635</t>
  </si>
  <si>
    <t>JACKELINE DE OLIVEIRA BARBOSA</t>
  </si>
  <si>
    <t>NILDA APARECIDA FERRAS DE CAMPOS</t>
  </si>
  <si>
    <t>VICTOR SOUZA ARAUJO</t>
  </si>
  <si>
    <t>JOSE RICARDO RODRIGUES DOS SANTOS</t>
  </si>
  <si>
    <t>JEFERSON VITOR MAIRINS SILVEIRA</t>
  </si>
  <si>
    <t>JEFFERSON CARLOS SILVA DE SOUZA</t>
  </si>
  <si>
    <t>BRUNO BORGES VIEIRA</t>
  </si>
  <si>
    <t>FABIANA GONÇALVES TEIXEIRA</t>
  </si>
  <si>
    <t>ELIAS DE FREITAS CABOCLO</t>
  </si>
  <si>
    <t>DIEGO DA SILVA FERREIRA MARQUES</t>
  </si>
  <si>
    <t>LUCAS MENDES DINIZ</t>
  </si>
  <si>
    <t>RAI DA SILVA RIBEIRO</t>
  </si>
  <si>
    <t>VANDERSON ROBERTO COSTA</t>
  </si>
  <si>
    <t>KATY DE SANTANA RAMOS</t>
  </si>
  <si>
    <t>RAFAEL SANTOS DE SOUZA</t>
  </si>
  <si>
    <t>FABIO ALVES BRAGA</t>
  </si>
  <si>
    <t>00104684320188260050</t>
  </si>
  <si>
    <t>LUIZ CARLOS SOARES</t>
  </si>
  <si>
    <t>LUIS MARIO DOS SANTOS</t>
  </si>
  <si>
    <t>DIOGO JOSE DE MELO</t>
  </si>
  <si>
    <t>ANTONIO LEONARDO DE FRANÇA</t>
  </si>
  <si>
    <t>Samuel Munarin</t>
  </si>
  <si>
    <t>JEFERSON LACERDA FALCÃO</t>
  </si>
  <si>
    <t>KENNEDY BISERRA FARIAS DA SILVA</t>
  </si>
  <si>
    <t>VALESKA PESSOA TEIXEIRA</t>
  </si>
  <si>
    <t>WILLIAM MARCELO RODRIGUES DA SILVA</t>
  </si>
  <si>
    <t>RICARDO DE SALLES PEREIRA</t>
  </si>
  <si>
    <t>00141218720178260050</t>
  </si>
  <si>
    <t>SILVIO ROGERIO ALVES</t>
  </si>
  <si>
    <t>LUZINEI SOUZA FIRMINO</t>
  </si>
  <si>
    <t>CARLUCIA MACHADO MEIRELES</t>
  </si>
  <si>
    <t>URUBATA DE ALMEIDA SANTOS</t>
  </si>
  <si>
    <t>RAFAEL PEREIRA NUNES</t>
  </si>
  <si>
    <t>JHON KENNEDY MAIA GLAUDINO</t>
  </si>
  <si>
    <t>JOAO VITOR SOBRAL MARINHO</t>
  </si>
  <si>
    <t>GLADEILMA DA SILVA FEITOSA</t>
  </si>
  <si>
    <t>MATHEUS RODRIGUES DE CARVALHO</t>
  </si>
  <si>
    <t>JULIANA BENVINDA DA SILVA</t>
  </si>
  <si>
    <t>GUSTAVO HENRIQUE DA COSTA</t>
  </si>
  <si>
    <t>CLEITON AIRES RODRIGUES</t>
  </si>
  <si>
    <t>JONATA DE DEUS DO NASCIMENTO</t>
  </si>
  <si>
    <t>NILDALVA MARIA DA SILVA</t>
  </si>
  <si>
    <t>ROSANA DA SILVA NUNES</t>
  </si>
  <si>
    <t>PAULO ROGERIO AMORIM</t>
  </si>
  <si>
    <t>ROBINSON DO NASCIMENTO SANTOS</t>
  </si>
  <si>
    <t>DESCONHECIDO IP 97/2015</t>
  </si>
  <si>
    <t>FABIANA FONSECA DEMETRIO RODRIGUES</t>
  </si>
  <si>
    <t>Shuane da Silva Carvalho</t>
  </si>
  <si>
    <t>Deusdete Ricardo de Oliveira Bonfim Magalhães</t>
  </si>
  <si>
    <t>FABIO WELLINGTON DA SILVA</t>
  </si>
  <si>
    <t>VITOR SOUZA DO NASCIMENTO</t>
  </si>
  <si>
    <t>JOAO EUDES SOARES</t>
  </si>
  <si>
    <t>Diogenes Gomes Barros</t>
  </si>
  <si>
    <t>MARCIO SILVA DE OLIVEIRA</t>
  </si>
  <si>
    <t>Juliana Santos</t>
  </si>
  <si>
    <t>MARCELO DIEGO DE PAULA SOARES</t>
  </si>
  <si>
    <t>LUIZ LAURENTINO DA SILVA</t>
  </si>
  <si>
    <t>ALLAN DAVID DE CAMARGO</t>
  </si>
  <si>
    <t>Marcio Gomes Barboza</t>
  </si>
  <si>
    <t>ELENICE TATIANA ALVES</t>
  </si>
  <si>
    <t>JOCIANE SILVERIO</t>
  </si>
  <si>
    <t>ELIS CRISTINA GUARNIEL DA SILVA</t>
  </si>
  <si>
    <t>WLADIMIR RIBEIRO BRITO</t>
  </si>
  <si>
    <t>Konelei Silva dos Santos</t>
  </si>
  <si>
    <t>Adriana Moreira</t>
  </si>
  <si>
    <t>LUIZ ROBERTO PIRES</t>
  </si>
  <si>
    <t>IGOR DE JESUS COSTA</t>
  </si>
  <si>
    <t>GINALEAN PADIWAN LIMON</t>
  </si>
  <si>
    <t>ELIAS CIRILO</t>
  </si>
  <si>
    <t>WALMIR DE LIMA SILVA</t>
  </si>
  <si>
    <t>MARCOS DE OLIVEIRA GOMES</t>
  </si>
  <si>
    <t>HIAGO DE OLIVEIRA DOS ANJOS</t>
  </si>
  <si>
    <t>00347947720128260050</t>
  </si>
  <si>
    <t>ADRIANO CARLOS DE SANTANA</t>
  </si>
  <si>
    <t>Ricardo da Silva Benevinuto</t>
  </si>
  <si>
    <t>PALOMA FERREIRA SANTANA</t>
  </si>
  <si>
    <t>RODRIGO FELIPE DO NASCIMENTO</t>
  </si>
  <si>
    <t>ED CARLOS SOUZA FERREIRA</t>
  </si>
  <si>
    <t>ADRIANO GUSMAO DE FREITAS</t>
  </si>
  <si>
    <t>UELINGTON SILVA DE SOUZA</t>
  </si>
  <si>
    <t>JOILSON DA CONCEICAO MACIEL</t>
  </si>
  <si>
    <t>ALEXSANDRO LUIZ DA SILVA</t>
  </si>
  <si>
    <t>JEFFERSON ANANIAS PEREIRA</t>
  </si>
  <si>
    <t>VALMIR ROGERIO VELOSO MARTINS</t>
  </si>
  <si>
    <t>ITALO DIEGO DE JESUS SANTOS</t>
  </si>
  <si>
    <t>RAFAEL SANTOS OLIVEIRA</t>
  </si>
  <si>
    <t>ADELAN DOS SANTOS GONCALVES</t>
  </si>
  <si>
    <t>CAIO EDUARDO LEITE NASCIMENTO</t>
  </si>
  <si>
    <t>00456975020078260050</t>
  </si>
  <si>
    <t>Élder Barbosa de Assis</t>
  </si>
  <si>
    <t>ALBERT ROGERIO DOS SANTOS DA SILVA</t>
  </si>
  <si>
    <t>BRUNO SOUSA SANTOS</t>
  </si>
  <si>
    <t>EMMANUEL CHIZOBA IKUDIKE</t>
  </si>
  <si>
    <t>ERLAN DOS SANTOS RIBEIRO</t>
  </si>
  <si>
    <t>ANDERSON MACEDO DE SANTANA</t>
  </si>
  <si>
    <t>RODRIGO DE JESUS DOS SANTOS</t>
  </si>
  <si>
    <t>JEFFERSON DOS SANTOS LIMA DE ARAUJO</t>
  </si>
  <si>
    <t>MARCOS VINICIUS SOUZA BRESSAN</t>
  </si>
  <si>
    <t>WILLIAN COSTA DA SILVA</t>
  </si>
  <si>
    <t>JOSE DE OLIVEIRA PEREIRA</t>
  </si>
  <si>
    <t>MAURICIO HERNANDES RHEIN JUNIOR</t>
  </si>
  <si>
    <t>BRUNO MAGALHAES MACHADO</t>
  </si>
  <si>
    <t>00587081020118260050</t>
  </si>
  <si>
    <t>DIEGO DOS SANTOS LOURENÇO</t>
  </si>
  <si>
    <t>RENATO CARAVAJO</t>
  </si>
  <si>
    <t>ARIOVALDO PEREIRA DE ALMEIDA</t>
  </si>
  <si>
    <t>SERGIO EDUARDO QUINTANA</t>
  </si>
  <si>
    <t>RENATO ALVES PEREIRA DE CAMPOS</t>
  </si>
  <si>
    <t>RAPHAEL STEPHAN LAHOZ URQUIRI</t>
  </si>
  <si>
    <t>PAMELLA NERI SILVA</t>
  </si>
  <si>
    <t>TATIANE JAIME REIS</t>
  </si>
  <si>
    <t>EMERSON KAIQUE OLIVEIRA DA SILVA</t>
  </si>
  <si>
    <t>JEMERSON RONALDO DA SILVA</t>
  </si>
  <si>
    <t>FABIO LUIZ BINA DA SILVA</t>
  </si>
  <si>
    <t>JONATHAN MICHEL PINA</t>
  </si>
  <si>
    <t>SOELI TELES DE SOUZA</t>
  </si>
  <si>
    <t>EDUARDO DE OLIVEIRA CAVALCANTE  GERMANO</t>
  </si>
  <si>
    <t>DOUGLAS PINHEIRO DE SOUZA</t>
  </si>
  <si>
    <t>WESLEY GIOVANI CELESTINO MESQUITA</t>
  </si>
  <si>
    <t>MAIRA DA SILVA MUNIZ</t>
  </si>
  <si>
    <t>ERBERSON CAMPOS DE SOUSA</t>
  </si>
  <si>
    <t>GABRIEL NOVAIS FERREIRA</t>
  </si>
  <si>
    <t>VITOR EVARISTO MONTEIRO DE QUEIROZ</t>
  </si>
  <si>
    <t>BRENDA DA SILVA CARNEIRO</t>
  </si>
  <si>
    <t>LUIZ ANTONIO DE OLIVEIRA</t>
  </si>
  <si>
    <t>RODRIGO SILVA DOS REIS</t>
  </si>
  <si>
    <t>PAULA CRISTINA FERREIRA DA SILVA</t>
  </si>
  <si>
    <t>ERICELIO MATOS DOS SANTOS</t>
  </si>
  <si>
    <t>MARCUS VINICIUS DE OLIVEIRA</t>
  </si>
  <si>
    <t>THIAGO LUIS MARTINS PEDROSO</t>
  </si>
  <si>
    <t>00872974120138260050</t>
  </si>
  <si>
    <t>GABRIEL NERES RODRIGUES</t>
  </si>
  <si>
    <t>VINICIUS ALBERTO FERREIRA ALVES</t>
  </si>
  <si>
    <t>VITOR HUGO GARCIA LESSA</t>
  </si>
  <si>
    <t>JOAO VICTOR BATISTA RODRIGUES COSTA</t>
  </si>
  <si>
    <t>VINICIUS LIMA FERREIRA DA SILVA</t>
  </si>
  <si>
    <t>DANIEL PAES DE ALMEIDA</t>
  </si>
  <si>
    <t>JACKSON MAURO</t>
  </si>
  <si>
    <t>VASTI MARIA DO NASCIMENTO</t>
  </si>
  <si>
    <t>WEMERSON OLIVEIRA DOS SANTOS</t>
  </si>
  <si>
    <t>PAULO JORGE SILVA DO CARMO</t>
  </si>
  <si>
    <t>GEANGLER MAGALHAES SANTOS</t>
  </si>
  <si>
    <t>LEANDRO SANTOS QUEIROZ</t>
  </si>
  <si>
    <t>LEONARDO DA SILVA OLIVEIRA</t>
  </si>
  <si>
    <t>JORGE TADEU BARBOZA DE LIMA</t>
  </si>
  <si>
    <t>MATHEUS MEDEIROS BEZERRA</t>
  </si>
  <si>
    <t>RICHARD DOS SANTOS LIMA</t>
  </si>
  <si>
    <t>NILTON GISANDRO DOS SANTOS</t>
  </si>
  <si>
    <t>AUDREY CRISTINA BAZ CUNHANA</t>
  </si>
  <si>
    <t>JOSE EXPEDITO DAS NEVES</t>
  </si>
  <si>
    <t>VERONICA DE SOUZA</t>
  </si>
  <si>
    <t>ALEXSANDRA DE CAMARGO</t>
  </si>
  <si>
    <t>MICHELLE MACEDO MATOS</t>
  </si>
  <si>
    <t>GENILSA MARIA MOREIRA</t>
  </si>
  <si>
    <t>JEVERTON MELO DOS SANTOS</t>
  </si>
  <si>
    <t>01095488720128260050</t>
  </si>
  <si>
    <t>ROBSON MARCELINO DE SOUSA ALMEIDA</t>
  </si>
  <si>
    <t>VALDIR FRANCISCO DOS SANTOS</t>
  </si>
  <si>
    <t>DEIVIDE FERNANDES DA COSTA RIBERIO</t>
  </si>
  <si>
    <t>GUILHERME RAMOS GOMES DE BRITO</t>
  </si>
  <si>
    <t>CLAUDIO MARCOS DE ALMEIDA</t>
  </si>
  <si>
    <t>JADSON GUERRA</t>
  </si>
  <si>
    <t>VINICIUS SILVA TRIGUEIRO DOS SANTOS</t>
  </si>
  <si>
    <t>Warlleyn Henrique da Silva Santos</t>
  </si>
  <si>
    <t>ALTAIR PINHEIRO DA COSTA</t>
  </si>
  <si>
    <t>EDILSON DOS SANTOS</t>
  </si>
  <si>
    <t>ODAIR DE ARAUJO BEZERRA</t>
  </si>
  <si>
    <t>DIOGO HENRIQUE DE OLIVEIRA RAMOS</t>
  </si>
  <si>
    <t>GUILHERME JOSE SALGADO DE OLIVEIRA</t>
  </si>
  <si>
    <t>EDUARDO CIPRIANO DE OLIVEIRA</t>
  </si>
  <si>
    <t>ANDERSON APARECIDO CIPRIANO</t>
  </si>
  <si>
    <t>THIAGO SANTOS DE ALMEIDA</t>
  </si>
  <si>
    <t>BRUNO DA CRUZ DE LIMA</t>
  </si>
  <si>
    <t>CLEBERSON VALTERCIDES ELIAS</t>
  </si>
  <si>
    <t>BRUNO RAPHAEL GENOVEZ</t>
  </si>
  <si>
    <t>ROSIVALDO RODRIGUES DUARTE</t>
  </si>
  <si>
    <t>00071188120178260050</t>
  </si>
  <si>
    <t>REINALDO MIRANDA TEIXEIRA</t>
  </si>
  <si>
    <t>LARYSSA LORRAINE GONÇALVES FARIAS DE LIMA</t>
  </si>
  <si>
    <t>ADRIANO GONZAGA DA SILVA</t>
  </si>
  <si>
    <t>00093764020128260050</t>
  </si>
  <si>
    <t>DIEGO CARLOS ARAUJO FERREIRA</t>
  </si>
  <si>
    <t>LUIZ AUGUSTO FERREIRA DE MORAES ANUVALE</t>
  </si>
  <si>
    <t>LUCAS FARLEY MARQUES DA CRUZ</t>
  </si>
  <si>
    <t>ALESSANDRO SIDNEI ACOSTA</t>
  </si>
  <si>
    <t>00103852720188260050</t>
  </si>
  <si>
    <t>WILIAM LOURENCO FAGUNDES</t>
  </si>
  <si>
    <t>LUCIANO REIS SILVA</t>
  </si>
  <si>
    <t>LUCAS BRITO</t>
  </si>
  <si>
    <t>VINICIUS MOREIRA MANGIACAVALLI</t>
  </si>
  <si>
    <t>JOSÉ APARECIDO FLORIANO DA SILVA</t>
  </si>
  <si>
    <t>JOSIAS DA CONCEIÇÃO PRATA</t>
  </si>
  <si>
    <t>CAIO AUGUSTO RANGEL URBANO DOS SANTOS</t>
  </si>
  <si>
    <t>ROBERTA CRISTINA DE OLIVEIRA</t>
  </si>
  <si>
    <t>VALDEIR LEITE CAVALCANTE</t>
  </si>
  <si>
    <t>00382852420148260050</t>
  </si>
  <si>
    <t>LEONARDO FERRAZ SILVA</t>
  </si>
  <si>
    <t>JOAO VICTOR SOUZA MOREIRA</t>
  </si>
  <si>
    <t>YAGO PAULO ISRAEL CIPRIANO</t>
  </si>
  <si>
    <t>REGINALDO APARECIDO DA SILVA</t>
  </si>
  <si>
    <t>00427635120098260050</t>
  </si>
  <si>
    <t>Edesio Fabricio</t>
  </si>
  <si>
    <t>JEFERSON DOMINGOS DO NASCIMENTO</t>
  </si>
  <si>
    <t>MICHAEL RODRIGUES RAMALHO</t>
  </si>
  <si>
    <t>WESLEY PEREIRA DA SILVA</t>
  </si>
  <si>
    <t>RONILDO MELO DA COSTA</t>
  </si>
  <si>
    <t>EDUARDO BRITO SAMPAIO</t>
  </si>
  <si>
    <t>00495943720178260050</t>
  </si>
  <si>
    <t>VICTOR HENRIQUE DE OLIVEIRA MOREIRA</t>
  </si>
  <si>
    <t>00496341920178260050</t>
  </si>
  <si>
    <t>ADAILTON DOS SANTOS PEREIRA</t>
  </si>
  <si>
    <t>JORGE LUIZ SANTOS</t>
  </si>
  <si>
    <t>RICHARD SILVA CAVALCANTI</t>
  </si>
  <si>
    <t>JUVENAL MARIA FILHO</t>
  </si>
  <si>
    <t>KAIQUE MATEUS SERRA CHAVES</t>
  </si>
  <si>
    <t>JOSE ARNALDO DE FRANÇA JUNIOR</t>
  </si>
  <si>
    <t>GRAZIELA DOS SANTOS DOMINGUES</t>
  </si>
  <si>
    <t>CASSIA DOS SANTOS MENDES</t>
  </si>
  <si>
    <t>ELIAS DE OLIVEIRA RODRIGUES</t>
  </si>
  <si>
    <t>IGOR LELIS DA SILVA</t>
  </si>
  <si>
    <t>ALEX DOS SANTOS LUCAS DE OLIVEIRA</t>
  </si>
  <si>
    <t>REINAN FERREIRA DA CONCEIÇÃO</t>
  </si>
  <si>
    <t>ROBERTA LOPES MARIANO</t>
  </si>
  <si>
    <t>MICHAEL LUIS DA SILVA</t>
  </si>
  <si>
    <t>JEFERSON BRITO DOS SANTOS</t>
  </si>
  <si>
    <t>DIEGO DOS SANTOS MOREIRA</t>
  </si>
  <si>
    <t>00603507620158260050</t>
  </si>
  <si>
    <t>DOUGLAS ANDRADE DOS SANTOS</t>
  </si>
  <si>
    <t>FRANCISCO DE JESUS SANTOS</t>
  </si>
  <si>
    <t>ANDREW DA CRUZ MALAQUIAS</t>
  </si>
  <si>
    <t>00647226820158260050</t>
  </si>
  <si>
    <t>WELLINGTON DIAS DOS SANTOS</t>
  </si>
  <si>
    <t>PAULO CESAR GOMES DA SILVA</t>
  </si>
  <si>
    <t>TIAGO DARCIE BUOSSI</t>
  </si>
  <si>
    <t>MICHEL FERREIRA</t>
  </si>
  <si>
    <t>RODRIGO MELO DA SILVA</t>
  </si>
  <si>
    <t>CLEVERSON FERNANDES FERRACINI</t>
  </si>
  <si>
    <t>ALEX LIMA SERRA</t>
  </si>
  <si>
    <t>GUSTAVO FERREIRA COSTA E SILVA</t>
  </si>
  <si>
    <t>TIAGO BARBOSA DE JESUS</t>
  </si>
  <si>
    <t>FRANCISCO ANDERSON DA SILVA PONTES</t>
  </si>
  <si>
    <t>GILMAR SILVA DOS SANTOS</t>
  </si>
  <si>
    <t>00841904720178260050</t>
  </si>
  <si>
    <t>BRUNO GUSTAVO BARBOSA DE OLIVEIRA</t>
  </si>
  <si>
    <t>DENNIS PEREIRA QUEIROZ</t>
  </si>
  <si>
    <t>00874818920168260050</t>
  </si>
  <si>
    <t>JOARI DE ANDRADE BERKOVIC</t>
  </si>
  <si>
    <t>ROBERTO DE OLIVEIRA BISPO</t>
  </si>
  <si>
    <t>FELIPE FERREIRA CAMPOS</t>
  </si>
  <si>
    <t>DANIEL LOPES DO COUTO</t>
  </si>
  <si>
    <t>WILSON ARMANDO MENDES DOS SANTOS</t>
  </si>
  <si>
    <t>ERONILDO  GOMES DA SILVA</t>
  </si>
  <si>
    <t>ROSANA DE CASSIA ORTOLAN</t>
  </si>
  <si>
    <t>SIMONE DA CRUZ LUIZ</t>
  </si>
  <si>
    <t>DAMIAO SILVA DOS SANTOS</t>
  </si>
  <si>
    <t>GISLAINE APARECIDA SABOIA</t>
  </si>
  <si>
    <t>DOUGLAS JOSE DE FARIA</t>
  </si>
  <si>
    <t>RAFAEL GONCALVES DA CRUZ</t>
  </si>
  <si>
    <t>TALLES JOHNY DE SOUZA</t>
  </si>
  <si>
    <t>JOSE VANIO BEZERRA DE LIMA</t>
  </si>
  <si>
    <t>ANDERSON LUCAS DOS SANTOS SILVA</t>
  </si>
  <si>
    <t>KAIQUE BARBOSA DIAS</t>
  </si>
  <si>
    <t>JOSE ERNANDE DE ARAUJO LOPES</t>
  </si>
  <si>
    <t>ROBSON MANOEL DOS SANTOS</t>
  </si>
  <si>
    <t>VALDIR DIAS FILHO</t>
  </si>
  <si>
    <t>WELLINGTON ANDRADE DE ASSIS</t>
  </si>
  <si>
    <t>00031792120168260635</t>
  </si>
  <si>
    <t>JOSE ERIQUE DE ARAUJO PEREIRA</t>
  </si>
  <si>
    <t>RANIELLY CRISTINA DOS SANTOS</t>
  </si>
  <si>
    <t>ABRAAO PEREIRA CUNHA</t>
  </si>
  <si>
    <t>JEFFERSON WILLIAN DE PAULA</t>
  </si>
  <si>
    <t>RAPHAEL BRASILEIRO CRISPIM</t>
  </si>
  <si>
    <t>ADRIANO APARECIDO DOS SANTOS</t>
  </si>
  <si>
    <t>EDUARDO BRANDAO MIQUELE</t>
  </si>
  <si>
    <t>VINICIUS KAUE PEREIRA DE OLIVEIRA</t>
  </si>
  <si>
    <t>ANDERSON NASCIMENTO PEDRO</t>
  </si>
  <si>
    <t>MICHELE GOMES</t>
  </si>
  <si>
    <t>JOSE ANTONIO DA SILVA NETO</t>
  </si>
  <si>
    <t>RAYNANN NEWTON MARTINS DA SILVA</t>
  </si>
  <si>
    <t>BRUNO HENRIQUE ADELINO DA SILVA</t>
  </si>
  <si>
    <t>AMANDA CARVALHO RIBEIRO</t>
  </si>
  <si>
    <t>DANILO DOS SANTOS</t>
  </si>
  <si>
    <t>RUBENS GONCALVES DE ALMEIDA MATOS SILVA</t>
  </si>
  <si>
    <t>ANDERSON SILVA NEVES</t>
  </si>
  <si>
    <t>DOMINIQUE FERREIRA DA ROCHA</t>
  </si>
  <si>
    <t>EZEQUIEL DANTAS PEREIRA</t>
  </si>
  <si>
    <t>CASSIANO AZEVEDO DO NASCIMENTO</t>
  </si>
  <si>
    <t>EVERTON FERREIRA CRUZ</t>
  </si>
  <si>
    <t>GILVAN DE AZEVEDO SILVA</t>
  </si>
  <si>
    <t>REINALD SANTOS MENESES</t>
  </si>
  <si>
    <t>GABRIEL COELHO SILVA</t>
  </si>
  <si>
    <t>HENRIQUE SANTOS GIARDINI</t>
  </si>
  <si>
    <t>GABRIEL SANTOS ROSA</t>
  </si>
  <si>
    <t>CAMILO RAFAEL DE OLIVEIRA SANTOS</t>
  </si>
  <si>
    <t>NWOYE UCHE MBONU</t>
  </si>
  <si>
    <t>00111287620148260050</t>
  </si>
  <si>
    <t>WASHINGTON LUIS OVERA</t>
  </si>
  <si>
    <t>RAYANE LEMOS AMARO DOS SANTOS</t>
  </si>
  <si>
    <t>JOHNNY DO NASCIMENTO ROSA</t>
  </si>
  <si>
    <t>LEANDRO LEITE DOS SANTOS</t>
  </si>
  <si>
    <t>HILEIA RODRIGUES DE SOUZA</t>
  </si>
  <si>
    <t>PAULA FERNANDA DOS SANTOS FREITAS</t>
  </si>
  <si>
    <t>LUIZ ROBERTO SILVA</t>
  </si>
  <si>
    <t>00120265020188260050</t>
  </si>
  <si>
    <t>MAYCON GOMES DA SILVA</t>
  </si>
  <si>
    <t>WELLINGTON DE JESUS SANTOS</t>
  </si>
  <si>
    <t>JOSE AILTON PEREIRA</t>
  </si>
  <si>
    <t>MAYARA MARCELINO SANTA RITA</t>
  </si>
  <si>
    <t>FABIANO BERALDO DE OLIVEIRA</t>
  </si>
  <si>
    <t>AURICELIO FERREIRA DA SILVA</t>
  </si>
  <si>
    <t>ALEXANDRE ALEX FLORENCIO NERI</t>
  </si>
  <si>
    <t>WILSON COUTINHO DE CARVALHO</t>
  </si>
  <si>
    <t>RENATO MONT ALVAO SANTANA</t>
  </si>
  <si>
    <t>ANDRE DE JESUS</t>
  </si>
  <si>
    <t>LUIZ FERNANDO OLIVEIRA MACIEL</t>
  </si>
  <si>
    <t>MARCONI DA SILVA</t>
  </si>
  <si>
    <t>CARLOS RENATO PEREIRA DOS SANTOS</t>
  </si>
  <si>
    <t>WENDEL GOMES DE MORAIS</t>
  </si>
  <si>
    <t>DAYANE LETICIA RAMOS LOURENCO</t>
  </si>
  <si>
    <t>TIAGO FERREIRA DOS SANTOS</t>
  </si>
  <si>
    <t>CLEBERSON FELIPE LOURENCO CORREA</t>
  </si>
  <si>
    <t>CAIO BORGES DA SILVA GONCALVES</t>
  </si>
  <si>
    <t>CHIDI ASIEBGU ou EMMANUEL OKEKE</t>
  </si>
  <si>
    <t>00302432520108260050</t>
  </si>
  <si>
    <t>Julio Cesar Rodrigues</t>
  </si>
  <si>
    <t>RAMON LIMA CORDEIRO</t>
  </si>
  <si>
    <t>00315930420178260050</t>
  </si>
  <si>
    <t>IZADORA INGRID DOS ANJOS FERREIRA PENNA</t>
  </si>
  <si>
    <t>ANDERSON MARQUES DE SOUZA</t>
  </si>
  <si>
    <t>PAULO HENRIQUE SOUZA ALBERGARIA</t>
  </si>
  <si>
    <t>MARCOS ROGERIO SOUZA SILVESTRE JUNIOR</t>
  </si>
  <si>
    <t>MARCOS HENRIQUE PINTO MATIAS</t>
  </si>
  <si>
    <t>MURILO HENRIQUE SANTOS DA SILVA</t>
  </si>
  <si>
    <t>DANILO DE CASSIO PEREIRA LIMA</t>
  </si>
  <si>
    <t>AGEU JULIO ALVES GOMES</t>
  </si>
  <si>
    <t>MATHEUS DE JESUS TEIXEIRA</t>
  </si>
  <si>
    <t>00467060320148260050</t>
  </si>
  <si>
    <t>DESCONHECIDO IP 27/2014</t>
  </si>
  <si>
    <t>GABRIEL BRUNO PEREIRA DE CARVALHO</t>
  </si>
  <si>
    <t>MATHEUS VINICIUS PINTO BARBOSA VILLELA</t>
  </si>
  <si>
    <t>JOHN FRANCO</t>
  </si>
  <si>
    <t>MARCELO SILVA PORCARI</t>
  </si>
  <si>
    <t>GIOVANI DIOGO DE OLIVEIRA SOUZA</t>
  </si>
  <si>
    <t>RENATO ELIAS DA SILVA</t>
  </si>
  <si>
    <t>JOSEILDO GOMES DA SILVA</t>
  </si>
  <si>
    <t>DIOGO TELES DE SIQUEIRA SANTOS</t>
  </si>
  <si>
    <t>DIEGO SIQUEIRA DOS SANTOS</t>
  </si>
  <si>
    <t>RAFAEL RODRIGUES DA SILVA</t>
  </si>
  <si>
    <t>ALLAN DA SILVA MONTEIRO</t>
  </si>
  <si>
    <t>ALAN CARLOS HENGLER DA SILVA</t>
  </si>
  <si>
    <t>RAFAEL LEITE DE OLIVEIRA</t>
  </si>
  <si>
    <t>ELIETE NOJOSA BEZERRA DE SOUSA</t>
  </si>
  <si>
    <t>MATHEUS DIAS VARJAO</t>
  </si>
  <si>
    <t>RAONI DE SOUSA FONTES</t>
  </si>
  <si>
    <t>DERMEVAL SOUZA DE LACERDA</t>
  </si>
  <si>
    <t>MARIA DE FATIMA BARROS DE MACEDO</t>
  </si>
  <si>
    <t>CARLOS HENRIQUE SILVA DE OLIVEIRA</t>
  </si>
  <si>
    <t>LEANDRO DOS SANTOS BATISTA</t>
  </si>
  <si>
    <t>00664119420088260050</t>
  </si>
  <si>
    <t>Inaue Augusto de Iemanja Jeronimo Olunowo</t>
  </si>
  <si>
    <t>DAVI SANTOS FREITAS</t>
  </si>
  <si>
    <t>DAIANA DOS SANTOS RODRIGUES</t>
  </si>
  <si>
    <t>ALEX FERREIRA DE OLIVEIRA</t>
  </si>
  <si>
    <t>RAFAELA MARIA DA SILVA</t>
  </si>
  <si>
    <t>ADRIANA ALMEIDA CAMPOS</t>
  </si>
  <si>
    <t>WILLIAN HENRIQUE DA PENHA SILVA</t>
  </si>
  <si>
    <t>00686447420028260050</t>
  </si>
  <si>
    <t>Saúde Pública</t>
  </si>
  <si>
    <t>VITOR AQUAROLI DEL PAPA</t>
  </si>
  <si>
    <t>KAYAN ASSIS DI MISCIO</t>
  </si>
  <si>
    <t>ADILSON LIMA DOS SANTOS</t>
  </si>
  <si>
    <t>JONATHAN PEREIRA</t>
  </si>
  <si>
    <t>MARCOS HENRIQUE MENDES XAVIER</t>
  </si>
  <si>
    <t>BRUNO NASCIMENTO NOGUEIRA</t>
  </si>
  <si>
    <t>DAVID FERNANDES SANTANA</t>
  </si>
  <si>
    <t>PETTERSON FABRIT DIAS</t>
  </si>
  <si>
    <t>MARIO SERGIO  PEREIRA GALASSI</t>
  </si>
  <si>
    <t>GUILHERME CANDIDO DA SILVA</t>
  </si>
  <si>
    <t>JOELITON DOS SANTOS BARBOSA</t>
  </si>
  <si>
    <t>GIDEONE ARRUDA SANTOS</t>
  </si>
  <si>
    <t>LUCAS OLIVEIRA  DOS SANTOS</t>
  </si>
  <si>
    <t>ANDERSON SILVA ALVES</t>
  </si>
  <si>
    <t>CICERO SOARES XAVIER DA CRUZ</t>
  </si>
  <si>
    <t>GUILHERME VIEIRA DOS SANTOS</t>
  </si>
  <si>
    <t>MARCIO DOS SANTOS FEITOSA</t>
  </si>
  <si>
    <t>JOAO PAULO PEREIRA</t>
  </si>
  <si>
    <t>GABRIEL ANGEL ANTONIO FLORES</t>
  </si>
  <si>
    <t>LUIZ OTAVIO SANTOS DA SILVA</t>
  </si>
  <si>
    <t>RODOLPHE GINDUWA KITUMBA</t>
  </si>
  <si>
    <t>IRENE KITUMBA MAZAGA</t>
  </si>
  <si>
    <t>RICARDO FLAVIO DE CARVALHO</t>
  </si>
  <si>
    <t>CARLOS ANDRE SANTOS MATOS</t>
  </si>
  <si>
    <t>PATRICK WALACE DE OLIVEIRA QUEIROZ</t>
  </si>
  <si>
    <t>JEISON SUTKEWICIUS NOMURA</t>
  </si>
  <si>
    <t>VICTOR HUGO DANTAS DE ANDRADE</t>
  </si>
  <si>
    <t>THACILIO HENRIQUE MOREIRA DOS SANTOS</t>
  </si>
  <si>
    <t>WESLEY DE LIMA OLIVEIRA ALMEIDA</t>
  </si>
  <si>
    <t>EDINALDO DA SILVA</t>
  </si>
  <si>
    <t>ROSEVAL DA PAIXAO DOS SANTOS</t>
  </si>
  <si>
    <t>01014602120168260050</t>
  </si>
  <si>
    <t>CESAR ROBERTO DOS SANTOS OLIVEIRA JUNIOR</t>
  </si>
  <si>
    <t>ARNALDO ANCELMO DOS SANTOS JUNIOR</t>
  </si>
  <si>
    <t>JOAO PEDRO CAMELO DIAS</t>
  </si>
  <si>
    <t>FELIPE GOMES DA ROCHA</t>
  </si>
  <si>
    <t>RENAN MATIAS DA SILVA</t>
  </si>
  <si>
    <t>EVANGINALDO SOUZA ALVES</t>
  </si>
  <si>
    <t>MARCELO NOVAIS DE OLIVEIRA</t>
  </si>
  <si>
    <t>01102428520148260050</t>
  </si>
  <si>
    <t>AILTON DE SOUZA VENANCIO DOS SANTOS</t>
  </si>
  <si>
    <t>ANDRE OLIVEIRA QUEIROS</t>
  </si>
  <si>
    <t>ROBSON YURI CARVALHO SILVA</t>
  </si>
  <si>
    <t>MURILO DONIZETE DA SILVA</t>
  </si>
  <si>
    <t>CRISTIANA MATOS OLIVEIRA DO NASCIMENTO</t>
  </si>
  <si>
    <t>WILLIAN DOS SANTOS TEIXEIRA</t>
  </si>
  <si>
    <t>OZIEL OLIVEIRA LOPES</t>
  </si>
  <si>
    <t>LUCAS FERNANDES BENTO</t>
  </si>
  <si>
    <t>MARCOS SABINO ROMANO DOS SANTOS</t>
  </si>
  <si>
    <t>MICAEL FELIX DA SILVA</t>
  </si>
  <si>
    <t>RENATO PEREIRA VIANA</t>
  </si>
  <si>
    <t>THIAGO BEZERRA DA SILVA</t>
  </si>
  <si>
    <t>CAIO HENRIQUE DA ROCHA</t>
  </si>
  <si>
    <t>LUIZ DE LIMA FILHO</t>
  </si>
  <si>
    <t>DELVI ANDRES RODRIGUEZ</t>
  </si>
  <si>
    <t>OSCAR FLAVIO GOMES GUEDES</t>
  </si>
  <si>
    <t>CAIO AUGUSTO DE SOUZA</t>
  </si>
  <si>
    <t>DANILO LUIZ VIEIRA ALEXANDRE</t>
  </si>
  <si>
    <t>MATHEUS GONÇALVES DO BONFIM</t>
  </si>
  <si>
    <t>FERNANDO MARCOS FRAGA</t>
  </si>
  <si>
    <t>GLEIDSON FERREIRA DO NASCIMENTO</t>
  </si>
  <si>
    <t>LUIS CARLOS FELIX DOS SANTOS</t>
  </si>
  <si>
    <t>FLAVIO LOPES OLIVEIRA</t>
  </si>
  <si>
    <t>ALEXSANDRO DUARTE DA SILVA</t>
  </si>
  <si>
    <t>JOSE PAULO DOS SANTOS FILHO</t>
  </si>
  <si>
    <t>JEFFERSON SEVERINO DA SILVA</t>
  </si>
  <si>
    <t>CARLA LOPES DA SILVA</t>
  </si>
  <si>
    <t>ROMILDO CICERO DOS SANTOS</t>
  </si>
  <si>
    <t>CAIO FELIPE DA SILVA</t>
  </si>
  <si>
    <t>JAQUELINE PEREIRA DA SILVA</t>
  </si>
  <si>
    <t>MARCOS ALMEIDA DE OLIVEIRA</t>
  </si>
  <si>
    <t>KENETY ANDERSON MARCONDES DE ALMEIDA</t>
  </si>
  <si>
    <t>MARIANA DE CASSIA CARVALHO CAMPANELLO</t>
  </si>
  <si>
    <t>ALEKSANDRO FELIPE DA SILVA</t>
  </si>
  <si>
    <t>JOAO GABRIEL NAUFAL</t>
  </si>
  <si>
    <t>LUCAS ALBERTO DOS SANTOS</t>
  </si>
  <si>
    <t>BRUNO VICTOR DE OLIVEIRA SANTANA</t>
  </si>
  <si>
    <t>MARCOS HENRIQUE SOUZA DOS SANTOS</t>
  </si>
  <si>
    <t>THAIS LUCIA GREGORIO</t>
  </si>
  <si>
    <t>POLIANA DE SOUZA RAIMUNDO</t>
  </si>
  <si>
    <t>ANA PAULA DO NASCIMENTO</t>
  </si>
  <si>
    <t>00117014620168260050</t>
  </si>
  <si>
    <t>ANGELICA DOS SANTOS PINHEIRO</t>
  </si>
  <si>
    <t>EDUARDO PEREIRA DE SOUZA</t>
  </si>
  <si>
    <t>JOSE WESLEY SILVA SOUSA</t>
  </si>
  <si>
    <t>WESLEY HENRIQUE OLIVEIRA ASSUNÇAO</t>
  </si>
  <si>
    <t>ROBERTO REGINALDO SILVA ALENCAR</t>
  </si>
  <si>
    <t>00124938820168260635</t>
  </si>
  <si>
    <t>JONATHAN DA SILVA ALMEIDA</t>
  </si>
  <si>
    <t>SEVERINO ARAUJO DOS SANTOS</t>
  </si>
  <si>
    <t>LUIZ PROFIRO</t>
  </si>
  <si>
    <t>RAFAEL MIRANDA MARTINS- 16 ANOS</t>
  </si>
  <si>
    <t>WENDEL JACKSON FERREIRA DE SOUSA- 16 ANOS</t>
  </si>
  <si>
    <t>HITALO PEIXOTO ALVES DE ALMEIDA- 16 ANOS</t>
  </si>
  <si>
    <t>HERBERTH ARAUJO BARROS</t>
  </si>
  <si>
    <t>VALDIR RAMOS BARCELA ELIAS</t>
  </si>
  <si>
    <t>Wagner Santana Reis</t>
  </si>
  <si>
    <t>OSCAR MAXIMO CESARIO JUNIOR</t>
  </si>
  <si>
    <t>MICHAEL RICHARD INACIO MARQUES</t>
  </si>
  <si>
    <t>ANDRE LUIZ PRADO BARBOSA</t>
  </si>
  <si>
    <t>ARISTOBULO MACHADO BARBOSA</t>
  </si>
  <si>
    <t>IVYS THIAGO SIMAO GOMES</t>
  </si>
  <si>
    <t>VICTOR DELMASCHIO DE JESUS</t>
  </si>
  <si>
    <t>JOAQUIM ANASTACIO ROSA SEGUNDO</t>
  </si>
  <si>
    <t>RITA DE CASSIA VALDETE TARIFE</t>
  </si>
  <si>
    <t>MARCOS ROBERTO DUARTE</t>
  </si>
  <si>
    <t>00216275120168260050</t>
  </si>
  <si>
    <t>GABRIEL PEREIRA DA SILVA</t>
  </si>
  <si>
    <t>ADALBERTO ROCHA REIS</t>
  </si>
  <si>
    <t>DENIS CUELLAR THEODOSIO</t>
  </si>
  <si>
    <t>CARLOS EDUARDO PEREIRA DE ALMEIDA GALVAO</t>
  </si>
  <si>
    <t>ADRIANO DE SOUSA CUNHA</t>
  </si>
  <si>
    <t>PAULO ROBERTO EVANGELISTA</t>
  </si>
  <si>
    <t>RAFAEL GONCALVES DE PAULA</t>
  </si>
  <si>
    <t>ELLEN KAROLINE FREIRES DA ROCHA</t>
  </si>
  <si>
    <t>EDSON RAMOS DA SILVA</t>
  </si>
  <si>
    <t>THIAGO CARVALHO BIANQUE DE ARAUJO</t>
  </si>
  <si>
    <t>JONAS LACERDA SOARES</t>
  </si>
  <si>
    <t>ELIDIA PATRICIA BESRUTCHKA</t>
  </si>
  <si>
    <t>WILTON CLEMENTE SILVA</t>
  </si>
  <si>
    <t>EVANDRO ROCHA CONCEICAO</t>
  </si>
  <si>
    <t>CAROLINE RODRIGUES DE PAULA</t>
  </si>
  <si>
    <t>GUSTAVO SANTOS FERREIRA DA SILVA</t>
  </si>
  <si>
    <t>EDIMILSON GOMES DA SILVA</t>
  </si>
  <si>
    <t>THAINARA PEREIRA RAMOS</t>
  </si>
  <si>
    <t>WESLEY DA SILVA SANTOS</t>
  </si>
  <si>
    <t>JIDIEL MIRANDA CRUZ</t>
  </si>
  <si>
    <t>WESLEY RAFAEL FERREIRA MACHADO</t>
  </si>
  <si>
    <t>FRANCISCO EDSON COSTA DOS ANJOS</t>
  </si>
  <si>
    <t>ALEX ALVES DE SOUSA</t>
  </si>
  <si>
    <t>ANDREW GOMES LUCIO</t>
  </si>
  <si>
    <t>RONALDO MARTINS DA SILVA</t>
  </si>
  <si>
    <t>WELLINGTON DOS SANTOS</t>
  </si>
  <si>
    <t>RAMON DESIDERIO MACEDO</t>
  </si>
  <si>
    <t>IGOR FRANCISCO DE SOUZA GOMES</t>
  </si>
  <si>
    <t>DEIVID DE SOUZA GONCALVES</t>
  </si>
  <si>
    <t>DOUGLAS COSTA BARBOSA</t>
  </si>
  <si>
    <t>WESLEY DE SOUZA DA SILVA</t>
  </si>
  <si>
    <t>00695966220168260050</t>
  </si>
  <si>
    <t>LUCAS XAVIER DO AMARAL DE OLIVEIRA</t>
  </si>
  <si>
    <t>VILMA SOUZA DE OLIVEIRA</t>
  </si>
  <si>
    <t>GREGORE CAIQUE FLORIANO</t>
  </si>
  <si>
    <t>IVAN ATILA ALMEIDA DOS SANTOS</t>
  </si>
  <si>
    <t>NILSON JESUS DOS SANTOS SILVA</t>
  </si>
  <si>
    <t>MATEUS BOMBASSEI CAMPOS</t>
  </si>
  <si>
    <t>THIAGO MAIA</t>
  </si>
  <si>
    <t>00766290620168260050</t>
  </si>
  <si>
    <t>JOSE BENEDITO DA SILVA</t>
  </si>
  <si>
    <t>00776501720168260050</t>
  </si>
  <si>
    <t>LUIS CLAUDIO DA SILVA</t>
  </si>
  <si>
    <t>00790619520168260050</t>
  </si>
  <si>
    <t>JOSABERGTON OLIVEIRA SILVESTRE</t>
  </si>
  <si>
    <t>LUIZ GUILHERME DE MIRANDA</t>
  </si>
  <si>
    <t>00810780720168260050</t>
  </si>
  <si>
    <t>GETULIO SOUZA SERRA</t>
  </si>
  <si>
    <t>ALEX GABRIEL DE SOUZA BRAGA</t>
  </si>
  <si>
    <t>EDUARDO VIEIRA DA SILVA</t>
  </si>
  <si>
    <t>JOSE ALDEBERG GOMES</t>
  </si>
  <si>
    <t>LEANDRO FERREIRA DA COSTA</t>
  </si>
  <si>
    <t>WASHINGTON LUIZ DE MORAES</t>
  </si>
  <si>
    <t>ANDERSON FLORENCO DIAS</t>
  </si>
  <si>
    <t>ANDERSON SOUZA DA CRUZ</t>
  </si>
  <si>
    <t>JONAS WELLINGTON PEDROZO DE SOUZA</t>
  </si>
  <si>
    <t>LAZARO DE JESUS PEREIRA</t>
  </si>
  <si>
    <t>WILLIAN ROBERTO DE SOUSA CARMO</t>
  </si>
  <si>
    <t>LEONARDO FERREIRA</t>
  </si>
  <si>
    <t>GUSTAVO DOS SANTOS VIEIRA</t>
  </si>
  <si>
    <t>MICHAEL MACARIO SIMPLICIO FERREIRA</t>
  </si>
  <si>
    <t>NILTON FELIPE PIRES</t>
  </si>
  <si>
    <t>ADRIANA SEGULINI DE MACEDO</t>
  </si>
  <si>
    <t>FELIPE SEGULINI DE MACEDO</t>
  </si>
  <si>
    <t>00920867820168260050</t>
  </si>
  <si>
    <t>00955025420168260050</t>
  </si>
  <si>
    <t>RONY ARAUJO OLIVEIRA</t>
  </si>
  <si>
    <t>RONALD FLORIANO DA SILVA</t>
  </si>
  <si>
    <t>VALTER DOS ANJOS CRUZ JUNIOR</t>
  </si>
  <si>
    <t>CRISTIANO DE LIMA ARAUJO</t>
  </si>
  <si>
    <t>LIDIANE FERREIRA CARNEIRO</t>
  </si>
  <si>
    <t>KAUE GEOVANNI DE OLIVEIRA TAVARES</t>
  </si>
  <si>
    <t>RICARDO NEDER</t>
  </si>
  <si>
    <t>WESLEY REIS AGUIAR</t>
  </si>
  <si>
    <t>JONATHAN D AJUDA SANTOS</t>
  </si>
  <si>
    <t>EDINALDO  ALMEIDA DE LIMA</t>
  </si>
  <si>
    <t>GUILHERME MARQUES DA ROCHA</t>
  </si>
  <si>
    <t>00007722220148260050</t>
  </si>
  <si>
    <t>GERSON RODRIGUES DA SILVA</t>
  </si>
  <si>
    <t>MARCIO SANTANA</t>
  </si>
  <si>
    <t>DAVI ARIEL PEREIRA DE SOUZA</t>
  </si>
  <si>
    <t>CARLOS EDUARDO DE OLIVEIRA BATISTA</t>
  </si>
  <si>
    <t>LEANDRO DE PAULA BARROS</t>
  </si>
  <si>
    <t>BRUNO DA SILVA SANTOS</t>
  </si>
  <si>
    <t>RIBAMAR SILVA ROCHA</t>
  </si>
  <si>
    <t>THIERNO ALGASSIMOU</t>
  </si>
  <si>
    <t>CHRISTOPHER UCHI</t>
  </si>
  <si>
    <t>MARCOS RODRIGUES BELO</t>
  </si>
  <si>
    <t>JOSE HELIO LUCIANO DA SILVA</t>
  </si>
  <si>
    <t>IGOR AMORIM DE OLIVEIRA</t>
  </si>
  <si>
    <t>ANDRE PAZ MARCELINO</t>
  </si>
  <si>
    <t>JOSE MARIO LOPES DE OLIVEIRA</t>
  </si>
  <si>
    <t>NILSON DE SOUZA</t>
  </si>
  <si>
    <t>DANIEL DE JESUS DOS ANJOS</t>
  </si>
  <si>
    <t>ROBERT FAIAL DE CARVALHO</t>
  </si>
  <si>
    <t>00047467220118260050</t>
  </si>
  <si>
    <t>Maria Aparecida Garcia</t>
  </si>
  <si>
    <t>Anaia Luiza Garcia Soares</t>
  </si>
  <si>
    <t>Cristiane da Silva Dantas</t>
  </si>
  <si>
    <t>Fernanda Aparecida Barranqueiro</t>
  </si>
  <si>
    <t>JOSE JORGE DA COSTA</t>
  </si>
  <si>
    <t>JOHNATAN VIEIRA DA SILVA</t>
  </si>
  <si>
    <t>GENILSON FREIRE SOARES</t>
  </si>
  <si>
    <t>RENE ALEXANDRE SANTOS DE SOUZA</t>
  </si>
  <si>
    <t>DOUGLAS VINICIUS MENDES</t>
  </si>
  <si>
    <t>MATHEUS SANTOS DE LIMA</t>
  </si>
  <si>
    <t>AUGUSTO CESAR DE OLIVEIRA</t>
  </si>
  <si>
    <t>WILLIAN GONÇALVES DE SOUZA</t>
  </si>
  <si>
    <t>FERNANDO ALVES FERREIRA</t>
  </si>
  <si>
    <t>RICARDO DOS SANTOS CARVALHO</t>
  </si>
  <si>
    <t>LARISSA ALVES SANTOS</t>
  </si>
  <si>
    <t>JOHN KENNEDY PEREIRA DA SILVA</t>
  </si>
  <si>
    <t>DANIEL OLIVEIRA DE CAMARGO</t>
  </si>
  <si>
    <t>DAVID PEREIRA LIMA</t>
  </si>
  <si>
    <t>MARCELO RODRIGUES JUNIOR</t>
  </si>
  <si>
    <t>JOSE AUGUSTO LEITE</t>
  </si>
  <si>
    <t>00096552120158260050</t>
  </si>
  <si>
    <t>JACKSON FERNANDO PEREIRA DE ALMEIDA</t>
  </si>
  <si>
    <t>JAQUELINE FERREIRA PESSOA</t>
  </si>
  <si>
    <t>JOSE BRITO DE SOUZA</t>
  </si>
  <si>
    <t>LEONARDO LEITE DOS SANTOS</t>
  </si>
  <si>
    <t>JONATAN TELES BARBOZA DE SOUZA</t>
  </si>
  <si>
    <t>VINICIUS FERNANDES SATO</t>
  </si>
  <si>
    <t>ALAN RAMOS SANTIAGO</t>
  </si>
  <si>
    <t>ADELSON ALVES NUNES</t>
  </si>
  <si>
    <t>NATHALIA MELO CORDEIRO RIBAS</t>
  </si>
  <si>
    <t>GUILHERME AURELIANO DA SILVA</t>
  </si>
  <si>
    <t>MARCOS DA SILVA FEITOSA</t>
  </si>
  <si>
    <t>PAULO HENRIQUE MAGALDE TEIXEIRA</t>
  </si>
  <si>
    <t>GABRIEL PEREIRA ARAUJO</t>
  </si>
  <si>
    <t>JESSIKA CHIARELLA FARRAT DA SILVA</t>
  </si>
  <si>
    <t>JULIO TADEU NOGUEIRA</t>
  </si>
  <si>
    <t>GABRIEL JUSTINIANO MESSIAS</t>
  </si>
  <si>
    <t>ALESSANDRO DA SILVA GONCALVES</t>
  </si>
  <si>
    <t>LEONARDO FRANCISCO DA SILVA ALVES</t>
  </si>
  <si>
    <t>SANDRO  NASCIMENTO DA ROCHA</t>
  </si>
  <si>
    <t>LINCOLN CAPORALLI</t>
  </si>
  <si>
    <t>RENATO DE MELO BARBOSA</t>
  </si>
  <si>
    <t>VITOR DE PAULA FERREIRA</t>
  </si>
  <si>
    <t>ALENCAR DIOGO FERREIRA</t>
  </si>
  <si>
    <t>WILLIAN PEDRO DE MORAES NATALINO</t>
  </si>
  <si>
    <t>DIEGO SANTOS DE OLIVEIRA</t>
  </si>
  <si>
    <t>THIAGO PEDRO DA SILVA</t>
  </si>
  <si>
    <t>FELIPE THIAGO RIBEIRO LOPES</t>
  </si>
  <si>
    <t>LUCIANO FRANCISCO DE OLIVEIRA</t>
  </si>
  <si>
    <t>EBER VINICIUS SILVA DE ALMEIDA</t>
  </si>
  <si>
    <t>DIOGO LISBOA DOS SANTOS</t>
  </si>
  <si>
    <t>DIOGO DOS SANTOS</t>
  </si>
  <si>
    <t>00313477620158260050</t>
  </si>
  <si>
    <t>MARCELO AUGUSTO GONÇALVES DOS SANTOS</t>
  </si>
  <si>
    <t>CARLOS HENRIQUE DOS SANTOS</t>
  </si>
  <si>
    <t>MILTON TEIXEIRA DA SILVA</t>
  </si>
  <si>
    <t>JEFFERSON WELLINGTON BERTOLDO DA SILVA</t>
  </si>
  <si>
    <t>JOSE IGOR BEZERRA LUSTOSA</t>
  </si>
  <si>
    <t>JOAO PARIS JUNIOR</t>
  </si>
  <si>
    <t>LAURENTINO JOSE BATISTA NETO</t>
  </si>
  <si>
    <t>HENRIQUE DA SILVA SEVERO</t>
  </si>
  <si>
    <t>RAFAEL SANTANA DA SILVA</t>
  </si>
  <si>
    <t>ROMARIO DESIDERIO MACEDO</t>
  </si>
  <si>
    <t>ALEX GAMA BERTOLDO DA SILVA</t>
  </si>
  <si>
    <t>VILSON GABRIEL CASAGRANDE RIBEIRO</t>
  </si>
  <si>
    <t>CLAUDEMIR PASSOS</t>
  </si>
  <si>
    <t>RANDERSON CLEITON DA SILVA</t>
  </si>
  <si>
    <t>HENRIQUE SARMENTO GRACIANO</t>
  </si>
  <si>
    <t>JOSEBIAS JOAO DO NASCIMENTO</t>
  </si>
  <si>
    <t>IZABEL PEREIRA RODRIGUES</t>
  </si>
  <si>
    <t>MARCELO APARECIDO DE OLIVEIRA VICTORIO</t>
  </si>
  <si>
    <t>EVA ADRIANA PEREIRA</t>
  </si>
  <si>
    <t>ELI LOPES DE LIMA SANTOS</t>
  </si>
  <si>
    <t>RITA DE CASSIA BEZERRA</t>
  </si>
  <si>
    <t>LUCIANO DIAS DOS SANTOS</t>
  </si>
  <si>
    <t>CLAYTON LOPES PEREIRA DE SOUSA</t>
  </si>
  <si>
    <t>MARCELO GUARANA MARTINS</t>
  </si>
  <si>
    <t>ERICK ROMERO COLOMBO</t>
  </si>
  <si>
    <t>00438650620128260050</t>
  </si>
  <si>
    <t>RENATA VIEIRA RAMOS</t>
  </si>
  <si>
    <t>ANA PAULA AMANCIO</t>
  </si>
  <si>
    <t>00454545720178260050</t>
  </si>
  <si>
    <t>NATAN MALAQUIAS BATISTA</t>
  </si>
  <si>
    <t>LUCA GABRIEL AVANCINI</t>
  </si>
  <si>
    <t>LENO DE MATOS PEREIRA</t>
  </si>
  <si>
    <t>RAFAEL FERREIRA DA SILVA</t>
  </si>
  <si>
    <t>ELSON BRITO DOS SANTOS</t>
  </si>
  <si>
    <t>EDMILSON CARVALHO DO NASCIMENTO</t>
  </si>
  <si>
    <t>ERIK CARLOS DE CARVALHO</t>
  </si>
  <si>
    <t>RAFAEL DOUGLAS MONTEIRO DA SILVA</t>
  </si>
  <si>
    <t>ALBERTO DENIS SANTOS</t>
  </si>
  <si>
    <t>ANDERSON APARECIDO DE OLIVEIRA</t>
  </si>
  <si>
    <t>00524754120048260050</t>
  </si>
  <si>
    <t>Anderson Carlos Fanti</t>
  </si>
  <si>
    <t>Elson Siqueira de Oliveira</t>
  </si>
  <si>
    <t>Alex Remorini</t>
  </si>
  <si>
    <t>Wagner Cavalcante Meneguci</t>
  </si>
  <si>
    <t>Evaldo Sa Telles da Silva</t>
  </si>
  <si>
    <t>ROSANGELA DE FIGUEREDO</t>
  </si>
  <si>
    <t>EDSON PAULO DA SILVA</t>
  </si>
  <si>
    <t>LUCAS FRANCISCO DA SILVA</t>
  </si>
  <si>
    <t>LUIZ ALBERTO DE ASSIS</t>
  </si>
  <si>
    <t>MIKE DE DEUS HONORATO</t>
  </si>
  <si>
    <t>RODRIGO TIAGO DA SILVA PENHA</t>
  </si>
  <si>
    <t>RENAN CAVALCANTE EMIDIO</t>
  </si>
  <si>
    <t>DEIVID HENRIQUE CANDIDO DA SILVA</t>
  </si>
  <si>
    <t>ALEX FERREIRA MARCELINO</t>
  </si>
  <si>
    <t>00606081820178260050</t>
  </si>
  <si>
    <t>JUCIMAR DE SOUSA MEDEIROS JUNIOR</t>
  </si>
  <si>
    <t>WESLLEY ROSSAFA CONCEICAO</t>
  </si>
  <si>
    <t>DANILO DO AMARAL OLIVEIRA</t>
  </si>
  <si>
    <t>WILSON DE ASSIS RIBEIRO FILHO</t>
  </si>
  <si>
    <t>GIOVANI EMANOEL COSTA NOGUEIRA</t>
  </si>
  <si>
    <t>MARCILIO LANEIRO</t>
  </si>
  <si>
    <t>CARLOS ANTONIO BORGES CAMELO</t>
  </si>
  <si>
    <t>ROSINALVA RIBEIRO DE SOUZA</t>
  </si>
  <si>
    <t>COSMO ALVES SANTOS JUNIOR</t>
  </si>
  <si>
    <t>CARLOS ALBERTO DA SILVA CAMPOS</t>
  </si>
  <si>
    <t>DANIEL PEREIRA SILVA</t>
  </si>
  <si>
    <t>MARCELO APARECIDO DA SILVA</t>
  </si>
  <si>
    <t>RAFAEL PEREIRA AMARANTE</t>
  </si>
  <si>
    <t>MSHAMU HUSSEINII KINDAMBA</t>
  </si>
  <si>
    <t>JURANDIR AMORIM FILHO</t>
  </si>
  <si>
    <t>CHRISTIAN MARTINEZ SANTIAGO</t>
  </si>
  <si>
    <t>ANDERSON VIEIRA DA SILVA</t>
  </si>
  <si>
    <t>FABIANO ESPINDOLA DE SOUZA</t>
  </si>
  <si>
    <t>LEONARDO JORDAN ROCHA NUNES</t>
  </si>
  <si>
    <t>TATIANE LEOCADIO DA SILVA</t>
  </si>
  <si>
    <t>VANESSA PEREIRA DA SILVA</t>
  </si>
  <si>
    <t>MARCIO PRADA LINS</t>
  </si>
  <si>
    <t>ROBERTO SILVA PEREIRA</t>
  </si>
  <si>
    <t>ROBSON HENRIQUE BARBOSA</t>
  </si>
  <si>
    <t>TAIZA FRANCISCA DOS REIS</t>
  </si>
  <si>
    <t>WESLEY WILLIAM DA COSTA CRUZ</t>
  </si>
  <si>
    <t>00873808620158260050</t>
  </si>
  <si>
    <t>ELIAS MARTINS RAMOS</t>
  </si>
  <si>
    <t>RAQUEL DA SILVA NASCIMENTO</t>
  </si>
  <si>
    <t>EDVALDO ALVES DE OLIVEIRA JUNIOR</t>
  </si>
  <si>
    <t>EDERSON DO CARMO SILVA</t>
  </si>
  <si>
    <t>CLEITON PAULO BALIEIRO</t>
  </si>
  <si>
    <t>WELLINGTON FERREIRA LIMA</t>
  </si>
  <si>
    <t>JORGE LUIS CLAUDINO ANJOS DE BEIJO</t>
  </si>
  <si>
    <t>JAMARCEL LIMA PEREIRA</t>
  </si>
  <si>
    <t>ADILSON DO NASCIMENTO PEDRO DA SILVA</t>
  </si>
  <si>
    <t>00943296320148260050</t>
  </si>
  <si>
    <t>ALEXANDRE CLAUDIO DE CASTRO NAZARO VICENTE</t>
  </si>
  <si>
    <t>GENIVALDO DA SILVA ALVES FILHO</t>
  </si>
  <si>
    <t>DAVID PEREIRA DOS SANTOS</t>
  </si>
  <si>
    <t>CRISTIANO DE OLIVEIRA SILVA</t>
  </si>
  <si>
    <t>CAIO FABIO GARCIA POLETTI</t>
  </si>
  <si>
    <t>ISABEL CRISTINA DOS SANTOS</t>
  </si>
  <si>
    <t>PEDRO HENRIQUE DA SILVA SANTOS</t>
  </si>
  <si>
    <t>THIAGO SILVA LAMEU</t>
  </si>
  <si>
    <t>NIVALDO OLIVEIRA CELESTINO</t>
  </si>
  <si>
    <t>LUCAS BARBOZA DE MELO</t>
  </si>
  <si>
    <t>01081547420148260050</t>
  </si>
  <si>
    <t>MAICON DOUGLAS DE SOUZA FARIAS</t>
  </si>
  <si>
    <t>SILVANIR GONCALVES DOS SANTOS</t>
  </si>
  <si>
    <t>Marcos Marques da Silva</t>
  </si>
  <si>
    <t>Adriano Cleiton Ferreira</t>
  </si>
  <si>
    <t>Juliana Bastos Paiva de Oliveira</t>
  </si>
  <si>
    <t>MARCELO BEZERRA DA SILVA.</t>
  </si>
  <si>
    <t>Glauber Freitas da Silva</t>
  </si>
  <si>
    <t>CAIO BRUNO VIEIRA DE SOUSA</t>
  </si>
  <si>
    <t>ANDERSON KELVIN DA PAZ</t>
  </si>
  <si>
    <t>RAFAEL MAGNO OLIVEIRA SILVA</t>
  </si>
  <si>
    <t>ERISON OLIVEIRA</t>
  </si>
  <si>
    <t>EDMILSON DA SILVA CARVALHO</t>
  </si>
  <si>
    <t>FRANCO NERO CHAVES DOS SANTOS</t>
  </si>
  <si>
    <t>Francisco Claudenilson Alves Albino</t>
  </si>
  <si>
    <t>Francisco Justino da Silva Neto</t>
  </si>
  <si>
    <t>00022623120168260011</t>
  </si>
  <si>
    <t>Andreza Fabiana da Silva</t>
  </si>
  <si>
    <t>Guilherme Marques da Rocha</t>
  </si>
  <si>
    <t>DELANO REGILLIO STAKEL</t>
  </si>
  <si>
    <t>Lucas Adrien Moraes Ferreira</t>
  </si>
  <si>
    <t>ALLAN KARDEC MOURA DOS SANTOS</t>
  </si>
  <si>
    <t>Joedson Ferreira de Melo Alves</t>
  </si>
  <si>
    <t>Robson Geraldo Felipe</t>
  </si>
  <si>
    <t>ANDERSON SOARES DE SOUZA</t>
  </si>
  <si>
    <t>MARCOS PAULO FRANCISCO LIMA</t>
  </si>
  <si>
    <t>WELLINGTON SANTOS REIS</t>
  </si>
  <si>
    <t>VITOR GALVAO BUENO BAPTISTA</t>
  </si>
  <si>
    <t>YASMIM APARECIDA SILVA PAIXAO</t>
  </si>
  <si>
    <t>Emilia Maria Santos Cezimbra</t>
  </si>
  <si>
    <t>WESLLEY DE SOUSA PASSOS</t>
  </si>
  <si>
    <t>ISMAEL MONTEIRO DO NASCIMENTO</t>
  </si>
  <si>
    <t>Guilherme Akira Honda</t>
  </si>
  <si>
    <t>Anderson Jonatan da Silva</t>
  </si>
  <si>
    <t>JEFERSON ANTONIO DOS SANTOS</t>
  </si>
  <si>
    <t>BRUNO JORGE DE OLIVEIRA</t>
  </si>
  <si>
    <t>PAULO DIEGO SILVA RIBEIRO</t>
  </si>
  <si>
    <t>HEBERT ANTONIO TOMAZ DA SILVA</t>
  </si>
  <si>
    <t>João Henrique Machado</t>
  </si>
  <si>
    <t>HENRIQUE ANDRADE DOS SANTOS</t>
  </si>
  <si>
    <t>Benjamim Bezerra dos Anjos Filho</t>
  </si>
  <si>
    <t>LUCAS BARBOSA</t>
  </si>
  <si>
    <t>MARCELA CRISTINA DA SILVA</t>
  </si>
  <si>
    <t>JEFFERSON SANTOS DE QUADROS</t>
  </si>
  <si>
    <t>EDUARDO DA SILVA ANDRADE SOUZA</t>
  </si>
  <si>
    <t>JOSE ALBERTO DAMASCENO FAUSTINO JUNIOR</t>
  </si>
  <si>
    <t>Guilherme Augusto Gouveia</t>
  </si>
  <si>
    <t>Gerson Fernandes da Silva</t>
  </si>
  <si>
    <t>DENIS HENRIQUE SIMIAO VIOTTO</t>
  </si>
  <si>
    <t>RAISSA DE JESUS</t>
  </si>
  <si>
    <t>MARIA APARECIDA DA COSTA</t>
  </si>
  <si>
    <t>GABRIEL VITORINO DA SILVA</t>
  </si>
  <si>
    <t>Alberto Costa Santos</t>
  </si>
  <si>
    <t>ALEX PINHEIRO DA SILVA.</t>
  </si>
  <si>
    <t>VLADEMIR ALEX DE PAULA MARTINS</t>
  </si>
  <si>
    <t>DAVID NAYOME DA SILVA OLIVEIRA</t>
  </si>
  <si>
    <t>GIOVANI SANTOS DE SOUZA</t>
  </si>
  <si>
    <t>OLDISMAR DOS SANTOS FERREIRA</t>
  </si>
  <si>
    <t>LUCAS PHILIPE GONÇALVES DUARTE DA SILVA</t>
  </si>
  <si>
    <t>Zaine Ramos dos Santos Lourenço</t>
  </si>
  <si>
    <t>Jairo Lima Santos</t>
  </si>
  <si>
    <t>PAULO HENRIQUE PIERRE DA SILVA COSTA.</t>
  </si>
  <si>
    <t>LUIS CLAUDIO DE FRANCA DA SILVA.</t>
  </si>
  <si>
    <t>Marina Begalli Ribeiro</t>
  </si>
  <si>
    <t>LUIZ ALEX DOS SANTOS UMBELINO</t>
  </si>
  <si>
    <t>LUCAS DE OLIVEIRA TEIXEIRA</t>
  </si>
  <si>
    <t>JEAN CARLOS SILVA PEREIRA</t>
  </si>
  <si>
    <t>Cassio Basil Sousa</t>
  </si>
  <si>
    <t>MARCIO VINICIUS MARTINS DOS SANTOS</t>
  </si>
  <si>
    <t>LUIZ FELIPE DOS SANTOS</t>
  </si>
  <si>
    <t>GERALDO ETELVINO DA SILVA JUNIOR</t>
  </si>
  <si>
    <t>EVERTON FELIPE DA SILVA</t>
  </si>
  <si>
    <t>FLAVIO WILLIANS VIEIRA DOS SANTOS</t>
  </si>
  <si>
    <t>Jailson Candida da Silva</t>
  </si>
  <si>
    <t>DEIVID BUARQUE DE OLIVEIRA</t>
  </si>
  <si>
    <t>GLAUCOS TADEU PATERA SABINO</t>
  </si>
  <si>
    <t>LUIZ CARLOS VILELA COSTA</t>
  </si>
  <si>
    <t>LEONARDO DE JESUS FILOMENO</t>
  </si>
  <si>
    <t>YURI VINICIUS SILVA DE PAULA</t>
  </si>
  <si>
    <t>MARIA INES NOGUEIRA</t>
  </si>
  <si>
    <t>ERNESTO FERNANDES LIMA NETO</t>
  </si>
  <si>
    <t>JOAO ANTONIO DOMINGOS STIGLIANO</t>
  </si>
  <si>
    <t>FELIPE MIRANDA AMARO</t>
  </si>
  <si>
    <t>DANIEL OLIVEIRA CAROLINO</t>
  </si>
  <si>
    <t>MARCOS HENRIQUE DE PAULA</t>
  </si>
  <si>
    <t>VANDERLEI ALVES DAS NEVES SEVERINO</t>
  </si>
  <si>
    <t>JOSE RICARDO DA CONCEIÇÃO DE JESUS</t>
  </si>
  <si>
    <t>Yuri Ferreira Motta Valdeger</t>
  </si>
  <si>
    <t>Carlos Eduardo Nepomuceno Nicolau dos Santos</t>
  </si>
  <si>
    <t>LUIS GUSTAVO SANTIAGO PEREIRA.</t>
  </si>
  <si>
    <t>00542195120168260050</t>
  </si>
  <si>
    <t>JOAO VITO RODRIGUES DE AZEVEDO</t>
  </si>
  <si>
    <t>MARCO AURELIO ILDEFONSO MARTINS</t>
  </si>
  <si>
    <t>SIMEON OMAN JOHNSON</t>
  </si>
  <si>
    <t>MANOEL PEREIRA LIMA</t>
  </si>
  <si>
    <t>MARCO ANTONIO DA SILVA</t>
  </si>
  <si>
    <t>CAYQUE APARECIDO DOS SANTOS BURITI</t>
  </si>
  <si>
    <t>THIAGO DE LUCAS SOUZA BATISTA</t>
  </si>
  <si>
    <t>LUIS FELIPE FERREIRA DIAS</t>
  </si>
  <si>
    <t>JHONATHAN TADEU DOS SANTOS</t>
  </si>
  <si>
    <t>DOUGLAS TEIXEIRA COSTA</t>
  </si>
  <si>
    <t>Janderson Matos de Santana</t>
  </si>
  <si>
    <t>VINICIO GONCALVES DOS SANTOS</t>
  </si>
  <si>
    <t>JOELMIR DO NASCIMENTO.</t>
  </si>
  <si>
    <t>MARCOS MAXWELL FERREIRA DE FRANÇA</t>
  </si>
  <si>
    <t>ELIAS FERREIRA RODRIGUES</t>
  </si>
  <si>
    <t>FRANCISCO WELINGTON DE AQUINO FIALHO</t>
  </si>
  <si>
    <t>RONALDO COSTA</t>
  </si>
  <si>
    <t>KAIQUE OLIVEIRA DA SILVA</t>
  </si>
  <si>
    <t>JULIO CEZAR MATOS DE SOUZA</t>
  </si>
  <si>
    <t>JONATHAN LUIZ CAMPOS</t>
  </si>
  <si>
    <t>RICHARD DE CASTRO ALVES LEITE</t>
  </si>
  <si>
    <t>LUANA BATISTA SILVA DOS SANTOS</t>
  </si>
  <si>
    <t>AMANDA LIMA JOANICO</t>
  </si>
  <si>
    <t>ALAN ILBINSON SALES DA SILVA</t>
  </si>
  <si>
    <t>EVERTON DE PAIVA FRANCISCO</t>
  </si>
  <si>
    <t>FELIPE FAGUNDES DA SILVA</t>
  </si>
  <si>
    <t>RICARDO ANSELMO GUEDES</t>
  </si>
  <si>
    <t>GABRIEL DA SILVA ARAUJO.</t>
  </si>
  <si>
    <t>BRUNO DOS SANTOS JORDAO</t>
  </si>
  <si>
    <t>JOSE ROBERTO BARBOSA DE SOUZA</t>
  </si>
  <si>
    <t>MATHEUS HENRIQUE BALASCH</t>
  </si>
  <si>
    <t>MICHAEL NISE DE ALMEIDA.</t>
  </si>
  <si>
    <t>PAULO ALEXANDRE PERES CAMARNEIRO</t>
  </si>
  <si>
    <t>THIAGO ALMEIDA DA SILVA</t>
  </si>
  <si>
    <t>LUCAS DE CASTRO CEZAR</t>
  </si>
  <si>
    <t>JOHNNY DONIZETE SILVA</t>
  </si>
  <si>
    <t>PAULO RICARDO DA SILVA</t>
  </si>
  <si>
    <t>MARCOS PEREIRA DA SILVA FILHO</t>
  </si>
  <si>
    <t>SUELEN CAROLINE OLIVEIRA SCHMEISCK</t>
  </si>
  <si>
    <t>BRUNO SILVERIO</t>
  </si>
  <si>
    <t>LAURIE  TABENAE DIAS.</t>
  </si>
  <si>
    <t>RENATO DE LIMA GONCALVES</t>
  </si>
  <si>
    <t>OCIMAR ALVES INACIO</t>
  </si>
  <si>
    <t>MARCOS ROBERTO DA SILVA</t>
  </si>
  <si>
    <t>00900500520128260050</t>
  </si>
  <si>
    <t>KARINA CARDOZO DA SILVA</t>
  </si>
  <si>
    <t>FELIPE ALVES DA SILVA</t>
  </si>
  <si>
    <t>Rodrigo Graniso Miranda</t>
  </si>
  <si>
    <t>00900688420168260050</t>
  </si>
  <si>
    <t>JAILSON GONZAGA DA SILVA</t>
  </si>
  <si>
    <t>JULIANO GOMES DE SOUZA</t>
  </si>
  <si>
    <t>LEILIANE DIAS DA MATA</t>
  </si>
  <si>
    <t>MATEUS ANDERSON SANTOS CAMPOS</t>
  </si>
  <si>
    <t>ROGERIO OLIVEIRA DA SILVA SANTOS.</t>
  </si>
  <si>
    <t>BRUNO HENRIQUE DA SILVA</t>
  </si>
  <si>
    <t>REINALDO SANTOS MIRANDA</t>
  </si>
  <si>
    <t>JHONATAN TOSCANO SANTOS</t>
  </si>
  <si>
    <t>GEOVANE HENRIQUE DE MATOS</t>
  </si>
  <si>
    <t>ED CARLOS DE MATOS</t>
  </si>
  <si>
    <t>PABLO LUIZ LOPES SOUZA.</t>
  </si>
  <si>
    <t>VANESSA BRITO DOS SANTOS</t>
  </si>
  <si>
    <t>Rene Cuizara Mamani.</t>
  </si>
  <si>
    <t>DANILO SOUZA DOS SANTOS</t>
  </si>
  <si>
    <t>00995190220178260050</t>
  </si>
  <si>
    <t>HELBERTON ALESSANDRO DE ARAUJO</t>
  </si>
  <si>
    <t>JULIO CESAR DE SOUZA CRUZ</t>
  </si>
  <si>
    <t>FILIPE FERNANDES MARTINS</t>
  </si>
  <si>
    <t>DAVID RODRIGUES DA LUZ SOARES.</t>
  </si>
  <si>
    <t>VINICIUS VELOSO COSENZA.</t>
  </si>
  <si>
    <t>Max Felipe da Silva</t>
  </si>
  <si>
    <t>NADIA CRISTINA AMANCIO</t>
  </si>
  <si>
    <t>HENRIQUE RUIZ MORALLI</t>
  </si>
  <si>
    <t>ERIC DOS SANTOS</t>
  </si>
  <si>
    <t>WANDER CLAYTON RIBEIRO ALVES</t>
  </si>
  <si>
    <t>ERONDINO ALBERTO FERDINANDO SAN MIGUEL</t>
  </si>
  <si>
    <t>PIERRE FONSECA FERNANDES</t>
  </si>
  <si>
    <t>DAILSON DANIEL SILVA</t>
  </si>
  <si>
    <t>DANILO DA SILVA PEDRO</t>
  </si>
  <si>
    <t>CELSO DANTAS FERREIRA</t>
  </si>
  <si>
    <t>AYRAN ALVES DE ARAUJO FLORENTINO</t>
  </si>
  <si>
    <t>ANNA ELIZABETH DOS SANTO CAMELO</t>
  </si>
  <si>
    <t>BRUNO MOISES DE ARAÚJO SILVA</t>
  </si>
  <si>
    <t>JHOANDSON DE LIRA MENDONÇA</t>
  </si>
  <si>
    <t>LUCIANO GONZAGA DE SOUZA</t>
  </si>
  <si>
    <t>IGOR PEREIRA DA SILVA</t>
  </si>
  <si>
    <t>HABIB OLU VICTOR VIEIRA AKANJI</t>
  </si>
  <si>
    <t>RICARDO GOMES DO NASCIMENTO</t>
  </si>
  <si>
    <t>KEVIN VITOR CARVALHO DOS SANTOS</t>
  </si>
  <si>
    <t>YURI LOURENÇO DOS SANTOS</t>
  </si>
  <si>
    <t>GUILHERME RODRIGUES GONZAGA SOUSA</t>
  </si>
  <si>
    <t>WILLIAN AUGUSTO DOS SANTOS</t>
  </si>
  <si>
    <t>JEFFERSON GOMES DE LIMA</t>
  </si>
  <si>
    <t>LEANDRO CHAGAS DA ROCHA</t>
  </si>
  <si>
    <t>GUSTAVO SILVINO DA SILVA</t>
  </si>
  <si>
    <t>SILVIA FREITAS BOMBARDI</t>
  </si>
  <si>
    <t>FRANCISCO DE ASSIS PINHEIRO ARAGAO JUNIOR</t>
  </si>
  <si>
    <t>FLAVIO REQUENA</t>
  </si>
  <si>
    <t>RODRIGO BROGI DO NASCIMENTO</t>
  </si>
  <si>
    <t>FATIMA SILVA COELHO</t>
  </si>
  <si>
    <t>LUCAS DOS SANTOS HIGINO</t>
  </si>
  <si>
    <t>JULIANO DE FARIA</t>
  </si>
  <si>
    <t>FELIPE HENRIQUE DOS SANTOS</t>
  </si>
  <si>
    <t>DANILO LIMA DA SILVA</t>
  </si>
  <si>
    <t>ANTONIO RODRIGUES</t>
  </si>
  <si>
    <t>EUCLIDES ABSALON COUTINHO</t>
  </si>
  <si>
    <t>MARCIO ALEX SANDRO MELLO</t>
  </si>
  <si>
    <t>VITOR LUIZ DE OLIVEIRA SANTOS</t>
  </si>
  <si>
    <t>MATHEUS GOMES JARDIM</t>
  </si>
  <si>
    <t>CASSIANO PEREIRA CORLETO</t>
  </si>
  <si>
    <t>RAFAEL APARECIDO FEITOSA</t>
  </si>
  <si>
    <t>REGES MIRANDA MORAIS</t>
  </si>
  <si>
    <t>EDSON PEREIRA DE QUEIROZ</t>
  </si>
  <si>
    <t>LUCAS PEREIRA DE QUEIROZ</t>
  </si>
  <si>
    <t>VANESSA ROSA DOS SANTOS</t>
  </si>
  <si>
    <t>RODRIGO DINIS FONSECA</t>
  </si>
  <si>
    <t>MARCUS ALBERTO SOARES NUNES</t>
  </si>
  <si>
    <t>MARCOS SOUZA DOS SANTOS</t>
  </si>
  <si>
    <t>MATHEUS ELDER SANTOS DE SOUZA</t>
  </si>
  <si>
    <t>FAGNER LEANDRO PATERNO DOS SANTOS</t>
  </si>
  <si>
    <t>WILLIAM DE SOUZA</t>
  </si>
  <si>
    <t>LAERCIO DA SILVA</t>
  </si>
  <si>
    <t>ROBERT MAURO DE ARAUJO CORREIA</t>
  </si>
  <si>
    <t>JOAO QUEIJO IANUANTUONI</t>
  </si>
  <si>
    <t>JOSÉ RAFAEL SALES FONSECA</t>
  </si>
  <si>
    <t>TIAGO HERCULANO DOMENES</t>
  </si>
  <si>
    <t>ALAN SOARES MACHADO</t>
  </si>
  <si>
    <t>MURILO HENRIQUE CORREIA DE OLIVEIRA</t>
  </si>
  <si>
    <t>JONATHAN DOS SANTOS</t>
  </si>
  <si>
    <t>CRISTHIAN DE SOUZA SILVA</t>
  </si>
  <si>
    <t>ERINALDO SILVA DE SENA</t>
  </si>
  <si>
    <t>DANILO FERREIRA DA SILVA</t>
  </si>
  <si>
    <t>00411822020178260050</t>
  </si>
  <si>
    <t>JOÃO PEDRO FURLANIS VIEIRA MELO</t>
  </si>
  <si>
    <t>GABRIEL DO ESPIRITO SANTO SILVA</t>
  </si>
  <si>
    <t>CAIO HENRIQUE MARIANO</t>
  </si>
  <si>
    <t>LUCIENE BORGES DOS SANTOS</t>
  </si>
  <si>
    <t>DIHONETON NUNES TEIXEIRA</t>
  </si>
  <si>
    <t>ROBSON MONTEIRO DA SILVA</t>
  </si>
  <si>
    <t>00474006420178260050</t>
  </si>
  <si>
    <t>RICARDO DINARDO OLINTO DA SILVA</t>
  </si>
  <si>
    <t>ARINE DENARO DE SOUZA</t>
  </si>
  <si>
    <t>JOSE RAIMUNDO ALMEIDA RAMOS SANTOS</t>
  </si>
  <si>
    <t>ERICK SERRA RIBEIRO</t>
  </si>
  <si>
    <t>MATHEUS LOPES</t>
  </si>
  <si>
    <t>IGOR ALEX DELL ISOLA</t>
  </si>
  <si>
    <t>CAIO MENDES ENJOJI</t>
  </si>
  <si>
    <t>RAFAEL SCHIASSINATTI</t>
  </si>
  <si>
    <t>EVERSON IGOR SOUTO CALISTO</t>
  </si>
  <si>
    <t>LUCAS DA SILVA LEOPOLDINO GUEDES</t>
  </si>
  <si>
    <t>ERICK BISPO DA SILVA ROCHA</t>
  </si>
  <si>
    <t>00585288120178260050</t>
  </si>
  <si>
    <t>EDSON RODRIGUES MARIANO</t>
  </si>
  <si>
    <t>JOCELIO GONCALVES BARROS</t>
  </si>
  <si>
    <t>LUIZ CLAUDIO PEREIRA GONCALVES</t>
  </si>
  <si>
    <t>00645664620168260050</t>
  </si>
  <si>
    <t>MARCOS FELIPE PRAXEDES</t>
  </si>
  <si>
    <t>JOSE ALECXANDRO DOS SANTOS</t>
  </si>
  <si>
    <t>ALVARO GABRIEL DA SILVA SOARES</t>
  </si>
  <si>
    <t>00680278920178260050</t>
  </si>
  <si>
    <t>ANDRE MARIANO SATURNINO</t>
  </si>
  <si>
    <t>WESLEY RAMOS EUGENIO</t>
  </si>
  <si>
    <t>THIAGO FERNANDEZ VASCONCELOS</t>
  </si>
  <si>
    <t>DECIO OLIVEIRA TORRES</t>
  </si>
  <si>
    <t>ROBERTO RABELO ROSA</t>
  </si>
  <si>
    <t>FERNANDO JESUS DIAS CINTRA</t>
  </si>
  <si>
    <t>FABIO DOS SANTOS</t>
  </si>
  <si>
    <t>KELVYN  ALBERT DOS SANTOS</t>
  </si>
  <si>
    <t>WATSON LUIZ DABARIAN MURAMOTO</t>
  </si>
  <si>
    <t>DANIELA PAMELA RODRIGUES DAS CHAGAS</t>
  </si>
  <si>
    <t>EMERSON CANABRAVA BAIANO</t>
  </si>
  <si>
    <t>JONATHAN FERREIRA DE MORAES</t>
  </si>
  <si>
    <t>ALBERTO JULIO DA SILVA</t>
  </si>
  <si>
    <t>JULIO ROBERTO CARDOSO JUNIOR</t>
  </si>
  <si>
    <t>00774706420178260050</t>
  </si>
  <si>
    <t>HENRIQUE DE SOUZA LACERDA</t>
  </si>
  <si>
    <t>PATRICIA DANTAS MENEZES</t>
  </si>
  <si>
    <t>WELLINGTON RODRIGO BENTO</t>
  </si>
  <si>
    <t>FRANCIVALDO PEREIRA DOS SANTOS</t>
  </si>
  <si>
    <t>ERIC FERREIRA SANTOS</t>
  </si>
  <si>
    <t>BRUNO LUIZ DE ARAUJO</t>
  </si>
  <si>
    <t>EDVALDO ANTONIO ALVES</t>
  </si>
  <si>
    <t>LUCIANO SILVA DE OLIVEIRA</t>
  </si>
  <si>
    <t>PAULO SÉRGIO ALVES</t>
  </si>
  <si>
    <t>GUILHERME ROSA</t>
  </si>
  <si>
    <t>DANIEL MENDONÇA DE SOUSA</t>
  </si>
  <si>
    <t>EDUARDO BARBOSA MOCO</t>
  </si>
  <si>
    <t>EDUARDO MACHADO BAILON</t>
  </si>
  <si>
    <t>00951125020178260050</t>
  </si>
  <si>
    <t>PEDRO ISAU CAVALCANTE SILVA</t>
  </si>
  <si>
    <t>WEVERTON HENRIQUE EMIDIO</t>
  </si>
  <si>
    <t>ALAN DOS SANTOS LIBARINO</t>
  </si>
  <si>
    <t>HELIO DE JESUS FILHO</t>
  </si>
  <si>
    <t>HUGO MARLON SANTOS NASCIMENTO</t>
  </si>
  <si>
    <t>LUCAS RODRIGUES TEIXEIRA</t>
  </si>
  <si>
    <t>FELIPE PADOVEZE DA SILVA</t>
  </si>
  <si>
    <t>ADEILMA RUFINO</t>
  </si>
  <si>
    <t>ELISA REGO DOS SANTOS</t>
  </si>
  <si>
    <t>MAITE VIEIRA DA SILVA</t>
  </si>
  <si>
    <t>JONATHAN ALVES FERREIRA</t>
  </si>
  <si>
    <t>00003917220188260050</t>
  </si>
  <si>
    <t>ANTONIO MARCOS MARQUES</t>
  </si>
  <si>
    <t>ALEX SANDRO FERREIRA DA SILVA</t>
  </si>
  <si>
    <t>TIAGO APARECIDO MOREIRA MARTINS</t>
  </si>
  <si>
    <t>FERNANDA MELO SILVA</t>
  </si>
  <si>
    <t>RAFAEL DOUGLAS SOUSA</t>
  </si>
  <si>
    <t>ANDRE LUIS AUGUSTO FARIAS</t>
  </si>
  <si>
    <t>CARLOS EDUARDO SANTANA FRANCELINO</t>
  </si>
  <si>
    <t>MARCOS ANDRÉ DE PAULA</t>
  </si>
  <si>
    <t>Bruno Mendes da Silva</t>
  </si>
  <si>
    <t>DIOGO DOS SANTOS CAVALCANTI</t>
  </si>
  <si>
    <t>BRUNO DIEGO DA SILVA LIRA</t>
  </si>
  <si>
    <t>JUAN ORESTES LEITE</t>
  </si>
  <si>
    <t>ALTAIR MALAQUIAS CORREA</t>
  </si>
  <si>
    <t>FERNANDO ALMEIDA DE CARVALHO</t>
  </si>
  <si>
    <t>CHARLES PEREIRA DE OLIVEIRA</t>
  </si>
  <si>
    <t>ROGERIO APARECIDO DE ANDRADE</t>
  </si>
  <si>
    <t>MOISES DOS ANJOS SILVA</t>
  </si>
  <si>
    <t>DENIS MATOS LISBOA</t>
  </si>
  <si>
    <t>DAVID ALVES DA SILVA</t>
  </si>
  <si>
    <t>WILLAMI RODRIGUES VIEIRA</t>
  </si>
  <si>
    <t>ELIANA FERREIRA DE SOUZA</t>
  </si>
  <si>
    <t>JULIO ALVES SANTOS</t>
  </si>
  <si>
    <t>GABRIEL BARBOSA BEZERRA</t>
  </si>
  <si>
    <t>FELIPE RODRIGUES DOS SANTOS</t>
  </si>
  <si>
    <t>ALEXANDRE PEREIRA DA SILVA</t>
  </si>
  <si>
    <t>WILDSON FERREIRA VITORINO</t>
  </si>
  <si>
    <t>ROBSON FERREIRA DE ALMEIDA</t>
  </si>
  <si>
    <t>MARCIO LEITE DE SOUZA</t>
  </si>
  <si>
    <t>GUIDO GUZMAN ZABALA</t>
  </si>
  <si>
    <t>HUGO EDUARDO DE OLIVEIRA</t>
  </si>
  <si>
    <t>BRUNO OLIVEIRA SIQUEIRA</t>
  </si>
  <si>
    <t>ANDERSON SANTOS PEREIRA</t>
  </si>
  <si>
    <t>LUCAS DE SOUZA PADILHA</t>
  </si>
  <si>
    <t>ISAQUEU BISPO DOS SANTOS</t>
  </si>
  <si>
    <t>WILBER EDUARDO DOS SANTOS ALMEIDA</t>
  </si>
  <si>
    <t>EVERTON GONÇALVES MAGALHÃES</t>
  </si>
  <si>
    <t>DARLAN CAETANO DE OLIVEIRA</t>
  </si>
  <si>
    <t>EMERSON HENRIQUE MAURICIO</t>
  </si>
  <si>
    <t>NEUMA CASSIA DA SILVA NASCIMENTO</t>
  </si>
  <si>
    <t>WASHINGTON BATISTA DA SILVA LOPES</t>
  </si>
  <si>
    <t>SILVIO TEICHMANN</t>
  </si>
  <si>
    <t>ANDERSON DE SOUZA SILVA</t>
  </si>
  <si>
    <t>EVERTON PECEGUEIRO VIEIRA</t>
  </si>
  <si>
    <t>GLADSTON DE SOUSA FERREIRA CALACA</t>
  </si>
  <si>
    <t>INALDO JOSE QUEIROZ DA SILVA</t>
  </si>
  <si>
    <t>STEFANI AGNES PEREIRA DE SOUZA</t>
  </si>
  <si>
    <t>00122037320168260635</t>
  </si>
  <si>
    <t>MARCELO WASCONCELLOS</t>
  </si>
  <si>
    <t>DANILO LEANDRO DOS SANTOS</t>
  </si>
  <si>
    <t>FABIO PREVIDELLI PAES</t>
  </si>
  <si>
    <t>IGOR DE SOUSA AMORIM</t>
  </si>
  <si>
    <t>LUCAS GOMES</t>
  </si>
  <si>
    <t>EZEQUIEL CARDOZO DE LIMA</t>
  </si>
  <si>
    <t>JOAQUIM DAVID DANTAS JUNIOR</t>
  </si>
  <si>
    <t>CLERISON SANTOS PORTO</t>
  </si>
  <si>
    <t>JULIO JOSE CREPALDI CONTIERRO</t>
  </si>
  <si>
    <t>MATHEUS CAETANO DE CARVALHO</t>
  </si>
  <si>
    <t>00240992520168260050</t>
  </si>
  <si>
    <t>RODRIGO DE ANDRADE SANTANA</t>
  </si>
  <si>
    <t>JOSUE MELO DA SILVA EVANGELISTA</t>
  </si>
  <si>
    <t>CELSO MOREIRA DE SANTANA</t>
  </si>
  <si>
    <t>KAYKE CAVALCANTE</t>
  </si>
  <si>
    <t>ALYSSON FERNANDES MARIANO</t>
  </si>
  <si>
    <t>MARCELO COSTA RAMOS OTONI</t>
  </si>
  <si>
    <t>LUCAS DOS SANTOS ALMEIDA</t>
  </si>
  <si>
    <t>IGOR LIMA DOS SANTOS</t>
  </si>
  <si>
    <t>ANDERSON FARIA SANTANA</t>
  </si>
  <si>
    <t>LUCAS WASHINGTON SILVA DE JESUS</t>
  </si>
  <si>
    <t>EDUARDO BRAZ LOPES</t>
  </si>
  <si>
    <t>DOUGLAS LELES FREITAS</t>
  </si>
  <si>
    <t>ALLAN HENRIQUE FEITOZA DA SILVA</t>
  </si>
  <si>
    <t>00385635420168260050</t>
  </si>
  <si>
    <t>HAMILTON BENJAMIN DOS SANTOS</t>
  </si>
  <si>
    <t>JOÃO PAULO DA SILVA</t>
  </si>
  <si>
    <t>DANIEL OLIVEIRA SALES</t>
  </si>
  <si>
    <t>DANIEL GRECCO</t>
  </si>
  <si>
    <t>MICHELE CRUZ DE OLIVEIRA</t>
  </si>
  <si>
    <t>MARCELO FIGUEIREDO ROQUE</t>
  </si>
  <si>
    <t>ALESSANDRA SOUSA DA ROCHA</t>
  </si>
  <si>
    <t>PHELIPE FERREIRA BRASIL</t>
  </si>
  <si>
    <t>ALEX GABRIEL ALVES DOS SANTOS</t>
  </si>
  <si>
    <t>ALESSANDRO SOARES</t>
  </si>
  <si>
    <t>EVERTON SANTOS MATOS</t>
  </si>
  <si>
    <t>VANDERSON APARECIDO DE OLIVEIRA</t>
  </si>
  <si>
    <t>FLAVIO SANTOS BRITO DE OLIVEIRA JUNIOR</t>
  </si>
  <si>
    <t>VINICIUS PALMER DA SILVA RAMOS</t>
  </si>
  <si>
    <t>ALEX FORNOS</t>
  </si>
  <si>
    <t>GUSTAVO DE JESUS SANTOS</t>
  </si>
  <si>
    <t>BRUNO ALVES DE OLIVEIRA PRADO</t>
  </si>
  <si>
    <t>LUCAS MARCELO</t>
  </si>
  <si>
    <t>ROBSON BARRETO DE JESUS</t>
  </si>
  <si>
    <t>SUSI MARY DOS ANJOS</t>
  </si>
  <si>
    <t>ROBERTO HENRIQUE DE OLIVEIRA</t>
  </si>
  <si>
    <t>PATRICIA DA SILVA CALMO</t>
  </si>
  <si>
    <t>MAYARA REGINA VIANA DE OLIVEIRA</t>
  </si>
  <si>
    <t>FABIO AMARO</t>
  </si>
  <si>
    <t>THIAGO AUGUSTO BARGAS</t>
  </si>
  <si>
    <t>WESLEY GUIMARAES DE SOUZA</t>
  </si>
  <si>
    <t>CARLOS ROBERTO FERNANDES JUNIOR</t>
  </si>
  <si>
    <t>LUCAS SANTOS SILVA</t>
  </si>
  <si>
    <t>SIAO MOREIRA DE MOURA</t>
  </si>
  <si>
    <t>JOSE EDSON DA SILVA</t>
  </si>
  <si>
    <t>REGIANE APARECIDA CHAVES DE FARIA</t>
  </si>
  <si>
    <t>JOSIANE MARIA DA SILVA</t>
  </si>
  <si>
    <t>DANIEL DA SILVA MOURA</t>
  </si>
  <si>
    <t>JAQUELINE BIAZUZO DOS REIS</t>
  </si>
  <si>
    <t>WALMIR FERNANDO DOS SANTOS MACHADO</t>
  </si>
  <si>
    <t>ARTURO CASTRO GUAGAMA</t>
  </si>
  <si>
    <t>GUTTEMBERG GONCALVES PEREIRA</t>
  </si>
  <si>
    <t>JEFFERSON RUSSI DE SOUZA</t>
  </si>
  <si>
    <t>MICHAEL DE ARAUJO AGRA</t>
  </si>
  <si>
    <t>KENNEDY DE SOUZA BRASILIO</t>
  </si>
  <si>
    <t>SILAS FERREIRA DANTAS</t>
  </si>
  <si>
    <t>JEFERSON DA SILVA SANTOS</t>
  </si>
  <si>
    <t>GABRIEL BEVENUTO DE OLIVEIRA</t>
  </si>
  <si>
    <t>VINICIUS PEREIRA DA SILVA FARIA</t>
  </si>
  <si>
    <t>ELVIS MAIKON DE CAMPOS FARIA</t>
  </si>
  <si>
    <t>JORGE HENRIQUE SOARES VERCOSA</t>
  </si>
  <si>
    <t>THOMAS HENRIQUE MOREIRA DOS SANTOS</t>
  </si>
  <si>
    <t>RUDNEY ALEXANDRE CAMPOS GARCIA</t>
  </si>
  <si>
    <t>LEONARDO HENRIQUE TEOTONIO</t>
  </si>
  <si>
    <t>RIVALDO MELO DE SANTANA</t>
  </si>
  <si>
    <t>LUIS CLAUDIO DOS SANTOS</t>
  </si>
  <si>
    <t>ADILSON RIBEIRO DA SILVA</t>
  </si>
  <si>
    <t>SOLANGE FERREIRA DOS SANTOS</t>
  </si>
  <si>
    <t>RODRIGO ALVES COSTA</t>
  </si>
  <si>
    <t>LEONARDO NILSON TOLEDO</t>
  </si>
  <si>
    <t>JONATAS JAKSON DA SILVA FERREIRA</t>
  </si>
  <si>
    <t>EDSON ALEXANDRE DOS SANTOS</t>
  </si>
  <si>
    <t>LEONARDO PIRANE GONCALVES</t>
  </si>
  <si>
    <t>GEOVANE LEME JACOMINI</t>
  </si>
  <si>
    <t>DAVID DA SILVA</t>
  </si>
  <si>
    <t>JOSE RAMOS PEREIRA DE ALCANTARA</t>
  </si>
  <si>
    <t>VINICIUS DE ALMEIDA MACEDO</t>
  </si>
  <si>
    <t>IGOR VALENCIO RIBEIRO</t>
  </si>
  <si>
    <t>TAMIRES SOUZA SILVA</t>
  </si>
  <si>
    <t>ANAIDE DE PAULO BATISTA</t>
  </si>
  <si>
    <t>WILLIANS DOS SANTOS OLIVEIRA</t>
  </si>
  <si>
    <t>GUILHERME NERY DE PAULA CARDOSO</t>
  </si>
  <si>
    <t>JAMISSON TEIXEIRA DUARTE</t>
  </si>
  <si>
    <t>SERGIO ZAMORA</t>
  </si>
  <si>
    <t>DANIEL DO CARMO VICENTE</t>
  </si>
  <si>
    <t>CLEISON DE MOURA OLIVEIRA</t>
  </si>
  <si>
    <t>NARCISO PARAGUAI  JUNIOR</t>
  </si>
  <si>
    <t>DIOGO FERREIRA DA SILVA TEIXEIRA</t>
  </si>
  <si>
    <t>ROSEMEIRE SILVA</t>
  </si>
  <si>
    <t>EDVILSON NASCIMENTO DE MELO</t>
  </si>
  <si>
    <t>LUCAS DA SILVA GOMES</t>
  </si>
  <si>
    <t>KELVYN DA SILVA SOUZA</t>
  </si>
  <si>
    <t>ANDRE LUIZ MOTA DE SOUZA</t>
  </si>
  <si>
    <t>LUCAS DE OLIVEIRA ARAUJO</t>
  </si>
  <si>
    <t>THIAGO AUGUSTO LIMA MONTEIRO</t>
  </si>
  <si>
    <t>GLEDSON OLIVEIRA ALMEIDA</t>
  </si>
  <si>
    <t>JOSE MARIO NUNES FILHO</t>
  </si>
  <si>
    <t>JONATHAN WILLIANS SANTOS SILVA</t>
  </si>
  <si>
    <t>01036898520158260050</t>
  </si>
  <si>
    <t>DIEGO DE CARVALHO PAIVA</t>
  </si>
  <si>
    <t>MARCOS EDUARDO SILVA SANTOS</t>
  </si>
  <si>
    <t>VERIDIANA PERPETUA ARAUJO ABE</t>
  </si>
  <si>
    <t>PEDRO CHRISTIAN DE ARAÚJO DIONISIO DA SILVA</t>
  </si>
  <si>
    <t>GILBERTO CLEMENTE</t>
  </si>
  <si>
    <t>LUIZ GUSTAVO MANSANO MACIEL UMBELINO DOS SANTOS</t>
  </si>
  <si>
    <t>LEONARDO BRAIAN DE SOUZA</t>
  </si>
  <si>
    <t>PABLO PAULO DA SILVA ALVES</t>
  </si>
  <si>
    <t>DANILO FERNANDO ZACARIAS</t>
  </si>
  <si>
    <t>MATHEUS PEREIRA DE LIMA</t>
  </si>
  <si>
    <t>Humberto Aparecido Oliveira dos Santos</t>
  </si>
  <si>
    <t>PEDRO HENRIQUE COSTA NUNES</t>
  </si>
  <si>
    <t>ROBBY ROGER MORAES GALLI</t>
  </si>
  <si>
    <t>CHARLES RIBEIRO DA SILVA</t>
  </si>
  <si>
    <t>LUCIO TENÓRIO DOS ANJOS FILHO</t>
  </si>
  <si>
    <t>ALBERTO ARENY GUARDIOLA</t>
  </si>
  <si>
    <t>RODRIGO BRAZ MONTEIRO</t>
  </si>
  <si>
    <t>WELLINGTON RUICHERLEI  DE SANTANA FERNANDES</t>
  </si>
  <si>
    <t>VITOR VINICIUS MATOS DOS SANTOS</t>
  </si>
  <si>
    <t>LUCAS ALVES DE ANDRADE</t>
  </si>
  <si>
    <t>SÉRGIO DE FRANCA NEGROMONTE</t>
  </si>
  <si>
    <t>DAVID ALLAN VITAL SOUZA</t>
  </si>
  <si>
    <t>JORGE CLAUDINO ARAÚJO</t>
  </si>
  <si>
    <t>LARISSA MORAES VIEIRA</t>
  </si>
  <si>
    <t>LUCAS FONTES FORTUNATO DA SILVA</t>
  </si>
  <si>
    <t>ALEX BRANDÃO ALVES</t>
  </si>
  <si>
    <t>JACIARA CRISTINA BARBOSA</t>
  </si>
  <si>
    <t>ANA MOREIRA MORAES FERREIRA</t>
  </si>
  <si>
    <t>EDUARDO CAVALCANTE VIEIRA</t>
  </si>
  <si>
    <t>ERICK CAIQUE VITOR</t>
  </si>
  <si>
    <t>00061689720168260635</t>
  </si>
  <si>
    <t>JOSÉ NILTON TEIXEIRA</t>
  </si>
  <si>
    <t>ROSANA DOS SANTOS</t>
  </si>
  <si>
    <t>KAREN SUZANY DE CARVALHO</t>
  </si>
  <si>
    <t>IONEL DA SILVA SANTANA</t>
  </si>
  <si>
    <t>Daniel Eric Saavedra Castillo</t>
  </si>
  <si>
    <t>Everton Carlos Pimentel</t>
  </si>
  <si>
    <t>GEOVANA DA CRUZ MONTEZZANO</t>
  </si>
  <si>
    <t>DENISSON IZIDORIO DOS SANTOS</t>
  </si>
  <si>
    <t>DENIS COLARES DE CARVALHO</t>
  </si>
  <si>
    <t>GABRIEL RIBEIRO ALCANTARA</t>
  </si>
  <si>
    <t>JOÃO VITOR DE OLIVEIRA DA CONCEIÇÃO</t>
  </si>
  <si>
    <t>FELIPE SILVA ALVES DE JESUS</t>
  </si>
  <si>
    <t>HEITOR SANTANA NUNES</t>
  </si>
  <si>
    <t>RENATO REIS DOS SANTOS</t>
  </si>
  <si>
    <t>00096660720168260635</t>
  </si>
  <si>
    <t>TAINA FERNANDA MORAES DA SILVA</t>
  </si>
  <si>
    <t>JOHNATAN GREGÓRIO DOS SANTOS</t>
  </si>
  <si>
    <t>YAGO GARCIA LEAL</t>
  </si>
  <si>
    <t>LUEDSON SANTOS DA SILVA</t>
  </si>
  <si>
    <t>FERNANDO BATISTA DE ARAÚJO</t>
  </si>
  <si>
    <t>FELIPE KHAIN SACCHI SILVA</t>
  </si>
  <si>
    <t>ALESSANDRO GERMANO DE SOUZA JUNIOR</t>
  </si>
  <si>
    <t>LEANDRO RODRIGUES GOMES</t>
  </si>
  <si>
    <t>JOSIEL DONIZETE MARTINS</t>
  </si>
  <si>
    <t>MARCIO DA SILVA QUEIROS</t>
  </si>
  <si>
    <t>GILCIMAR ALBUQUERQUE RIBEIRO DOS SANTOS</t>
  </si>
  <si>
    <t>FERNANDO SILVA CAVALCANTE DE OLIVEIRA</t>
  </si>
  <si>
    <t>GUTIERREZ OLIVEIRA RODRIGUES</t>
  </si>
  <si>
    <t>LUCAS GARCIA DE BARROS</t>
  </si>
  <si>
    <t>PEDRO HENRIQUE DA SILVA GRAÇA</t>
  </si>
  <si>
    <t>MAXIMILIANO DE GOES</t>
  </si>
  <si>
    <t>ALEFF RENAN DA SILVA</t>
  </si>
  <si>
    <t>ALESSANDRO CAMPOS DA SILVA</t>
  </si>
  <si>
    <t>00281545320158260050</t>
  </si>
  <si>
    <t>RODRIGO ALVES DA SILVA</t>
  </si>
  <si>
    <t>FLAVIO HENRIQUE CARVALHO DE PADUA</t>
  </si>
  <si>
    <t>ALEX DE LUNA PEREIRA DA SILVA</t>
  </si>
  <si>
    <t>WALLACE DA CRUZ MARQUES</t>
  </si>
  <si>
    <t>LEOCADIA CECILIA RODRIGUES</t>
  </si>
  <si>
    <t>FERNANDA ARAGAO FIGUEIREDO</t>
  </si>
  <si>
    <t>CRISTINA CELIA SILVA ALMEIDA</t>
  </si>
  <si>
    <t>CARLOS ALBERTO SANTOS DE PAULA</t>
  </si>
  <si>
    <t>EDUARDO OLIVEIRA DOS ANJOS</t>
  </si>
  <si>
    <t>ANDERSON EROSTATE</t>
  </si>
  <si>
    <t>CLAUDIO DA SILVA</t>
  </si>
  <si>
    <t>PETER DURANTE SANTOS</t>
  </si>
  <si>
    <t>EMERSON DE OLIVEIRA SILVA</t>
  </si>
  <si>
    <t>LUCAS DE LIMA PONTES</t>
  </si>
  <si>
    <t>EVERALDO DAMAZIO GONCALVES</t>
  </si>
  <si>
    <t>00476434220168260050</t>
  </si>
  <si>
    <t>VILSON VIEIRA DA SILVA</t>
  </si>
  <si>
    <t>VICTOR HUGO BELARMINO</t>
  </si>
  <si>
    <t>HIGOR HENRIQUE ROCHA DA SILVA</t>
  </si>
  <si>
    <t>OBINNA KEN NNAMANI</t>
  </si>
  <si>
    <t>LEANDRO AUGUSTO DA SILVA</t>
  </si>
  <si>
    <t>00520075720168260050</t>
  </si>
  <si>
    <t>ANTONIO CARLOS BRITO JUNIOR</t>
  </si>
  <si>
    <t>EDGLEBSON TEIXEIRA DA SILVA</t>
  </si>
  <si>
    <t>DAVID MARTINELLI PEREIRA</t>
  </si>
  <si>
    <t>BRUNO DE OLIVEIRA XAVIER</t>
  </si>
  <si>
    <t>DEBORA DA SILVA CAZASSA</t>
  </si>
  <si>
    <t>ERISMAR MACEDO DE SOUZA</t>
  </si>
  <si>
    <t>ADRIANO ANDRÉ DA SILVA</t>
  </si>
  <si>
    <t>00610152420178260050</t>
  </si>
  <si>
    <t>FRANCISCO LUCIANO OSCAR DE SOUZA</t>
  </si>
  <si>
    <t>CESAR CARNEIRO DE LIMA</t>
  </si>
  <si>
    <t>00626371220158260050</t>
  </si>
  <si>
    <t>LUCAS DA SILVA AFONSO</t>
  </si>
  <si>
    <t>DENNIS DIAS NUNES</t>
  </si>
  <si>
    <t>ELCIO JOSÉ RODRIGUES DE JESUS</t>
  </si>
  <si>
    <t>JANDSON OLIVEIRA DE LIMA</t>
  </si>
  <si>
    <t>ROBSON MONTEIRO DOS SANTOS</t>
  </si>
  <si>
    <t>PEDRO PAULO MARQUES DA ROCHA BONFIM</t>
  </si>
  <si>
    <t>LUIZ PAULO LOZ DE ARAÚJO</t>
  </si>
  <si>
    <t>CARLOS ALBERTO DA SILVA FERREIRA</t>
  </si>
  <si>
    <t>DAVID WILLIAN DA LUZ PAULINO</t>
  </si>
  <si>
    <t>RENE SIMÕES MELO DA SILVA</t>
  </si>
  <si>
    <t>THALES VINICIUS EUSTAQUIO DOS SANTOS</t>
  </si>
  <si>
    <t>DIEGO DE SOUZA PEREIRA</t>
  </si>
  <si>
    <t>ISLAN BIAO DA LUZ</t>
  </si>
  <si>
    <t>00711681920178260050</t>
  </si>
  <si>
    <t>DAIANA SILVA RIBEIRO</t>
  </si>
  <si>
    <t>PAULO FELLIPE VERISSIMO BOTELHO</t>
  </si>
  <si>
    <t>ARNOVIO GONÇALVES DE OLIVEIRA</t>
  </si>
  <si>
    <t>EDIVAN PEREIRA BASTOS</t>
  </si>
  <si>
    <t>RODRIGO ARAÚJO DE ANDRADE</t>
  </si>
  <si>
    <t>CLEITON CONCEIÇÃO MESSIAS DE PAULA FEIJÓ</t>
  </si>
  <si>
    <t>CARLOS ALBERTO OLINTO DE SOUZA MARTINS</t>
  </si>
  <si>
    <t>BRUNO DE OLIVEIRA FERNANDES LIMA</t>
  </si>
  <si>
    <t>JAILDO FEITOSA DOS SANTOS</t>
  </si>
  <si>
    <t>IGOR FERNANDO DA SILVA</t>
  </si>
  <si>
    <t>MICAEL DE LUNA SANTOS</t>
  </si>
  <si>
    <t>VICTOR CHRISTIAN DA SILVA IBIAPINO</t>
  </si>
  <si>
    <t>LEANDRO FERNANDES DE LIMA</t>
  </si>
  <si>
    <t>SERGIO DA ROCHA</t>
  </si>
  <si>
    <t>BEATRIZ KAUANE DA SILVA</t>
  </si>
  <si>
    <t>JEFFERSON MELO DE LIMA</t>
  </si>
  <si>
    <t>EDSON BISPO DE OLIVEIRA</t>
  </si>
  <si>
    <t>00889679520058260050</t>
  </si>
  <si>
    <t>Festus Thomas Namgambwa</t>
  </si>
  <si>
    <t>ATHOS BARBOSA DE OLIVEIRA</t>
  </si>
  <si>
    <t>WILLIAM OLIVEIRA DA SILVA</t>
  </si>
  <si>
    <t>RAFAEL FRANCISCO DA SILVA</t>
  </si>
  <si>
    <t>WEVERTON LUIS GONÇALVES DE OLIVEIRA</t>
  </si>
  <si>
    <t>CARLOS ALBERTO JORDÃO DA SILVEIRA</t>
  </si>
  <si>
    <t>THIAGO DE CARVALHO DA SILVA</t>
  </si>
  <si>
    <t>WESLEY RODRIGO DE SOUSA</t>
  </si>
  <si>
    <t>BRUNO BERTOLDO DE MATOS</t>
  </si>
  <si>
    <t>HUGO LEONARDO MARTINS FERREIRA</t>
  </si>
  <si>
    <t>MARCOS ANTONIO DE LIMA FILHO</t>
  </si>
  <si>
    <t>REGINALDO GABRIEL MONTEFORTE</t>
  </si>
  <si>
    <t>LEANDRO SOUSA ARRUDA</t>
  </si>
  <si>
    <t>PAULO CEZAR SANTOS COSTA</t>
  </si>
  <si>
    <t>PAULO FERNANDO DA SILVA</t>
  </si>
  <si>
    <t>PAULO CELSO SILVERIO VIEIRA</t>
  </si>
  <si>
    <t>PETERSON ERIVALDO PEREIRA SILVA</t>
  </si>
  <si>
    <t>ROGERIO GOMES MOREIRA</t>
  </si>
  <si>
    <t>JONAS DE JESUS MOREIRA SANTOS</t>
  </si>
  <si>
    <t>DANIEL CHRISTIAN CORREA DE ANDRADE</t>
  </si>
  <si>
    <t>RONALDO DE MELO LINS</t>
  </si>
  <si>
    <t>DIMAS GASPAR AFFONSO</t>
  </si>
  <si>
    <t>WENDELL DE SOUZA SILVA</t>
  </si>
  <si>
    <t>LUAN APARECIDO SILVA SOUSA</t>
  </si>
  <si>
    <t>CAINA FILIPI CAVALCANTE</t>
  </si>
  <si>
    <t>GABRIEL MONCAO DE ALMEIDA</t>
  </si>
  <si>
    <t>MATHEUS DE SOUZA RIBEIRO NOVAES</t>
  </si>
  <si>
    <t>CAIO HENRIQUE DE BRITO CEZA</t>
  </si>
  <si>
    <t>CICERO GOMES DE FREITAS</t>
  </si>
  <si>
    <t>ALEXSANDRO SILVA OLIVEIRA FELIPE</t>
  </si>
  <si>
    <t>RENATO LUIS DE TOLEDO</t>
  </si>
  <si>
    <t>DAVI ALVES MONTEIRO</t>
  </si>
  <si>
    <t>JEAN CARLOS DE OLIVEIRA</t>
  </si>
  <si>
    <t>FRANCISCO BEZERRA DA SILVA</t>
  </si>
  <si>
    <t>JOÃO RENATO TEIXEIRA DOS SANTOS EULALIO</t>
  </si>
  <si>
    <t>JURANDIR NUNES DOS SANTOS</t>
  </si>
  <si>
    <t>ALESSANDRO GOMES ALVES</t>
  </si>
  <si>
    <t>ALEX FERREIRA RODRIGUES DA FONSECA</t>
  </si>
  <si>
    <t>00070667620178260635</t>
  </si>
  <si>
    <t>LUCAS GABRIEL BALTAZAR PEREIRA</t>
  </si>
  <si>
    <t>RAFAEL ARAUJO SOBRAL</t>
  </si>
  <si>
    <t>JOSE HENRIQUE SOUZA DA SILVA</t>
  </si>
  <si>
    <t>SILVIO CARLOS TRAJANO ORTOLAN</t>
  </si>
  <si>
    <t>DANIEL DA SILVA SANTANA</t>
  </si>
  <si>
    <t>00080234820158260635</t>
  </si>
  <si>
    <t>RODRIGO REZENDE DE SOUZA</t>
  </si>
  <si>
    <t>JEDSON SANTOS RODRIGUES</t>
  </si>
  <si>
    <t>DANIEL FIGUEIREDO DOS SANTOS</t>
  </si>
  <si>
    <t>ANDRE RODRIGUES SOARES SILVA</t>
  </si>
  <si>
    <t>ADAILTON FERNANDES DOS SANTOS</t>
  </si>
  <si>
    <t>ALESSANDRO RIBEIRO DE SAO SEVERINO</t>
  </si>
  <si>
    <t>ANDRE COSTA PEREIRA</t>
  </si>
  <si>
    <t>RAFAEL NAGANUMA DA SILVA FLORES</t>
  </si>
  <si>
    <t>KENNEDY PEDRO DOS SANTOS</t>
  </si>
  <si>
    <t>LEANDRO FERREIRA DOS SANTOS</t>
  </si>
  <si>
    <t>CELSO CARLOS MATEUS</t>
  </si>
  <si>
    <t>RODRIGO DA COSTA PEREIRA</t>
  </si>
  <si>
    <t>EDINEI FERREIRA ARAUJO</t>
  </si>
  <si>
    <t>WELTON FRANKLIN MARTINS</t>
  </si>
  <si>
    <t>00210847720188260050</t>
  </si>
  <si>
    <t>CAIQUE PEREIRA VALENÇA</t>
  </si>
  <si>
    <t>YAGO DA SILVA CARDOSO</t>
  </si>
  <si>
    <t>00246299720148260050</t>
  </si>
  <si>
    <t>JOSE ALEX DA SILVA</t>
  </si>
  <si>
    <t>DOUGLAS CARVALHO PEREIRA</t>
  </si>
  <si>
    <t>Wilcelino Olavo dos Santos</t>
  </si>
  <si>
    <t>MARIA GLEICIANE RODRIGUES DO NASCIMENTO</t>
  </si>
  <si>
    <t>ROMERITO ALVES DE OLIVEIRA</t>
  </si>
  <si>
    <t>FABIANO FERREIRA DA SILVA</t>
  </si>
  <si>
    <t>JORGE ENRIQUE SALCEDO ORMAZA</t>
  </si>
  <si>
    <t>MANOEL CORREIA DE SOUSA</t>
  </si>
  <si>
    <t>YURI SILVA DE JESUS</t>
  </si>
  <si>
    <t>RAFAEL MOREIRA DE SOUZA</t>
  </si>
  <si>
    <t>00392214420178260050</t>
  </si>
  <si>
    <t>DAGOBERTO DE SOUZA SANTOS</t>
  </si>
  <si>
    <t>WESLEY LOPES DE SALES</t>
  </si>
  <si>
    <t>BEATRIZ SENA DE SOUZA</t>
  </si>
  <si>
    <t>VANIA APARECIDA PEDRO</t>
  </si>
  <si>
    <t>ROGERIO MATIAS DE FIGUEIRA</t>
  </si>
  <si>
    <t>NAYARA ALVES DO NASCIMENTO</t>
  </si>
  <si>
    <t>PEDRO GOMES DOS SANTOS</t>
  </si>
  <si>
    <t>IVO RUIZ JUNIOR</t>
  </si>
  <si>
    <t>FRANCISCO DE ASSIS DA COSTA</t>
  </si>
  <si>
    <t>ALEXANDRE FERREIRA DOS SANTOS</t>
  </si>
  <si>
    <t>LUIZ PAULO MARTINS DOS SANTOS</t>
  </si>
  <si>
    <t>MARCOS ALCIDES RODRIGUES DA SILVA</t>
  </si>
  <si>
    <t>JONATAN SOUSA EVANGELISTA DA FRANCA</t>
  </si>
  <si>
    <t>FRANCISCO MORAIS DOS SANTOS</t>
  </si>
  <si>
    <t>DIEGO PEREIRA DE OLIVEIRA</t>
  </si>
  <si>
    <t>FERNANDO BEZERRA FERREIRA</t>
  </si>
  <si>
    <t>00676668220118260050</t>
  </si>
  <si>
    <t>David Mauricio Lima Latanzi</t>
  </si>
  <si>
    <t>Wellington de Paula Resende</t>
  </si>
  <si>
    <t>Jair Antunes Junior</t>
  </si>
  <si>
    <t>Francisco Alves Pereira</t>
  </si>
  <si>
    <t>Josenilto Souza da Rocha</t>
  </si>
  <si>
    <t>Alan Fabio da Silva</t>
  </si>
  <si>
    <t>Leandro Almeida de Lima</t>
  </si>
  <si>
    <t>Marcelo Aparecido dos Santos</t>
  </si>
  <si>
    <t>Reginaldo Fernandes</t>
  </si>
  <si>
    <t>MATHEUS RICARDO DE SOUZA AQUINO</t>
  </si>
  <si>
    <t>PATRICIA FEITOSA DOS SANTOS</t>
  </si>
  <si>
    <t>LUCAS SANTOS DE ALMEIDA</t>
  </si>
  <si>
    <t>PAULO SERGIO DE JESUS OLIVEIRA</t>
  </si>
  <si>
    <t>JOAO BOSCO JUNIOR</t>
  </si>
  <si>
    <t>00775560620158260050</t>
  </si>
  <si>
    <t>KAYQUE DA SILVA OLIVEIRA</t>
  </si>
  <si>
    <t>00784675220148260050</t>
  </si>
  <si>
    <t>CARLOS ALEANDRO GUEDES</t>
  </si>
  <si>
    <t>REINALDO PINHEIRO DOS SANTOS E LIMA</t>
  </si>
  <si>
    <t>00784796620148260050</t>
  </si>
  <si>
    <t>Jefferson de Freitas Santana</t>
  </si>
  <si>
    <t>00797046320108260050</t>
  </si>
  <si>
    <t>Jefferson Alves Sampaio</t>
  </si>
  <si>
    <t>Jaqueline Daiana Brito Pereira</t>
  </si>
  <si>
    <t>André Luiz Vaz Ribeiro</t>
  </si>
  <si>
    <t>Michele Garcia Batista</t>
  </si>
  <si>
    <t>DIEGO VIEIRA RODRIGUES</t>
  </si>
  <si>
    <t>00805859320178260050</t>
  </si>
  <si>
    <t>JIRLANE SANTANA SANTOS</t>
  </si>
  <si>
    <t>BRUNO THADEU DE SOUZA ELIAS</t>
  </si>
  <si>
    <t>SAYMON COSTA ROSA</t>
  </si>
  <si>
    <t>MIKE AUGUSTO CAMPOS ARAUJO DE OLIVEIRA</t>
  </si>
  <si>
    <t>ACACIO BAHIA DA SILVA</t>
  </si>
  <si>
    <t>CAIQUE ROBSON DOS SANTOS</t>
  </si>
  <si>
    <t>CIBELLI CRISTINA MAULI BRAZ</t>
  </si>
  <si>
    <t>CARLOS VINICIUS RAMOS</t>
  </si>
  <si>
    <t>WILLIAM  MOREIRA DE MELO</t>
  </si>
  <si>
    <t>GUSTAVO SAMPAIO PEREIRA</t>
  </si>
  <si>
    <t>ALAN SANTOS RODRIGUES TRINDADE</t>
  </si>
  <si>
    <t>JOSE LUIZ RODRIGUES</t>
  </si>
  <si>
    <t>00981732120148260050</t>
  </si>
  <si>
    <t>ALAIR MIGUEL DE ALMEIDA JUNIOR</t>
  </si>
  <si>
    <t>DAVID DA SILVA MUNIZ CARNEIRO</t>
  </si>
  <si>
    <t>VINICIUS UALACE DE ALMEIDA</t>
  </si>
  <si>
    <t>ULYSSES VIEIRA DOS SANTOS</t>
  </si>
  <si>
    <t>DENIS DE SOUZA SANTOS</t>
  </si>
  <si>
    <t>FABRICIO PERMANHANI DE OLIVEIRA</t>
  </si>
  <si>
    <t>KAUE MOREIRA SANTOS</t>
  </si>
  <si>
    <t>MATEUS CANDEIAS FERNANDES</t>
  </si>
  <si>
    <t>TIAGO ANTONIO DO NASCIMENTO</t>
  </si>
  <si>
    <t>EDUARDO BISPO DOS SANTOS</t>
  </si>
  <si>
    <t>LUCAS RAFAEL SILVA</t>
  </si>
  <si>
    <t>ED CARLOS DOS SANTOS NERES</t>
  </si>
  <si>
    <t>LUCAS DANIEL FERNANDES</t>
  </si>
  <si>
    <t>DENIS RODRIGUES GOMES DA SILVA</t>
  </si>
  <si>
    <t>JOSE EDSON ALEXANDRE DOS SANTOS</t>
  </si>
  <si>
    <t>LUIS CARLOS CERQUEIRA</t>
  </si>
  <si>
    <t>LUIS HENRIQUE CIPRIANI PAIXÃO</t>
  </si>
  <si>
    <t>ANDERSON LEAL CAMPOS</t>
  </si>
  <si>
    <t>FERNANDO NORONHA MOREIRA</t>
  </si>
  <si>
    <t>MILTON CESAR BRANDAO FRANCO</t>
  </si>
  <si>
    <t>FRANCISCO ERISSON OLIVEIRA SILVA</t>
  </si>
  <si>
    <t>RODRIGO MACEDO DO CARMO</t>
  </si>
  <si>
    <t>LUIS PEREIRA DE SOUZA</t>
  </si>
  <si>
    <t>00046839620158260635</t>
  </si>
  <si>
    <t>CLAYTON SALVINO DA SILVA</t>
  </si>
  <si>
    <t>SAMUEL DA CRUZ SANTOS</t>
  </si>
  <si>
    <t>ANDRE LUIZ PEREIRA</t>
  </si>
  <si>
    <t>GEORGE SUNDAY UGWU</t>
  </si>
  <si>
    <t>MAXWELL DA CUNHA DE ANDRADE TEIXEIRA RAMOS</t>
  </si>
  <si>
    <t>ERNESTO GAMARRA DURAN JUNIOR</t>
  </si>
  <si>
    <t>DAVID MICHAEL GUEDES VIEIRA</t>
  </si>
  <si>
    <t>JUSLEIMAR TADEU BENEVIDES MORAIS</t>
  </si>
  <si>
    <t>VITOR DOS SANTOS</t>
  </si>
  <si>
    <t>RUBENS MARQUES DE OLIVEIRA</t>
  </si>
  <si>
    <t>FELIPE RODRIGUES DA SILVA</t>
  </si>
  <si>
    <t>HENRIQUE FERNANDO DE SOUZA</t>
  </si>
  <si>
    <t>LEANDRO DANILO MAIA DOS SANTOS</t>
  </si>
  <si>
    <t>00144588120148260050</t>
  </si>
  <si>
    <t>MAIKE SILVA PASSOS</t>
  </si>
  <si>
    <t>Felipe Barbosa Mesquita</t>
  </si>
  <si>
    <t>EDUARDO VICENTE FERREIRA</t>
  </si>
  <si>
    <t>MACIEL FRANCISCO DOS SANTOS</t>
  </si>
  <si>
    <t>GABRIEL ANDRADE DE ALMEIDA</t>
  </si>
  <si>
    <t>COSMO GABRIEL ANDRADE MENEZES</t>
  </si>
  <si>
    <t>SONIA MARIA DE LUCENA OLIVEIRA</t>
  </si>
  <si>
    <t>ROMARIO GOMES SANTOS</t>
  </si>
  <si>
    <t>TARCISIO MOREIRA SEBASTIAO</t>
  </si>
  <si>
    <t>00232277320178260050</t>
  </si>
  <si>
    <t>MARCIO SILVANO MOURA</t>
  </si>
  <si>
    <t>RONALD DE BARROS BERNARDO</t>
  </si>
  <si>
    <t>EMERSON ALVES GUIMARAES</t>
  </si>
  <si>
    <t>DEIWITI FRANCISCO DE AZEVEDO</t>
  </si>
  <si>
    <t>GABRIEL HIRAE GOMES</t>
  </si>
  <si>
    <t>EVANGELINE BONA TENDENILLA</t>
  </si>
  <si>
    <t>CARLOS CESAR DA SILVA LIMA FILHO</t>
  </si>
  <si>
    <t>AUDIZIO ROSALVO VIEIRA</t>
  </si>
  <si>
    <t>LEONILDO DA SILVA OLIVEIRA</t>
  </si>
  <si>
    <t>MARCIO FERREIRA DO NASCIMENTO</t>
  </si>
  <si>
    <t>ROBERTO DE OLIVEIRA MADEIRA</t>
  </si>
  <si>
    <t>WAGNER DE OLIVEIRA PINTO</t>
  </si>
  <si>
    <t>EVAIR DE ARAUJO MOREIRA</t>
  </si>
  <si>
    <t>MARCOS PAULO DA SILVA</t>
  </si>
  <si>
    <t>FELIPE HENRIQUE SILVA</t>
  </si>
  <si>
    <t>ARNALDO NUNES DE OLIVEIRA</t>
  </si>
  <si>
    <t>IGOR SOARES</t>
  </si>
  <si>
    <t>WEVERTON PEREIRA BARBOSA</t>
  </si>
  <si>
    <t>GABRIEL DE OLIVEIRA AFONSO</t>
  </si>
  <si>
    <t>ALINE DA CONCEICAO SANTOS</t>
  </si>
  <si>
    <t>SIDNEI FILIPE DOS SANTOS</t>
  </si>
  <si>
    <t>PEDRO GUILHERME BARBOSA</t>
  </si>
  <si>
    <t>ROGERIO PEREIRA MENDES</t>
  </si>
  <si>
    <t>CRISTIANO GOMES FERREIRA</t>
  </si>
  <si>
    <t>JORGE SECUNDO</t>
  </si>
  <si>
    <t>WESLEY FONSECA DOS SANTOS</t>
  </si>
  <si>
    <t>JONATA JOSE DA SILVA</t>
  </si>
  <si>
    <t>ANA CAROLINA RIBEIRO DOS SANTOS</t>
  </si>
  <si>
    <t>CARLOS ROBERTO AUGUSTO</t>
  </si>
  <si>
    <t>WILLIAM DOS SANTOS OLIVEIRA</t>
  </si>
  <si>
    <t>RODRIGO NASCIMENTO DOS SANTOS</t>
  </si>
  <si>
    <t>DOUGLAS DA SILVA CHAVES</t>
  </si>
  <si>
    <t>DIEGO DE OLIVEIRA COSTA</t>
  </si>
  <si>
    <t>JHONATA PIRES</t>
  </si>
  <si>
    <t>JEFFERSON MOTA</t>
  </si>
  <si>
    <t>GILMAR ALVES GOMES</t>
  </si>
  <si>
    <t>LEONEL LAURINDO</t>
  </si>
  <si>
    <t>LUCAS RODRIGUES ALENCAR</t>
  </si>
  <si>
    <t>LUANA PAULA GONÇALVES</t>
  </si>
  <si>
    <t>BRUNO RIVELO VITOR</t>
  </si>
  <si>
    <t>JOAO CARLOS BARBOSA DA COSTA</t>
  </si>
  <si>
    <t>MOISES DA SILVA FERNANDES</t>
  </si>
  <si>
    <t>IREUDO LIMA DA SILVA</t>
  </si>
  <si>
    <t>FABIO WEVERTHON GIOLO</t>
  </si>
  <si>
    <t>WAGNER BATISTA DE SOUSA</t>
  </si>
  <si>
    <t>JONAS DORNELES</t>
  </si>
  <si>
    <t>00920415020118260050</t>
  </si>
  <si>
    <t>KAMILA SIQUEIRA DOS SANTOS</t>
  </si>
  <si>
    <t>WELLINGTON LAERCIO CANDIDO DA SILVA</t>
  </si>
  <si>
    <t>RAFAEL CONCEICAO DE OLIVEIRA</t>
  </si>
  <si>
    <t>RICARDO FRANCISCO FREITAS JUNIOR</t>
  </si>
  <si>
    <t>GILNEI DE JESUS</t>
  </si>
  <si>
    <t>CARLOS NERES SILVA</t>
  </si>
  <si>
    <t>FABIANA DOS SANTOS SILVA</t>
  </si>
  <si>
    <t>01030036420138260050</t>
  </si>
  <si>
    <t>GILMAR RODRIGUES DOS SANTOS</t>
  </si>
  <si>
    <t>Fabio Leme de Faria</t>
  </si>
  <si>
    <t>CAMILA TORRES DE PANTAS</t>
  </si>
  <si>
    <t>MARCILIO CABRAL CIRILO</t>
  </si>
  <si>
    <t>ANDREA MENDES PINTO</t>
  </si>
  <si>
    <t>UELINGTON GONCALVES MACHADO</t>
  </si>
  <si>
    <t>ANDERSON RODRIGO DA SILVA SOUZA</t>
  </si>
  <si>
    <t>ARIEL PINHEIRO DOS SANTOS</t>
  </si>
  <si>
    <t>CAIO DE SENNA LERIAM</t>
  </si>
  <si>
    <t>MATEUS GOMES DA SILVA</t>
  </si>
  <si>
    <t>RODRIGO SOUSA SOARES</t>
  </si>
  <si>
    <t>GABRIEL BORGES AQUINO</t>
  </si>
  <si>
    <t>DIEGO GONÇALVES NASCIMENTO</t>
  </si>
  <si>
    <t>SILVIA BARRETO PAULO</t>
  </si>
  <si>
    <t>LEONARDO AUGUSTO MAROTTI</t>
  </si>
  <si>
    <t>CARLOS HENRIQUE PEREIRA DA SILVA</t>
  </si>
  <si>
    <t>DAVI DIAS DOS SANTOS</t>
  </si>
  <si>
    <t>JEFERSON FREIRE DE SOUZA</t>
  </si>
  <si>
    <t>CLEBERTON APARECIDO DA SILVA PEREIRA</t>
  </si>
  <si>
    <t>RAFAEL ANTONIO PEREIRA</t>
  </si>
  <si>
    <t>DAVID SILVA LOPES</t>
  </si>
  <si>
    <t>DOUGLAS SANTOS SOUZA</t>
  </si>
  <si>
    <t>JOÃO PAULO ESTECIO DA SILVA</t>
  </si>
  <si>
    <t>RAFAEL ANTONIO SILVA DIAS</t>
  </si>
  <si>
    <t>GILVAN ALEXANDRE DA SILVA</t>
  </si>
  <si>
    <t>GUILHERME HENRIQUE PEREIRA</t>
  </si>
  <si>
    <t>LUCIO ROCHA GOMES</t>
  </si>
  <si>
    <t>BELMIRO SANTOS</t>
  </si>
  <si>
    <t>JEFERSON ALVES FEITOSA COUTINHO</t>
  </si>
  <si>
    <t>CAUE SOARES DA SILVA</t>
  </si>
  <si>
    <t>ALTAMIR AMBROSIO DE MELO</t>
  </si>
  <si>
    <t>RICARDO ISMAEL DE SOUZA</t>
  </si>
  <si>
    <t>00300576020148260050</t>
  </si>
  <si>
    <t>JONAS ALVES DE FRANCA TEIXEIRA</t>
  </si>
  <si>
    <t>ERIK DAVI SANTOS DA SILVA</t>
  </si>
  <si>
    <t>SERGIO RICARDO SILVIANO</t>
  </si>
  <si>
    <t>JOHNNY RIBEIRO SILVA</t>
  </si>
  <si>
    <t>SAMUEL PONTES GUEDES DE SOUZA</t>
  </si>
  <si>
    <t>JOSE JOEL FERREIRA DAMAZIO</t>
  </si>
  <si>
    <t>JEAN DA SILVA VIEIRA</t>
  </si>
  <si>
    <t>LEANDRO DOS REIS SAMPAIO</t>
  </si>
  <si>
    <t>FELIPE VINICIUS SOUZA CANDIDO</t>
  </si>
  <si>
    <t>CARLOS EDUARDO DA COSTA</t>
  </si>
  <si>
    <t>ANTONIO DOUGLAS OLIVEIRA DO NASCIMENTO</t>
  </si>
  <si>
    <t>MATEUS PEREIRA DE LIMA DA SILVA</t>
  </si>
  <si>
    <t>CRISTIANO DA SILVA ADORNO</t>
  </si>
  <si>
    <t>TALITA DOS SANTOS</t>
  </si>
  <si>
    <t>GABRIEL DA CONCEIÇÃO</t>
  </si>
  <si>
    <t>ALEXANDRE DA SILVA NASCIMENTO</t>
  </si>
  <si>
    <t>JOSUE DOS SANTOS OLIVEIRA</t>
  </si>
  <si>
    <t>EVERSON DA SILVA OLIVEIRA</t>
  </si>
  <si>
    <t>PETER SHAUN SMITH</t>
  </si>
  <si>
    <t>ALINE ROSA SORRINI</t>
  </si>
  <si>
    <t>00731194820178260050</t>
  </si>
  <si>
    <t>RUDNEI APARECIDO AVOLIO</t>
  </si>
  <si>
    <t>ELISANGELA MARIA AUGUSTO</t>
  </si>
  <si>
    <t>SAMIR ORTIZ FUCHS DE OLIVEIRA</t>
  </si>
  <si>
    <t>ISLANEO ANTONIO DA SILVA</t>
  </si>
  <si>
    <t>JOSÉ AUGUSTO BARBOSA JUNIOR</t>
  </si>
  <si>
    <t>RODRIGO COSTA DE SOUZA</t>
  </si>
  <si>
    <t>PATRICK DUARTE FRANCO</t>
  </si>
  <si>
    <t>FABIANO PEREIRA DA SILVA</t>
  </si>
  <si>
    <t>AMANDINE MAGALIE CORALIE DIEDRICH</t>
  </si>
  <si>
    <t>ROGERIO JOSE MACEDO</t>
  </si>
  <si>
    <t>00953844920148260050</t>
  </si>
  <si>
    <t>MAGSON LUIZ DE FREITAS</t>
  </si>
  <si>
    <t>ALEXANDRE RODRIGUES BRANCO</t>
  </si>
  <si>
    <t>CRISTIANO ANDERSON BETONI</t>
  </si>
  <si>
    <t>EDSON CARVALHO SILVA</t>
  </si>
  <si>
    <t>KAROLINE NASCIMENTO SANCHES</t>
  </si>
  <si>
    <t>JEAN BACELLAR BAPTISTA</t>
  </si>
  <si>
    <t>01080810520148260050</t>
  </si>
  <si>
    <t>WESLEY SANTOS SILVA</t>
  </si>
  <si>
    <t>01083037020148260050</t>
  </si>
  <si>
    <t>JEFFERSON JESUS  DE ANDRADE</t>
  </si>
  <si>
    <t>JEAN SOUZA BORGES</t>
  </si>
  <si>
    <t>FABIANO TAVARES DOS SANTOS</t>
  </si>
  <si>
    <t>RICHARD HENRIQUE SANTOS DE SOUSA</t>
  </si>
  <si>
    <t>EVAIR KLAUBY DE CARVALHO COSTA</t>
  </si>
  <si>
    <t>CLAUDOMIRO FRANCISCO DE ALMEIDA JUNIOR</t>
  </si>
  <si>
    <t>RODRIGO SILVA DA CUNHA</t>
  </si>
  <si>
    <t>GRACY KELLY TRINDADE CAMPOS</t>
  </si>
  <si>
    <t>LEANDRO DA SILVA BEZERRA</t>
  </si>
  <si>
    <t>LUIZ CARLOS BERNARDINO DE SENA</t>
  </si>
  <si>
    <t>RICARDO DE ANDRADE</t>
  </si>
  <si>
    <t>AMARILDO DO PRADO ROCHA</t>
  </si>
  <si>
    <t>ROBSON PEDROSO</t>
  </si>
  <si>
    <t>MICHEL WILIAM DOS SANTOS</t>
  </si>
  <si>
    <t>MARCO VINICIUS FERRELLI BIANCHI</t>
  </si>
  <si>
    <t>LEANDRO DA SILVA</t>
  </si>
  <si>
    <t>DANIEL COPIA DE OLIVEIRA FRANCA</t>
  </si>
  <si>
    <t>DIEGO FIDELIS DOS SANTOS</t>
  </si>
  <si>
    <t>ROMARIO SANTOS ALVES</t>
  </si>
  <si>
    <t>EVANDRO BRUNNO DA COSTA SANTOS</t>
  </si>
  <si>
    <t>GABRIEL  SANTOS DE OLIVEIRA</t>
  </si>
  <si>
    <t>00066179820158260050</t>
  </si>
  <si>
    <t>MARIO MAXWEL LOPES</t>
  </si>
  <si>
    <t>KLEUTON RODRIGUES LOPES</t>
  </si>
  <si>
    <t>FERNANDO VINICIUS DE SOUSA SILVA</t>
  </si>
  <si>
    <t>FABIANO DOS SANTOS DE JESUS</t>
  </si>
  <si>
    <t>VANDENBERG DOS SANTOS</t>
  </si>
  <si>
    <t>VANDERLEI DE ASSIS SEBASTIAO</t>
  </si>
  <si>
    <t>BRUNNO BARBOZA DO NASCIMENTO</t>
  </si>
  <si>
    <t>JULIO CESAR LUIZ</t>
  </si>
  <si>
    <t>WEIKMAN MAXUELL BOMFIM DE QUEIROZ</t>
  </si>
  <si>
    <t>HENRIQUE DE SOUZA SANTOS CABRAL</t>
  </si>
  <si>
    <t>MAIKON PAULO VIEIRA DOS SANTOS</t>
  </si>
  <si>
    <t>DIOGO GOMES MENDES</t>
  </si>
  <si>
    <t>ADRIANO DAS GRAÇAS</t>
  </si>
  <si>
    <t>DIEGO SOUZA JORDAO</t>
  </si>
  <si>
    <t>JEFFERSON SILVA DE OLIVEIRA</t>
  </si>
  <si>
    <t>RENATO FERREIRA FEITOZA DE MORAIS</t>
  </si>
  <si>
    <t>Vitor Hugo de Souza Oliveira</t>
  </si>
  <si>
    <t>CAMILA DOS SANTOS RIBAS</t>
  </si>
  <si>
    <t>RAFAEL SAMUEL BALDRATTI</t>
  </si>
  <si>
    <t>MICHELE DOS SANTOS OLIVEIRA</t>
  </si>
  <si>
    <t>VITOR PEREIRA DE MOURA</t>
  </si>
  <si>
    <t>PRISCILA OLIVEIRA LEAL</t>
  </si>
  <si>
    <t>JOSE CARLOS BEZERRA DA SILVA JUNIOR</t>
  </si>
  <si>
    <t>UDIRLEI TEIXEIRA ALVES</t>
  </si>
  <si>
    <t>GLEMILER DE OLIVEIRA TIBURCIO DA SILVA</t>
  </si>
  <si>
    <t>WILLIAN CRUZ DE MORAES</t>
  </si>
  <si>
    <t>BRUNO DANIEL LIMA</t>
  </si>
  <si>
    <t>RODRIGO SANTOS DE SOUZA</t>
  </si>
  <si>
    <t>KENNETH OGBUNOBI ONYEKA</t>
  </si>
  <si>
    <t>WELLINGTON NATAN PEREIRA LAURINDO</t>
  </si>
  <si>
    <t>WIL KAIQUE DA SILVA</t>
  </si>
  <si>
    <t>FABIO VINICIUS DE OLIVEIRA</t>
  </si>
  <si>
    <t>HELTON LIMEIRA DA SILVA</t>
  </si>
  <si>
    <t>HUGO FLORENTIN SOARES</t>
  </si>
  <si>
    <t>ISAQUE MATOS FREIRE</t>
  </si>
  <si>
    <t>RICARDO JOSE RODRIGUES</t>
  </si>
  <si>
    <t>PETERSON CAETANO DE SOUSA</t>
  </si>
  <si>
    <t>00286259820178260050</t>
  </si>
  <si>
    <t>MARCIO ADRIANO PEREIRA</t>
  </si>
  <si>
    <t>MAURICIO SOARES DOS SANTOS</t>
  </si>
  <si>
    <t>CESAR FERREIRA REIS</t>
  </si>
  <si>
    <t>CLAUDIO FERREIRA DE SOUZA</t>
  </si>
  <si>
    <t>ALYSON DE JESUS BARROS DOS SANTOS</t>
  </si>
  <si>
    <t>HUDSON RAMOS DOS REIS</t>
  </si>
  <si>
    <t>ROGERIO FERNANDES DOS SANTOS</t>
  </si>
  <si>
    <t>00358126020178260050</t>
  </si>
  <si>
    <t>DIOGO PEREIRA DOS SANTOS</t>
  </si>
  <si>
    <t>JANILSON BARBOSA CUNHA JUNIOR</t>
  </si>
  <si>
    <t>ALVARO ROJAS MENDEZ</t>
  </si>
  <si>
    <t>EDGARD CENTELLOS CORQUE</t>
  </si>
  <si>
    <t>MARCIO AUGUSTO DOMICIANO</t>
  </si>
  <si>
    <t>MARCOS PAULO DE ALMEIDA</t>
  </si>
  <si>
    <t>THIAGO ALBERTO DA SILVA</t>
  </si>
  <si>
    <t>RAYANDESON LUIZ LOPES DA SILVA</t>
  </si>
  <si>
    <t>THIAGO LIMA LEDO</t>
  </si>
  <si>
    <t>AUGUSTO FAGNER DA SILVA CASTANHO</t>
  </si>
  <si>
    <t>ADRIEL GONCALVES DOS SANTOS</t>
  </si>
  <si>
    <t>HENRIQUE BARBOSA OLIVEIRA</t>
  </si>
  <si>
    <t>FABIANO SOARES DA SILVA</t>
  </si>
  <si>
    <t>FELIPE PEREIRA DE ANDRADE</t>
  </si>
  <si>
    <t>ROBSON DO NASCIMENTO CAMPOS</t>
  </si>
  <si>
    <t>HENRIQUE GOMES DA SILVA</t>
  </si>
  <si>
    <t>THAYNARA LUANA DA SILVA SANTOS</t>
  </si>
  <si>
    <t>ROGERIO NAKAZATO MACHADO</t>
  </si>
  <si>
    <t>CARLOS HENRIQUE VENANCIO</t>
  </si>
  <si>
    <t>ALVARO MOREIRA DA SILVA JUNIOR</t>
  </si>
  <si>
    <t>Jose Horacio Gusso</t>
  </si>
  <si>
    <t>Barbara Sousa Guimaraes Vaz</t>
  </si>
  <si>
    <t>Ricardo Roberto Macedo</t>
  </si>
  <si>
    <t>Marcio Jose de Oliveira</t>
  </si>
  <si>
    <t>Luis Antonio Matias de Oliveira</t>
  </si>
  <si>
    <t>Paulo Roberto Muller</t>
  </si>
  <si>
    <t>Andresa Souza Guimaraes Vaz</t>
  </si>
  <si>
    <t>JAQUELINE RAQUEL DOS SANTOS</t>
  </si>
  <si>
    <t>EDVALDO DE SENA RIBEIRO</t>
  </si>
  <si>
    <t>ARLINDO JOSE DA SILVA</t>
  </si>
  <si>
    <t>ANA FLAVIA SOUSA PINTO</t>
  </si>
  <si>
    <t>CRISTIANO DE PALMA DA SILVA</t>
  </si>
  <si>
    <t>LUCAS TOLEDO DE ASSIS</t>
  </si>
  <si>
    <t>DANILO COSTA BARROS CAVALCANTE</t>
  </si>
  <si>
    <t>GUSTAVO SANTOS ARAUJO DE FREITAS</t>
  </si>
  <si>
    <t>RICARDO DE OLIVEIRA FIRMINO</t>
  </si>
  <si>
    <t>CLEBERSON EMERSON ANDRADE</t>
  </si>
  <si>
    <t>FELIPE CHUMEI DA SILVA LEAL</t>
  </si>
  <si>
    <t>RAFAEL RODRIGUES DOS SANTOS</t>
  </si>
  <si>
    <t>LUCAS DE CAMPOS SILVA</t>
  </si>
  <si>
    <t>00627153520178260050</t>
  </si>
  <si>
    <t>RAFAEL DE OLIVEIRA CASTILHO</t>
  </si>
  <si>
    <t>00632506120178260050</t>
  </si>
  <si>
    <t>ROMARIO ANGELO DE OLIVEIRA</t>
  </si>
  <si>
    <t>JOSE ROBERTO RODRIGUES</t>
  </si>
  <si>
    <t>GUTIERREZ ANTONIO DAS DORES ZEFERINO</t>
  </si>
  <si>
    <t>FABRICIO DO AMPARO FARIA</t>
  </si>
  <si>
    <t>GILBERTO DIAS CAMPOS</t>
  </si>
  <si>
    <t>ARI VERAS DE CARVALHO SILVA</t>
  </si>
  <si>
    <t>UZOCHUKWU EMPEROR UZOMEFUNA</t>
  </si>
  <si>
    <t>CLAUDIO AUGUSTO DE CARVALHO JUNIOR</t>
  </si>
  <si>
    <t>ADEMILSON SEVERINO DE SANTANA</t>
  </si>
  <si>
    <t>FERNANDO ROSA DE OLIVEIRA</t>
  </si>
  <si>
    <t>VANIL PEREIRA</t>
  </si>
  <si>
    <t>JULIO MARCOS PINTO DA SILVA</t>
  </si>
  <si>
    <t>MARCO ANTONIO DE BARROS FILHO</t>
  </si>
  <si>
    <t>PEDRO JOSE EVARISTO DA COSTA</t>
  </si>
  <si>
    <t>JOSENILDO DO CARMO</t>
  </si>
  <si>
    <t>WESLEY ALEXSANDRO LEITE PEDRO</t>
  </si>
  <si>
    <t>RONALD ALEXANDRE LEITE PEDRO</t>
  </si>
  <si>
    <t>JEALISSON TORRES AZEVEDO</t>
  </si>
  <si>
    <t>00847327020148260050</t>
  </si>
  <si>
    <t>JACILENE VANIA DE LIMA HONORIO</t>
  </si>
  <si>
    <t>FABIO SILVA LIRA</t>
  </si>
  <si>
    <t>PAULO CESAR DIAS PASSOS</t>
  </si>
  <si>
    <t>TIAGO DA SILVA SANTOS</t>
  </si>
  <si>
    <t>JOHN WILSON CARDOSO FRANCA</t>
  </si>
  <si>
    <t>JOSE UILIAN DE OLIVEIRA</t>
  </si>
  <si>
    <t>EMERSON APARECIDO DA SILVA PINTO</t>
  </si>
  <si>
    <t>REINALDO ALVES DOS SANTOS JUNIOR</t>
  </si>
  <si>
    <t>ELTON PINHEIRO PEIXOTO</t>
  </si>
  <si>
    <t>JOAO VICTOR TEIXEIRA</t>
  </si>
  <si>
    <t>LUCAS PINHEIRO MIRANDA</t>
  </si>
  <si>
    <t>EULOGIA TUCO ANAGUA - matr. 843250-2</t>
  </si>
  <si>
    <t>VICTOR CHURA MAMANI</t>
  </si>
  <si>
    <t>GABRIEL FERNANDES DE AZEVEDO</t>
  </si>
  <si>
    <t>RUBEM DE LIMA RIOS NETTO</t>
  </si>
  <si>
    <t>TIAGO DA SILVA ROCHA</t>
  </si>
  <si>
    <t>WILLIAM DA SILVA SANTANA</t>
  </si>
  <si>
    <t>REINALDO DE LIMA RAMOS</t>
  </si>
  <si>
    <t>CAIO HENRIQUE GUIMARAES CUSTODIO</t>
  </si>
  <si>
    <t>RENATA FABIOLA APARECIDA PATRICIA DE JESUS</t>
  </si>
  <si>
    <t>Felipe dos Santos Silva</t>
  </si>
  <si>
    <t>LUIS FERNANDO MORAES DA SILVA</t>
  </si>
  <si>
    <t>CARLOS HENRIQUE DE OLIVEIRA SANTOS</t>
  </si>
  <si>
    <t>MARCOS ANDRE PACHECO VIDAL</t>
  </si>
  <si>
    <t>RENATO OLIVEIRA HENRIQUE</t>
  </si>
  <si>
    <t>ED CARLOS SENA DO NASCIMENTO</t>
  </si>
  <si>
    <t>LUCAS FELIPE FIRMINO</t>
  </si>
  <si>
    <t>ROBSON SPLOCATO</t>
  </si>
  <si>
    <t>MATHEUS NUNES DOS SANTOS</t>
  </si>
  <si>
    <t>GABRIEL BRAGA</t>
  </si>
  <si>
    <t>ONYEKA ANTOHONY</t>
  </si>
  <si>
    <t>WAGNER SANTANA DE OLIVEIRA</t>
  </si>
  <si>
    <t>Mateus Ribeiro Luciano</t>
  </si>
  <si>
    <t>00031322720148260050</t>
  </si>
  <si>
    <t>WILSON DA SILVA CEDRO</t>
  </si>
  <si>
    <t>ANTON KLERBY ALVES DE SOUZA</t>
  </si>
  <si>
    <t>ALEX DANTAS SILVA</t>
  </si>
  <si>
    <t>JOSE JONATHAN DOS SANTOS</t>
  </si>
  <si>
    <t>GEORGE WILLIAN AMARAL DE AZEVEDO</t>
  </si>
  <si>
    <t>WAGNER HENRIQUE COSTA MARCOMINI</t>
  </si>
  <si>
    <t>FABIANO LEITE DA SILVA</t>
  </si>
  <si>
    <t>MICHEL CARLOS VIEIRA DA SILVA</t>
  </si>
  <si>
    <t>ALESSANDRO DE SA</t>
  </si>
  <si>
    <t>MARCOS DA MATA FREITAS</t>
  </si>
  <si>
    <t>PAULO DE ALBUQUERQUE RUFINO</t>
  </si>
  <si>
    <t>DAVIDSON CARVALHO GALDINO</t>
  </si>
  <si>
    <t>WEVERTON CAMPOS DE OLIVEIRA</t>
  </si>
  <si>
    <t>JOHNATAN LUCIANO DE JESUS DE SOUZA</t>
  </si>
  <si>
    <t>RONALDO JANUARIO DO NASCIMENTO</t>
  </si>
  <si>
    <t>CRISTIANO SILVA</t>
  </si>
  <si>
    <t>WELLDER WILLAMYS CANABARRA CHAVES</t>
  </si>
  <si>
    <t>ADAILSON SANTOS VIEIRA</t>
  </si>
  <si>
    <t>EVERTON DE SOUSA COSTA</t>
  </si>
  <si>
    <t>EDINALDO RIBEIRO AUGUSTO</t>
  </si>
  <si>
    <t>SIDNEY RIBEIRO DE AMORIM</t>
  </si>
  <si>
    <t>TARSO ANJOS DA SILVA</t>
  </si>
  <si>
    <t>JULIO CESAR ARNALDO DOS SANTOS</t>
  </si>
  <si>
    <t>ELIAS RODRIGUES EDUARDO</t>
  </si>
  <si>
    <t>WEVERTON SANTOS CONSTANTE</t>
  </si>
  <si>
    <t>FLAVIO ANTONIO DE LIMA PINTO</t>
  </si>
  <si>
    <t>KAUE CARLOS PIRES RAMOS DOS SANTOS</t>
  </si>
  <si>
    <t>WELLINGTON NONATO PEREIRA DE CASTRO</t>
  </si>
  <si>
    <t>HELDER JONATHAN GALHARDO DA SILVA</t>
  </si>
  <si>
    <t>EMERSON FERREIRA BRITO</t>
  </si>
  <si>
    <t>00086502720168260050</t>
  </si>
  <si>
    <t>JOSUÉ LUIZ AGUIRRE</t>
  </si>
  <si>
    <t>WELLINGTON GOMES DE OLIVEIRA</t>
  </si>
  <si>
    <t>RAFAEL DE MELLO</t>
  </si>
  <si>
    <t>CARLOS JESUS CRUZ DIOSES</t>
  </si>
  <si>
    <t>GUILHERME HENRIQUE MUNIZ MAIA</t>
  </si>
  <si>
    <t>LUIS ANTONIO IBARRA GUERRERO</t>
  </si>
  <si>
    <t>ROGERS VICENTE DA SILVA</t>
  </si>
  <si>
    <t>GILSON SOUZA FARIAS</t>
  </si>
  <si>
    <t>GLAUBER PEREIRA DE FREITAS</t>
  </si>
  <si>
    <t>JONATHA DOS SANTOS PINHEIRO</t>
  </si>
  <si>
    <t>ANTONIO CARLOS NICACIO DE SOUZA</t>
  </si>
  <si>
    <t>CAIQUE NASCIMENTO</t>
  </si>
  <si>
    <t>GILSON DAMASCENO DE OLIVEIRA</t>
  </si>
  <si>
    <t>Gilvan Barbosa dos Santos</t>
  </si>
  <si>
    <t>CICERO MANOEL DA SILVA FILHO</t>
  </si>
  <si>
    <t>FELIX DE CARVALHO MOREIRA</t>
  </si>
  <si>
    <t>00127124220188260050</t>
  </si>
  <si>
    <t>HERBERT THIAGO FERREIRA</t>
  </si>
  <si>
    <t>MARCOS VINICIUS COSTA DE OLIVEIRA</t>
  </si>
  <si>
    <t>JOÃO VITOR NEPOMUCENO RIBEIRO</t>
  </si>
  <si>
    <t>LANDERSON BARROS DA SILVA</t>
  </si>
  <si>
    <t>Luiz Fernando Ferreira da Silva</t>
  </si>
  <si>
    <t>FABIANO DE MIRANDA PEREIRA</t>
  </si>
  <si>
    <t>ANDRE LUIZ DE OLIVEIRA SIQUEIRA</t>
  </si>
  <si>
    <t>LEANDRO DA SILVA ALVES</t>
  </si>
  <si>
    <t>LUCIANO ALVES DA SILVA</t>
  </si>
  <si>
    <t>CLAUDIO ADAO DE JESUS SILVA</t>
  </si>
  <si>
    <t>JONATHAN ARAUJO DA SILVA</t>
  </si>
  <si>
    <t>VAGNER ALVES DAMASCENO</t>
  </si>
  <si>
    <t>WINDERSON  ROBERTO XAVIER MAZZEI</t>
  </si>
  <si>
    <t>MARCELO PEDRO LIMA DE SOUZA</t>
  </si>
  <si>
    <t>HENRIQUE FERNANDES TEIXEIRA</t>
  </si>
  <si>
    <t>GILMAR BARBOSA FERREIRA</t>
  </si>
  <si>
    <t>ALEXSANDRO DA CRUZ SANTOS</t>
  </si>
  <si>
    <t>DIEGO SOUZA SANTOS</t>
  </si>
  <si>
    <t>00301522720138260050</t>
  </si>
  <si>
    <t>JOSE PAULO FERREIRA ALVES</t>
  </si>
  <si>
    <t>SUELLE PEREIRA SANTOS</t>
  </si>
  <si>
    <t>00377591820188260050</t>
  </si>
  <si>
    <t>VINICIUS OLIVEIRA DE ASSUNÇÃO</t>
  </si>
  <si>
    <t>00377618520188260050</t>
  </si>
  <si>
    <t>OSNAR ALMEIDA SOUZA</t>
  </si>
  <si>
    <t>00402442520178260050</t>
  </si>
  <si>
    <t>LUIZ GUSTAVO DE OLIVEIRA</t>
  </si>
  <si>
    <t>BRANDON GOMES VASSAO</t>
  </si>
  <si>
    <t>ANDERSON FELIPE DA SILVA</t>
  </si>
  <si>
    <t>ALEXANDRE SILVA SANTOS</t>
  </si>
  <si>
    <t>CHIMA MAURICE OFOMA</t>
  </si>
  <si>
    <t>RICARDO LUIZ CAETANO CORDERI</t>
  </si>
  <si>
    <t>ROMULO MIRANDA SANTOS</t>
  </si>
  <si>
    <t>RAFAEL RODRIGUES DE SOUZA</t>
  </si>
  <si>
    <t>RAFAEL PEREIRA MOTA</t>
  </si>
  <si>
    <t>ALISON MEDEIROS DA SILVA</t>
  </si>
  <si>
    <t>BRUNO AUGUSTO FERNANDES DA CRUZ</t>
  </si>
  <si>
    <t>JOSE AUGUSTO DE BARROS</t>
  </si>
  <si>
    <t>00498594420148260050</t>
  </si>
  <si>
    <t>GUSTAVO BERTONHA BORGES</t>
  </si>
  <si>
    <t>ORLANDO BUENO DA SILVA JUNIOR</t>
  </si>
  <si>
    <t>00501293420158260050</t>
  </si>
  <si>
    <t>RENAN RIBEIRO DE FREITAS</t>
  </si>
  <si>
    <t>FILIPE PEREIRA DA SILVA</t>
  </si>
  <si>
    <t>MARCELO JESUS DOS SANTOS</t>
  </si>
  <si>
    <t>RODRIGO DOS SANTOS ARAUJO</t>
  </si>
  <si>
    <t>MIKE ROBERTO DA SILVA</t>
  </si>
  <si>
    <t>EDUARDO SANTOS MOTTA FILHO</t>
  </si>
  <si>
    <t>REGINALDO RODRIGUES DE LANNA</t>
  </si>
  <si>
    <t>DANIEL CAETANO AVELINO</t>
  </si>
  <si>
    <t>MAURO PEDROSO DA SILVA</t>
  </si>
  <si>
    <t>PATRICIA SANTOS MATOS</t>
  </si>
  <si>
    <t>ARMANDO JOSE PEREIRA</t>
  </si>
  <si>
    <t>ASSANE ALI</t>
  </si>
  <si>
    <t>ANTONIO COSME SOARES FRAGA</t>
  </si>
  <si>
    <t>DOUGLAS ADOLFO ROSA</t>
  </si>
  <si>
    <t>JADSON SILVA DOS SANTOS</t>
  </si>
  <si>
    <t>00710649520158260050</t>
  </si>
  <si>
    <t>VILEIDE BARBOSA DE SOUZA</t>
  </si>
  <si>
    <t>NEIDINALIA BARBOSA OLIVEIRA</t>
  </si>
  <si>
    <t>ROBSON ALEXANDRE DA SILVA CORREA</t>
  </si>
  <si>
    <t>FALKENBERG IZIDIO DE LIMA SANTOS</t>
  </si>
  <si>
    <t>JETULIO DANIEL DA SILVA</t>
  </si>
  <si>
    <t>KELVIN AZEVEDO MACEDO</t>
  </si>
  <si>
    <t>GUILHERME CARMO DA SILVA</t>
  </si>
  <si>
    <t>JOAO RENATO TEIXEIRA DOS SANTOS EULALIO</t>
  </si>
  <si>
    <t>KLEBER MARQUES DA SILVA</t>
  </si>
  <si>
    <t>ALINE DA ROCHA</t>
  </si>
  <si>
    <t>LUIZ HENRIQUE CLAUDINO</t>
  </si>
  <si>
    <t>RENATA LARISSA LEITE GELLY</t>
  </si>
  <si>
    <t>DJALMA SILVA DOS SANTOS</t>
  </si>
  <si>
    <t>00845898120148260050</t>
  </si>
  <si>
    <t>ALEX SANTOS SOUZA</t>
  </si>
  <si>
    <t>00868138420178260050</t>
  </si>
  <si>
    <t>EDSON HENRIQUE SILVA DE FRANCA</t>
  </si>
  <si>
    <t>LUCIANO JOSE DE SOUZA</t>
  </si>
  <si>
    <t>LUCIANO PEREIRA BISPO</t>
  </si>
  <si>
    <t>UALAS GONCALO DA ROCHA</t>
  </si>
  <si>
    <t>RAMON CHEVALIER LOPEZ</t>
  </si>
  <si>
    <t>LUCIANO DONIZETE DA SILVA</t>
  </si>
  <si>
    <t>EDSON MAGELA DOS SANTOS JUNIOR</t>
  </si>
  <si>
    <t>UILSON CARVALHO SANTOS</t>
  </si>
  <si>
    <t>EVERTON SANTOS ARAUJO DA SILVA</t>
  </si>
  <si>
    <t>ADAILTON FERREIRA CRUZ</t>
  </si>
  <si>
    <t>FABIO JUNIOR DA SILVA</t>
  </si>
  <si>
    <t>RICARDO FRANCO DE FREITAS</t>
  </si>
  <si>
    <t>FRANCILDO ALMEIDA DA SILVA</t>
  </si>
  <si>
    <t>ALEXANDRE MARCELINO FERREIRA</t>
  </si>
  <si>
    <t>MICHAEL DAVID CUSTODIO DE SOUZA</t>
  </si>
  <si>
    <t>01008855220128260050</t>
  </si>
  <si>
    <t>LUCAS DE SOUSA VALERIO</t>
  </si>
  <si>
    <t>FLAVIO DE ARAUJO</t>
  </si>
  <si>
    <t>GLAUCIA DE PAULA ARMUNDO</t>
  </si>
  <si>
    <t>FLAVIO COUTINHO GOMES</t>
  </si>
  <si>
    <t>PAULO HENRIQUE PEDROSO DE OLIVEIRA</t>
  </si>
  <si>
    <t>10007512420178260050</t>
  </si>
  <si>
    <t>DIPO 3 - Seção 3.1.2</t>
  </si>
  <si>
    <t>Delegado de Policia do 38º DP da Capital - Dr. Akhenaton A. Nobre dos Santos</t>
  </si>
  <si>
    <t>00090145320178260635</t>
  </si>
  <si>
    <t>DIPO 4 - Seção 4.1.2</t>
  </si>
  <si>
    <t>DELEGADO DE POLICIA DELEGACIA DE VIGILANCIA E CAPTURAS</t>
  </si>
  <si>
    <t>Preso no momento da sentença. Denúncia</t>
  </si>
  <si>
    <t>1 tijolo. 189,5 g. 50 porções. 81,8 g</t>
  </si>
  <si>
    <t xml:space="preserve">1 tijolo. 488,4 g. 2 pés. 149,9 g </t>
  </si>
  <si>
    <t>1 tijolo. 2 vidros. 2372,2 g (total)</t>
  </si>
  <si>
    <t>Confissão informal. Denúncia</t>
  </si>
  <si>
    <t>Estilete. Papéis. Dinheiro R$ 172,00</t>
  </si>
  <si>
    <t>Pochete. Papéis</t>
  </si>
  <si>
    <t>Confissão. Local de tráfico.  Preso no momento da sentença. Denúncia</t>
  </si>
  <si>
    <t>Nacionalidade. Preso no momento da sentença. Local de tráfico</t>
  </si>
  <si>
    <t>Coldre. Arma de fogo. Munição. Caderno. Dinheiro R$ 15938,35</t>
  </si>
  <si>
    <t>Veículo. Papéis. Celular</t>
  </si>
  <si>
    <t>Local de tráfico. Preso no momento da sentença. Confissão informal. Atitude suspeita</t>
  </si>
  <si>
    <t>Confissão. Preso no momento da sentença. Interceptação</t>
  </si>
  <si>
    <t>Preso no momento da sentença. Confissão informal. Denúncia</t>
  </si>
  <si>
    <t>Munições. Celular. Dinheiro R$ 50,00</t>
  </si>
  <si>
    <t>Mochila. Liquidificador. Prato. Martelo. Balança. Embalagens. Caderno. Fita adesiva. Faca. Pote. Saco</t>
  </si>
  <si>
    <t>23 porções. 53 g. 1 tijolo. 56 g</t>
  </si>
  <si>
    <t>Papéis. Bateria de rádio. Celular. Dinheiro R$ 40,00</t>
  </si>
  <si>
    <t>Calvície total</t>
  </si>
  <si>
    <t>Simulacro de arma de fogo. Dinheiro R$ 40,00</t>
  </si>
  <si>
    <t>Arma de fogo. Veículo. Porta garrafas. Bolsa. Cinzeiro. Tesoura. Saco. Balança. Celular. Dinheiro R$ 1390,00</t>
  </si>
  <si>
    <t>Arma de fogo. Munição. Carregador de arma de fogo. Colete. Bolsa. Caixa de munição. Embalagens. Frascos. Caderno</t>
  </si>
  <si>
    <t>Liquidificador. Prensa. Explosivo. Forno. Munição. Farmacêuticos. Potes. Arma de fogo. Dinheiro R$ 382,00</t>
  </si>
  <si>
    <t>Arma de fogo. Balança. Embalagens. Dichavador. Celular. Faca. Dinheiro R$ 4995,00</t>
  </si>
  <si>
    <t>Embalagens. Balança. Fermento em pó. Celular. Faca. Colher. Bacia. Liquidificador</t>
  </si>
  <si>
    <t>Pochete. Papéis. Dinheiro R$ 78,00</t>
  </si>
  <si>
    <t>Veículo. Celular. Dinheiro R$ 1759,00</t>
  </si>
  <si>
    <t>Sim. Natureza. Variedade</t>
  </si>
  <si>
    <t>Adolescente. Arma de fogo</t>
  </si>
  <si>
    <t>Confissão informal. Confissão. Preso no momento da sentença. Atitude suspeita</t>
  </si>
  <si>
    <t>Veículo. Liquidificador. Galão. Balança. Munição. Caderno. Celular. Bule. Faca. Funil. Panela. Embalagens. Dinheiro R$ 16,00</t>
  </si>
  <si>
    <t>Confissão. Preso no momento da sentença. Atitude suspeita</t>
  </si>
  <si>
    <t>Preso no momento da sentença. Mandado</t>
  </si>
  <si>
    <t>Divergências nos relatos dos policiais. Preso no momento da sentença. Atitude suspeita</t>
  </si>
  <si>
    <t>Confissão. Preso no momento da sentença. Denúncia</t>
  </si>
  <si>
    <t>Atitude suspeita. Local de tráfico. Denúncia. Preso no momento da sentença</t>
  </si>
  <si>
    <t>Veículo. Papéis. Celular. Dinheiro R$ 80,00</t>
  </si>
  <si>
    <t>Nacionalidade. Preso no momento da sentença. Denúncia</t>
  </si>
  <si>
    <t>Confissão. Denúncia</t>
  </si>
  <si>
    <t>Confissão informal. Denúncia anônima</t>
  </si>
  <si>
    <t>Confissão informal. Preso no momento da sentença. Denúncia anônima</t>
  </si>
  <si>
    <t>Local de tráfico. Confissão informal. Atitude suspeita</t>
  </si>
  <si>
    <t>Confissão informal. Local de tráfico. Atitude suspeita</t>
  </si>
  <si>
    <t>4m</t>
  </si>
  <si>
    <t>Confissão informal. Atitude suspeita</t>
  </si>
  <si>
    <t>Nacionalidade. Confissão. Preso no momento da sentença. Denúncia anônima</t>
  </si>
  <si>
    <t>Nacionalidade. Preso no momento da sentença. Denúncia anônima</t>
  </si>
  <si>
    <t>Rádio transmissor. Dinheiro R$ 84,00</t>
  </si>
  <si>
    <t>Pochete. Papéis . Celular. Dinheiro R$ 70,00</t>
  </si>
  <si>
    <t>Bolsa. Papéis. Dinheiro R$ 16,00</t>
  </si>
  <si>
    <t>1 tijolo. 1031,2 g</t>
  </si>
  <si>
    <t>4a 5m 12d</t>
  </si>
  <si>
    <t>Lança-perfume. 63 frascos. 630 ml</t>
  </si>
  <si>
    <t>Local de tráfico. Confissão informal. Preso no momento da sentença. Atitude suspeita</t>
  </si>
  <si>
    <t>Local de tráfico. Confissão informal. Confissão. Preso no momento da sentença. Denúncia</t>
  </si>
  <si>
    <t>Lança-perfume. 65 frascos. 2560 ml</t>
  </si>
  <si>
    <t>403 porções. 317 g</t>
  </si>
  <si>
    <t>Local de tráfico. Preso no momento da sentença. Denúncia</t>
  </si>
  <si>
    <t>Veículo. Balança. Papéis</t>
  </si>
  <si>
    <t>Pochete. Papéis. Celular. Dinheiro R$ 52,35</t>
  </si>
  <si>
    <t>Veículo. Caixa. Papéis. Celular</t>
  </si>
  <si>
    <t>Lança-perfume. 23 frascos. 276 ml</t>
  </si>
  <si>
    <t>239 porções. 220,7 g. 1 saco. 1151,7 g</t>
  </si>
  <si>
    <t>203 porções. 445,9 g. 9 tijolos. 8523,7 g</t>
  </si>
  <si>
    <t>Não disponível. 41 anos (TJ)</t>
  </si>
  <si>
    <t>Cheque. Balança. Embalagens. Caderno. Celular. Dinheiro R$ 545,00</t>
  </si>
  <si>
    <t>Confissão informal. Local de tráfico. Preso no momento da sentença. Atitude suspeita</t>
  </si>
  <si>
    <t>23 porções. 24,3 g</t>
  </si>
  <si>
    <t>Anabolizantes. Anorexígenos</t>
  </si>
  <si>
    <t>Confissão informal. Preso no momento da sentença. Atitude suspeita</t>
  </si>
  <si>
    <t>3 porções. 1906 g</t>
  </si>
  <si>
    <t>Local de tráfico. Confissão informal. Denúncia anônima</t>
  </si>
  <si>
    <t>Local de tráfico. Confissão. Atitude suspeita</t>
  </si>
  <si>
    <t>Confissão. Local de tráfico.  Preso no momento da sentença. Atitude suspeita</t>
  </si>
  <si>
    <t>Local de tráfico. Confissão. Preso no momento da sentença. Atitude suspeita</t>
  </si>
  <si>
    <t>2 comprimidos. 0,4 g</t>
  </si>
  <si>
    <t>Art. 33</t>
  </si>
  <si>
    <t>Art. 33. Art. 34. Art. 35</t>
  </si>
  <si>
    <t>Art. 33. Art. 34</t>
  </si>
  <si>
    <t>Art. 33. Art. 35</t>
  </si>
  <si>
    <t>Art. 12 L10826. Art. 16 L10826. Art. 273, § 1º-B CP</t>
  </si>
  <si>
    <t>Art. 16 L10826</t>
  </si>
  <si>
    <t>Art. 16 L10826. Art. 244-B ECA. Art. 329 CP</t>
  </si>
  <si>
    <t>Art. 129 CP. Art. 329 CP. Art. 331 CP</t>
  </si>
  <si>
    <t>Sim</t>
  </si>
  <si>
    <t>TotPen</t>
  </si>
  <si>
    <t>Art. 16 L10826. Art. 329 CP</t>
  </si>
  <si>
    <t>Art. 16 L10826 (4 vezes)</t>
  </si>
  <si>
    <t>Art. 16 L10826 (2 vezes). Art. 273, § 1º-B CP</t>
  </si>
  <si>
    <t>Sim. Consequências. Natureza</t>
  </si>
  <si>
    <t>Sim. Antecedentes. Natureza</t>
  </si>
  <si>
    <t>Sim. Antecedentes. Natureza. Quantidade. Variedade</t>
  </si>
  <si>
    <t>Sim. Circunstâncias. Quantidade</t>
  </si>
  <si>
    <t>Sim. Consequências. Quantidade</t>
  </si>
  <si>
    <t>Sim. Culpabilidade. Quantidade</t>
  </si>
  <si>
    <t>Sim. Antecedentes. Conduta. Personalidade</t>
  </si>
  <si>
    <t>Sim. Circunstâncias. Natureza. Quantidade</t>
  </si>
  <si>
    <t>Sim. Antecedentes. Variedade</t>
  </si>
  <si>
    <t>Sim. Personalidade. Variedade</t>
  </si>
  <si>
    <t>Sim. Circunstâncias. Consequências. Culpabilidade</t>
  </si>
  <si>
    <t>Adolescente. Interestadual</t>
  </si>
  <si>
    <t>Estabelecimento</t>
  </si>
  <si>
    <t>Interestadual</t>
  </si>
  <si>
    <t>Sim total</t>
  </si>
  <si>
    <t>Sim parcial</t>
  </si>
  <si>
    <t>Não cabimento</t>
  </si>
  <si>
    <t>4a 3m</t>
  </si>
  <si>
    <t>1a 0m 25d</t>
  </si>
  <si>
    <t>17a 6m</t>
  </si>
  <si>
    <t>10a 10m 20d</t>
  </si>
  <si>
    <t>550 porções. 233,5 g</t>
  </si>
  <si>
    <t>2800 porções. 604,6 g</t>
  </si>
  <si>
    <t>Lança-perfume. 200 frascos. 1600 ml</t>
  </si>
  <si>
    <t>1 saco. 291,7 g</t>
  </si>
  <si>
    <t>20 porções. 17,6 g</t>
  </si>
  <si>
    <t>21 porções. 15,2 g</t>
  </si>
  <si>
    <t>3 porções. 3,7 g</t>
  </si>
  <si>
    <t>36 porções. 28,9 g</t>
  </si>
  <si>
    <t>1 porção. 69,7 g</t>
  </si>
  <si>
    <t>4 porções. 18,7 g</t>
  </si>
  <si>
    <t>7 porções. 15,40 g</t>
  </si>
  <si>
    <t>1 porção. 0,8 g</t>
  </si>
  <si>
    <t>10 comprimidos. 3,2 g</t>
  </si>
  <si>
    <t>222 porções. 537,0 g</t>
  </si>
  <si>
    <t>221 porções. 27 g</t>
  </si>
  <si>
    <t>140 porções. 126,6 g</t>
  </si>
  <si>
    <t>22 sacos. 11,1 g</t>
  </si>
  <si>
    <t>14 porções. 2,1 g</t>
  </si>
  <si>
    <t>60 porções. 116,1 g</t>
  </si>
  <si>
    <t>14 porções. 7,7 g</t>
  </si>
  <si>
    <t>100 porções. 12,6 g</t>
  </si>
  <si>
    <t>12 porções. 13,80 g</t>
  </si>
  <si>
    <t>17 porções. 8,2 g</t>
  </si>
  <si>
    <t>79 porções. 60 g</t>
  </si>
  <si>
    <t>8 porções. 3,1 g</t>
  </si>
  <si>
    <t>48 porções. 9,9 g</t>
  </si>
  <si>
    <t>9 porções. 12,1 g</t>
  </si>
  <si>
    <t>26 porções. 19,1 g</t>
  </si>
  <si>
    <t>2 porções. 40 g</t>
  </si>
  <si>
    <t>26 porções. 10 g</t>
  </si>
  <si>
    <t>15 porções. 17 g</t>
  </si>
  <si>
    <t>11 porções. 2,7 g</t>
  </si>
  <si>
    <t>34 porções. 72,6 g</t>
  </si>
  <si>
    <t>76 porções. 42,5 g</t>
  </si>
  <si>
    <t>39 porções. 14,3 g</t>
  </si>
  <si>
    <t>14 porções. 43,2 g</t>
  </si>
  <si>
    <t>67 porções. 41 g</t>
  </si>
  <si>
    <t>1 tijolo. 780,9 g</t>
  </si>
  <si>
    <t>13 porções. 26,2 g</t>
  </si>
  <si>
    <t>9 porções. 8,3 g</t>
  </si>
  <si>
    <t>3 porções. 2,4 g</t>
  </si>
  <si>
    <t>37 porções. 18,7 g</t>
  </si>
  <si>
    <t>24 porções. 5,3 g</t>
  </si>
  <si>
    <t>Lança-perfume. 4 frascos. 24 ml</t>
  </si>
  <si>
    <t>140 porções. 132,7 g</t>
  </si>
  <si>
    <t>74 porções. 49,7 g</t>
  </si>
  <si>
    <t>Lança-perfume. 21 frascos. 210 ml</t>
  </si>
  <si>
    <t>36 porções. 66,10 g</t>
  </si>
  <si>
    <t>55 porções. 109,10 g</t>
  </si>
  <si>
    <t>31 porções. 48,1 g</t>
  </si>
  <si>
    <t>30 porções. 4,8 g</t>
  </si>
  <si>
    <t>29 porções. 86,1 g</t>
  </si>
  <si>
    <t>8 porções. 18,3 g</t>
  </si>
  <si>
    <t>2 porções. 3,3 g</t>
  </si>
  <si>
    <t>15 porções. 13,6 g</t>
  </si>
  <si>
    <t>9 porções. 4,8 g</t>
  </si>
  <si>
    <t>61 porções. 43,4 g</t>
  </si>
  <si>
    <t>4 porções. 8,5 g</t>
  </si>
  <si>
    <t>35 porções. 56 g</t>
  </si>
  <si>
    <t>43 porções. 15,5 g</t>
  </si>
  <si>
    <t>35 porções. 17,7 g</t>
  </si>
  <si>
    <t>54 porções. 17,6 g</t>
  </si>
  <si>
    <t xml:space="preserve"> 56 porções. 29,4 g</t>
  </si>
  <si>
    <t>90 porções. 12,8 g</t>
  </si>
  <si>
    <t>117 porções. 226,4 g</t>
  </si>
  <si>
    <t>320 porções. 111,5 g</t>
  </si>
  <si>
    <t>8 porções. 11 g</t>
  </si>
  <si>
    <t>42 porções. 8,5 g</t>
  </si>
  <si>
    <t>36 porções. 512,8 g</t>
  </si>
  <si>
    <t>971 porções. 2003,4 g</t>
  </si>
  <si>
    <t>398 porções. 326,8 g</t>
  </si>
  <si>
    <t>1 porção. 0,7 g</t>
  </si>
  <si>
    <t>153 porções. 45,1 g</t>
  </si>
  <si>
    <t>101 porções. 75,6 g</t>
  </si>
  <si>
    <t>85 porções. 88,4 g</t>
  </si>
  <si>
    <t>31 porções. 14,86 g</t>
  </si>
  <si>
    <t>32 porções. 6,8 g</t>
  </si>
  <si>
    <t>29 comprimidos. 8,7 g</t>
  </si>
  <si>
    <t>5 porções. 3,5 g</t>
  </si>
  <si>
    <t>49 porções. 6,4 g</t>
  </si>
  <si>
    <t>Lança-perfume. 2 frascos. 22 ml</t>
  </si>
  <si>
    <t xml:space="preserve">71 porções. 236,6 g </t>
  </si>
  <si>
    <t>17 porções. 25,8 g</t>
  </si>
  <si>
    <t>17 porções. 5,8 g</t>
  </si>
  <si>
    <t>Lança-perfume. 5 frascos. 85 ml</t>
  </si>
  <si>
    <t>4 porções. 1 g</t>
  </si>
  <si>
    <t>16 porções. 64,3 g</t>
  </si>
  <si>
    <t>2 porções. 3,2 g</t>
  </si>
  <si>
    <t>2 porções. 0,3 g</t>
  </si>
  <si>
    <t>140 porções. 177,2 g</t>
  </si>
  <si>
    <t>25 porções. 25,7 g</t>
  </si>
  <si>
    <t>18 comprimidos. 5,3 g</t>
  </si>
  <si>
    <t>7 porções. 13,3 g</t>
  </si>
  <si>
    <t>47 porções. 22,2 g</t>
  </si>
  <si>
    <t>30 porções. 5,5 g</t>
  </si>
  <si>
    <t>5 porções. 0,1 g</t>
  </si>
  <si>
    <t>129 porções. 18,2 g</t>
  </si>
  <si>
    <t>13 comprimidos. 4,6 g</t>
  </si>
  <si>
    <t>26 porções. 10,4 g</t>
  </si>
  <si>
    <t>Haxixe. 30 porções. 19,6 g</t>
  </si>
  <si>
    <t>10 porções. 12 g</t>
  </si>
  <si>
    <t>128 porções. 47,8 g</t>
  </si>
  <si>
    <t>65 porções. 4,1 g</t>
  </si>
  <si>
    <t>32 porções. 51,7 g</t>
  </si>
  <si>
    <t>8 porções. 86,4 g</t>
  </si>
  <si>
    <t>7 porções. 1,2 g</t>
  </si>
  <si>
    <t>24 porções. 40 g</t>
  </si>
  <si>
    <t>10 porções. 13,5 g</t>
  </si>
  <si>
    <t>12 porções. 9,1 g</t>
  </si>
  <si>
    <t xml:space="preserve">3 porções. 4,3 g </t>
  </si>
  <si>
    <t>14 porções. 26,2 g</t>
  </si>
  <si>
    <t>159 porções. 70,5 g</t>
  </si>
  <si>
    <t>1 porção. 0,9 g</t>
  </si>
  <si>
    <t>15 porções. 27,4 g</t>
  </si>
  <si>
    <t>8 porções. 1,8 g</t>
  </si>
  <si>
    <t>38 porções. 52,4 g</t>
  </si>
  <si>
    <t>47 porções. 56,6 g</t>
  </si>
  <si>
    <t>3 porções. 1,5 g</t>
  </si>
  <si>
    <t>24 porções. 47,2 g</t>
  </si>
  <si>
    <t>21 porções. 9,4 g</t>
  </si>
  <si>
    <t>10 porções. 5 g</t>
  </si>
  <si>
    <t>10 porções. 1,9 g</t>
  </si>
  <si>
    <t>123 porções. 267,7 g</t>
  </si>
  <si>
    <t>152 porções. 55,2 g</t>
  </si>
  <si>
    <t>56 porções. 118,9 g</t>
  </si>
  <si>
    <t>55 porções. 24,7 g</t>
  </si>
  <si>
    <t>Haxixe. 8 porções. 4,1 g</t>
  </si>
  <si>
    <t>37 porções. 65,3 g</t>
  </si>
  <si>
    <t>100 porções. 73,6 g</t>
  </si>
  <si>
    <t>65 porções. 29 g</t>
  </si>
  <si>
    <t>1 porção. 2,5 g</t>
  </si>
  <si>
    <t>50 porções. 37,8 g</t>
  </si>
  <si>
    <t>39 porções. 17,1 g</t>
  </si>
  <si>
    <t>44 porções. 39 g</t>
  </si>
  <si>
    <t>19 comprimidos. 5,3 g</t>
  </si>
  <si>
    <t>27 porções. 0,5 g</t>
  </si>
  <si>
    <t>9 porções. 17,8 g</t>
  </si>
  <si>
    <t>40 porções. 103,7 g</t>
  </si>
  <si>
    <t>42 porções. 22,2 g</t>
  </si>
  <si>
    <t>24 porções. 8,7 g</t>
  </si>
  <si>
    <t>269 porções. 141,1 g</t>
  </si>
  <si>
    <t>23 porções. 52,7 g</t>
  </si>
  <si>
    <t>28 porções. 19,8 g</t>
  </si>
  <si>
    <t>39 porções. 91,7 g</t>
  </si>
  <si>
    <t>92 porções. 21,3 g</t>
  </si>
  <si>
    <t>Lança-perfume. 1 frasco. 12 ml</t>
  </si>
  <si>
    <t>224 porções. 40,7 g</t>
  </si>
  <si>
    <t>96 porções. 21,1 g</t>
  </si>
  <si>
    <t>11 porções. 29,2 g</t>
  </si>
  <si>
    <t>35 porções. 17,8 g</t>
  </si>
  <si>
    <t xml:space="preserve">2 porções. 0,7 g </t>
  </si>
  <si>
    <t>401 comprimidos. 246,3 g</t>
  </si>
  <si>
    <t>13 porções. 0,2 g</t>
  </si>
  <si>
    <t>5 porções. 47,4 g</t>
  </si>
  <si>
    <t>38 porções. 5,6 g</t>
  </si>
  <si>
    <t>5 porções. 10,5 g</t>
  </si>
  <si>
    <t>44 porções. 137,5 g</t>
  </si>
  <si>
    <t>9 comprimidos. 2,7 g</t>
  </si>
  <si>
    <t>Lança-perfume. 31 frascos. 155 ml</t>
  </si>
  <si>
    <t>16 porções. 46,1 g</t>
  </si>
  <si>
    <t>11 porções. 15,5 g</t>
  </si>
  <si>
    <t>71 porções. 45,6 g</t>
  </si>
  <si>
    <t xml:space="preserve">25 porções. 4,3 g </t>
  </si>
  <si>
    <t>Lança-perfume. 5 frascos. 32,5 ml</t>
  </si>
  <si>
    <t>10 porções. 30,3 g</t>
  </si>
  <si>
    <t>5 porções. 2,1 g</t>
  </si>
  <si>
    <t>10 comprimidos. 3,7 g</t>
  </si>
  <si>
    <t>8 porções. 0,1 g</t>
  </si>
  <si>
    <t>100 porções. 11,4 g</t>
  </si>
  <si>
    <t>8 porções. 3,2 g</t>
  </si>
  <si>
    <t>39 porções. 88,2 g</t>
  </si>
  <si>
    <t>30 porções. 8,2 g</t>
  </si>
  <si>
    <t>43 porções. 13,3 g</t>
  </si>
  <si>
    <t>26 porções. 20g</t>
  </si>
  <si>
    <t>78 porções. 111,8 g</t>
  </si>
  <si>
    <t>600 porções. 811,6 g</t>
  </si>
  <si>
    <t>4 sacos. 1 tijolo. 842,2 (total)</t>
  </si>
  <si>
    <t>40 porções. 1 tijolo. 680,40 g (total)</t>
  </si>
  <si>
    <t>115 porções. 16 tijolos. 14402 g (total)</t>
  </si>
  <si>
    <t>44 porções. 2 tijolos. 1034,7 g (total)</t>
  </si>
  <si>
    <t>201 porções. 3 tijolos. 728,2 g (total)</t>
  </si>
  <si>
    <t>27 porções. 22,4 g</t>
  </si>
  <si>
    <t>50 tijolos. 45962 g</t>
  </si>
  <si>
    <t>89 porções. 67,1 g</t>
  </si>
  <si>
    <t>99 porções. 30,3 g</t>
  </si>
  <si>
    <t>7 sacos. 1 tijolo. 3000 g (total)</t>
  </si>
  <si>
    <t>78 porções. 63,8 g</t>
  </si>
  <si>
    <t>32 porções. 57,1 g</t>
  </si>
  <si>
    <t>16 porções. 13,7 g</t>
  </si>
  <si>
    <t>23 porções. 3,3 g</t>
  </si>
  <si>
    <t>9 porções. 5,9 g</t>
  </si>
  <si>
    <t>1 porção. 0,6 g</t>
  </si>
  <si>
    <t>22 porções. 3,9 g</t>
  </si>
  <si>
    <t>80 porções. 148,5 g</t>
  </si>
  <si>
    <t>Haxixe. 37 porções. 9,9 g. Skank. 1 porção. 0,9 g</t>
  </si>
  <si>
    <t>57 porções. 36,6 g</t>
  </si>
  <si>
    <t>7 porções. 1,1 g</t>
  </si>
  <si>
    <t>13 porções. 11,8 g</t>
  </si>
  <si>
    <t>118 porções. 57,6 g</t>
  </si>
  <si>
    <t>160 porções. 9 tijolos. 1961,4 g (total)</t>
  </si>
  <si>
    <t>18 porções. 7 g</t>
  </si>
  <si>
    <t>107 porções. 26,5 g</t>
  </si>
  <si>
    <t>200 porções. 27 g</t>
  </si>
  <si>
    <t>Lança-perfume. 1 frasco. 50000 ml</t>
  </si>
  <si>
    <t>Lança-perfume. 8 frascos. 136 ml</t>
  </si>
  <si>
    <t>35 porções. 127,5 g</t>
  </si>
  <si>
    <t>Lança-perfume. 1 frasco. 10 ml. Haxixe. 3 porções. 1,1 g</t>
  </si>
  <si>
    <t>Lança-perfume. 1 frasco. 8 ml</t>
  </si>
  <si>
    <t>Lança-perfume. 58 frascos. 580 ml. Haxixe. 66 porções. 34,8 g</t>
  </si>
  <si>
    <t>Lança-perfume. 11 frascos. 71,5 ml</t>
  </si>
  <si>
    <t>Lança-perfume. 40 frascos. 160 ml</t>
  </si>
  <si>
    <t>Processo (cont)</t>
  </si>
  <si>
    <t>Qtde processos</t>
  </si>
  <si>
    <t>Data de disponibilização do processo</t>
  </si>
  <si>
    <t>De</t>
  </si>
  <si>
    <t>Até</t>
  </si>
  <si>
    <t>Contagem de Juiz</t>
  </si>
  <si>
    <t>Contagem de Vara</t>
  </si>
  <si>
    <t>Nome (cont)</t>
  </si>
  <si>
    <t>Qtde réus</t>
  </si>
  <si>
    <t>Contagem de Local</t>
  </si>
  <si>
    <t>Contagem de Sexo</t>
  </si>
  <si>
    <t>Contagem de Cutis</t>
  </si>
  <si>
    <t>Contagem de Sentença</t>
  </si>
  <si>
    <t>Contagem de Agravantes33</t>
  </si>
  <si>
    <t>Contagem de Atenuantes33</t>
  </si>
  <si>
    <t>Contagem de Aumento33</t>
  </si>
  <si>
    <t>TotPen (meses)</t>
  </si>
  <si>
    <t>Contagem de Substituição da pena</t>
  </si>
  <si>
    <t>Contagem de Regime inicial</t>
  </si>
  <si>
    <t>4. Questões de pesquisa:</t>
  </si>
  <si>
    <t>(i) Há disparidade de gênero e raça, pensados em grupos etários, (individual e conjuntamente consideradas) nas decisões judiciais de (1) tipo de sentença; (2) aplicação de tráfico privilegiado; (3) substituição da pena; (4) regime inicial de cumprimento da pena; (5) quantidade da pena restritiva de liberdade aplicada para o art. 33; e (6) quantidade da pena restritiva de liberdade total?</t>
  </si>
  <si>
    <t>(ii) Há disparidade de gênero e raça, pensados em grupos etários, (individual e conjuntamente consideradas) nessas decisões judiciais associada à Vara Criminal?</t>
  </si>
  <si>
    <t>(iii) Há disparidade de gênero e raça, pensados em grupos etários, do réu (individual e conjuntamente consideradas) nessas decisões judiciais associada ao juiz sentenciante?</t>
  </si>
  <si>
    <t>(iv) Há essas disparidades nas referidas decisões judiciais quando os fatores legais (quantidade da droga, natureza da droga, variedade, personalidade, conduta, consequências, antecedentes, reincidência, agravantes, atenuantes, aumento, §4º, etc) são levados em consideração?</t>
  </si>
  <si>
    <t xml:space="preserve">5. Hipóteses: </t>
  </si>
  <si>
    <t>i) Os fatores legais serão preponderantes para as decisões de encarceramento e quantidade de pena aplicada.</t>
  </si>
  <si>
    <t>ii) Haverá interação entre gênero e raça tal que mulheres serão menos propensas a ser encarceradas e receberão sentenças menores do que os homens em cada grupo racial. Além disso, as diferenças entre homens e mulheres serão maiores para pessoas negras do que para brancas.</t>
  </si>
  <si>
    <t>iii) Haverá diferenças entre os grupos raciais por gênero tal que homens brancos terão menor probabilidade de ser encarcerados e receberão sentenças menores do que os negros. Isso também será verdade para mulheres, com brancas possuindo menor probabilidade de ser encarceradas e menores sentenças do que as negras.</t>
  </si>
  <si>
    <t>iv) Haverá interação entre idade e sentenciamento, em todos os grupos de raça e gênero, tal que os mais jovens, que não constituem a hipótese de menoridade relativa (até 21 anos), terão maior probabilidade de ser encarcerados e receber maiores penas, sendo esse efeito maior para pessoas negras.</t>
  </si>
  <si>
    <t>v) Mesmo os fatores legais serão analisados de forma distinta a depender da raça, gênero e idade dos/as réus/rés, com construção de figuras jurídicas pretensamente neutras para aumentar a pena de homens jovens negros: tais como dedicação às atividades criminosas, personalidade, habitualidade, quantidade, local conhecido como ponto de tráfico, natureza da droga, entre outras.</t>
  </si>
  <si>
    <t>vi) Determinadas varas ou juízes apresentarão efeitos mais ou menos pronunciados de disparidades de gênero, raça e idade no sentenciamento por tráfico de drogas.</t>
  </si>
  <si>
    <r>
      <t xml:space="preserve">1. Título provisório: </t>
    </r>
    <r>
      <rPr>
        <sz val="11"/>
        <color theme="1"/>
        <rFont val="Calibri"/>
        <family val="2"/>
        <scheme val="minor"/>
      </rPr>
      <t>Gênero e Raça no Sentenciamento de Tráfico de Drogas na cidade de São Paulo.</t>
    </r>
  </si>
  <si>
    <r>
      <t xml:space="preserve">2. Tema de pesquisa: </t>
    </r>
    <r>
      <rPr>
        <sz val="11"/>
        <color theme="1"/>
        <rFont val="Calibri"/>
        <family val="2"/>
        <scheme val="minor"/>
      </rPr>
      <t>Disparidades no sentenciamento decorrente de fatores extralegais, baseados em estereótipos criminais de gênero e raça, incutidos no imaginário dos/as operadores do sistema de justiça.</t>
    </r>
  </si>
  <si>
    <r>
      <t xml:space="preserve">3. Objetivo: </t>
    </r>
    <r>
      <rPr>
        <sz val="11"/>
        <color theme="1"/>
        <rFont val="Calibri"/>
        <family val="2"/>
        <scheme val="minor"/>
      </rPr>
      <t>O objetivo é descobrir se gênero e raça são variáveis fortemente correlacionadas com a severidade da sentença dos crimes de tráfico, mesmo controlados os fatores esperados e previstos legalmente.</t>
    </r>
  </si>
  <si>
    <t>Idade</t>
  </si>
  <si>
    <t>Maconha (g)</t>
  </si>
  <si>
    <t>Cocaína (g)</t>
  </si>
  <si>
    <t>Crack (g)</t>
  </si>
  <si>
    <t>Ecstasy (g)</t>
  </si>
  <si>
    <t>LSD (g)</t>
  </si>
  <si>
    <t>Pena33 (meses)</t>
  </si>
  <si>
    <t>ID</t>
  </si>
  <si>
    <t>Cutis (agrup)</t>
  </si>
  <si>
    <t>Row Labels</t>
  </si>
  <si>
    <t>Grand Total</t>
  </si>
  <si>
    <t>Count of Sentença</t>
  </si>
  <si>
    <t>Branco e amarelo</t>
  </si>
  <si>
    <t>Negros, pardos e outros</t>
  </si>
  <si>
    <t>Sentença (agrup)</t>
  </si>
  <si>
    <t>Sem Condenação por tráfico</t>
  </si>
  <si>
    <t>Condenação por tráfico</t>
  </si>
  <si>
    <t>Gênero</t>
  </si>
  <si>
    <t>Qtde</t>
  </si>
  <si>
    <t>(%)</t>
  </si>
  <si>
    <t>Total</t>
  </si>
  <si>
    <t>Count of Cutis (agrup)</t>
  </si>
  <si>
    <t>Raça</t>
  </si>
  <si>
    <t>Raça (agrupado)</t>
  </si>
  <si>
    <t>Count of Idade</t>
  </si>
  <si>
    <t>Average of Idade2</t>
  </si>
  <si>
    <t>Min of Idade2</t>
  </si>
  <si>
    <t>Max of Idade2</t>
  </si>
  <si>
    <t>StdDev of Idade2</t>
  </si>
  <si>
    <t>Variável</t>
  </si>
  <si>
    <t>Qtde dados válidos</t>
  </si>
  <si>
    <t>Média</t>
  </si>
  <si>
    <t>Mínimo</t>
  </si>
  <si>
    <t>Máximo</t>
  </si>
  <si>
    <t>Desvio Padrão</t>
  </si>
  <si>
    <t>Tipo de sentença</t>
  </si>
  <si>
    <t>Count of Sentença (agrup)</t>
  </si>
  <si>
    <t>Tipo de sentença (agrup)</t>
  </si>
  <si>
    <t>Count of §4º</t>
  </si>
  <si>
    <t>4º - tráfico privilegiado</t>
  </si>
  <si>
    <t>4º - tráfico privilegiado (agrupado)</t>
  </si>
  <si>
    <t>§4º (agrupado)</t>
  </si>
  <si>
    <t>Sim (total ou parcial)</t>
  </si>
  <si>
    <t>Não cabimento / Não informado</t>
  </si>
  <si>
    <t>Count of §4º (agrupado)</t>
  </si>
  <si>
    <t>Substituição de pena</t>
  </si>
  <si>
    <t>Regime inicial de cumprimento de pena</t>
  </si>
  <si>
    <t>Regime inicial (agrupado)</t>
  </si>
  <si>
    <t>Fechado</t>
  </si>
  <si>
    <t>Count of Regime inicial (agrupado)</t>
  </si>
  <si>
    <t>Regime inicial de cumprimento de pena (agrupado)</t>
  </si>
  <si>
    <t>Count of TotPen (meses)</t>
  </si>
  <si>
    <t>Average of TotPen (meses)2</t>
  </si>
  <si>
    <t>Min of TotPen (meses)2</t>
  </si>
  <si>
    <t>Max of TotPen (meses)2</t>
  </si>
  <si>
    <t>StdDev of TotPen (meses)2</t>
  </si>
  <si>
    <t>Tempo total da pena (meses)</t>
  </si>
  <si>
    <t>(Multiple Items)</t>
  </si>
  <si>
    <t>* incluindo Absolvição / Desclassificação</t>
  </si>
  <si>
    <t>* desconsiderando Absolvição / Desclassificação</t>
  </si>
  <si>
    <t>Count of Pena33 (meses)</t>
  </si>
  <si>
    <t>Average of Pena33 (meses)2</t>
  </si>
  <si>
    <t>Min of Pena33 (meses)2</t>
  </si>
  <si>
    <t>Max of Pena33 (meses)2</t>
  </si>
  <si>
    <t>StdDev of Pena33 (meses)2</t>
  </si>
  <si>
    <t>* incluindo sem aplicação do Art. 33</t>
  </si>
  <si>
    <t>Tempo total da pena pela aplicação de art.33 (meses)</t>
  </si>
  <si>
    <t>* excluindo sem aplicação do Art. 33</t>
  </si>
  <si>
    <t>Count of Maconha (g)</t>
  </si>
  <si>
    <t>Average of Maconha (g)2</t>
  </si>
  <si>
    <t>Min of Maconha (g)2</t>
  </si>
  <si>
    <t>Max of Maconha (g)2</t>
  </si>
  <si>
    <t>StdDev of Maconha (g)2</t>
  </si>
  <si>
    <t>Count of Cocaína (g)</t>
  </si>
  <si>
    <t>Count of Cocaína (g)2</t>
  </si>
  <si>
    <t>Average of Cocaína (g)2</t>
  </si>
  <si>
    <t>Min of Cocaína (g)2</t>
  </si>
  <si>
    <t>Max of Cocaína (g)2</t>
  </si>
  <si>
    <t>Count of Crack (g)</t>
  </si>
  <si>
    <t>Average of Crack (g)2</t>
  </si>
  <si>
    <t>Min of Crack (g)2</t>
  </si>
  <si>
    <t>Max of Crack (g)2</t>
  </si>
  <si>
    <t>StdDev of Crack (g)2</t>
  </si>
  <si>
    <t>Count of Ecstasy (g)</t>
  </si>
  <si>
    <t>Average of Ecstasy (g)2</t>
  </si>
  <si>
    <t>Min of Ecstasy (g)2</t>
  </si>
  <si>
    <t>Max of Ecstasy (g)2</t>
  </si>
  <si>
    <t>StdDev of Ecstasy (g)2</t>
  </si>
  <si>
    <t>Count of LSD (g)</t>
  </si>
  <si>
    <t>Average of LSD (g)2</t>
  </si>
  <si>
    <t>Min of LSD (g)2</t>
  </si>
  <si>
    <t>Max of LSD (g)2</t>
  </si>
  <si>
    <t>StdDev of LSD (g)2</t>
  </si>
  <si>
    <t>* incluindo casos sem apreensão</t>
  </si>
  <si>
    <t>* excluindo casos sem apreensão</t>
  </si>
  <si>
    <t>Anabolizantes</t>
  </si>
  <si>
    <t>Haxixe</t>
  </si>
  <si>
    <t>Anorexígenos</t>
  </si>
  <si>
    <t>Skank</t>
  </si>
  <si>
    <t>Lança-perfume</t>
  </si>
  <si>
    <t>Tolueno</t>
  </si>
  <si>
    <t>Outras drogas</t>
  </si>
  <si>
    <t>Agravantes33 (agrup)</t>
  </si>
  <si>
    <t>Atenuantes33 (agrup)</t>
  </si>
  <si>
    <t>Aumento33 (agrup)</t>
  </si>
  <si>
    <t>Agravante</t>
  </si>
  <si>
    <t>Count of Agravantes33 (agrup)</t>
  </si>
  <si>
    <t>Agravante (agrupado)</t>
  </si>
  <si>
    <t>Nenhum</t>
  </si>
  <si>
    <t>Atenuante</t>
  </si>
  <si>
    <t>Count of Atenuantes33 (agrup)</t>
  </si>
  <si>
    <t>Atenuante (agrupado)</t>
  </si>
  <si>
    <t>Arma de fogo</t>
  </si>
  <si>
    <t>Conc. Form.</t>
  </si>
  <si>
    <t>Aumento</t>
  </si>
  <si>
    <t>Count of Aumento33 (agrup)</t>
  </si>
  <si>
    <t>Aumento (agrupado)</t>
  </si>
  <si>
    <t>Qtde Processos</t>
  </si>
  <si>
    <t>(média)</t>
  </si>
  <si>
    <t>Idade (anos)</t>
  </si>
  <si>
    <t>(n)</t>
  </si>
  <si>
    <t>*média calculada desconsiderando os casos em que 0g da droga foram apreendidos</t>
  </si>
  <si>
    <t>Agravantes</t>
  </si>
  <si>
    <t>Atenuantes</t>
  </si>
  <si>
    <t>4º (tráfico privilegiado)</t>
  </si>
  <si>
    <t>*média calculada desconsiderando os casos em que não houve pena</t>
  </si>
  <si>
    <t>Pena 33 (meses)</t>
  </si>
  <si>
    <t>Pena total (meses)</t>
  </si>
  <si>
    <t>Sexo Juiz</t>
  </si>
  <si>
    <t>Count of ID</t>
  </si>
  <si>
    <t>Gênero do Juiz</t>
  </si>
  <si>
    <t>NA (Pena Total &gt; 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</si>
</sst>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R$&quot;#,##0.00;[Red]\-&quot;R$&quot;#,##0.00"/>
    <numFmt numFmtId="165" formatCode="d/m/yyyy"/>
    <numFmt numFmtId="166" formatCode="0.0%"/>
    <numFmt numFmtId="167" formatCode="0.0"/>
  </numFmts>
  <fonts count="13">
    <font>
      <sz val="11"/>
      <color theme="1"/>
      <name val="Calibri"/>
      <family val="2"/>
      <scheme val="minor"/>
    </font>
    <font>
      <sz val="11"/>
      <color theme="1"/>
      <name val="Calibri"/>
      <family val="2"/>
      <scheme val="minor"/>
    </font>
    <font>
      <sz val="11"/>
      <color rgb="FF000000"/>
      <name val="Calibri"/>
      <family val="2"/>
      <scheme val="minor"/>
    </font>
    <font>
      <sz val="11"/>
      <name val="Calibri"/>
      <family val="2"/>
    </font>
    <font>
      <sz val="11"/>
      <name val="Calibri"/>
      <family val="2"/>
    </font>
    <font>
      <sz val="11"/>
      <name val="Calibri"/>
      <family val="2"/>
      <scheme val="minor"/>
    </font>
    <font>
      <sz val="11"/>
      <color theme="0"/>
      <name val="Calibri"/>
      <family val="2"/>
      <scheme val="minor"/>
    </font>
    <font>
      <sz val="11"/>
      <color theme="1" tint="4.9989318521683403E-2"/>
      <name val="Calibri"/>
      <family val="2"/>
      <scheme val="minor"/>
    </font>
    <font>
      <sz val="11"/>
      <color theme="1" tint="4.9989318521683403E-2"/>
      <name val="Calibri"/>
      <family val="2"/>
    </font>
    <font>
      <sz val="11"/>
      <color rgb="FF000000"/>
      <name val="Calibri"/>
    </font>
    <font>
      <sz val="11"/>
      <name val="Calibri"/>
    </font>
    <font>
      <b/>
      <sz val="11"/>
      <color theme="1"/>
      <name val="Calibri"/>
      <family val="2"/>
      <scheme val="minor"/>
    </font>
    <font>
      <sz val="11"/>
      <color theme="0" tint="-0.499984740745262"/>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ECECEC"/>
        <bgColor rgb="FFECECEC"/>
      </patternFill>
    </fill>
    <fill>
      <patternFill patternType="solid">
        <fgColor rgb="FFDADADA"/>
        <bgColor rgb="FFDADADA"/>
      </patternFill>
    </fill>
    <fill>
      <patternFill patternType="solid">
        <fgColor theme="0" tint="-4.9989318521683403E-2"/>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5">
    <xf numFmtId="0" fontId="0" fillId="0" borderId="0"/>
    <xf numFmtId="0" fontId="2" fillId="0" borderId="0"/>
    <xf numFmtId="9" fontId="2" fillId="0" borderId="0" applyFont="0" applyFill="0" applyBorder="0" applyAlignment="0" applyProtection="0"/>
    <xf numFmtId="0" fontId="9" fillId="0" borderId="0"/>
    <xf numFmtId="9" fontId="1" fillId="0" borderId="0" applyFont="0" applyFill="0" applyBorder="0" applyAlignment="0" applyProtection="0"/>
  </cellStyleXfs>
  <cellXfs count="235">
    <xf numFmtId="0" fontId="0" fillId="0" borderId="0" xfId="0"/>
    <xf numFmtId="0" fontId="0" fillId="0" borderId="0" xfId="0" applyAlignment="1"/>
    <xf numFmtId="0" fontId="0" fillId="0" borderId="0" xfId="0" applyAlignment="1">
      <alignment horizontal="left"/>
    </xf>
    <xf numFmtId="0" fontId="1" fillId="0" borderId="0" xfId="0" applyFont="1" applyFill="1" applyBorder="1"/>
    <xf numFmtId="0" fontId="2" fillId="0" borderId="0" xfId="0" applyFont="1"/>
    <xf numFmtId="49" fontId="0" fillId="0" borderId="0" xfId="0" applyNumberFormat="1"/>
    <xf numFmtId="14" fontId="0" fillId="0" borderId="0" xfId="0" applyNumberFormat="1" applyAlignment="1">
      <alignment horizontal="left"/>
    </xf>
    <xf numFmtId="0" fontId="0" fillId="2" borderId="0" xfId="0" applyFill="1"/>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xf numFmtId="0" fontId="2" fillId="0" borderId="0" xfId="1" applyAlignment="1">
      <alignment horizontal="left"/>
    </xf>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14" fontId="2" fillId="0" borderId="0" xfId="1" applyNumberFormat="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0" fillId="0" borderId="0" xfId="0" applyFont="1"/>
    <xf numFmtId="0" fontId="2" fillId="0" borderId="0" xfId="1"/>
    <xf numFmtId="0" fontId="2" fillId="0" borderId="0" xfId="1" applyAlignment="1">
      <alignment horizontal="left"/>
    </xf>
    <xf numFmtId="0" fontId="2" fillId="0" borderId="0" xfId="1"/>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0" fontId="2" fillId="0" borderId="0" xfId="1"/>
    <xf numFmtId="0" fontId="2" fillId="0" borderId="0" xfId="1" applyAlignment="1">
      <alignment horizontal="left"/>
    </xf>
    <xf numFmtId="164" fontId="0" fillId="0" borderId="0" xfId="0" applyNumberFormat="1"/>
    <xf numFmtId="0" fontId="0" fillId="0" borderId="0" xfId="0" applyFill="1"/>
    <xf numFmtId="0" fontId="0" fillId="0" borderId="0" xfId="0" applyFill="1" applyAlignment="1">
      <alignment horizontal="left"/>
    </xf>
    <xf numFmtId="0" fontId="2" fillId="0" borderId="0" xfId="0" applyFont="1" applyFill="1"/>
    <xf numFmtId="14" fontId="0" fillId="0" borderId="0" xfId="0" applyNumberFormat="1" applyFill="1" applyAlignment="1">
      <alignment horizontal="left"/>
    </xf>
    <xf numFmtId="0" fontId="0" fillId="0" borderId="0" xfId="0" applyFill="1" applyAlignment="1"/>
    <xf numFmtId="14" fontId="0" fillId="0" borderId="0" xfId="0" applyNumberFormat="1"/>
    <xf numFmtId="0" fontId="3" fillId="0" borderId="0" xfId="0" applyFont="1"/>
    <xf numFmtId="0" fontId="0" fillId="0" borderId="0" xfId="0" applyFont="1" applyAlignment="1">
      <alignment horizontal="left"/>
    </xf>
    <xf numFmtId="0" fontId="3" fillId="0" borderId="0" xfId="0" applyFont="1" applyAlignment="1"/>
    <xf numFmtId="14" fontId="0" fillId="0" borderId="0" xfId="0" applyNumberFormat="1" applyFont="1" applyAlignment="1">
      <alignment horizontal="left"/>
    </xf>
    <xf numFmtId="0" fontId="0" fillId="0" borderId="0" xfId="0" applyFont="1" applyAlignment="1"/>
    <xf numFmtId="0" fontId="0" fillId="4" borderId="0" xfId="0" applyFont="1" applyFill="1" applyAlignment="1">
      <alignment horizontal="left"/>
    </xf>
    <xf numFmtId="165" fontId="0" fillId="0" borderId="0" xfId="0" applyNumberFormat="1" applyFont="1" applyAlignment="1">
      <alignment horizontal="left"/>
    </xf>
    <xf numFmtId="4" fontId="3" fillId="0" borderId="0" xfId="0" applyNumberFormat="1" applyFont="1" applyAlignment="1"/>
    <xf numFmtId="14" fontId="0" fillId="0" borderId="0" xfId="0" applyNumberFormat="1" applyFont="1" applyFill="1" applyAlignment="1">
      <alignment horizontal="left"/>
    </xf>
    <xf numFmtId="0" fontId="3" fillId="0" borderId="0" xfId="0" applyFont="1" applyFill="1" applyAlignment="1"/>
    <xf numFmtId="0" fontId="4" fillId="0" borderId="0" xfId="0" applyFont="1"/>
    <xf numFmtId="0" fontId="4" fillId="0" borderId="0" xfId="0" applyFont="1" applyAlignment="1"/>
    <xf numFmtId="0" fontId="5" fillId="0" borderId="0" xfId="0" applyFont="1"/>
    <xf numFmtId="0" fontId="5" fillId="0" borderId="0" xfId="0" applyFont="1" applyAlignment="1"/>
    <xf numFmtId="0" fontId="2" fillId="4" borderId="0" xfId="0" applyFont="1" applyFill="1" applyAlignment="1">
      <alignment horizontal="left"/>
    </xf>
    <xf numFmtId="0" fontId="5" fillId="4" borderId="0" xfId="0" applyFont="1" applyFill="1" applyBorder="1" applyAlignment="1"/>
    <xf numFmtId="0" fontId="5" fillId="3" borderId="0" xfId="0" applyFont="1" applyFill="1" applyAlignment="1"/>
    <xf numFmtId="0" fontId="0" fillId="0" borderId="0" xfId="0" applyFont="1" applyFill="1"/>
    <xf numFmtId="0" fontId="0" fillId="0" borderId="0" xfId="0" applyFont="1" applyFill="1" applyAlignment="1">
      <alignment horizontal="left"/>
    </xf>
    <xf numFmtId="0" fontId="5" fillId="0" borderId="0" xfId="0" applyFont="1" applyFill="1" applyAlignment="1"/>
    <xf numFmtId="0" fontId="2" fillId="0" borderId="0" xfId="1" applyFont="1"/>
    <xf numFmtId="0" fontId="7" fillId="0" borderId="0" xfId="0" applyFont="1"/>
    <xf numFmtId="0" fontId="7" fillId="0" borderId="0" xfId="0" applyFont="1" applyFill="1"/>
    <xf numFmtId="0" fontId="8" fillId="0" borderId="0" xfId="0" applyFont="1" applyAlignment="1"/>
    <xf numFmtId="0" fontId="9" fillId="0" borderId="0" xfId="3" applyFont="1" applyAlignment="1"/>
    <xf numFmtId="0" fontId="10" fillId="0" borderId="0" xfId="3" applyFont="1"/>
    <xf numFmtId="0" fontId="10" fillId="0" borderId="0" xfId="3" applyFont="1" applyAlignment="1"/>
    <xf numFmtId="0" fontId="10" fillId="0" borderId="0" xfId="3" applyFont="1" applyFill="1" applyAlignment="1"/>
    <xf numFmtId="0" fontId="3" fillId="0" borderId="0" xfId="3" applyFont="1"/>
    <xf numFmtId="0" fontId="3" fillId="0" borderId="0" xfId="3" applyFont="1" applyFill="1"/>
    <xf numFmtId="0" fontId="10" fillId="0" borderId="0" xfId="3" applyFont="1" applyFill="1"/>
    <xf numFmtId="0" fontId="3" fillId="0" borderId="0" xfId="3" applyFont="1" applyAlignment="1"/>
    <xf numFmtId="0" fontId="3" fillId="0" borderId="0" xfId="3" applyFont="1" applyFill="1" applyAlignment="1"/>
    <xf numFmtId="0" fontId="5" fillId="0" borderId="0" xfId="0" applyFont="1" applyFill="1"/>
    <xf numFmtId="0" fontId="6" fillId="0" borderId="0" xfId="0" applyFont="1" applyFill="1"/>
    <xf numFmtId="0" fontId="11" fillId="0" borderId="0" xfId="0" applyFont="1"/>
    <xf numFmtId="0" fontId="0" fillId="0" borderId="0" xfId="0" pivotButton="1"/>
    <xf numFmtId="0" fontId="0" fillId="0" borderId="0" xfId="0" applyNumberFormat="1"/>
    <xf numFmtId="0" fontId="11" fillId="5" borderId="0" xfId="0" applyFont="1" applyFill="1"/>
    <xf numFmtId="0" fontId="0" fillId="5" borderId="0" xfId="0" applyFill="1"/>
    <xf numFmtId="0" fontId="11" fillId="0" borderId="0" xfId="0" applyFont="1" applyAlignment="1">
      <alignment horizontal="justify" vertical="center"/>
    </xf>
    <xf numFmtId="14" fontId="11" fillId="5" borderId="0" xfId="0" applyNumberFormat="1" applyFont="1" applyFill="1"/>
    <xf numFmtId="14" fontId="0" fillId="5" borderId="0" xfId="0" applyNumberFormat="1" applyFill="1"/>
    <xf numFmtId="1" fontId="0" fillId="5" borderId="0" xfId="0" applyNumberFormat="1" applyFill="1"/>
    <xf numFmtId="0" fontId="0" fillId="5" borderId="0" xfId="0" applyFont="1" applyFill="1"/>
    <xf numFmtId="0" fontId="0" fillId="0" borderId="1" xfId="0" applyBorder="1"/>
    <xf numFmtId="0" fontId="0" fillId="0" borderId="2" xfId="0" applyBorder="1"/>
    <xf numFmtId="166" fontId="0" fillId="0" borderId="0" xfId="4" applyNumberFormat="1" applyFont="1" applyAlignment="1">
      <alignment horizontal="left"/>
    </xf>
    <xf numFmtId="166" fontId="0" fillId="0" borderId="2" xfId="4" applyNumberFormat="1" applyFont="1" applyBorder="1" applyAlignment="1">
      <alignment horizontal="left"/>
    </xf>
    <xf numFmtId="0" fontId="11" fillId="0" borderId="2" xfId="0" applyFont="1" applyBorder="1"/>
    <xf numFmtId="0" fontId="11" fillId="0" borderId="2" xfId="0" applyFont="1" applyBorder="1" applyAlignment="1">
      <alignment horizontal="right"/>
    </xf>
    <xf numFmtId="0" fontId="0" fillId="0" borderId="0" xfId="0" applyBorder="1"/>
    <xf numFmtId="166" fontId="0" fillId="0" borderId="0" xfId="4" applyNumberFormat="1" applyFont="1" applyBorder="1" applyAlignment="1">
      <alignment horizontal="left"/>
    </xf>
    <xf numFmtId="0" fontId="0" fillId="0" borderId="3" xfId="0" applyBorder="1"/>
    <xf numFmtId="167" fontId="0" fillId="0" borderId="2" xfId="0" applyNumberFormat="1" applyBorder="1"/>
    <xf numFmtId="2" fontId="0" fillId="0" borderId="2" xfId="0" applyNumberFormat="1" applyBorder="1"/>
    <xf numFmtId="166" fontId="0" fillId="0" borderId="1" xfId="4" applyNumberFormat="1" applyFont="1" applyBorder="1" applyAlignment="1">
      <alignment horizontal="left"/>
    </xf>
    <xf numFmtId="0" fontId="11" fillId="0" borderId="2" xfId="0" applyFont="1" applyBorder="1" applyAlignment="1">
      <alignment horizontal="left"/>
    </xf>
    <xf numFmtId="166" fontId="0" fillId="0" borderId="3" xfId="4" applyNumberFormat="1" applyFont="1" applyBorder="1" applyAlignment="1">
      <alignment horizontal="left"/>
    </xf>
    <xf numFmtId="0" fontId="0" fillId="0" borderId="2" xfId="0" applyBorder="1" applyAlignment="1">
      <alignment horizontal="right"/>
    </xf>
    <xf numFmtId="0" fontId="0" fillId="0" borderId="4" xfId="0" applyBorder="1" applyAlignment="1">
      <alignment horizontal="right"/>
    </xf>
    <xf numFmtId="0" fontId="0" fillId="0" borderId="5" xfId="0" applyBorder="1"/>
    <xf numFmtId="0" fontId="0" fillId="0" borderId="6" xfId="0" applyBorder="1"/>
    <xf numFmtId="0" fontId="11" fillId="0" borderId="0" xfId="0" applyFont="1" applyFill="1"/>
    <xf numFmtId="0" fontId="11" fillId="0" borderId="8" xfId="0" applyFont="1" applyBorder="1"/>
    <xf numFmtId="0" fontId="0" fillId="0" borderId="1" xfId="0" applyFont="1" applyFill="1" applyBorder="1"/>
    <xf numFmtId="0" fontId="0" fillId="0" borderId="9" xfId="0" applyFont="1" applyFill="1" applyBorder="1"/>
    <xf numFmtId="0" fontId="0" fillId="0" borderId="10" xfId="0" applyFont="1" applyFill="1" applyBorder="1"/>
    <xf numFmtId="0" fontId="0" fillId="0" borderId="0" xfId="0" applyFont="1" applyFill="1" applyBorder="1"/>
    <xf numFmtId="0" fontId="0" fillId="0" borderId="7" xfId="0" applyFont="1" applyFill="1" applyBorder="1"/>
    <xf numFmtId="0" fontId="11" fillId="0" borderId="3" xfId="0" applyFont="1" applyBorder="1"/>
    <xf numFmtId="0" fontId="0" fillId="0" borderId="0" xfId="0" applyAlignment="1">
      <alignment horizontal="center"/>
    </xf>
    <xf numFmtId="0" fontId="11" fillId="0" borderId="1" xfId="0" applyFont="1" applyBorder="1" applyAlignment="1">
      <alignment horizontal="center"/>
    </xf>
    <xf numFmtId="0" fontId="11" fillId="0" borderId="2" xfId="0" applyFont="1" applyBorder="1" applyAlignment="1">
      <alignment horizontal="center"/>
    </xf>
    <xf numFmtId="0" fontId="0" fillId="0" borderId="0" xfId="0" applyFont="1" applyBorder="1" applyAlignment="1">
      <alignment horizontal="center"/>
    </xf>
    <xf numFmtId="9" fontId="0" fillId="0" borderId="0" xfId="4" applyFont="1" applyBorder="1" applyAlignment="1">
      <alignment horizontal="center"/>
    </xf>
    <xf numFmtId="0" fontId="11" fillId="0" borderId="9" xfId="0" applyFont="1" applyBorder="1" applyAlignment="1">
      <alignment horizontal="center"/>
    </xf>
    <xf numFmtId="0" fontId="11" fillId="0" borderId="8" xfId="0" applyFont="1" applyBorder="1" applyAlignment="1">
      <alignment horizontal="center"/>
    </xf>
    <xf numFmtId="167" fontId="0" fillId="0" borderId="9" xfId="0" applyNumberFormat="1" applyFont="1" applyBorder="1" applyAlignment="1">
      <alignment horizontal="center"/>
    </xf>
    <xf numFmtId="0" fontId="11" fillId="0" borderId="4" xfId="0" applyFont="1" applyBorder="1" applyAlignment="1">
      <alignment horizontal="center"/>
    </xf>
    <xf numFmtId="1" fontId="0" fillId="0" borderId="0" xfId="0" applyNumberFormat="1" applyFont="1" applyBorder="1" applyAlignment="1">
      <alignment horizontal="center"/>
    </xf>
    <xf numFmtId="167" fontId="0" fillId="0" borderId="0" xfId="0" applyNumberFormat="1" applyAlignment="1">
      <alignment horizontal="center"/>
    </xf>
    <xf numFmtId="0" fontId="12" fillId="0" borderId="0" xfId="0" applyFont="1"/>
    <xf numFmtId="0" fontId="0" fillId="0" borderId="9" xfId="0" applyBorder="1" applyAlignment="1">
      <alignment horizontal="center"/>
    </xf>
    <xf numFmtId="0" fontId="0" fillId="0" borderId="0" xfId="0" applyBorder="1" applyAlignment="1">
      <alignment horizontal="center"/>
    </xf>
    <xf numFmtId="0" fontId="11" fillId="0" borderId="9" xfId="0" applyFont="1" applyFill="1" applyBorder="1" applyAlignment="1">
      <alignment horizontal="center"/>
    </xf>
    <xf numFmtId="0" fontId="11" fillId="0" borderId="2" xfId="0" applyFont="1" applyFill="1" applyBorder="1" applyAlignment="1">
      <alignment horizontal="center"/>
    </xf>
    <xf numFmtId="0" fontId="0" fillId="0" borderId="0" xfId="0" applyFill="1" applyAlignment="1">
      <alignment horizontal="center"/>
    </xf>
    <xf numFmtId="9" fontId="0" fillId="0" borderId="0" xfId="4" applyFont="1" applyFill="1" applyAlignment="1">
      <alignment horizontal="center"/>
    </xf>
    <xf numFmtId="0" fontId="0" fillId="0" borderId="0" xfId="0" applyFont="1" applyFill="1" applyBorder="1" applyAlignment="1">
      <alignment horizontal="center"/>
    </xf>
    <xf numFmtId="9" fontId="1" fillId="0" borderId="0" xfId="4" applyFont="1" applyFill="1" applyBorder="1" applyAlignment="1">
      <alignment horizontal="center"/>
    </xf>
    <xf numFmtId="9" fontId="0" fillId="0" borderId="9" xfId="4" applyFont="1" applyFill="1" applyBorder="1" applyAlignment="1">
      <alignment horizontal="center"/>
    </xf>
    <xf numFmtId="0" fontId="0" fillId="0" borderId="5" xfId="0" applyFont="1" applyFill="1" applyBorder="1" applyAlignment="1">
      <alignment horizontal="center"/>
    </xf>
    <xf numFmtId="0" fontId="11" fillId="0" borderId="4" xfId="0" applyFont="1" applyFill="1" applyBorder="1" applyAlignment="1">
      <alignment horizontal="center"/>
    </xf>
    <xf numFmtId="0" fontId="0" fillId="0" borderId="5" xfId="0" applyFill="1" applyBorder="1" applyAlignment="1">
      <alignment horizontal="center"/>
    </xf>
    <xf numFmtId="9" fontId="1" fillId="0" borderId="9" xfId="4" applyFont="1" applyFill="1" applyBorder="1" applyAlignment="1">
      <alignment horizontal="center"/>
    </xf>
    <xf numFmtId="0" fontId="11" fillId="0" borderId="10" xfId="0" applyFont="1" applyBorder="1" applyAlignment="1">
      <alignment horizontal="center"/>
    </xf>
    <xf numFmtId="0" fontId="0" fillId="0" borderId="5" xfId="4" applyNumberFormat="1" applyFont="1" applyFill="1" applyBorder="1" applyAlignment="1">
      <alignment horizontal="center"/>
    </xf>
    <xf numFmtId="167" fontId="0" fillId="0" borderId="0" xfId="4" applyNumberFormat="1" applyFont="1" applyFill="1" applyBorder="1" applyAlignment="1">
      <alignment horizontal="center"/>
    </xf>
    <xf numFmtId="167" fontId="0" fillId="0" borderId="9" xfId="0" applyNumberFormat="1" applyFont="1" applyFill="1" applyBorder="1" applyAlignment="1">
      <alignment horizontal="center"/>
    </xf>
    <xf numFmtId="0" fontId="0" fillId="0" borderId="5" xfId="0" applyBorder="1" applyAlignment="1">
      <alignment horizontal="center"/>
    </xf>
    <xf numFmtId="9" fontId="0" fillId="0" borderId="9" xfId="4" applyFont="1" applyBorder="1" applyAlignment="1">
      <alignment horizontal="center"/>
    </xf>
    <xf numFmtId="0" fontId="11" fillId="0" borderId="5" xfId="0" applyFont="1" applyFill="1" applyBorder="1" applyAlignment="1">
      <alignment horizontal="center"/>
    </xf>
    <xf numFmtId="0" fontId="11" fillId="0" borderId="9" xfId="0" applyFont="1" applyFill="1" applyBorder="1" applyAlignment="1">
      <alignment horizontal="center"/>
    </xf>
    <xf numFmtId="0" fontId="11" fillId="0" borderId="1" xfId="0" applyFont="1" applyBorder="1" applyAlignment="1">
      <alignment horizontal="center"/>
    </xf>
    <xf numFmtId="0" fontId="11" fillId="0" borderId="6" xfId="0" applyFont="1" applyBorder="1" applyAlignment="1">
      <alignment horizontal="center"/>
    </xf>
    <xf numFmtId="0" fontId="11" fillId="0" borderId="6" xfId="0" applyFont="1" applyFill="1" applyBorder="1" applyAlignment="1">
      <alignment horizontal="center"/>
    </xf>
    <xf numFmtId="0" fontId="11" fillId="0" borderId="10" xfId="0" applyFont="1" applyFill="1" applyBorder="1" applyAlignment="1">
      <alignment horizontal="center"/>
    </xf>
    <xf numFmtId="0" fontId="11" fillId="0" borderId="0" xfId="0" applyFont="1" applyBorder="1" applyAlignment="1">
      <alignment horizontal="center"/>
    </xf>
    <xf numFmtId="0" fontId="11" fillId="0" borderId="10" xfId="0" applyFont="1" applyBorder="1" applyAlignment="1">
      <alignment horizontal="center"/>
    </xf>
    <xf numFmtId="0" fontId="11" fillId="0" borderId="1" xfId="0" applyFont="1" applyFill="1" applyBorder="1" applyAlignment="1">
      <alignment horizontal="center"/>
    </xf>
    <xf numFmtId="0" fontId="11" fillId="0" borderId="0" xfId="0" applyFont="1" applyFill="1" applyBorder="1" applyAlignment="1">
      <alignment horizontal="center"/>
    </xf>
  </cellXfs>
  <cellStyles count="5">
    <cellStyle name="Normal" xfId="0" builtinId="0"/>
    <cellStyle name="Normal 2" xfId="1"/>
    <cellStyle name="Normal 3" xfId="3"/>
    <cellStyle name="Percent" xfId="4" builtinId="5"/>
    <cellStyle name="Porcentagem 2" xfId="2"/>
  </cellStyles>
  <dxfs count="26">
    <dxf>
      <numFmt numFmtId="30" formatCode="@"/>
    </dxf>
    <dxf>
      <font>
        <strike val="0"/>
        <outline val="0"/>
        <shadow val="0"/>
        <u val="none"/>
        <vertAlign val="baseline"/>
        <sz val="11"/>
        <color auto="1"/>
        <name val="Calibri"/>
      </font>
    </dxf>
    <dxf>
      <font>
        <strike val="0"/>
        <outline val="0"/>
        <shadow val="0"/>
        <u val="none"/>
        <vertAlign val="baseline"/>
        <sz val="11"/>
        <color auto="1"/>
        <name val="Calibri"/>
      </font>
    </dxf>
    <dxf>
      <font>
        <strike val="0"/>
        <outline val="0"/>
        <shadow val="0"/>
        <u val="none"/>
        <vertAlign val="baseline"/>
        <sz val="11"/>
        <color auto="1"/>
        <name val="Calibri"/>
      </font>
    </dxf>
    <dxf>
      <font>
        <strike val="0"/>
        <outline val="0"/>
        <shadow val="0"/>
        <u val="none"/>
        <vertAlign val="baseline"/>
        <sz val="11"/>
        <color auto="1"/>
        <name val="Calibri"/>
      </font>
    </dxf>
    <dxf>
      <numFmt numFmtId="19" formatCode="dd/mm/yyyy"/>
      <alignment horizontal="left" vertical="bottom" textRotation="0" wrapText="0" indent="0" justifyLastLine="0" shrinkToFit="0" readingOrder="0"/>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patternType="solid">
          <fgColor rgb="FFD9E2F3"/>
          <bgColor rgb="FFD9E2F3"/>
        </patternFill>
      </fill>
    </dxf>
    <dxf>
      <fill>
        <patternFill patternType="solid">
          <fgColor rgb="FFD8D8D8"/>
          <bgColor rgb="FFD8D8D8"/>
        </patternFill>
      </fill>
    </dxf>
    <dxf>
      <fill>
        <patternFill patternType="solid">
          <fgColor rgb="FF000000"/>
          <bgColor rgb="FF000000"/>
        </patternFill>
      </fill>
    </dxf>
    <dxf>
      <fill>
        <patternFill patternType="solid">
          <fgColor rgb="FFECECEC"/>
          <bgColor rgb="FFECECEC"/>
        </patternFill>
      </fill>
    </dxf>
    <dxf>
      <fill>
        <patternFill patternType="solid">
          <fgColor rgb="FFDADADA"/>
          <bgColor rgb="FFDADADA"/>
        </patternFill>
      </fill>
    </dxf>
    <dxf>
      <fill>
        <patternFill patternType="solid">
          <fgColor rgb="FFA5A5A5"/>
          <bgColor rgb="FFA5A5A5"/>
        </patternFill>
      </fill>
    </dxf>
  </dxfs>
  <tableStyles count="2" defaultTableStyle="TableStyleMedium2" defaultPivotStyle="PivotStyleLight16">
    <tableStyle name="AplicQuest-style" pivot="0" count="3">
      <tableStyleElement type="headerRow" dxfId="25"/>
      <tableStyleElement type="firstRowStripe" dxfId="24"/>
      <tableStyleElement type="secondRowStripe" dxfId="23"/>
    </tableStyle>
    <tableStyle name="TJSP - Apenas p Complementação-style" pivot="0" count="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ivotCacheDefinition" Target="pivotCache/pivotCacheDefinition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26.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27.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28.xml"/></Relationships>
</file>

<file path=xl/pivotCache/pivotCacheDefinition1.xml><?xml version="1.0" encoding="utf-8"?>
<pivotCacheDefinition xmlns="http://schemas.openxmlformats.org/spreadsheetml/2006/main" xmlns:r="http://schemas.openxmlformats.org/officeDocument/2006/relationships" r:id="rId1" refreshedBy="carolpecaibes" refreshedDate="43499.697147106483" createdVersion="5" refreshedVersion="4" minRefreshableVersion="3" recordCount="421">
  <cacheSource type="worksheet">
    <worksheetSource ref="BQ1:BQ1048576" sheet="BD"/>
  </cacheSource>
  <cacheFields count="1">
    <cacheField name="Substituição da pena" numFmtId="0">
      <sharedItems containsBlank="1" count="4">
        <s v="NA"/>
        <s v="Não"/>
        <s v="Sim"/>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carolpecaibes" refreshedDate="43499.697148032406" createdVersion="4" refreshedVersion="4" minRefreshableVersion="3" recordCount="421">
  <cacheSource type="worksheet">
    <worksheetSource ref="BS1:BS1048576" sheet="BD"/>
  </cacheSource>
  <cacheFields count="1">
    <cacheField name="Regime inicial (agrupado)" numFmtId="0">
      <sharedItems containsBlank="1" count="9">
        <s v="NA (Pena Total &gt; 8)"/>
        <s v="Aberto"/>
        <s v="Fechado"/>
        <s v="NA"/>
        <s v="Semiaberto"/>
        <m/>
        <s v="Não informado" u="1"/>
        <s v="Fechado " u="1"/>
        <s v="Semiaberto / Aberto"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carolpecaibes" refreshedDate="43499.697148611114" createdVersion="4" refreshedVersion="4" minRefreshableVersion="3" recordCount="421">
  <cacheSource type="worksheet">
    <worksheetSource ref="BH1:BH1048576" sheet="BD"/>
  </cacheSource>
  <cacheFields count="1">
    <cacheField name="Aumento33 (agrup)" numFmtId="0">
      <sharedItems containsBlank="1" count="5">
        <s v="Não"/>
        <s v="Sim"/>
        <s v="NA"/>
        <m/>
        <s v="Não / Não informado"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carolpecaibes" refreshedDate="43499.697149189815" createdVersion="4" refreshedVersion="4" minRefreshableVersion="3" recordCount="421">
  <cacheSource type="worksheet">
    <worksheetSource ref="AY1:AY1048576" sheet="BD"/>
  </cacheSource>
  <cacheFields count="1">
    <cacheField name="Atenuantes33 (agrup)" numFmtId="0">
      <sharedItems containsBlank="1" count="5">
        <s v="Não"/>
        <s v="Sim"/>
        <s v="NA"/>
        <m/>
        <s v="Não / Não informado"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carolpecaibes" refreshedDate="43499.697149768515" createdVersion="4" refreshedVersion="4" minRefreshableVersion="3" recordCount="421">
  <cacheSource type="worksheet">
    <worksheetSource ref="A1:F1048576" sheet="BD"/>
  </cacheSource>
  <cacheFields count="6">
    <cacheField name="ID" numFmtId="0">
      <sharedItems containsString="0" containsBlank="1" containsNumber="1" containsInteger="1" minValue="1" maxValue="420"/>
    </cacheField>
    <cacheField name="Processo" numFmtId="0">
      <sharedItems containsBlank="1"/>
    </cacheField>
    <cacheField name="Processo (cont)" numFmtId="0">
      <sharedItems containsString="0" containsBlank="1" containsNumber="1" containsInteger="1" minValue="0" maxValue="1"/>
    </cacheField>
    <cacheField name="DtDisp" numFmtId="0">
      <sharedItems containsDate="1" containsBlank="1" containsMixedTypes="1" minDate="2017-01-18T00:00:00" maxDate="2018-10-07T00:00:00"/>
    </cacheField>
    <cacheField name="Juiz" numFmtId="0">
      <sharedItems containsBlank="1"/>
    </cacheField>
    <cacheField name="Sexo Juiz" numFmtId="0">
      <sharedItems containsBlank="1" count="3">
        <s v="Masculino"/>
        <s v="Feminino"/>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carolpecaibes" refreshedDate="43499.697150462962" createdVersion="4" refreshedVersion="4" minRefreshableVersion="3" recordCount="421">
  <cacheSource type="worksheet">
    <worksheetSource ref="AS1:AS1048576" sheet="BD"/>
  </cacheSource>
  <cacheFields count="1">
    <cacheField name="Agravantes33 (agrup)" numFmtId="0">
      <sharedItems containsBlank="1" count="5">
        <s v="Sim"/>
        <s v="Não"/>
        <s v="NA"/>
        <m/>
        <s v="Não / Não informado" u="1"/>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carolpecaibes" refreshedDate="43499.697151157408" createdVersion="4" refreshedVersion="4" minRefreshableVersion="3" recordCount="421">
  <cacheSource type="worksheet">
    <worksheetSource ref="AA1:AA1048576" sheet="BD"/>
  </cacheSource>
  <cacheFields count="1">
    <cacheField name="LSD (g)" numFmtId="0">
      <sharedItems containsString="0" containsBlank="1" containsNumber="1" minValue="0" maxValue="10.4" count="6">
        <n v="0"/>
        <n v="0.1"/>
        <n v="10.4"/>
        <n v="0.5"/>
        <n v="0.2"/>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carolpecaibes" refreshedDate="43499.69715266204" createdVersion="4" refreshedVersion="4" minRefreshableVersion="3" recordCount="421">
  <cacheSource type="worksheet">
    <worksheetSource ref="Y1:Y1048576" sheet="BD"/>
  </cacheSource>
  <cacheFields count="1">
    <cacheField name="Ecstasy (g)" numFmtId="0">
      <sharedItems containsString="0" containsBlank="1" containsNumber="1" minValue="0" maxValue="246.3" count="12">
        <n v="0"/>
        <n v="2.7"/>
        <n v="3.7"/>
        <n v="4.5999999999999996"/>
        <n v="3.2"/>
        <n v="5.3"/>
        <n v="0.4"/>
        <n v="8.6999999999999993"/>
        <n v="246.3"/>
        <n v="11.9"/>
        <n v="12.2"/>
        <m/>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carolpecaibes" refreshedDate="43499.697153819441" createdVersion="4" refreshedVersion="4" minRefreshableVersion="3" recordCount="421">
  <cacheSource type="worksheet">
    <worksheetSource ref="W1:W1048576" sheet="BD"/>
  </cacheSource>
  <cacheFields count="1">
    <cacheField name="Crack (g)" numFmtId="0">
      <sharedItems containsString="0" containsBlank="1" containsNumber="1" minValue="0" maxValue="3334.6" count="120">
        <n v="0"/>
        <n v="1.1000000000000001"/>
        <n v="22.6"/>
        <n v="858"/>
        <n v="3334.6"/>
        <n v="8.5"/>
        <n v="12.5"/>
        <n v="7"/>
        <n v="20.5"/>
        <n v="4.3"/>
        <n v="215.4"/>
        <n v="0.05"/>
        <n v="11.4"/>
        <n v="1.8"/>
        <n v="2.1"/>
        <n v="2.5"/>
        <n v="3"/>
        <n v="2.4"/>
        <n v="3.7"/>
        <n v="11"/>
        <n v="6.2"/>
        <n v="10"/>
        <n v="3.95"/>
        <n v="4.8"/>
        <n v="5.7"/>
        <n v="13.6"/>
        <n v="17.100000000000001"/>
        <n v="317"/>
        <n v="6"/>
        <n v="9.9"/>
        <n v="6.4"/>
        <n v="4.2"/>
        <n v="4.0999999999999996"/>
        <n v="1"/>
        <n v="48"/>
        <n v="256.10000000000002"/>
        <n v="21.1"/>
        <n v="3.9"/>
        <n v="76.099999999999994"/>
        <n v="44.7"/>
        <n v="82.6"/>
        <n v="3.1"/>
        <n v="5.8"/>
        <n v="14.3"/>
        <n v="13.5"/>
        <n v="14"/>
        <n v="18.600000000000001"/>
        <n v="7.7"/>
        <n v="30.9"/>
        <n v="12.8"/>
        <n v="23.5"/>
        <n v="0.1"/>
        <n v="382.4"/>
        <n v="126.6"/>
        <n v="27"/>
        <n v="5.5"/>
        <n v="239.4"/>
        <n v="232.7"/>
        <n v="1961.4"/>
        <n v="14.1"/>
        <n v="15.6"/>
        <n v="18.2"/>
        <n v="26.5"/>
        <n v="2.7"/>
        <n v="6.3"/>
        <n v="3.8"/>
        <n v="4.7"/>
        <n v="0.6"/>
        <n v="154"/>
        <n v="56.1"/>
        <n v="15.8"/>
        <n v="15.3"/>
        <n v="11.7"/>
        <n v="0.8"/>
        <n v="10.9"/>
        <n v="60"/>
        <n v="2.2999999999999998"/>
        <n v="18.5"/>
        <n v="53"/>
        <n v="34.9"/>
        <n v="5.0999999999999996"/>
        <n v="8.6999999999999993"/>
        <n v="7.8"/>
        <n v="5.6"/>
        <n v="14.5"/>
        <n v="49.7"/>
        <n v="17.5"/>
        <n v="12.4"/>
        <n v="11.5"/>
        <n v="59.5"/>
        <n v="95.6"/>
        <n v="9.6999999999999993"/>
        <n v="5.3"/>
        <n v="512.79999999999995"/>
        <n v="29"/>
        <n v="604.6"/>
        <n v="170.6"/>
        <n v="1031.2"/>
        <n v="1.9"/>
        <n v="0.2"/>
        <n v="54"/>
        <n v="50.6"/>
        <n v="13.3"/>
        <n v="11.3"/>
        <n v="17"/>
        <n v="780.9"/>
        <n v="4.4000000000000004"/>
        <n v="6.8"/>
        <n v="23.3"/>
        <n v="25.6"/>
        <n v="273.67"/>
        <n v="12.6"/>
        <n v="2.2000000000000002"/>
        <n v="3.3"/>
        <n v="4"/>
        <n v="0.4"/>
        <n v="17.600000000000001"/>
        <n v="1.2"/>
        <n v="8.8000000000000007"/>
        <m/>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carolpecaibes" refreshedDate="43499.697155092595" createdVersion="4" refreshedVersion="4" minRefreshableVersion="3" recordCount="421">
  <cacheSource type="worksheet">
    <worksheetSource ref="U1:U1048576" sheet="BD"/>
  </cacheSource>
  <cacheFields count="1">
    <cacheField name="Cocaína (g)" numFmtId="0">
      <sharedItems containsString="0" containsBlank="1" containsNumber="1" minValue="0" maxValue="45962" count="242">
        <n v="1971.3"/>
        <n v="36.6"/>
        <n v="15.5"/>
        <n v="1980"/>
        <n v="0"/>
        <n v="11"/>
        <n v="13.2"/>
        <n v="2.6"/>
        <n v="63.8"/>
        <n v="6.8"/>
        <n v="37.5"/>
        <n v="45.6"/>
        <n v="94.1"/>
        <n v="7.3"/>
        <n v="44.3"/>
        <n v="6.2"/>
        <n v="8.1"/>
        <n v="95.1"/>
        <n v="9.1999999999999993"/>
        <n v="55.2"/>
        <n v="4.7"/>
        <n v="0.7"/>
        <n v="198.9"/>
        <n v="165"/>
        <n v="12.2"/>
        <n v="22"/>
        <n v="45.4"/>
        <n v="23.2"/>
        <n v="8.1999999999999993"/>
        <n v="21.1"/>
        <n v="7.1"/>
        <n v="25.1"/>
        <n v="11.5"/>
        <n v="19.399999999999999"/>
        <n v="72.400000000000006"/>
        <n v="39"/>
        <n v="261.5"/>
        <n v="24.7"/>
        <n v="43.4"/>
        <n v="49.7"/>
        <n v="5"/>
        <n v="3.1"/>
        <n v="30.3"/>
        <n v="68.5"/>
        <n v="1.5"/>
        <n v="18.3"/>
        <n v="3"/>
        <n v="24.3"/>
        <n v="17.8"/>
        <n v="22.2"/>
        <n v="16.600000000000001"/>
        <n v="48.1"/>
        <n v="5.5"/>
        <n v="110"/>
        <n v="8"/>
        <n v="33.5"/>
        <n v="5.8"/>
        <n v="47.8"/>
        <n v="138"/>
        <n v="334.4"/>
        <n v="40.700000000000003"/>
        <n v="21.6"/>
        <n v="5.9"/>
        <n v="198"/>
        <n v="44.5"/>
        <n v="142.4"/>
        <n v="31.6"/>
        <n v="20.6"/>
        <n v="28.9"/>
        <n v="56.6"/>
        <n v="94.5"/>
        <n v="1489.9"/>
        <n v="75.099999999999994"/>
        <n v="10"/>
        <n v="141.1"/>
        <n v="23.9"/>
        <n v="41"/>
        <n v="21.3"/>
        <n v="22.5"/>
        <n v="22.6"/>
        <n v="19.5"/>
        <n v="28.5"/>
        <n v="25.8"/>
        <n v="42.5"/>
        <n v="45.9"/>
        <n v="83"/>
        <n v="16.8"/>
        <n v="12"/>
        <n v="29.4"/>
        <n v="153.4"/>
        <n v="42.4"/>
        <n v="9.4"/>
        <n v="211.5"/>
        <n v="33.200000000000003"/>
        <n v="2500"/>
        <n v="27"/>
        <n v="109.9"/>
        <n v="103"/>
        <n v="111"/>
        <n v="83.1"/>
        <n v="312.60000000000002"/>
        <n v="291.7"/>
        <n v="170.9"/>
        <n v="338.8"/>
        <n v="57.6"/>
        <n v="46.74"/>
        <n v="10.1"/>
        <n v="187.2"/>
        <n v="74.2"/>
        <n v="6"/>
        <n v="1.1000000000000001"/>
        <n v="216"/>
        <n v="1061"/>
        <n v="82.5"/>
        <n v="19.100000000000001"/>
        <n v="23"/>
        <n v="2464.8000000000002"/>
        <n v="326.8"/>
        <n v="25.4"/>
        <n v="2.1"/>
        <n v="45962"/>
        <n v="39.6"/>
        <n v="59.8"/>
        <n v="3.2"/>
        <n v="60.4"/>
        <n v="99.6"/>
        <n v="46.5"/>
        <n v="3.7"/>
        <n v="2.4"/>
        <n v="67.8"/>
        <n v="42.8"/>
        <n v="5.0999999999999996"/>
        <n v="167"/>
        <n v="143.5"/>
        <n v="10.6"/>
        <n v="2.2999999999999998"/>
        <n v="28.2"/>
        <n v="32.700000000000003"/>
        <n v="4.0999999999999996"/>
        <n v="68.3"/>
        <n v="328.4"/>
        <n v="6.4"/>
        <n v="8.3000000000000007"/>
        <n v="75.599999999999994"/>
        <n v="17.899999999999999"/>
        <n v="11.3"/>
        <n v="194.6"/>
        <n v="22.4"/>
        <n v="9.6999999999999993"/>
        <n v="6.6"/>
        <n v="938.1"/>
        <n v="23.1"/>
        <n v="463.5"/>
        <n v="37.799999999999997"/>
        <n v="26.1"/>
        <n v="26.5"/>
        <n v="1.3"/>
        <n v="27.9"/>
        <n v="26.2"/>
        <n v="25.7"/>
        <n v="20.3"/>
        <n v="10.4"/>
        <n v="112.8"/>
        <n v="27.5"/>
        <n v="50"/>
        <n v="5.6"/>
        <n v="503.5"/>
        <n v="1.6"/>
        <n v="13.3"/>
        <n v="45.1"/>
        <n v="27.4"/>
        <n v="2883"/>
        <n v="14.6"/>
        <n v="18.7"/>
        <n v="73.599999999999994"/>
        <n v="13.5"/>
        <n v="233.5"/>
        <n v="3609.2"/>
        <n v="1150.2"/>
        <n v="19488"/>
        <n v="44.6"/>
        <n v="1802"/>
        <n v="4.8"/>
        <n v="27.6"/>
        <n v="146.1"/>
        <n v="15"/>
        <n v="70.5"/>
        <n v="73.3"/>
        <n v="61.7"/>
        <n v="61.6"/>
        <n v="7.2"/>
        <n v="5.4"/>
        <n v="16.3"/>
        <n v="29.5"/>
        <n v="531.1"/>
        <n v="0.3"/>
        <n v="158.80000000000001"/>
        <n v="111.5"/>
        <n v="1172.2"/>
        <n v="64.599999999999994"/>
        <n v="756.4"/>
        <n v="43.3"/>
        <n v="14.86"/>
        <n v="88"/>
        <n v="84.4"/>
        <n v="2051"/>
        <n v="3000"/>
        <n v="14016.6"/>
        <n v="72.3"/>
        <n v="7.7"/>
        <n v="21500"/>
        <n v="300.5"/>
        <n v="1372.4"/>
        <n v="0.6"/>
        <n v="931.2"/>
        <n v="46.2"/>
        <n v="8.8000000000000007"/>
        <n v="9.1"/>
        <n v="11.8"/>
        <n v="135"/>
        <n v="13.6"/>
        <n v="10.8"/>
        <n v="100.4"/>
        <n v="8.6"/>
        <n v="14.2"/>
        <n v="11.1"/>
        <n v="19.600000000000001"/>
        <n v="19.8"/>
        <n v="21.5"/>
        <n v="6.5"/>
        <n v="15.4"/>
        <n v="12.4"/>
        <n v="4054"/>
        <n v="67.099999999999994"/>
        <n v="1.9"/>
        <n v="7.9"/>
        <n v="13.7"/>
        <n v="15.2"/>
        <n v="17.7"/>
        <n v="63.3"/>
        <n v="25.3"/>
        <m/>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r:id="rId1" refreshedBy="carolpecaibes" refreshedDate="43499.697156249997" createdVersion="4" refreshedVersion="4" minRefreshableVersion="3" recordCount="421">
  <cacheSource type="worksheet">
    <worksheetSource ref="S1:S1048576" sheet="BD"/>
  </cacheSource>
  <cacheFields count="1">
    <cacheField name="Maconha (g)" numFmtId="0">
      <sharedItems containsString="0" containsBlank="1" containsNumber="1" minValue="0" maxValue="209300" count="240">
        <n v="0"/>
        <n v="148.5"/>
        <n v="56"/>
        <n v="2530"/>
        <n v="515.67999999999995"/>
        <n v="29"/>
        <n v="108.2"/>
        <n v="36.1"/>
        <n v="25.2"/>
        <n v="24.3"/>
        <n v="15.5"/>
        <n v="1635"/>
        <n v="842.4"/>
        <n v="17.600000000000001"/>
        <n v="64.3"/>
        <n v="66.400000000000006"/>
        <n v="728.2"/>
        <n v="47.7"/>
        <n v="86.1"/>
        <n v="51.7"/>
        <n v="8.5"/>
        <n v="40"/>
        <n v="150"/>
        <n v="1034.7"/>
        <n v="21.1"/>
        <n v="18.3"/>
        <n v="106.1"/>
        <n v="44.6"/>
        <n v="16.7"/>
        <n v="6.6"/>
        <n v="267.7"/>
        <n v="12.4"/>
        <n v="56.1"/>
        <n v="183.9"/>
        <n v="54.3"/>
        <n v="47"/>
        <n v="19.3"/>
        <n v="8"/>
        <n v="51.4"/>
        <n v="66.099999999999994"/>
        <n v="32"/>
        <n v="42.8"/>
        <n v="118.9"/>
        <n v="132.69999999999999"/>
        <n v="12.5"/>
        <n v="29.2"/>
        <n v="147.5"/>
        <n v="42"/>
        <n v="4.4000000000000004"/>
        <n v="67.5"/>
        <n v="58.4"/>
        <n v="17.3"/>
        <n v="28.2"/>
        <n v="23.5"/>
        <n v="52"/>
        <n v="17.899999999999999"/>
        <n v="109.1"/>
        <n v="13.5"/>
        <n v="549.1"/>
        <n v="12.2"/>
        <n v="12"/>
        <n v="20"/>
        <n v="150.1"/>
        <n v="57.1"/>
        <n v="137.5"/>
        <n v="63.8"/>
        <n v="180"/>
        <n v="27.3"/>
        <n v="20.8"/>
        <n v="52.4"/>
        <n v="35.5"/>
        <n v="80000"/>
        <n v="43.2"/>
        <n v="2"/>
        <n v="82"/>
        <n v="41.7"/>
        <n v="236.6"/>
        <n v="72.599999999999994"/>
        <n v="1938.7"/>
        <n v="14"/>
        <n v="91.7"/>
        <n v="138.5"/>
        <n v="41.5"/>
        <n v="123.3"/>
        <n v="271.3"/>
        <n v="19.100000000000001"/>
        <n v="537"/>
        <n v="305.3"/>
        <n v="2539.4"/>
        <n v="51.5"/>
        <n v="2651.7"/>
        <n v="190"/>
        <n v="842.2"/>
        <n v="82.3"/>
        <n v="1906"/>
        <n v="1109.5999999999999"/>
        <n v="331.9"/>
        <n v="124.8"/>
        <n v="0.7"/>
        <n v="2372.1999999999998"/>
        <n v="638.29999999999995"/>
        <n v="736.7"/>
        <n v="853.3"/>
        <n v="7816"/>
        <n v="143.19999999999999"/>
        <n v="2700"/>
        <n v="31331"/>
        <n v="10.5"/>
        <n v="10156"/>
        <n v="4.5"/>
        <n v="1832.5"/>
        <n v="109"/>
        <n v="71.599999999999994"/>
        <n v="18"/>
        <n v="13.8"/>
        <n v="0.8"/>
        <n v="118.6"/>
        <n v="12.1"/>
        <n v="2003.4"/>
        <n v="74.900000000000006"/>
        <n v="30.3"/>
        <n v="2072.3000000000002"/>
        <n v="41.6"/>
        <n v="288.7"/>
        <n v="17"/>
        <n v="16"/>
        <n v="43.9"/>
        <n v="40.299999999999997"/>
        <n v="106"/>
        <n v="195"/>
        <n v="996.7"/>
        <n v="7"/>
        <n v="64.7"/>
        <n v="66.3"/>
        <n v="278.09999999999997"/>
        <n v="196"/>
        <n v="70.900000000000006"/>
        <n v="34.200000000000003"/>
        <n v="21"/>
        <n v="569"/>
        <n v="26.2"/>
        <n v="48.5"/>
        <n v="46.1"/>
        <n v="1654.6"/>
        <n v="209300"/>
        <n v="136.5"/>
        <n v="5.8"/>
        <n v="111.8"/>
        <n v="38.700000000000003"/>
        <n v="1292.8"/>
        <n v="6.7"/>
        <n v="316"/>
        <n v="2.5"/>
        <n v="145.5"/>
        <n v="24.4"/>
        <n v="121.6"/>
        <n v="31.4"/>
        <n v="177.2"/>
        <n v="21.4"/>
        <n v="103.7"/>
        <n v="47.4"/>
        <n v="14.7"/>
        <n v="17.7"/>
        <n v="135.69999999999999"/>
        <n v="66.7"/>
        <n v="132"/>
        <n v="2900.5"/>
        <n v="23.1"/>
        <n v="14.5"/>
        <n v="1625.9"/>
        <n v="264.89999999999998"/>
        <n v="800.5"/>
        <n v="39.299999999999997"/>
        <n v="1841.9"/>
        <n v="99.7"/>
        <n v="20.9"/>
        <n v="102.3"/>
        <n v="65.3"/>
        <n v="9.5"/>
        <n v="10700"/>
        <n v="811.6"/>
        <n v="97.3"/>
        <n v="379.4"/>
        <n v="23.3"/>
        <n v="674.4"/>
        <n v="2.6"/>
        <n v="0.9"/>
        <n v="275"/>
        <n v="189.4"/>
        <n v="88.2"/>
        <n v="125.5"/>
        <n v="67"/>
        <n v="3.2"/>
        <n v="35.799999999999997"/>
        <n v="226.4"/>
        <n v="263"/>
        <n v="680.4"/>
        <n v="13.3"/>
        <n v="72.400000000000006"/>
        <n v="88.4"/>
        <n v="215.2"/>
        <n v="9903"/>
        <n v="260.89999999999998"/>
        <n v="11293"/>
        <n v="17349.599999999999"/>
        <n v="116.1"/>
        <n v="864.3"/>
        <n v="14402"/>
        <n v="8969.6"/>
        <n v="26.1"/>
        <n v="15.3"/>
        <n v="33.200000000000003"/>
        <n v="23.9"/>
        <n v="100.3"/>
        <n v="47.2"/>
        <n v="68"/>
        <n v="17.8"/>
        <n v="61.5"/>
        <n v="4.3"/>
        <n v="1"/>
        <n v="3.3"/>
        <n v="26.5"/>
        <n v="50.4"/>
        <n v="52.7"/>
        <n v="37"/>
        <n v="69.7"/>
        <n v="15.1"/>
        <n v="2.8"/>
        <n v="96.8"/>
        <n v="13.2"/>
        <n v="22.5"/>
        <n v="51.900000000000006"/>
        <n v="1.8"/>
        <n v="127.5"/>
        <n v="86.4"/>
        <n v="14.9"/>
        <n v="27.4"/>
        <n v="20.2"/>
        <n v="24.2"/>
        <m/>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r:id="rId1" refreshedBy="carolpecaibes" refreshedDate="43499.697157407405" createdVersion="4" refreshedVersion="4" minRefreshableVersion="3" recordCount="421">
  <cacheSource type="worksheet">
    <worksheetSource ref="BL1:BL1048576" sheet="BD"/>
  </cacheSource>
  <cacheFields count="1">
    <cacheField name="Pena33 (meses)" numFmtId="0">
      <sharedItems containsString="0" containsBlank="1" containsNumber="1" minValue="0" maxValue="180" count="46">
        <n v="120"/>
        <n v="122.5"/>
        <n v="126"/>
        <n v="129.63333333333333"/>
        <n v="134.4"/>
        <n v="150"/>
        <n v="180"/>
        <n v="23.333333333333332"/>
        <n v="20"/>
        <n v="24"/>
        <n v="35"/>
        <n v="30"/>
        <n v="33"/>
        <n v="36"/>
        <n v="46.666666666666664"/>
        <n v="40"/>
        <n v="42"/>
        <n v="48"/>
        <n v="50"/>
        <n v="54"/>
        <n v="60"/>
        <n v="70"/>
        <n v="63"/>
        <n v="66"/>
        <n v="72"/>
        <n v="74.666666666666671"/>
        <n v="75"/>
        <n v="77.766666666666666"/>
        <n v="78"/>
        <n v="80"/>
        <n v="81"/>
        <n v="81.666666666666671"/>
        <n v="84"/>
        <n v="87.5"/>
        <n v="90"/>
        <n v="93.333333333333329"/>
        <n v="96"/>
        <n v="100.8"/>
        <n v="98"/>
        <n v="100"/>
        <n v="102"/>
        <n v="108.86666666666666"/>
        <n v="112"/>
        <n v="116.66666666666667"/>
        <n v="0"/>
        <m/>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r:id="rId1" refreshedBy="carolpecaibes" refreshedDate="43499.697158449075" createdVersion="4" refreshedVersion="4" minRefreshableVersion="3" recordCount="421">
  <cacheSource type="worksheet">
    <worksheetSource ref="BP1:BP1048576" sheet="BD"/>
  </cacheSource>
  <cacheFields count="1">
    <cacheField name="TotPen (meses)" numFmtId="0">
      <sharedItems containsString="0" containsBlank="1" containsNumber="1" minValue="0" maxValue="372" count="59">
        <n v="120"/>
        <n v="122.5"/>
        <n v="126"/>
        <n v="129.63333333333333"/>
        <n v="134.4"/>
        <n v="150"/>
        <n v="180"/>
        <n v="23.333333333333332"/>
        <n v="20"/>
        <n v="164"/>
        <n v="44"/>
        <n v="32"/>
        <n v="24"/>
        <n v="35"/>
        <n v="30"/>
        <n v="66"/>
        <n v="33"/>
        <n v="36"/>
        <n v="46.666666666666664"/>
        <n v="40"/>
        <n v="50"/>
        <n v="42"/>
        <n v="48"/>
        <n v="62"/>
        <n v="53.4"/>
        <n v="60"/>
        <n v="96"/>
        <n v="84"/>
        <n v="72"/>
        <n v="70"/>
        <n v="112"/>
        <n v="63"/>
        <n v="74.666666666666671"/>
        <n v="75"/>
        <n v="77.766666666666666"/>
        <n v="129"/>
        <n v="78.733333333333334"/>
        <n v="128"/>
        <n v="80"/>
        <n v="116"/>
        <n v="81"/>
        <n v="81.666666666666671"/>
        <n v="130.66666666666666"/>
        <n v="87.5"/>
        <n v="90"/>
        <n v="372"/>
        <n v="93.333333333333329"/>
        <n v="100.8"/>
        <n v="98"/>
        <n v="110.83333333333333"/>
        <n v="100"/>
        <n v="102"/>
        <n v="108.86666666666666"/>
        <n v="192"/>
        <n v="186.66666666666666"/>
        <n v="0"/>
        <n v="12"/>
        <n v="4"/>
        <m/>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r:id="rId1" refreshedBy="carolpecaibes" refreshedDate="43499.697159606483" createdVersion="4" refreshedVersion="4" minRefreshableVersion="3" recordCount="421">
  <cacheSource type="worksheet">
    <worksheetSource ref="BJ1:BJ1048576" sheet="BD"/>
  </cacheSource>
  <cacheFields count="1">
    <cacheField name="§4º (agrupado)" numFmtId="0">
      <sharedItems containsBlank="1" count="4">
        <s v="Não cabimento / Não informado"/>
        <s v="Sim (total ou parcial)"/>
        <s v="Não"/>
        <m/>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r:id="rId1" refreshedBy="carolpecaibes" refreshedDate="43499.697160185184" createdVersion="4" refreshedVersion="4" minRefreshableVersion="3" recordCount="421">
  <cacheSource type="worksheet">
    <worksheetSource ref="BI1:BI1048576" sheet="BD"/>
  </cacheSource>
  <cacheFields count="1">
    <cacheField name="§4º" numFmtId="0">
      <sharedItems containsBlank="1" count="6">
        <s v="Não cabimento"/>
        <s v="Sim total"/>
        <s v="Sim parcial"/>
        <s v="Não"/>
        <s v="NA"/>
        <m/>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r:id="rId1" refreshedBy="carolpecaibes" refreshedDate="43499.69716087963" createdVersion="4" refreshedVersion="4" minRefreshableVersion="3" recordCount="421">
  <cacheSource type="worksheet">
    <worksheetSource ref="AM1:AM1048576" sheet="BD"/>
  </cacheSource>
  <cacheFields count="1">
    <cacheField name="Sentença (agrup)" numFmtId="0">
      <sharedItems containsBlank="1" count="3">
        <s v="Condenação por tráfico"/>
        <s v="Sem Condenação por tráfico"/>
        <m/>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r:id="rId1" refreshedBy="carolpecaibes" refreshedDate="43499.697161458331" createdVersion="4" refreshedVersion="4" minRefreshableVersion="3" recordCount="421">
  <cacheSource type="worksheet">
    <worksheetSource ref="M1:M1048576" sheet="BD"/>
  </cacheSource>
  <cacheFields count="1">
    <cacheField name="Idade" numFmtId="0">
      <sharedItems containsString="0" containsBlank="1" containsNumber="1" containsInteger="1" minValue="18" maxValue="59"/>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r:id="rId1" refreshedBy="carolpecaibes" refreshedDate="43499.697162037039" createdVersion="4" refreshedVersion="4" minRefreshableVersion="3" recordCount="421">
  <cacheSource type="worksheet">
    <worksheetSource ref="O1:O1048576" sheet="BD"/>
  </cacheSource>
  <cacheFields count="1">
    <cacheField name="Cutis (agrup)" numFmtId="0">
      <sharedItems containsBlank="1" count="3">
        <s v="Negros, pardos e outros"/>
        <s v="Branco e amarelo"/>
        <m/>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r:id="rId1" refreshedBy="carolpecaibes" refreshedDate="43499.697162500001" createdVersion="5" refreshedVersion="4" minRefreshableVersion="3" recordCount="421">
  <cacheSource type="worksheet">
    <worksheetSource ref="BR1:BR1048576" sheet="BD"/>
  </cacheSource>
  <cacheFields count="1">
    <cacheField name="Regime inicial" numFmtId="0">
      <sharedItems containsBlank="1" count="5">
        <s v="Fechado "/>
        <s v="Aberto"/>
        <s v="NA"/>
        <s v="Semiaberto"/>
        <m/>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r:id="rId1" refreshedBy="carolpecaibes" refreshedDate="43499.697163078701" createdVersion="5" refreshedVersion="4" minRefreshableVersion="3" recordCount="421">
  <cacheSource type="worksheet">
    <worksheetSource ref="AZ1:AZ1048576" sheet="BD"/>
  </cacheSource>
  <cacheFields count="1">
    <cacheField name="Aumento33" numFmtId="0">
      <sharedItems containsBlank="1" count="9">
        <s v="Não"/>
        <s v="Adolescente"/>
        <s v="Adolescente. Arma de fogo"/>
        <s v="Estabelecimento"/>
        <s v="ConcForm"/>
        <s v="Interestadual"/>
        <s v="Adolescente. Interestadual"/>
        <s v="NA"/>
        <m/>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r:id="rId1" refreshedBy="carolpecaibes" refreshedDate="43499.697163888886" createdVersion="5" refreshedVersion="4" minRefreshableVersion="3" recordCount="421">
  <cacheSource type="worksheet">
    <worksheetSource ref="AT1:AT1048576" sheet="BD"/>
  </cacheSource>
  <cacheFields count="1">
    <cacheField name="Atenuantes33" numFmtId="0">
      <sharedItems containsBlank="1" count="6">
        <s v="Não"/>
        <s v="Confissão"/>
        <s v="Confissão. Menoridade"/>
        <s v="Menoridade"/>
        <s v="NA"/>
        <m/>
      </sharedItems>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r:id="rId1" refreshedBy="carolpecaibes" refreshedDate="43499.697164467594" createdVersion="5" refreshedVersion="4" minRefreshableVersion="3" recordCount="421">
  <cacheSource type="worksheet">
    <worksheetSource ref="AR1:AR1048576" sheet="BD"/>
  </cacheSource>
  <cacheFields count="1">
    <cacheField name="Agravantes33" numFmtId="0">
      <sharedItems containsBlank="1" count="4">
        <s v="Reincidência"/>
        <s v="Não"/>
        <s v="NA"/>
        <m/>
      </sharedItems>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r:id="rId1" refreshedBy="carolpecaibes" refreshedDate="43499.697165162041" createdVersion="5" refreshedVersion="4" minRefreshableVersion="3" recordCount="421">
  <cacheSource type="worksheet">
    <worksheetSource ref="AL1:AL1048576" sheet="BD"/>
  </cacheSource>
  <cacheFields count="1">
    <cacheField name="Sentença" numFmtId="0">
      <sharedItems containsBlank="1" count="5">
        <s v="Procedente"/>
        <s v="Parcialmente procedente"/>
        <s v="Absolvição"/>
        <s v="Desclassificação"/>
        <m/>
      </sharedItems>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r:id="rId1" refreshedBy="carolpecaibes" refreshedDate="43499.697166087964" createdVersion="5" refreshedVersion="4" minRefreshableVersion="3" recordCount="421">
  <cacheSource type="worksheet">
    <worksheetSource ref="N1:N1048576" sheet="BD"/>
  </cacheSource>
  <cacheFields count="1">
    <cacheField name="Cutis" numFmtId="0">
      <sharedItems containsBlank="1" count="7">
        <s v="Preta"/>
        <s v="Parda"/>
        <s v="Branca"/>
        <s v="Outros"/>
        <s v="Amarela"/>
        <m/>
        <s v="Parda " u="1"/>
      </sharedItems>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r:id="rId1" refreshedBy="carolpecaibes" refreshedDate="43499.697166666665" createdVersion="5" refreshedVersion="4" minRefreshableVersion="3" recordCount="421">
  <cacheSource type="worksheet">
    <worksheetSource ref="K1:K1048576" sheet="BD"/>
  </cacheSource>
  <cacheFields count="1">
    <cacheField name="Sexo" numFmtId="0">
      <sharedItems containsBlank="1" count="4">
        <s v="Masculino"/>
        <s v="Feminino"/>
        <m/>
        <s v="Masculino " u="1"/>
      </sharedItems>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r:id="rId1" refreshedBy="carolpecaibes" refreshedDate="43499.697167245373" createdVersion="5" refreshedVersion="4" minRefreshableVersion="3" recordCount="421">
  <cacheSource type="worksheet">
    <worksheetSource ref="J1:J1048576" sheet="BD"/>
  </cacheSource>
  <cacheFields count="1">
    <cacheField name="Local" numFmtId="0">
      <sharedItems containsBlank="1" count="11">
        <s v="Comércio e serviços"/>
        <s v="Via Pública"/>
        <s v="Residência"/>
        <s v="Restaurante e afins"/>
        <s v="Repartição Pública"/>
        <s v="Área não ocupada"/>
        <s v="Favela - Viela"/>
        <s v="Terminal/Estação"/>
        <s v="Invasão/Ocupação"/>
        <s v="Estádio"/>
        <m/>
      </sharedItems>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r:id="rId1" refreshedBy="carolpecaibes" refreshedDate="43499.697168055558" createdVersion="5" refreshedVersion="4" minRefreshableVersion="3" recordCount="421">
  <cacheSource type="worksheet">
    <worksheetSource ref="G1:G1048576" sheet="BD"/>
  </cacheSource>
  <cacheFields count="1">
    <cacheField name="Vara" numFmtId="0">
      <sharedItems containsBlank="1" count="33">
        <s v="3ª Vara Criminal"/>
        <s v="21ª Vara Criminal"/>
        <s v="29ª Vara Criminal"/>
        <s v="13ª Vara Criminal"/>
        <s v="22ª Vara Criminal"/>
        <s v="20ª Vara Criminal"/>
        <s v="9ª Vara Criminal"/>
        <s v="23ª Vara Criminal"/>
        <s v="4ª Vara Criminal"/>
        <s v="16ª Vara Criminal"/>
        <s v="32ª Vara Criminal"/>
        <s v="7ª Vara Criminal"/>
        <s v="6ª Vara Criminal"/>
        <s v="17ª Vara Criminal"/>
        <s v="18ª Vara Criminal"/>
        <s v="24ª Vara Criminal"/>
        <s v="27ª Vara Criminal"/>
        <s v="2ª Vara Criminal"/>
        <s v="14ª Vara Criminal"/>
        <s v="25ª Vara Criminal"/>
        <s v="28ª Vara Criminal"/>
        <s v="31ª Vara Criminal"/>
        <s v="26ª Vara Criminal"/>
        <s v="30ª Vara Criminal"/>
        <s v="5ª Vara Criminal"/>
        <s v="12ª Vara Criminal"/>
        <s v="8ª Vara Criminal"/>
        <s v="19ª Vara Criminal"/>
        <s v="11ª Vara Criminal"/>
        <s v="10ª Vara Criminal"/>
        <s v="1ª Vara Criminal"/>
        <s v="15ª Vara Criminal"/>
        <m/>
      </sharedItems>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r:id="rId1" refreshedBy="carolpecaibes" refreshedDate="43499.697168634259" createdVersion="5" refreshedVersion="4" minRefreshableVersion="3" recordCount="421">
  <cacheSource type="worksheet">
    <worksheetSource ref="E1:E1048576" sheet="BD"/>
  </cacheSource>
  <cacheFields count="1">
    <cacheField name="Juiz" numFmtId="0">
      <sharedItems containsBlank="1" count="79">
        <s v="Carlos Eduardo Lora Franco"/>
        <s v="Adriana Costa"/>
        <s v="Tamara Priscila Tocci"/>
        <s v="José Roberto Cabral Longaretti"/>
        <s v="Rafael Henrique Janela Tamai Rocha"/>
        <s v="Carla de Oliveira Pinto Ferrari"/>
        <s v="Maria Paula Cassone Rossi"/>
        <s v="Klaus Marouelli Arroyo"/>
        <s v="Renata William Rached Catelli"/>
        <s v="CRISTINA ESCHER"/>
        <s v="Patrícia Álvares Cruz"/>
        <s v="Edison Tetsuzo Namba"/>
        <s v="Tatiana Vieira Guerra"/>
        <s v="Paulo Eduardo Balbone Costa"/>
        <s v="José Fernandes Freitas Neto"/>
        <s v="Fátima Vilas Boas Cruz"/>
        <s v="TERESA DE ALMEIDA RIBEIRO MAGALHAES"/>
        <s v="Giovana Furtado de Oliveira"/>
        <s v="Cecilia Pinheiro da Fonseca"/>
        <s v="Antonio de Oliveira Angrisani Filho"/>
        <s v="Erica Regina Colmenero Coimbra"/>
        <s v="Luciane Jabur Mouchaloite Figueiredo"/>
        <s v="Tatiana Saes Valverde Ormeleze"/>
        <s v="LEYLA MARIA DA SILVA LACAZ"/>
        <s v="Waldir Calciolari"/>
        <s v="Fernanda Galizia Noriega"/>
        <s v="MARCO ANTONIO MARTIN VARGAS"/>
        <s v="Fernando Cesar Carrari"/>
        <s v="Isaura Cristina Barreira"/>
        <s v="ALESSANDRA TEIXEIRA MIGUEL"/>
        <s v="Pedro Luiz Fernandes Nery Rafael"/>
        <s v="Augusto Antonini"/>
        <s v="ANDRE LUIZ DA SILVA DA CUNHA"/>
        <s v="Marcos Fleury Silveira de Alvarenga"/>
        <s v="MARIO RUBENS ASSUMPCAO FILHO"/>
        <s v="RICHARD FRANCISCO CHEQUINI"/>
        <s v="Marcello Ovidio Lopes Guimarães"/>
        <s v="Érica Aparecida Ribeiro Lopes e Navarro Rodrigues"/>
        <s v="Claudia Carneiro Calbucci Renaux"/>
        <s v="Helio Narvaez"/>
        <s v="Eliana Cassales Tosi"/>
        <s v="Daniela Martins de Castro Mariani Cavallanti"/>
        <s v="Antonio Carlos de Campos Machado Junior"/>
        <s v="FERNANDA ALVES DA ROCHA BRANCO DE OLIVA POLITI"/>
        <s v="Vivian Brenner De Oliveira"/>
        <s v="Carlos Eduardo Oliveira de Alencar"/>
        <s v="Cristina Ribeiro Leite Balbone Costa"/>
        <s v="Cynthia Torres Cristofaro"/>
        <s v="Marcelo Matias Pereira"/>
        <s v="Maria Cecília Leone"/>
        <s v="Carlos Alberto Corrêa de Almeida Oliveira"/>
        <s v="Fábio Aguiar Munhoz Soares"/>
        <s v="Júlio Alexandre Felix de Faria"/>
        <s v="MARCIO LUCIO FALAVIGNA SAUANDAG"/>
        <s v="Carlos José Zulian"/>
        <s v="Erasmo Samuel Tozetto"/>
        <s v="Simone Candida Lucas Marcondes"/>
        <s v="Roseane Cristina de Aguiar Almeida"/>
        <s v="MARIA PRISCILLA ERNANDES VEIGA OLIVEIRA"/>
        <s v="Sônia Nazaré Fernandes Fraga"/>
        <s v="Paula Marie Konno"/>
        <s v="Maria Domitila Prado Manssur"/>
        <s v="VICENTE LUIZ ADUA"/>
        <s v="Ana Lucia Fernandes Queiroga"/>
        <s v="Rodrigo Cesar Muller Valente"/>
        <s v="Nelson Becker"/>
        <s v="Daiane Saladini Monari"/>
        <s v="Erika Soares de Azevedo Mascarenhas"/>
        <s v="Juliana Guelfi"/>
        <s v="Wendell Lopes Barbosa de Souza"/>
        <s v="Marcos Alexandre Coelho Zilli"/>
        <s v="Marcela Dias De Abreu Pinto Coelho"/>
        <s v="Rejane Rodrigues Lage"/>
        <s v="Lizianne Marques Curto"/>
        <s v="ANA CAROLINA MUNHOZ DE ALMEIDA"/>
        <s v="Cynthia Maria Sabino Bezerra Camurri"/>
        <s v="Celina Maria Macedo Stern"/>
        <s v="Izabel Irlanda Castro Correia Araúj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1">
  <r>
    <x v="0"/>
  </r>
  <r>
    <x v="0"/>
  </r>
  <r>
    <x v="0"/>
  </r>
  <r>
    <x v="0"/>
  </r>
  <r>
    <x v="0"/>
  </r>
  <r>
    <x v="0"/>
  </r>
  <r>
    <x v="0"/>
  </r>
  <r>
    <x v="1"/>
  </r>
  <r>
    <x v="1"/>
  </r>
  <r>
    <x v="1"/>
  </r>
  <r>
    <x v="1"/>
  </r>
  <r>
    <x v="1"/>
  </r>
  <r>
    <x v="2"/>
  </r>
  <r>
    <x v="2"/>
  </r>
  <r>
    <x v="2"/>
  </r>
  <r>
    <x v="1"/>
  </r>
  <r>
    <x v="2"/>
  </r>
  <r>
    <x v="1"/>
  </r>
  <r>
    <x v="2"/>
  </r>
  <r>
    <x v="2"/>
  </r>
  <r>
    <x v="1"/>
  </r>
  <r>
    <x v="0"/>
  </r>
  <r>
    <x v="1"/>
  </r>
  <r>
    <x v="1"/>
  </r>
  <r>
    <x v="1"/>
  </r>
  <r>
    <x v="1"/>
  </r>
  <r>
    <x v="1"/>
  </r>
  <r>
    <x v="1"/>
  </r>
  <r>
    <x v="1"/>
  </r>
  <r>
    <x v="1"/>
  </r>
  <r>
    <x v="1"/>
  </r>
  <r>
    <x v="2"/>
  </r>
  <r>
    <x v="1"/>
  </r>
  <r>
    <x v="2"/>
  </r>
  <r>
    <x v="2"/>
  </r>
  <r>
    <x v="1"/>
  </r>
  <r>
    <x v="1"/>
  </r>
  <r>
    <x v="1"/>
  </r>
  <r>
    <x v="1"/>
  </r>
  <r>
    <x v="1"/>
  </r>
  <r>
    <x v="1"/>
  </r>
  <r>
    <x v="1"/>
  </r>
  <r>
    <x v="1"/>
  </r>
  <r>
    <x v="1"/>
  </r>
  <r>
    <x v="2"/>
  </r>
  <r>
    <x v="2"/>
  </r>
  <r>
    <x v="1"/>
  </r>
  <r>
    <x v="1"/>
  </r>
  <r>
    <x v="1"/>
  </r>
  <r>
    <x v="2"/>
  </r>
  <r>
    <x v="2"/>
  </r>
  <r>
    <x v="2"/>
  </r>
  <r>
    <x v="1"/>
  </r>
  <r>
    <x v="1"/>
  </r>
  <r>
    <x v="1"/>
  </r>
  <r>
    <x v="1"/>
  </r>
  <r>
    <x v="2"/>
  </r>
  <r>
    <x v="2"/>
  </r>
  <r>
    <x v="2"/>
  </r>
  <r>
    <x v="1"/>
  </r>
  <r>
    <x v="1"/>
  </r>
  <r>
    <x v="1"/>
  </r>
  <r>
    <x v="2"/>
  </r>
  <r>
    <x v="1"/>
  </r>
  <r>
    <x v="1"/>
  </r>
  <r>
    <x v="2"/>
  </r>
  <r>
    <x v="1"/>
  </r>
  <r>
    <x v="1"/>
  </r>
  <r>
    <x v="1"/>
  </r>
  <r>
    <x v="1"/>
  </r>
  <r>
    <x v="1"/>
  </r>
  <r>
    <x v="2"/>
  </r>
  <r>
    <x v="1"/>
  </r>
  <r>
    <x v="2"/>
  </r>
  <r>
    <x v="2"/>
  </r>
  <r>
    <x v="2"/>
  </r>
  <r>
    <x v="2"/>
  </r>
  <r>
    <x v="1"/>
  </r>
  <r>
    <x v="2"/>
  </r>
  <r>
    <x v="1"/>
  </r>
  <r>
    <x v="1"/>
  </r>
  <r>
    <x v="2"/>
  </r>
  <r>
    <x v="2"/>
  </r>
  <r>
    <x v="1"/>
  </r>
  <r>
    <x v="2"/>
  </r>
  <r>
    <x v="1"/>
  </r>
  <r>
    <x v="2"/>
  </r>
  <r>
    <x v="1"/>
  </r>
  <r>
    <x v="1"/>
  </r>
  <r>
    <x v="1"/>
  </r>
  <r>
    <x v="1"/>
  </r>
  <r>
    <x v="1"/>
  </r>
  <r>
    <x v="2"/>
  </r>
  <r>
    <x v="1"/>
  </r>
  <r>
    <x v="1"/>
  </r>
  <r>
    <x v="1"/>
  </r>
  <r>
    <x v="2"/>
  </r>
  <r>
    <x v="1"/>
  </r>
  <r>
    <x v="1"/>
  </r>
  <r>
    <x v="1"/>
  </r>
  <r>
    <x v="2"/>
  </r>
  <r>
    <x v="2"/>
  </r>
  <r>
    <x v="1"/>
  </r>
  <r>
    <x v="1"/>
  </r>
  <r>
    <x v="1"/>
  </r>
  <r>
    <x v="1"/>
  </r>
  <r>
    <x v="2"/>
  </r>
  <r>
    <x v="1"/>
  </r>
  <r>
    <x v="1"/>
  </r>
  <r>
    <x v="1"/>
  </r>
  <r>
    <x v="1"/>
  </r>
  <r>
    <x v="1"/>
  </r>
  <r>
    <x v="2"/>
  </r>
  <r>
    <x v="2"/>
  </r>
  <r>
    <x v="1"/>
  </r>
  <r>
    <x v="2"/>
  </r>
  <r>
    <x v="2"/>
  </r>
  <r>
    <x v="2"/>
  </r>
  <r>
    <x v="1"/>
  </r>
  <r>
    <x v="2"/>
  </r>
  <r>
    <x v="2"/>
  </r>
  <r>
    <x v="2"/>
  </r>
  <r>
    <x v="1"/>
  </r>
  <r>
    <x v="1"/>
  </r>
  <r>
    <x v="1"/>
  </r>
  <r>
    <x v="2"/>
  </r>
  <r>
    <x v="0"/>
  </r>
  <r>
    <x v="1"/>
  </r>
  <r>
    <x v="2"/>
  </r>
  <r>
    <x v="2"/>
  </r>
  <r>
    <x v="1"/>
  </r>
  <r>
    <x v="2"/>
  </r>
  <r>
    <x v="1"/>
  </r>
  <r>
    <x v="1"/>
  </r>
  <r>
    <x v="1"/>
  </r>
  <r>
    <x v="1"/>
  </r>
  <r>
    <x v="1"/>
  </r>
  <r>
    <x v="1"/>
  </r>
  <r>
    <x v="1"/>
  </r>
  <r>
    <x v="1"/>
  </r>
  <r>
    <x v="1"/>
  </r>
  <r>
    <x v="1"/>
  </r>
  <r>
    <x v="1"/>
  </r>
  <r>
    <x v="2"/>
  </r>
  <r>
    <x v="1"/>
  </r>
  <r>
    <x v="1"/>
  </r>
  <r>
    <x v="1"/>
  </r>
  <r>
    <x v="2"/>
  </r>
  <r>
    <x v="1"/>
  </r>
  <r>
    <x v="1"/>
  </r>
  <r>
    <x v="0"/>
  </r>
  <r>
    <x v="1"/>
  </r>
  <r>
    <x v="1"/>
  </r>
  <r>
    <x v="1"/>
  </r>
  <r>
    <x v="1"/>
  </r>
  <r>
    <x v="2"/>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3"/>
  </r>
</pivotCacheRecords>
</file>

<file path=xl/pivotCache/pivotCacheRecords2.xml><?xml version="1.0" encoding="utf-8"?>
<pivotCacheRecords xmlns="http://schemas.openxmlformats.org/spreadsheetml/2006/main" xmlns:r="http://schemas.openxmlformats.org/officeDocument/2006/relationships" count="421">
  <r>
    <x v="0"/>
  </r>
  <r>
    <x v="0"/>
  </r>
  <r>
    <x v="0"/>
  </r>
  <r>
    <x v="0"/>
  </r>
  <r>
    <x v="0"/>
  </r>
  <r>
    <x v="0"/>
  </r>
  <r>
    <x v="0"/>
  </r>
  <r>
    <x v="1"/>
  </r>
  <r>
    <x v="2"/>
  </r>
  <r>
    <x v="2"/>
  </r>
  <r>
    <x v="2"/>
  </r>
  <r>
    <x v="1"/>
  </r>
  <r>
    <x v="3"/>
  </r>
  <r>
    <x v="3"/>
  </r>
  <r>
    <x v="3"/>
  </r>
  <r>
    <x v="4"/>
  </r>
  <r>
    <x v="3"/>
  </r>
  <r>
    <x v="4"/>
  </r>
  <r>
    <x v="3"/>
  </r>
  <r>
    <x v="3"/>
  </r>
  <r>
    <x v="2"/>
  </r>
  <r>
    <x v="0"/>
  </r>
  <r>
    <x v="1"/>
  </r>
  <r>
    <x v="2"/>
  </r>
  <r>
    <x v="1"/>
  </r>
  <r>
    <x v="4"/>
  </r>
  <r>
    <x v="1"/>
  </r>
  <r>
    <x v="1"/>
  </r>
  <r>
    <x v="1"/>
  </r>
  <r>
    <x v="1"/>
  </r>
  <r>
    <x v="1"/>
  </r>
  <r>
    <x v="3"/>
  </r>
  <r>
    <x v="2"/>
  </r>
  <r>
    <x v="3"/>
  </r>
  <r>
    <x v="3"/>
  </r>
  <r>
    <x v="1"/>
  </r>
  <r>
    <x v="1"/>
  </r>
  <r>
    <x v="1"/>
  </r>
  <r>
    <x v="1"/>
  </r>
  <r>
    <x v="1"/>
  </r>
  <r>
    <x v="1"/>
  </r>
  <r>
    <x v="2"/>
  </r>
  <r>
    <x v="1"/>
  </r>
  <r>
    <x v="2"/>
  </r>
  <r>
    <x v="3"/>
  </r>
  <r>
    <x v="3"/>
  </r>
  <r>
    <x v="2"/>
  </r>
  <r>
    <x v="2"/>
  </r>
  <r>
    <x v="2"/>
  </r>
  <r>
    <x v="3"/>
  </r>
  <r>
    <x v="3"/>
  </r>
  <r>
    <x v="3"/>
  </r>
  <r>
    <x v="2"/>
  </r>
  <r>
    <x v="1"/>
  </r>
  <r>
    <x v="1"/>
  </r>
  <r>
    <x v="2"/>
  </r>
  <r>
    <x v="3"/>
  </r>
  <r>
    <x v="3"/>
  </r>
  <r>
    <x v="3"/>
  </r>
  <r>
    <x v="4"/>
  </r>
  <r>
    <x v="4"/>
  </r>
  <r>
    <x v="2"/>
  </r>
  <r>
    <x v="3"/>
  </r>
  <r>
    <x v="4"/>
  </r>
  <r>
    <x v="1"/>
  </r>
  <r>
    <x v="3"/>
  </r>
  <r>
    <x v="2"/>
  </r>
  <r>
    <x v="1"/>
  </r>
  <r>
    <x v="4"/>
  </r>
  <r>
    <x v="2"/>
  </r>
  <r>
    <x v="2"/>
  </r>
  <r>
    <x v="3"/>
  </r>
  <r>
    <x v="1"/>
  </r>
  <r>
    <x v="3"/>
  </r>
  <r>
    <x v="3"/>
  </r>
  <r>
    <x v="3"/>
  </r>
  <r>
    <x v="3"/>
  </r>
  <r>
    <x v="4"/>
  </r>
  <r>
    <x v="3"/>
  </r>
  <r>
    <x v="1"/>
  </r>
  <r>
    <x v="2"/>
  </r>
  <r>
    <x v="3"/>
  </r>
  <r>
    <x v="3"/>
  </r>
  <r>
    <x v="1"/>
  </r>
  <r>
    <x v="3"/>
  </r>
  <r>
    <x v="2"/>
  </r>
  <r>
    <x v="3"/>
  </r>
  <r>
    <x v="2"/>
  </r>
  <r>
    <x v="1"/>
  </r>
  <r>
    <x v="2"/>
  </r>
  <r>
    <x v="2"/>
  </r>
  <r>
    <x v="2"/>
  </r>
  <r>
    <x v="3"/>
  </r>
  <r>
    <x v="1"/>
  </r>
  <r>
    <x v="2"/>
  </r>
  <r>
    <x v="2"/>
  </r>
  <r>
    <x v="3"/>
  </r>
  <r>
    <x v="2"/>
  </r>
  <r>
    <x v="2"/>
  </r>
  <r>
    <x v="4"/>
  </r>
  <r>
    <x v="3"/>
  </r>
  <r>
    <x v="3"/>
  </r>
  <r>
    <x v="2"/>
  </r>
  <r>
    <x v="2"/>
  </r>
  <r>
    <x v="2"/>
  </r>
  <r>
    <x v="2"/>
  </r>
  <r>
    <x v="3"/>
  </r>
  <r>
    <x v="2"/>
  </r>
  <r>
    <x v="4"/>
  </r>
  <r>
    <x v="1"/>
  </r>
  <r>
    <x v="4"/>
  </r>
  <r>
    <x v="2"/>
  </r>
  <r>
    <x v="3"/>
  </r>
  <r>
    <x v="3"/>
  </r>
  <r>
    <x v="2"/>
  </r>
  <r>
    <x v="3"/>
  </r>
  <r>
    <x v="3"/>
  </r>
  <r>
    <x v="3"/>
  </r>
  <r>
    <x v="4"/>
  </r>
  <r>
    <x v="3"/>
  </r>
  <r>
    <x v="3"/>
  </r>
  <r>
    <x v="3"/>
  </r>
  <r>
    <x v="2"/>
  </r>
  <r>
    <x v="4"/>
  </r>
  <r>
    <x v="4"/>
  </r>
  <r>
    <x v="3"/>
  </r>
  <r>
    <x v="4"/>
  </r>
  <r>
    <x v="2"/>
  </r>
  <r>
    <x v="3"/>
  </r>
  <r>
    <x v="3"/>
  </r>
  <r>
    <x v="2"/>
  </r>
  <r>
    <x v="3"/>
  </r>
  <r>
    <x v="4"/>
  </r>
  <r>
    <x v="2"/>
  </r>
  <r>
    <x v="1"/>
  </r>
  <r>
    <x v="2"/>
  </r>
  <r>
    <x v="2"/>
  </r>
  <r>
    <x v="2"/>
  </r>
  <r>
    <x v="2"/>
  </r>
  <r>
    <x v="4"/>
  </r>
  <r>
    <x v="4"/>
  </r>
  <r>
    <x v="4"/>
  </r>
  <r>
    <x v="2"/>
  </r>
  <r>
    <x v="3"/>
  </r>
  <r>
    <x v="2"/>
  </r>
  <r>
    <x v="1"/>
  </r>
  <r>
    <x v="1"/>
  </r>
  <r>
    <x v="3"/>
  </r>
  <r>
    <x v="4"/>
  </r>
  <r>
    <x v="2"/>
  </r>
  <r>
    <x v="2"/>
  </r>
  <r>
    <x v="2"/>
  </r>
  <r>
    <x v="4"/>
  </r>
  <r>
    <x v="4"/>
  </r>
  <r>
    <x v="4"/>
  </r>
  <r>
    <x v="3"/>
  </r>
  <r>
    <x v="2"/>
  </r>
  <r>
    <x v="4"/>
  </r>
  <r>
    <x v="4"/>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4"/>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4"/>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2"/>
  </r>
  <r>
    <x v="2"/>
  </r>
  <r>
    <x v="2"/>
  </r>
  <r>
    <x v="4"/>
  </r>
  <r>
    <x v="2"/>
  </r>
  <r>
    <x v="2"/>
  </r>
  <r>
    <x v="2"/>
  </r>
  <r>
    <x v="2"/>
  </r>
  <r>
    <x v="2"/>
  </r>
  <r>
    <x v="2"/>
  </r>
  <r>
    <x v="2"/>
  </r>
  <r>
    <x v="2"/>
  </r>
  <r>
    <x v="2"/>
  </r>
  <r>
    <x v="2"/>
  </r>
  <r>
    <x v="2"/>
  </r>
  <r>
    <x v="2"/>
  </r>
  <r>
    <x v="2"/>
  </r>
  <r>
    <x v="2"/>
  </r>
  <r>
    <x v="2"/>
  </r>
  <r>
    <x v="2"/>
  </r>
  <r>
    <x v="2"/>
  </r>
  <r>
    <x v="2"/>
  </r>
  <r>
    <x v="2"/>
  </r>
  <r>
    <x v="2"/>
  </r>
  <r>
    <x v="2"/>
  </r>
  <r>
    <x v="2"/>
  </r>
  <r>
    <x v="2"/>
  </r>
  <r>
    <x v="0"/>
  </r>
  <r>
    <x v="2"/>
  </r>
  <r>
    <x v="0"/>
  </r>
  <r>
    <x v="2"/>
  </r>
  <r>
    <x v="2"/>
  </r>
  <r>
    <x v="2"/>
  </r>
  <r>
    <x v="0"/>
  </r>
  <r>
    <x v="0"/>
  </r>
  <r>
    <x v="2"/>
  </r>
  <r>
    <x v="2"/>
  </r>
  <r>
    <x v="2"/>
  </r>
  <r>
    <x v="2"/>
  </r>
  <r>
    <x v="2"/>
  </r>
  <r>
    <x v="2"/>
  </r>
  <r>
    <x v="0"/>
  </r>
  <r>
    <x v="2"/>
  </r>
  <r>
    <x v="2"/>
  </r>
  <r>
    <x v="2"/>
  </r>
  <r>
    <x v="4"/>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2"/>
  </r>
  <r>
    <x v="2"/>
  </r>
  <r>
    <x v="2"/>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5"/>
  </r>
</pivotCacheRecords>
</file>

<file path=xl/pivotCache/pivotCacheRecords3.xml><?xml version="1.0" encoding="utf-8"?>
<pivotCacheRecords xmlns="http://schemas.openxmlformats.org/spreadsheetml/2006/main" xmlns:r="http://schemas.openxmlformats.org/officeDocument/2006/relationships" count="421">
  <r>
    <x v="0"/>
  </r>
  <r>
    <x v="1"/>
  </r>
  <r>
    <x v="1"/>
  </r>
  <r>
    <x v="0"/>
  </r>
  <r>
    <x v="1"/>
  </r>
  <r>
    <x v="0"/>
  </r>
  <r>
    <x v="0"/>
  </r>
  <r>
    <x v="0"/>
  </r>
  <r>
    <x v="1"/>
  </r>
  <r>
    <x v="1"/>
  </r>
  <r>
    <x v="1"/>
  </r>
  <r>
    <x v="0"/>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0"/>
  </r>
  <r>
    <x v="0"/>
  </r>
  <r>
    <x v="1"/>
  </r>
  <r>
    <x v="0"/>
  </r>
  <r>
    <x v="1"/>
  </r>
  <r>
    <x v="0"/>
  </r>
  <r>
    <x v="0"/>
  </r>
  <r>
    <x v="0"/>
  </r>
  <r>
    <x v="1"/>
  </r>
  <r>
    <x v="1"/>
  </r>
  <r>
    <x v="0"/>
  </r>
  <r>
    <x v="1"/>
  </r>
  <r>
    <x v="1"/>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1"/>
  </r>
  <r>
    <x v="0"/>
  </r>
  <r>
    <x v="1"/>
  </r>
  <r>
    <x v="0"/>
  </r>
  <r>
    <x v="0"/>
  </r>
  <r>
    <x v="0"/>
  </r>
  <r>
    <x v="0"/>
  </r>
  <r>
    <x v="0"/>
  </r>
  <r>
    <x v="0"/>
  </r>
  <r>
    <x v="0"/>
  </r>
  <r>
    <x v="0"/>
  </r>
  <r>
    <x v="0"/>
  </r>
  <r>
    <x v="0"/>
  </r>
  <r>
    <x v="0"/>
  </r>
  <r>
    <x v="0"/>
  </r>
  <r>
    <x v="0"/>
  </r>
  <r>
    <x v="0"/>
  </r>
  <r>
    <x v="0"/>
  </r>
  <r>
    <x v="0"/>
  </r>
  <r>
    <x v="1"/>
  </r>
  <r>
    <x v="0"/>
  </r>
  <r>
    <x v="1"/>
  </r>
  <r>
    <x v="0"/>
  </r>
  <r>
    <x v="0"/>
  </r>
  <r>
    <x v="0"/>
  </r>
  <r>
    <x v="0"/>
  </r>
  <r>
    <x v="0"/>
  </r>
  <r>
    <x v="1"/>
  </r>
  <r>
    <x v="0"/>
  </r>
  <r>
    <x v="0"/>
  </r>
  <r>
    <x v="0"/>
  </r>
  <r>
    <x v="0"/>
  </r>
  <r>
    <x v="0"/>
  </r>
  <r>
    <x v="0"/>
  </r>
  <r>
    <x v="1"/>
  </r>
  <r>
    <x v="0"/>
  </r>
  <r>
    <x v="0"/>
  </r>
  <r>
    <x v="0"/>
  </r>
  <r>
    <x v="0"/>
  </r>
  <r>
    <x v="0"/>
  </r>
  <r>
    <x v="0"/>
  </r>
  <r>
    <x v="0"/>
  </r>
  <r>
    <x v="0"/>
  </r>
  <r>
    <x v="0"/>
  </r>
  <r>
    <x v="1"/>
  </r>
  <r>
    <x v="0"/>
  </r>
  <r>
    <x v="0"/>
  </r>
  <r>
    <x v="0"/>
  </r>
  <r>
    <x v="0"/>
  </r>
  <r>
    <x v="0"/>
  </r>
  <r>
    <x v="0"/>
  </r>
  <r>
    <x v="0"/>
  </r>
  <r>
    <x v="1"/>
  </r>
  <r>
    <x v="1"/>
  </r>
  <r>
    <x v="0"/>
  </r>
  <r>
    <x v="1"/>
  </r>
  <r>
    <x v="0"/>
  </r>
  <r>
    <x v="0"/>
  </r>
  <r>
    <x v="1"/>
  </r>
  <r>
    <x v="0"/>
  </r>
  <r>
    <x v="0"/>
  </r>
  <r>
    <x v="1"/>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4.xml><?xml version="1.0" encoding="utf-8"?>
<pivotCacheRecords xmlns="http://schemas.openxmlformats.org/spreadsheetml/2006/main" xmlns:r="http://schemas.openxmlformats.org/officeDocument/2006/relationships" count="42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1"/>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1"/>
  </r>
  <r>
    <x v="0"/>
  </r>
  <r>
    <x v="0"/>
  </r>
  <r>
    <x v="0"/>
  </r>
  <r>
    <x v="0"/>
  </r>
  <r>
    <x v="0"/>
  </r>
  <r>
    <x v="0"/>
  </r>
  <r>
    <x v="0"/>
  </r>
  <r>
    <x v="0"/>
  </r>
  <r>
    <x v="0"/>
  </r>
  <r>
    <x v="0"/>
  </r>
  <r>
    <x v="1"/>
  </r>
  <r>
    <x v="1"/>
  </r>
  <r>
    <x v="1"/>
  </r>
  <r>
    <x v="0"/>
  </r>
  <r>
    <x v="0"/>
  </r>
  <r>
    <x v="0"/>
  </r>
  <r>
    <x v="1"/>
  </r>
  <r>
    <x v="0"/>
  </r>
  <r>
    <x v="0"/>
  </r>
  <r>
    <x v="0"/>
  </r>
  <r>
    <x v="0"/>
  </r>
  <r>
    <x v="0"/>
  </r>
  <r>
    <x v="1"/>
  </r>
  <r>
    <x v="1"/>
  </r>
  <r>
    <x v="0"/>
  </r>
  <r>
    <x v="1"/>
  </r>
  <r>
    <x v="0"/>
  </r>
  <r>
    <x v="0"/>
  </r>
  <r>
    <x v="0"/>
  </r>
  <r>
    <x v="0"/>
  </r>
  <r>
    <x v="0"/>
  </r>
  <r>
    <x v="0"/>
  </r>
  <r>
    <x v="1"/>
  </r>
  <r>
    <x v="0"/>
  </r>
  <r>
    <x v="0"/>
  </r>
  <r>
    <x v="1"/>
  </r>
  <r>
    <x v="1"/>
  </r>
  <r>
    <x v="1"/>
  </r>
  <r>
    <x v="0"/>
  </r>
  <r>
    <x v="0"/>
  </r>
  <r>
    <x v="0"/>
  </r>
  <r>
    <x v="0"/>
  </r>
  <r>
    <x v="1"/>
  </r>
  <r>
    <x v="0"/>
  </r>
  <r>
    <x v="0"/>
  </r>
  <r>
    <x v="0"/>
  </r>
  <r>
    <x v="1"/>
  </r>
  <r>
    <x v="0"/>
  </r>
  <r>
    <x v="0"/>
  </r>
  <r>
    <x v="0"/>
  </r>
  <r>
    <x v="0"/>
  </r>
  <r>
    <x v="0"/>
  </r>
  <r>
    <x v="1"/>
  </r>
  <r>
    <x v="0"/>
  </r>
  <r>
    <x v="0"/>
  </r>
  <r>
    <x v="1"/>
  </r>
  <r>
    <x v="0"/>
  </r>
  <r>
    <x v="0"/>
  </r>
  <r>
    <x v="0"/>
  </r>
  <r>
    <x v="1"/>
  </r>
  <r>
    <x v="0"/>
  </r>
  <r>
    <x v="0"/>
  </r>
  <r>
    <x v="1"/>
  </r>
  <r>
    <x v="0"/>
  </r>
  <r>
    <x v="0"/>
  </r>
  <r>
    <x v="1"/>
  </r>
  <r>
    <x v="0"/>
  </r>
  <r>
    <x v="1"/>
  </r>
  <r>
    <x v="1"/>
  </r>
  <r>
    <x v="1"/>
  </r>
  <r>
    <x v="1"/>
  </r>
  <r>
    <x v="0"/>
  </r>
  <r>
    <x v="1"/>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0"/>
  </r>
  <r>
    <x v="0"/>
  </r>
  <r>
    <x v="0"/>
  </r>
  <r>
    <x v="0"/>
  </r>
  <r>
    <x v="1"/>
  </r>
  <r>
    <x v="0"/>
  </r>
  <r>
    <x v="0"/>
  </r>
  <r>
    <x v="0"/>
  </r>
  <r>
    <x v="0"/>
  </r>
  <r>
    <x v="1"/>
  </r>
  <r>
    <x v="0"/>
  </r>
  <r>
    <x v="0"/>
  </r>
  <r>
    <x v="0"/>
  </r>
  <r>
    <x v="0"/>
  </r>
  <r>
    <x v="0"/>
  </r>
  <r>
    <x v="0"/>
  </r>
  <r>
    <x v="0"/>
  </r>
  <r>
    <x v="0"/>
  </r>
  <r>
    <x v="1"/>
  </r>
  <r>
    <x v="0"/>
  </r>
  <r>
    <x v="0"/>
  </r>
  <r>
    <x v="0"/>
  </r>
  <r>
    <x v="0"/>
  </r>
  <r>
    <x v="0"/>
  </r>
  <r>
    <x v="0"/>
  </r>
  <r>
    <x v="1"/>
  </r>
  <r>
    <x v="1"/>
  </r>
  <r>
    <x v="1"/>
  </r>
  <r>
    <x v="1"/>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1"/>
  </r>
  <r>
    <x v="0"/>
  </r>
  <r>
    <x v="0"/>
  </r>
  <r>
    <x v="0"/>
  </r>
  <r>
    <x v="0"/>
  </r>
  <r>
    <x v="0"/>
  </r>
  <r>
    <x v="0"/>
  </r>
  <r>
    <x v="1"/>
  </r>
  <r>
    <x v="0"/>
  </r>
  <r>
    <x v="0"/>
  </r>
  <r>
    <x v="0"/>
  </r>
  <r>
    <x v="0"/>
  </r>
  <r>
    <x v="0"/>
  </r>
  <r>
    <x v="0"/>
  </r>
  <r>
    <x v="0"/>
  </r>
  <r>
    <x v="0"/>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5.xml><?xml version="1.0" encoding="utf-8"?>
<pivotCacheRecords xmlns="http://schemas.openxmlformats.org/spreadsheetml/2006/main" xmlns:r="http://schemas.openxmlformats.org/officeDocument/2006/relationships" count="421">
  <r>
    <n v="1"/>
    <s v="00316684320178260050"/>
    <n v="1"/>
    <s v="08/06/2017"/>
    <s v="Carlos Eduardo Lora Franco"/>
    <x v="0"/>
  </r>
  <r>
    <n v="2"/>
    <s v="00126324020168260635"/>
    <n v="0"/>
    <s v="17/03/2017"/>
    <s v="Carlos Eduardo Lora Franco"/>
    <x v="0"/>
  </r>
  <r>
    <n v="3"/>
    <s v="00818385320168260050"/>
    <n v="1"/>
    <s v="24/01/2017"/>
    <s v="Adriana Costa"/>
    <x v="1"/>
  </r>
  <r>
    <n v="4"/>
    <s v="00973992020168260050"/>
    <n v="1"/>
    <s v="19/05/2017"/>
    <s v="Tamara Priscila Tocci"/>
    <x v="1"/>
  </r>
  <r>
    <n v="5"/>
    <s v="00055277520178260635"/>
    <n v="1"/>
    <s v="12/09/2017"/>
    <s v="José Roberto Cabral Longaretti"/>
    <x v="0"/>
  </r>
  <r>
    <n v="6"/>
    <s v="00269673920178260050"/>
    <n v="1"/>
    <s v="11/07/2017"/>
    <s v="Rafael Henrique Janela Tamai Rocha"/>
    <x v="0"/>
  </r>
  <r>
    <n v="7"/>
    <s v="00970683820168260050"/>
    <n v="1"/>
    <s v="08/02/2017"/>
    <s v="Carla de Oliveira Pinto Ferrari"/>
    <x v="1"/>
  </r>
  <r>
    <n v="8"/>
    <s v="00554602620178260050"/>
    <n v="0"/>
    <s v="05/12/2017"/>
    <s v="Maria Paula Cassone Rossi"/>
    <x v="1"/>
  </r>
  <r>
    <n v="9"/>
    <s v="00663684520178260050"/>
    <n v="1"/>
    <s v="09/10/2017"/>
    <s v="Klaus Marouelli Arroyo"/>
    <x v="0"/>
  </r>
  <r>
    <n v="10"/>
    <s v="00583559120168260050"/>
    <n v="1"/>
    <s v="01/03/2017"/>
    <s v="Renata William Rached Catelli"/>
    <x v="1"/>
  </r>
  <r>
    <n v="11"/>
    <s v="00763926920168260050"/>
    <n v="1"/>
    <s v="30/05/2017"/>
    <s v="CRISTINA ESCHER"/>
    <x v="1"/>
  </r>
  <r>
    <n v="12"/>
    <s v="01036245620168260050"/>
    <n v="1"/>
    <s v="04/08/2017"/>
    <s v="Patrícia Álvares Cruz"/>
    <x v="1"/>
  </r>
  <r>
    <n v="13"/>
    <s v="00292905120168260050"/>
    <n v="1"/>
    <d v="2017-10-09T00:00:00"/>
    <s v="Edison Tetsuzo Namba"/>
    <x v="0"/>
  </r>
  <r>
    <n v="14"/>
    <s v="00607505620168260050"/>
    <n v="1"/>
    <s v="17/03/2017"/>
    <s v="Tatiana Vieira Guerra"/>
    <x v="1"/>
  </r>
  <r>
    <n v="15"/>
    <s v="00945836520168260050"/>
    <n v="0"/>
    <s v="20/03/2017"/>
    <s v="Paulo Eduardo Balbone Costa"/>
    <x v="0"/>
  </r>
  <r>
    <n v="16"/>
    <s v="00493201020168260050"/>
    <n v="1"/>
    <s v="03/04/2017"/>
    <s v="José Fernandes Freitas Neto"/>
    <x v="0"/>
  </r>
  <r>
    <n v="17"/>
    <s v="00770379420168260050"/>
    <n v="0"/>
    <s v="27/09/2017"/>
    <s v="Fátima Vilas Boas Cruz"/>
    <x v="1"/>
  </r>
  <r>
    <n v="18"/>
    <s v="00125146420168260635"/>
    <n v="1"/>
    <s v="01/08/2017"/>
    <s v="CRISTINA ESCHER"/>
    <x v="1"/>
  </r>
  <r>
    <n v="19"/>
    <s v="00447582120178260050"/>
    <n v="1"/>
    <s v="09/08/2017"/>
    <s v="TERESA DE ALMEIDA RIBEIRO MAGALHAES"/>
    <x v="1"/>
  </r>
  <r>
    <n v="20"/>
    <s v="00885193920168260050"/>
    <n v="1"/>
    <d v="2017-06-02T00:00:00"/>
    <s v="Giovana Furtado de Oliveira"/>
    <x v="1"/>
  </r>
  <r>
    <n v="21"/>
    <s v="00316927120178260050"/>
    <n v="1"/>
    <s v="17/08/2017"/>
    <s v="Carla de Oliveira Pinto Ferrari"/>
    <x v="1"/>
  </r>
  <r>
    <n v="22"/>
    <s v="00216280220178260050"/>
    <n v="1"/>
    <s v="23/05/2017"/>
    <s v="Cecilia Pinheiro da Fonseca"/>
    <x v="1"/>
  </r>
  <r>
    <n v="23"/>
    <s v="00810028020168260050"/>
    <n v="1"/>
    <s v="03/08/2017"/>
    <s v="Antonio de Oliveira Angrisani Filho"/>
    <x v="0"/>
  </r>
  <r>
    <n v="24"/>
    <s v="00025180820178260635"/>
    <n v="1"/>
    <d v="2017-06-07T00:00:00"/>
    <s v="Erica Regina Colmenero Coimbra"/>
    <x v="1"/>
  </r>
  <r>
    <n v="25"/>
    <s v="00717920520168260050"/>
    <n v="1"/>
    <s v="26/05/2017"/>
    <s v="Tatiana Vieira Guerra"/>
    <x v="1"/>
  </r>
  <r>
    <n v="26"/>
    <s v="00011202620178260635"/>
    <n v="1"/>
    <d v="2017-05-16T00:00:00"/>
    <s v="Luciane Jabur Mouchaloite Figueiredo"/>
    <x v="1"/>
  </r>
  <r>
    <n v="27"/>
    <s v="00265875020168260050"/>
    <n v="1"/>
    <s v="26/10/2017"/>
    <s v="Tatiana Saes Valverde Ormeleze"/>
    <x v="1"/>
  </r>
  <r>
    <n v="28"/>
    <s v="00064847620178260635"/>
    <n v="1"/>
    <s v="19/10/2017"/>
    <s v="LEYLA MARIA DA SILVA LACAZ"/>
    <x v="1"/>
  </r>
  <r>
    <n v="29"/>
    <s v="00064847620178260635"/>
    <n v="0"/>
    <s v="19/10/2017"/>
    <s v="LEYLA MARIA DA SILVA LACAZ"/>
    <x v="1"/>
  </r>
  <r>
    <n v="30"/>
    <s v="00275320320178260050"/>
    <n v="1"/>
    <s v="28/08/2017"/>
    <s v="Waldir Calciolari"/>
    <x v="0"/>
  </r>
  <r>
    <n v="31"/>
    <s v="00275320320178260050"/>
    <n v="0"/>
    <s v="28/08/2017"/>
    <s v="Waldir Calciolari"/>
    <x v="0"/>
  </r>
  <r>
    <n v="32"/>
    <s v="00193936220178260050"/>
    <n v="1"/>
    <s v="05/09/2017"/>
    <s v="TERESA DE ALMEIDA RIBEIRO MAGALHAES"/>
    <x v="1"/>
  </r>
  <r>
    <n v="33"/>
    <s v="00022793820168260635"/>
    <n v="1"/>
    <s v="08/05/2017"/>
    <s v="Carla de Oliveira Pinto Ferrari"/>
    <x v="1"/>
  </r>
  <r>
    <n v="34"/>
    <s v="00129087120168260635"/>
    <n v="1"/>
    <d v="2017-07-21T00:00:00"/>
    <s v="Fernanda Galizia Noriega"/>
    <x v="1"/>
  </r>
  <r>
    <n v="35"/>
    <s v="00959450520168260050"/>
    <n v="1"/>
    <s v="30/05/2017"/>
    <s v="MARCO ANTONIO MARTIN VARGAS"/>
    <x v="0"/>
  </r>
  <r>
    <n v="36"/>
    <s v="00356275620168260050"/>
    <n v="1"/>
    <s v="29/03/2017"/>
    <s v="José Fernandes Freitas Neto"/>
    <x v="0"/>
  </r>
  <r>
    <n v="37"/>
    <s v="00356275620168260050"/>
    <n v="0"/>
    <s v="29/03/2017"/>
    <s v="José Fernandes Freitas Neto"/>
    <x v="0"/>
  </r>
  <r>
    <n v="38"/>
    <s v="00118000720168260635"/>
    <n v="1"/>
    <s v="03/07/2017"/>
    <s v="José Fernandes Freitas Neto"/>
    <x v="0"/>
  </r>
  <r>
    <n v="39"/>
    <s v="00832380520168260050"/>
    <n v="1"/>
    <s v="14/12/2017"/>
    <s v="Edison Tetsuzo Namba"/>
    <x v="0"/>
  </r>
  <r>
    <n v="40"/>
    <s v="00181715920178260050"/>
    <n v="0"/>
    <s v="26/09/2017"/>
    <s v="Carla de Oliveira Pinto Ferrari"/>
    <x v="1"/>
  </r>
  <r>
    <n v="41"/>
    <s v="00181715920178260050"/>
    <n v="1"/>
    <s v="26/09/2017"/>
    <s v="Carla de Oliveira Pinto Ferrari"/>
    <x v="1"/>
  </r>
  <r>
    <n v="42"/>
    <s v="00912876920158260050"/>
    <n v="1"/>
    <d v="2017-06-23T00:00:00"/>
    <s v="Fernando Cesar Carrari"/>
    <x v="0"/>
  </r>
  <r>
    <n v="43"/>
    <s v="00634812520168260050"/>
    <n v="1"/>
    <s v="12/04/2017"/>
    <s v="Isaura Cristina Barreira"/>
    <x v="1"/>
  </r>
  <r>
    <n v="44"/>
    <s v="00101026320168260635"/>
    <n v="1"/>
    <d v="2017-07-21T00:00:00"/>
    <s v="Fernando Cesar Carrari"/>
    <x v="0"/>
  </r>
  <r>
    <n v="45"/>
    <s v="01058494920168260050"/>
    <n v="1"/>
    <s v="22/08/2017"/>
    <s v="ALESSANDRA TEIXEIRA MIGUEL"/>
    <x v="1"/>
  </r>
  <r>
    <n v="46"/>
    <s v="00174033620178260050"/>
    <n v="1"/>
    <s v="26/04/2017"/>
    <s v="Pedro Luiz Fernandes Nery Rafael"/>
    <x v="0"/>
  </r>
  <r>
    <n v="47"/>
    <s v="00075442120168260635"/>
    <n v="1"/>
    <s v="20/01/2017"/>
    <s v="Erica Regina Colmenero Coimbra"/>
    <x v="1"/>
  </r>
  <r>
    <n v="48"/>
    <s v="00075442120168260635"/>
    <n v="0"/>
    <s v="20/01/2017"/>
    <s v="Erica Regina Colmenero Coimbra"/>
    <x v="1"/>
  </r>
  <r>
    <n v="49"/>
    <s v="00048551320168260050"/>
    <n v="1"/>
    <d v="2017-07-26T00:00:00"/>
    <s v="Augusto Antonini"/>
    <x v="0"/>
  </r>
  <r>
    <n v="50"/>
    <s v="00317021820178260050"/>
    <n v="1"/>
    <s v="31/07/2017"/>
    <s v="Edison Tetsuzo Namba"/>
    <x v="0"/>
  </r>
  <r>
    <n v="51"/>
    <s v="00433509220178260050"/>
    <n v="1"/>
    <s v="01/11/2017"/>
    <s v="ANDRE LUIZ DA SILVA DA CUNHA"/>
    <x v="0"/>
  </r>
  <r>
    <n v="52"/>
    <s v="00067969520168260050"/>
    <n v="1"/>
    <s v="05/05/2017"/>
    <s v="MARCO ANTONIO MARTIN VARGAS"/>
    <x v="0"/>
  </r>
  <r>
    <n v="53"/>
    <s v="00084787620168260635"/>
    <n v="1"/>
    <d v="2017-02-06T00:00:00"/>
    <s v="Fernanda Galizia Noriega"/>
    <x v="1"/>
  </r>
  <r>
    <n v="54"/>
    <s v="00934274220168260050"/>
    <n v="1"/>
    <s v="12/07/2017"/>
    <s v="Marcos Fleury Silveira de Alvarenga"/>
    <x v="0"/>
  </r>
  <r>
    <n v="55"/>
    <s v="00934274220168260050"/>
    <n v="0"/>
    <s v="12/07/2017"/>
    <s v="Marcos Fleury Silveira de Alvarenga"/>
    <x v="0"/>
  </r>
  <r>
    <n v="56"/>
    <s v="00037661820178260050"/>
    <n v="1"/>
    <s v="27/06/2017"/>
    <s v="CRISTINA ESCHER"/>
    <x v="1"/>
  </r>
  <r>
    <n v="57"/>
    <s v="00534677920168260050"/>
    <n v="1"/>
    <s v="16/03/2017"/>
    <s v="Paulo Eduardo Balbone Costa"/>
    <x v="0"/>
  </r>
  <r>
    <n v="58"/>
    <s v="00534677920168260050"/>
    <n v="0"/>
    <s v="16/03/2017"/>
    <s v="Paulo Eduardo Balbone Costa"/>
    <x v="0"/>
  </r>
  <r>
    <n v="59"/>
    <s v="00002386420178260635"/>
    <n v="1"/>
    <s v="03/05/2017"/>
    <s v="Tamara Priscila Tocci"/>
    <x v="1"/>
  </r>
  <r>
    <n v="60"/>
    <s v="00357618320168260050"/>
    <n v="1"/>
    <s v="13/09/2017"/>
    <s v="Tatiana Saes Valverde Ormeleze"/>
    <x v="1"/>
  </r>
  <r>
    <n v="61"/>
    <s v="00857947720168260050"/>
    <n v="1"/>
    <s v="12/01/2017"/>
    <s v="Cecilia Pinheiro da Fonseca"/>
    <x v="1"/>
  </r>
  <r>
    <n v="62"/>
    <s v="00114034520168260635"/>
    <n v="1"/>
    <s v="16/08/2017"/>
    <s v="Renata William Rached Catelli"/>
    <x v="1"/>
  </r>
  <r>
    <n v="63"/>
    <s v="00086086620168260635"/>
    <n v="1"/>
    <s v="31/08/2017"/>
    <s v="MARIO RUBENS ASSUMPCAO FILHO"/>
    <x v="0"/>
  </r>
  <r>
    <n v="64"/>
    <s v="01019001720168260050"/>
    <n v="1"/>
    <s v="04/04/2017"/>
    <s v="Marcos Fleury Silveira de Alvarenga"/>
    <x v="0"/>
  </r>
  <r>
    <n v="65"/>
    <s v="00684932020168260050"/>
    <n v="1"/>
    <s v="27/10/2017"/>
    <s v="Isaura Cristina Barreira"/>
    <x v="1"/>
  </r>
  <r>
    <n v="66"/>
    <s v="00709927420168260050"/>
    <n v="1"/>
    <s v="11/05/2017"/>
    <s v="RICHARD FRANCISCO CHEQUINI"/>
    <x v="0"/>
  </r>
  <r>
    <n v="67"/>
    <s v="00033780920178260635"/>
    <n v="1"/>
    <s v="23/08/2017"/>
    <s v="Erica Regina Colmenero Coimbra"/>
    <x v="1"/>
  </r>
  <r>
    <n v="68"/>
    <s v="01058044520168260050"/>
    <n v="1"/>
    <s v="23/08/2017"/>
    <s v="Marcello Ovidio Lopes Guimarães"/>
    <x v="0"/>
  </r>
  <r>
    <n v="69"/>
    <s v="00532989220168260050"/>
    <n v="1"/>
    <d v="2017-11-01T00:00:00"/>
    <s v="Érica Aparecida Ribeiro Lopes e Navarro Rodrigues"/>
    <x v="1"/>
  </r>
  <r>
    <n v="70"/>
    <s v="00138767620178260050"/>
    <n v="0"/>
    <s v="08/06/2017"/>
    <s v="Klaus Marouelli Arroyo"/>
    <x v="0"/>
  </r>
  <r>
    <n v="71"/>
    <s v="00138767620178260050"/>
    <n v="1"/>
    <s v="08/06/2017"/>
    <s v="Klaus Marouelli Arroyo"/>
    <x v="0"/>
  </r>
  <r>
    <n v="72"/>
    <s v="00016165520178260635"/>
    <n v="1"/>
    <s v="18/04/2017"/>
    <s v="Claudia Carneiro Calbucci Renaux"/>
    <x v="1"/>
  </r>
  <r>
    <n v="73"/>
    <s v="00084502020168260050"/>
    <n v="1"/>
    <s v="09/01/2017"/>
    <s v="Maria Paula Cassone Rossi"/>
    <x v="1"/>
  </r>
  <r>
    <n v="74"/>
    <s v="00669178920168260050"/>
    <n v="1"/>
    <d v="2017-07-05T00:00:00"/>
    <s v="Érica Aparecida Ribeiro Lopes e Navarro Rodrigues"/>
    <x v="1"/>
  </r>
  <r>
    <n v="75"/>
    <s v="01070345920158260050"/>
    <n v="1"/>
    <s v="15/03/2017"/>
    <s v="José Roberto Cabral Longaretti"/>
    <x v="0"/>
  </r>
  <r>
    <n v="76"/>
    <s v="00512150620168260050"/>
    <n v="1"/>
    <s v="17/03/2017"/>
    <s v="Helio Narvaez"/>
    <x v="0"/>
  </r>
  <r>
    <n v="77"/>
    <s v="00820914120168260050"/>
    <n v="1"/>
    <s v="24/10/2017"/>
    <s v="Eliana Cassales Tosi"/>
    <x v="1"/>
  </r>
  <r>
    <n v="78"/>
    <s v="00338648320178260050"/>
    <n v="1"/>
    <s v="02/08/2017"/>
    <s v="Daniela Martins de Castro Mariani Cavallanti"/>
    <x v="1"/>
  </r>
  <r>
    <n v="79"/>
    <s v="00026628820178260050"/>
    <n v="1"/>
    <s v="17/08/2017"/>
    <s v="MARCO ANTONIO MARTIN VARGAS"/>
    <x v="0"/>
  </r>
  <r>
    <n v="80"/>
    <s v="00013583920178260540"/>
    <n v="1"/>
    <s v="19/09/2017"/>
    <s v="Rafael Henrique Janela Tamai Rocha"/>
    <x v="0"/>
  </r>
  <r>
    <n v="81"/>
    <s v="00237701320168260050"/>
    <n v="1"/>
    <d v="2017-05-24T00:00:00"/>
    <s v="Fernanda Galizia Noriega"/>
    <x v="1"/>
  </r>
  <r>
    <n v="82"/>
    <s v="00135849120178260050"/>
    <n v="1"/>
    <d v="2017-10-25T00:00:00"/>
    <s v="Érica Aparecida Ribeiro Lopes e Navarro Rodrigues"/>
    <x v="1"/>
  </r>
  <r>
    <n v="83"/>
    <s v="00104228820178260050"/>
    <n v="1"/>
    <s v="25/05/2017"/>
    <s v="ALESSANDRA TEIXEIRA MIGUEL"/>
    <x v="1"/>
  </r>
  <r>
    <n v="84"/>
    <s v="00008224320178260050"/>
    <n v="1"/>
    <s v="12/04/2017"/>
    <s v="Waldir Calciolari"/>
    <x v="0"/>
  </r>
  <r>
    <n v="85"/>
    <s v="00755542920168260050"/>
    <n v="1"/>
    <s v="17/10/2017"/>
    <s v="Antonio Carlos de Campos Machado Junior"/>
    <x v="0"/>
  </r>
  <r>
    <n v="86"/>
    <s v="00033434920178260635"/>
    <n v="1"/>
    <s v="27/06/2017"/>
    <s v="FERNANDA ALVES DA ROCHA BRANCO DE OLIVA POLITI"/>
    <x v="1"/>
  </r>
  <r>
    <n v="87"/>
    <s v="00978452320168260050"/>
    <n v="1"/>
    <s v="07/02/2017"/>
    <s v="Claudia Carneiro Calbucci Renaux"/>
    <x v="1"/>
  </r>
  <r>
    <n v="88"/>
    <s v="00607549320168260050"/>
    <n v="1"/>
    <s v="21/03/2017"/>
    <s v="Vivian Brenner De Oliveira"/>
    <x v="1"/>
  </r>
  <r>
    <n v="89"/>
    <s v="00410526420168260050"/>
    <n v="1"/>
    <s v="05/06/2017"/>
    <s v="Isaura Cristina Barreira"/>
    <x v="1"/>
  </r>
  <r>
    <n v="90"/>
    <s v="00954782620168260050"/>
    <n v="1"/>
    <s v="22/03/2017"/>
    <s v="Luciane Jabur Mouchaloite Figueiredo"/>
    <x v="1"/>
  </r>
  <r>
    <n v="91"/>
    <s v="00954782620168260050"/>
    <n v="0"/>
    <s v="22/03/2017"/>
    <s v="Luciane Jabur Mouchaloite Figueiredo"/>
    <x v="1"/>
  </r>
  <r>
    <n v="92"/>
    <s v="00386180520168260050"/>
    <n v="1"/>
    <d v="2017-08-29T00:00:00"/>
    <s v="Fernanda Galizia Noriega"/>
    <x v="1"/>
  </r>
  <r>
    <n v="93"/>
    <s v="00306822620168260050"/>
    <n v="1"/>
    <s v="06/04/2017"/>
    <s v="Fátima Vilas Boas Cruz"/>
    <x v="1"/>
  </r>
  <r>
    <n v="94"/>
    <s v="00918044020168260050"/>
    <n v="1"/>
    <s v="10/03/2017"/>
    <s v="Daniela Martins de Castro Mariani Cavallanti"/>
    <x v="1"/>
  </r>
  <r>
    <n v="95"/>
    <s v="00900592520168260050"/>
    <n v="1"/>
    <s v="08/06/2017"/>
    <s v="Carlos Eduardo Oliveira de Alencar"/>
    <x v="0"/>
  </r>
  <r>
    <n v="96"/>
    <s v="00894418020168260050"/>
    <n v="1"/>
    <d v="2017-08-29T00:00:00"/>
    <s v="Érica Aparecida Ribeiro Lopes e Navarro Rodrigues"/>
    <x v="1"/>
  </r>
  <r>
    <n v="97"/>
    <s v="00295769220178260050"/>
    <n v="1"/>
    <s v="05/10/2017"/>
    <s v="ALESSANDRA TEIXEIRA MIGUEL"/>
    <x v="1"/>
  </r>
  <r>
    <n v="98"/>
    <s v="00567796320168260050"/>
    <n v="1"/>
    <d v="2017-04-28T00:00:00"/>
    <s v="Augusto Antonini"/>
    <x v="0"/>
  </r>
  <r>
    <n v="99"/>
    <s v="00567796320168260050"/>
    <n v="0"/>
    <d v="2017-04-28T00:00:00"/>
    <s v="Augusto Antonini"/>
    <x v="0"/>
  </r>
  <r>
    <n v="100"/>
    <s v="00410384620178260050"/>
    <n v="1"/>
    <s v="30/08/2017"/>
    <s v="Marcos Fleury Silveira de Alvarenga"/>
    <x v="0"/>
  </r>
  <r>
    <n v="101"/>
    <s v="00102715020168260635"/>
    <n v="1"/>
    <s v="16/03/2017"/>
    <s v="ALESSANDRA TEIXEIRA MIGUEL"/>
    <x v="1"/>
  </r>
  <r>
    <n v="102"/>
    <s v="00102127120168260050"/>
    <n v="1"/>
    <s v="16/03/2017"/>
    <s v="Cristina Ribeiro Leite Balbone Costa"/>
    <x v="1"/>
  </r>
  <r>
    <n v="103"/>
    <s v="00060655620178260635"/>
    <n v="1"/>
    <s v="16/11/2017"/>
    <s v="Klaus Marouelli Arroyo"/>
    <x v="0"/>
  </r>
  <r>
    <n v="104"/>
    <s v="00199889520168260050"/>
    <n v="1"/>
    <s v="13/03/2017"/>
    <s v="Klaus Marouelli Arroyo"/>
    <x v="0"/>
  </r>
  <r>
    <n v="105"/>
    <s v="00840322620168260050"/>
    <n v="1"/>
    <s v="01/12/2017"/>
    <s v="Klaus Marouelli Arroyo"/>
    <x v="0"/>
  </r>
  <r>
    <n v="106"/>
    <s v="00840322620168260050"/>
    <n v="0"/>
    <s v="01/12/2017"/>
    <s v="Klaus Marouelli Arroyo"/>
    <x v="0"/>
  </r>
  <r>
    <n v="107"/>
    <s v="00646328920178260050"/>
    <n v="1"/>
    <s v="19/10/2017"/>
    <s v="Antonio Carlos de Campos Machado Junior"/>
    <x v="0"/>
  </r>
  <r>
    <n v="108"/>
    <s v="00121189620168260050"/>
    <n v="1"/>
    <s v="22/11/2017"/>
    <s v="Marcello Ovidio Lopes Guimarães"/>
    <x v="0"/>
  </r>
  <r>
    <n v="109"/>
    <s v="00157084720178260050"/>
    <n v="0"/>
    <s v="29/06/2017"/>
    <s v="Marcello Ovidio Lopes Guimarães"/>
    <x v="0"/>
  </r>
  <r>
    <n v="110"/>
    <s v="00061504220178260635"/>
    <n v="1"/>
    <s v="10/11/2017"/>
    <s v="Daniela Martins de Castro Mariani Cavallanti"/>
    <x v="1"/>
  </r>
  <r>
    <n v="111"/>
    <s v="00673318720168260050"/>
    <n v="1"/>
    <s v="13/07/2017"/>
    <s v="Cynthia Torres Cristofaro"/>
    <x v="1"/>
  </r>
  <r>
    <n v="112"/>
    <s v="00058525020178260635"/>
    <n v="1"/>
    <s v="24/10/2017"/>
    <s v="Marcelo Matias Pereira"/>
    <x v="0"/>
  </r>
  <r>
    <n v="113"/>
    <s v="01019426620168260050"/>
    <n v="1"/>
    <s v="14/07/2017"/>
    <s v="Maria Cecília Leone"/>
    <x v="1"/>
  </r>
  <r>
    <n v="114"/>
    <s v="00689513720168260050"/>
    <n v="1"/>
    <s v="30/03/2017"/>
    <s v="Carlos Eduardo Lora Franco"/>
    <x v="0"/>
  </r>
  <r>
    <n v="115"/>
    <s v="00636004920178260050"/>
    <n v="1"/>
    <s v="23/08/2017"/>
    <s v="TERESA DE ALMEIDA RIBEIRO MAGALHAES"/>
    <x v="1"/>
  </r>
  <r>
    <n v="116"/>
    <s v="00013568420178260050"/>
    <n v="0"/>
    <s v="06/09/2017"/>
    <s v="ALESSANDRA TEIXEIRA MIGUEL"/>
    <x v="1"/>
  </r>
  <r>
    <n v="117"/>
    <s v="00653147820168260050"/>
    <n v="1"/>
    <s v="06/03/2017"/>
    <s v="Eliana Cassales Tosi"/>
    <x v="1"/>
  </r>
  <r>
    <n v="118"/>
    <s v="00554022320178260050"/>
    <n v="1"/>
    <s v="30/08/2017"/>
    <s v="Carlos Eduardo Lora Franco"/>
    <x v="0"/>
  </r>
  <r>
    <n v="119"/>
    <s v="00014822820178260635"/>
    <n v="1"/>
    <s v="31/05/2017"/>
    <s v="Helio Narvaez"/>
    <x v="0"/>
  </r>
  <r>
    <n v="120"/>
    <s v="00310604520178260050"/>
    <n v="1"/>
    <s v="09/08/2017"/>
    <s v="Cecilia Pinheiro da Fonseca"/>
    <x v="1"/>
  </r>
  <r>
    <n v="121"/>
    <s v="01059785420168260050"/>
    <n v="1"/>
    <s v="29/06/2017"/>
    <s v="Fátima Vilas Boas Cruz"/>
    <x v="1"/>
  </r>
  <r>
    <n v="122"/>
    <s v="00009211320178260050"/>
    <n v="1"/>
    <s v="22/03/2017"/>
    <s v="Carlos Eduardo Oliveira de Alencar"/>
    <x v="0"/>
  </r>
  <r>
    <n v="123"/>
    <s v="00627231220178260050"/>
    <n v="1"/>
    <s v="18/09/2017"/>
    <s v="Carlos Alberto Corrêa de Almeida Oliveira"/>
    <x v="0"/>
  </r>
  <r>
    <n v="124"/>
    <s v="00036614120178260050"/>
    <n v="1"/>
    <s v="24/08/2017"/>
    <s v="Fábio Aguiar Munhoz Soares"/>
    <x v="0"/>
  </r>
  <r>
    <n v="125"/>
    <s v="00036614120178260050"/>
    <n v="0"/>
    <s v="24/08/2017"/>
    <s v="Fábio Aguiar Munhoz Soares"/>
    <x v="0"/>
  </r>
  <r>
    <n v="126"/>
    <s v="00582822220168260050"/>
    <n v="1"/>
    <s v="21/08/2017"/>
    <s v="Carlos Eduardo Oliveira de Alencar"/>
    <x v="0"/>
  </r>
  <r>
    <n v="127"/>
    <s v="00039749020178260635"/>
    <n v="1"/>
    <s v="24/10/2017"/>
    <s v="Helio Narvaez"/>
    <x v="0"/>
  </r>
  <r>
    <n v="128"/>
    <s v="00933258320178260050"/>
    <n v="1"/>
    <s v="12/12/2017"/>
    <s v="Júlio Alexandre Felix de Faria"/>
    <x v="0"/>
  </r>
  <r>
    <n v="129"/>
    <s v="00013568420178260050"/>
    <n v="1"/>
    <s v="06/09/2017"/>
    <s v="ALESSANDRA TEIXEIRA MIGUEL"/>
    <x v="1"/>
  </r>
  <r>
    <n v="130"/>
    <s v="00458417220178260050"/>
    <n v="1"/>
    <s v="24/11/2017"/>
    <s v="Eliana Cassales Tosi"/>
    <x v="1"/>
  </r>
  <r>
    <n v="131"/>
    <s v="00631371020178260050"/>
    <n v="1"/>
    <d v="2017-09-25T00:00:00"/>
    <s v="Giovana Furtado de Oliveira"/>
    <x v="1"/>
  </r>
  <r>
    <n v="132"/>
    <s v="00168481920178260050"/>
    <n v="1"/>
    <s v="06/09/2017"/>
    <s v="Fátima Vilas Boas Cruz"/>
    <x v="1"/>
  </r>
  <r>
    <n v="133"/>
    <s v="00032552020178260050"/>
    <n v="1"/>
    <s v="10/07/2017"/>
    <s v="Helio Narvaez"/>
    <x v="0"/>
  </r>
  <r>
    <n v="134"/>
    <s v="00770092920168260050"/>
    <n v="1"/>
    <s v="18/04/2017"/>
    <s v="TERESA DE ALMEIDA RIBEIRO MAGALHAES"/>
    <x v="1"/>
  </r>
  <r>
    <n v="135"/>
    <s v="00850378320168260050"/>
    <n v="1"/>
    <s v="09/11/2017"/>
    <s v="Edison Tetsuzo Namba"/>
    <x v="0"/>
  </r>
  <r>
    <n v="136"/>
    <s v="00097232520168260635"/>
    <n v="1"/>
    <s v="27/04/2017"/>
    <s v="Maria Cecília Leone"/>
    <x v="1"/>
  </r>
  <r>
    <n v="137"/>
    <s v="00858008420168260050"/>
    <n v="1"/>
    <s v="02/06/2017"/>
    <s v="Eliana Cassales Tosi"/>
    <x v="1"/>
  </r>
  <r>
    <n v="138"/>
    <s v="00723105820178260050"/>
    <n v="1"/>
    <s v="12/12/2017"/>
    <s v="Júlio Alexandre Felix de Faria"/>
    <x v="0"/>
  </r>
  <r>
    <n v="139"/>
    <s v="00885912620168260050"/>
    <n v="1"/>
    <s v="18/07/2017"/>
    <s v="MARCIO LUCIO FALAVIGNA SAUANDAG"/>
    <x v="0"/>
  </r>
  <r>
    <n v="140"/>
    <s v="00255577720168260050"/>
    <n v="0"/>
    <s v="12/01/2017"/>
    <s v="Waldir Calciolari"/>
    <x v="0"/>
  </r>
  <r>
    <n v="141"/>
    <s v="00255577720168260050"/>
    <n v="1"/>
    <s v="12/01/2017"/>
    <s v="Waldir Calciolari"/>
    <x v="0"/>
  </r>
  <r>
    <n v="142"/>
    <s v="00840553520178260050"/>
    <n v="1"/>
    <s v="14/12/2017"/>
    <s v="Helio Narvaez"/>
    <x v="0"/>
  </r>
  <r>
    <n v="143"/>
    <s v="00618158620168260050"/>
    <n v="1"/>
    <s v="09/02/2017"/>
    <s v="Carlos Eduardo Lora Franco"/>
    <x v="0"/>
  </r>
  <r>
    <n v="144"/>
    <s v="0055873-39.2017.8.26.0050"/>
    <n v="1"/>
    <d v="2017-11-30T00:00:00"/>
    <s v="Carlos José Zulian"/>
    <x v="0"/>
  </r>
  <r>
    <n v="145"/>
    <s v="00058135320178260635"/>
    <n v="1"/>
    <d v="2017-08-25T00:00:00"/>
    <s v="GIOVANA FURTADO DE OLIVEIRA"/>
    <x v="1"/>
  </r>
  <r>
    <n v="146"/>
    <s v="00083959420158260635"/>
    <n v="0"/>
    <d v="2017-05-29T00:00:00"/>
    <s v="Antonio de Oliveira Angrisani Filho"/>
    <x v="0"/>
  </r>
  <r>
    <n v="147"/>
    <s v="00083959420158260635"/>
    <n v="0"/>
    <d v="2017-05-29T00:00:00"/>
    <s v="Antonio de Oliveira Angrisani Filho"/>
    <x v="0"/>
  </r>
  <r>
    <n v="148"/>
    <s v="00663831420178260050"/>
    <n v="1"/>
    <s v="07/11/2017"/>
    <s v="José Roberto Cabral Longaretti"/>
    <x v="0"/>
  </r>
  <r>
    <n v="149"/>
    <s v="00748207820168260050"/>
    <n v="1"/>
    <s v="18/01/2017"/>
    <s v="Cristina Ribeiro Leite Balbone Costa"/>
    <x v="1"/>
  </r>
  <r>
    <n v="150"/>
    <s v="00765883920168260050"/>
    <n v="1"/>
    <d v="2017-01-18T00:00:00"/>
    <s v="Érica Aparecida Ribeiro Lopes e Navarro Rodrigues"/>
    <x v="1"/>
  </r>
  <r>
    <n v="151"/>
    <s v="00894625620168260050"/>
    <n v="1"/>
    <s v="04/09/2017"/>
    <s v="Vivian Brenner De Oliveira"/>
    <x v="1"/>
  </r>
  <r>
    <n v="152"/>
    <s v="00199439120168260050"/>
    <n v="1"/>
    <s v="30/03/2017"/>
    <s v="Vivian Brenner De Oliveira"/>
    <x v="1"/>
  </r>
  <r>
    <n v="153"/>
    <s v="00385098820168260050"/>
    <n v="1"/>
    <d v="2017-04-07T00:00:00"/>
    <s v="Antonio de Oliveira Angrisani Filho"/>
    <x v="0"/>
  </r>
  <r>
    <n v="154"/>
    <s v="00385098820168260050"/>
    <n v="0"/>
    <d v="2017-04-07T00:00:00"/>
    <s v="Antonio de Oliveira Angrisani Filho"/>
    <x v="0"/>
  </r>
  <r>
    <n v="155"/>
    <s v="00385098820168260050"/>
    <n v="0"/>
    <d v="2017-04-07T00:00:00"/>
    <s v="Antonio de Oliveira Angrisani Filho"/>
    <x v="0"/>
  </r>
  <r>
    <n v="156"/>
    <s v="00032578720178260050"/>
    <n v="1"/>
    <s v="03/05/2017"/>
    <s v="MARCO ANTONIO MARTIN VARGAS"/>
    <x v="0"/>
  </r>
  <r>
    <n v="157"/>
    <s v="00243129420178260050"/>
    <n v="1"/>
    <s v="20/09/2017"/>
    <s v="Antonio Carlos de Campos Machado Junior"/>
    <x v="0"/>
  </r>
  <r>
    <n v="158"/>
    <s v="00056723420178260635"/>
    <n v="1"/>
    <s v="10/10/2017"/>
    <s v="Edison Tetsuzo Namba"/>
    <x v="0"/>
  </r>
  <r>
    <n v="159"/>
    <s v="00078508720168260635"/>
    <n v="1"/>
    <s v="14/09/2017"/>
    <s v="Erasmo Samuel Tozetto"/>
    <x v="0"/>
  </r>
  <r>
    <n v="160"/>
    <s v="00105348220168260635"/>
    <n v="1"/>
    <s v="19/05/2017"/>
    <s v="Luciane Jabur Mouchaloite Figueiredo"/>
    <x v="1"/>
  </r>
  <r>
    <n v="161"/>
    <s v="00561843020178260050"/>
    <n v="1"/>
    <d v="2017-09-28T00:00:00"/>
    <s v="Simone Candida Lucas Marcondes"/>
    <x v="1"/>
  </r>
  <r>
    <n v="162"/>
    <s v="00583567620168260050"/>
    <n v="1"/>
    <s v="10/07/2017"/>
    <s v="Carla de Oliveira Pinto Ferrari"/>
    <x v="1"/>
  </r>
  <r>
    <n v="163"/>
    <s v="00123820720168260635"/>
    <n v="1"/>
    <s v="30/03/2017"/>
    <s v="MARCIO LUCIO FALAVIGNA SAUANDAG"/>
    <x v="0"/>
  </r>
  <r>
    <n v="164"/>
    <s v="0096963-61.2016.8.26.0050"/>
    <n v="0"/>
    <d v="2017-08-11T00:00:00"/>
    <s v="Carlos José Zulian"/>
    <x v="0"/>
  </r>
  <r>
    <n v="165"/>
    <s v="0096963-61.2016.8.26.0050"/>
    <n v="1"/>
    <d v="2017-08-11T00:00:00"/>
    <s v="Carlos José Zulian"/>
    <x v="0"/>
  </r>
  <r>
    <n v="166"/>
    <s v="00004031420178260635"/>
    <n v="1"/>
    <s v="04/04/2017"/>
    <s v="Carlos Alberto Corrêa de Almeida Oliveira"/>
    <x v="0"/>
  </r>
  <r>
    <n v="167"/>
    <s v="00453921720178260050"/>
    <n v="1"/>
    <s v="23/11/2017"/>
    <s v="Roseane Cristina de Aguiar Almeida"/>
    <x v="1"/>
  </r>
  <r>
    <n v="168"/>
    <s v="0007839-58.2016.8.26.0635"/>
    <n v="0"/>
    <d v="2017-05-16T00:00:00"/>
    <s v="MARIA PRISCILLA ERNANDES VEIGA OLIVEIRA"/>
    <x v="1"/>
  </r>
  <r>
    <n v="169"/>
    <s v="0007839-58.2016.8.26.0635"/>
    <n v="0"/>
    <d v="2017-05-16T00:00:00"/>
    <s v="MARIA PRISCILLA ERNANDES VEIGA OLIVEIRA"/>
    <x v="1"/>
  </r>
  <r>
    <n v="170"/>
    <s v="00034639220178260635"/>
    <n v="1"/>
    <s v="03/07/2017"/>
    <s v="TERESA DE ALMEIDA RIBEIRO MAGALHAES"/>
    <x v="1"/>
  </r>
  <r>
    <n v="171"/>
    <s v="00209768220178260050"/>
    <n v="0"/>
    <d v="2017-08-08T00:00:00"/>
    <s v="Sônia Nazaré Fernandes Fraga"/>
    <x v="1"/>
  </r>
  <r>
    <n v="172"/>
    <s v="00209768220178260050"/>
    <n v="1"/>
    <d v="2017-08-08T00:00:00"/>
    <s v="Sônia Nazaré Fernandes Fraga"/>
    <x v="1"/>
  </r>
  <r>
    <n v="173"/>
    <s v="00209768220178260050"/>
    <n v="0"/>
    <d v="2017-08-08T00:00:00"/>
    <s v="Sônia Nazaré Fernandes Fraga"/>
    <x v="1"/>
  </r>
  <r>
    <n v="174"/>
    <s v="00746922420178260050"/>
    <n v="1"/>
    <s v="16/11/2017"/>
    <s v="MARCO ANTONIO MARTIN VARGAS"/>
    <x v="0"/>
  </r>
  <r>
    <n v="175"/>
    <s v="00437106120168260050"/>
    <n v="1"/>
    <s v="11/04/2017"/>
    <s v="MARIA PRISCILLA ERNANDES VEIGA OLIVEIRA"/>
    <x v="1"/>
  </r>
  <r>
    <n v="176"/>
    <s v="00751374220178260050"/>
    <n v="1"/>
    <d v="2017-11-22T00:00:00"/>
    <s v="Paula Marie Konno"/>
    <x v="1"/>
  </r>
  <r>
    <n v="177"/>
    <s v="00872185720168260050"/>
    <n v="1"/>
    <d v="2017-10-05T00:00:00"/>
    <s v="Maria Domitila Prado Manssur"/>
    <x v="1"/>
  </r>
  <r>
    <n v="178"/>
    <s v="00182053420178260050"/>
    <n v="1"/>
    <s v="09/08/2017"/>
    <s v="Maria Cecília Leone"/>
    <x v="1"/>
  </r>
  <r>
    <n v="179"/>
    <s v="00439978720178260050"/>
    <n v="1"/>
    <s v="12/09/2017"/>
    <s v="CRISTINA ESCHER"/>
    <x v="1"/>
  </r>
  <r>
    <n v="180"/>
    <s v="00757489220178260050"/>
    <n v="1"/>
    <s v="11/10/2017"/>
    <s v="VICENTE LUIZ ADUA"/>
    <x v="0"/>
  </r>
  <r>
    <n v="181"/>
    <s v="00118686320168260050"/>
    <n v="1"/>
    <s v="03/05/2017"/>
    <s v="Maria Cecília Leone"/>
    <x v="1"/>
  </r>
  <r>
    <n v="182"/>
    <s v="00042827220168260050"/>
    <n v="1"/>
    <d v="2017-03-07T00:00:00"/>
    <s v="Ana Lucia Fernandes Queiroga"/>
    <x v="1"/>
  </r>
  <r>
    <n v="183"/>
    <s v="00269908220178260050"/>
    <n v="1"/>
    <s v="11/09/2017"/>
    <s v="Rodrigo Cesar Muller Valente"/>
    <x v="0"/>
  </r>
  <r>
    <n v="184"/>
    <s v="00092348520168260635"/>
    <n v="0"/>
    <d v="2017-06-27T00:00:00"/>
    <s v="Maria Domitila Prado Manssur"/>
    <x v="1"/>
  </r>
  <r>
    <n v="185"/>
    <s v="00092348520168260635"/>
    <n v="1"/>
    <d v="2017-06-27T00:00:00"/>
    <s v="Maria Domitila Prado Manssur"/>
    <x v="1"/>
  </r>
  <r>
    <n v="186"/>
    <s v="00080229220178260635"/>
    <n v="1"/>
    <s v="30/10/2017"/>
    <s v="Roseane Cristina de Aguiar Almeida"/>
    <x v="1"/>
  </r>
  <r>
    <n v="187"/>
    <s v="00006899820178260050"/>
    <n v="1"/>
    <s v="14/03/2017"/>
    <s v="Fábio Aguiar Munhoz Soares"/>
    <x v="0"/>
  </r>
  <r>
    <n v="188"/>
    <s v="00653147820168260050"/>
    <n v="0"/>
    <s v="06/03/2017"/>
    <s v="Eliana Cassales Tosi"/>
    <x v="1"/>
  </r>
  <r>
    <n v="189"/>
    <s v="00085592520168260635"/>
    <n v="1"/>
    <d v="2017-08-11T00:00:00"/>
    <s v="Maria Domitila Prado Manssur"/>
    <x v="1"/>
  </r>
  <r>
    <n v="190"/>
    <s v="00085592520168260635"/>
    <n v="0"/>
    <d v="2017-08-11T00:00:00"/>
    <s v="Maria Domitila Prado Manssur"/>
    <x v="1"/>
  </r>
  <r>
    <n v="191"/>
    <s v="00085592520168260635"/>
    <n v="0"/>
    <d v="2017-08-11T00:00:00"/>
    <s v="Maria Domitila Prado Manssur"/>
    <x v="1"/>
  </r>
  <r>
    <n v="192"/>
    <s v="00657925220178260050"/>
    <n v="1"/>
    <s v="10/11/2017"/>
    <s v="Cynthia Torres Cristofaro"/>
    <x v="1"/>
  </r>
  <r>
    <n v="193"/>
    <s v="00716879120178260050"/>
    <n v="1"/>
    <s v="24/10/2017"/>
    <s v="MARCIO LUCIO FALAVIGNA SAUANDAG"/>
    <x v="0"/>
  </r>
  <r>
    <n v="194"/>
    <s v="00009228620178260635"/>
    <n v="1"/>
    <d v="2017-06-08T00:00:00"/>
    <s v="Paula Marie Konno"/>
    <x v="1"/>
  </r>
  <r>
    <n v="195"/>
    <s v="00086724220178260635"/>
    <n v="1"/>
    <s v="26/10/2017"/>
    <s v="José Roberto Cabral Longaretti"/>
    <x v="0"/>
  </r>
  <r>
    <n v="196"/>
    <s v="00894954620168260050"/>
    <n v="1"/>
    <s v="21/11/2017"/>
    <s v="Paulo Eduardo Balbone Costa"/>
    <x v="0"/>
  </r>
  <r>
    <n v="197"/>
    <s v="00113954320178260050"/>
    <n v="0"/>
    <s v="20/07/2017"/>
    <s v="Rafael Henrique Janela Tamai Rocha"/>
    <x v="0"/>
  </r>
  <r>
    <n v="198"/>
    <s v="00116518320178260050"/>
    <n v="1"/>
    <s v="04/07/2017"/>
    <s v="Tatiana Vieira Guerra"/>
    <x v="1"/>
  </r>
  <r>
    <n v="199"/>
    <s v="0012132-71.2016.8.26.0635"/>
    <n v="1"/>
    <d v="2017-11-30T00:00:00"/>
    <s v="Carlos José Zulian"/>
    <x v="0"/>
  </r>
  <r>
    <n v="200"/>
    <s v="00157084720178260050"/>
    <n v="1"/>
    <s v="29/06/2017"/>
    <s v="Marcello Ovidio Lopes Guimarães"/>
    <x v="0"/>
  </r>
  <r>
    <n v="201"/>
    <s v="00055826020168260635"/>
    <n v="1"/>
    <s v="05/10/2017"/>
    <s v="Patrícia Álvares Cruz"/>
    <x v="1"/>
  </r>
  <r>
    <n v="202"/>
    <s v="00514174620178260050"/>
    <n v="1"/>
    <s v="08/11/2017"/>
    <s v="MARCO ANTONIO MARTIN VARGAS"/>
    <x v="0"/>
  </r>
  <r>
    <n v="203"/>
    <s v="00558899020178260050"/>
    <n v="1"/>
    <s v="17/10/2017"/>
    <s v="VICENTE LUIZ ADUA"/>
    <x v="0"/>
  </r>
  <r>
    <n v="204"/>
    <s v="00703446020178260050"/>
    <n v="1"/>
    <s v="04/10/2017"/>
    <s v="TERESA DE ALMEIDA RIBEIRO MAGALHAES"/>
    <x v="1"/>
  </r>
  <r>
    <n v="205"/>
    <s v="00173851520178260050"/>
    <n v="1"/>
    <s v="09/11/2017"/>
    <s v="Fátima Vilas Boas Cruz"/>
    <x v="1"/>
  </r>
  <r>
    <n v="206"/>
    <s v="00772749420178260050"/>
    <n v="1"/>
    <s v="30/10/2017"/>
    <s v="TERESA DE ALMEIDA RIBEIRO MAGALHAES"/>
    <x v="1"/>
  </r>
  <r>
    <n v="207"/>
    <s v="00344043420178260050"/>
    <n v="1"/>
    <s v="13/09/2017"/>
    <s v="Paula Marie Konno"/>
    <x v="1"/>
  </r>
  <r>
    <n v="208"/>
    <s v="01040169320168260050"/>
    <n v="1"/>
    <s v="17/10/2017"/>
    <s v="CRISTINA ESCHER"/>
    <x v="1"/>
  </r>
  <r>
    <n v="209"/>
    <s v="00728504320168260050"/>
    <n v="1"/>
    <s v="26/01/2017"/>
    <s v="Marcello Ovidio Lopes Guimarães"/>
    <x v="0"/>
  </r>
  <r>
    <n v="210"/>
    <s v="00557602220168260050"/>
    <n v="1"/>
    <d v="2017-02-03T00:00:00"/>
    <s v="Ana Lucia Fernandes Queiroga"/>
    <x v="1"/>
  </r>
  <r>
    <n v="211"/>
    <s v="00582683820168260050"/>
    <n v="1"/>
    <s v="01/06/2017"/>
    <s v="Nelson Becker"/>
    <x v="0"/>
  </r>
  <r>
    <n v="212"/>
    <s v="00116214820178260050"/>
    <n v="0"/>
    <s v="25/08/2017"/>
    <s v="Paula Marie Konno"/>
    <x v="1"/>
  </r>
  <r>
    <n v="213"/>
    <s v="00134257620168260635"/>
    <n v="1"/>
    <s v="27/03/2017"/>
    <s v="Paulo Eduardo Balbone Costa"/>
    <x v="0"/>
  </r>
  <r>
    <n v="214"/>
    <s v="00134257620168260635"/>
    <n v="0"/>
    <s v="27/03/2017"/>
    <s v="Paulo Eduardo Balbone Costa"/>
    <x v="0"/>
  </r>
  <r>
    <n v="215"/>
    <s v="00007210620178260050"/>
    <n v="1"/>
    <s v="26/09/2017"/>
    <s v="Nelson Becker"/>
    <x v="0"/>
  </r>
  <r>
    <n v="216"/>
    <s v="00940995020168260050"/>
    <n v="0"/>
    <d v="2017-06-06T00:00:00"/>
    <s v="Érica Aparecida Ribeiro Lopes e Navarro Rodrigues"/>
    <x v="1"/>
  </r>
  <r>
    <n v="217"/>
    <s v="00110475020168260635"/>
    <n v="1"/>
    <s v="11/07/2017"/>
    <s v="Marcelo Matias Pereira"/>
    <x v="0"/>
  </r>
  <r>
    <n v="218"/>
    <s v="00770092920168260050"/>
    <n v="0"/>
    <s v="18/04/2017"/>
    <s v="TERESA DE ALMEIDA RIBEIRO MAGALHAES"/>
    <x v="1"/>
  </r>
  <r>
    <n v="219"/>
    <s v="00083959420158260635"/>
    <n v="1"/>
    <d v="2017-05-29T00:00:00"/>
    <s v="Antonio de Oliveira Angrisani Filho"/>
    <x v="0"/>
  </r>
  <r>
    <n v="220"/>
    <s v="00709222320178260050"/>
    <n v="1"/>
    <s v="14/12/2017"/>
    <s v="Roseane Cristina de Aguiar Almeida"/>
    <x v="1"/>
  </r>
  <r>
    <n v="221"/>
    <s v="00473220720168260050"/>
    <n v="1"/>
    <s v="09/05/2017"/>
    <s v="Daiane Saladini Monari"/>
    <x v="1"/>
  </r>
  <r>
    <n v="222"/>
    <s v="00001512020178260050"/>
    <n v="1"/>
    <s v="24/10/2017"/>
    <s v="MARIA PRISCILLA ERNANDES VEIGA OLIVEIRA"/>
    <x v="1"/>
  </r>
  <r>
    <n v="223"/>
    <s v="00168577820178260050"/>
    <n v="1"/>
    <d v="2017-08-28T00:00:00"/>
    <s v="Sônia Nazaré Fernandes Fraga"/>
    <x v="1"/>
  </r>
  <r>
    <n v="224"/>
    <s v="00969965120168260050"/>
    <n v="1"/>
    <s v="30/08/2017"/>
    <s v="MARIA PRISCILLA ERNANDES VEIGA OLIVEIRA"/>
    <x v="1"/>
  </r>
  <r>
    <n v="225"/>
    <s v="00905702320168260050"/>
    <n v="0"/>
    <s v="23/03/2017"/>
    <s v="Fábio Aguiar Munhoz Soares"/>
    <x v="0"/>
  </r>
  <r>
    <n v="226"/>
    <s v="00850022620168260050"/>
    <n v="1"/>
    <s v="24/01/2017"/>
    <s v="Antonio Carlos de Campos Machado Junior"/>
    <x v="0"/>
  </r>
  <r>
    <n v="227"/>
    <s v="00067039820178260050"/>
    <n v="1"/>
    <s v="03/08/2017"/>
    <s v="Marcello Ovidio Lopes Guimarães"/>
    <x v="0"/>
  </r>
  <r>
    <n v="228"/>
    <s v="00440645220178260050"/>
    <n v="1"/>
    <s v="19/07/2017"/>
    <s v="José Roberto Cabral Longaretti"/>
    <x v="0"/>
  </r>
  <r>
    <n v="229"/>
    <s v="00305108420168260050"/>
    <n v="1"/>
    <d v="2017-02-10T00:00:00"/>
    <s v="Sônia Nazaré Fernandes Fraga"/>
    <x v="1"/>
  </r>
  <r>
    <n v="230"/>
    <s v="00095758620178260050"/>
    <n v="1"/>
    <d v="2017-09-19T00:00:00"/>
    <s v="Eliana Cassales Tosi"/>
    <x v="1"/>
  </r>
  <r>
    <n v="231"/>
    <s v="00808737520168260050"/>
    <n v="1"/>
    <s v="06/10/2017"/>
    <s v="MARIA PRISCILLA ERNANDES VEIGA OLIVEIRA"/>
    <x v="1"/>
  </r>
  <r>
    <n v="232"/>
    <s v="00296221820168260050"/>
    <n v="1"/>
    <s v="25/09/2017"/>
    <s v="Fátima Vilas Boas Cruz"/>
    <x v="1"/>
  </r>
  <r>
    <n v="233"/>
    <s v="00001815520178260050"/>
    <n v="1"/>
    <s v="15/03/2017"/>
    <s v="José Roberto Cabral Longaretti"/>
    <x v="0"/>
  </r>
  <r>
    <n v="234"/>
    <s v="00823763420168260050"/>
    <n v="1"/>
    <s v="16/05/2017"/>
    <s v="Erika Soares de Azevedo Mascarenhas"/>
    <x v="1"/>
  </r>
  <r>
    <n v="235"/>
    <s v="00113131220178260050"/>
    <n v="1"/>
    <s v="03/10/2017"/>
    <s v="Maria Paula Cassone Rossi"/>
    <x v="1"/>
  </r>
  <r>
    <n v="236"/>
    <s v="00674167320168260050"/>
    <n v="0"/>
    <s v="07/08/2017"/>
    <s v="Cecilia Pinheiro da Fonseca"/>
    <x v="1"/>
  </r>
  <r>
    <n v="237"/>
    <s v="00674167320168260050"/>
    <n v="0"/>
    <s v="07/08/2017"/>
    <s v="Cecilia Pinheiro da Fonseca"/>
    <x v="1"/>
  </r>
  <r>
    <n v="238"/>
    <s v="00104984020168260635"/>
    <n v="1"/>
    <s v="15/03/2017"/>
    <s v="Nelson Becker"/>
    <x v="0"/>
  </r>
  <r>
    <n v="239"/>
    <s v="00586916120178260050"/>
    <n v="1"/>
    <s v="04/10/2017"/>
    <s v="Klaus Marouelli Arroyo"/>
    <x v="0"/>
  </r>
  <r>
    <n v="240"/>
    <s v="00040626520168260635"/>
    <n v="1"/>
    <s v="03/10/2017"/>
    <s v="Maria Paula Cassone Rossi"/>
    <x v="1"/>
  </r>
  <r>
    <n v="241"/>
    <s v="00905616120168260050"/>
    <n v="1"/>
    <s v="09/02/2017"/>
    <s v="Cristina Ribeiro Leite Balbone Costa"/>
    <x v="1"/>
  </r>
  <r>
    <n v="242"/>
    <s v="00229939120178260050"/>
    <n v="1"/>
    <s v="21/08/2017"/>
    <s v="José Fernandes Freitas Neto"/>
    <x v="0"/>
  </r>
  <r>
    <n v="243"/>
    <s v="00109046120168260635"/>
    <n v="0"/>
    <s v="01/03/2017"/>
    <s v="Edison Tetsuzo Namba"/>
    <x v="0"/>
  </r>
  <r>
    <n v="244"/>
    <s v="00109046120168260635"/>
    <n v="1"/>
    <s v="01/03/2017"/>
    <s v="Edison Tetsuzo Namba"/>
    <x v="0"/>
  </r>
  <r>
    <n v="245"/>
    <s v="00770379420168260050"/>
    <n v="1"/>
    <s v="27/09/2017"/>
    <s v="Fátima Vilas Boas Cruz"/>
    <x v="1"/>
  </r>
  <r>
    <n v="246"/>
    <s v="00840756020168260050"/>
    <n v="1"/>
    <s v="20/06/2017"/>
    <s v="Erika Soares de Azevedo Mascarenhas"/>
    <x v="1"/>
  </r>
  <r>
    <n v="247"/>
    <s v="00129026420168260635"/>
    <n v="1"/>
    <s v="11/04/2017"/>
    <s v="MARIA PRISCILLA ERNANDES VEIGA OLIVEIRA"/>
    <x v="1"/>
  </r>
  <r>
    <n v="248"/>
    <s v="00592589220178260050"/>
    <n v="1"/>
    <s v="05/12/2017"/>
    <s v="Patrícia Álvares Cruz"/>
    <x v="1"/>
  </r>
  <r>
    <n v="249"/>
    <s v="00262554920178260050"/>
    <n v="1"/>
    <s v="25/05/2017"/>
    <s v="Fábio Aguiar Munhoz Soares"/>
    <x v="0"/>
  </r>
  <r>
    <n v="250"/>
    <s v="00069800820178260635"/>
    <n v="0"/>
    <s v="31/10/2017"/>
    <s v="CRISTINA ESCHER"/>
    <x v="1"/>
  </r>
  <r>
    <n v="251"/>
    <s v="00405985020178260050"/>
    <n v="1"/>
    <s v="07/12/2017"/>
    <s v="Isaura Cristina Barreira"/>
    <x v="1"/>
  </r>
  <r>
    <n v="252"/>
    <s v="00010042920178260050"/>
    <n v="1"/>
    <s v="30/05/2017"/>
    <s v="Patrícia Álvares Cruz"/>
    <x v="1"/>
  </r>
  <r>
    <n v="253"/>
    <s v="00005711620178260635"/>
    <n v="1"/>
    <s v="31/08/2017"/>
    <s v="Marcelo Matias Pereira"/>
    <x v="0"/>
  </r>
  <r>
    <n v="254"/>
    <s v="00583559120168260050"/>
    <n v="0"/>
    <s v="01/03/2017"/>
    <s v="Renata William Rached Catelli"/>
    <x v="1"/>
  </r>
  <r>
    <n v="255"/>
    <s v="00036839020178260635"/>
    <n v="1"/>
    <s v="25/09/2017"/>
    <s v="RICHARD FRANCISCO CHEQUINI"/>
    <x v="0"/>
  </r>
  <r>
    <n v="256"/>
    <s v="00496541020178260050"/>
    <n v="1"/>
    <s v="23/10/2017"/>
    <s v="Klaus Marouelli Arroyo"/>
    <x v="0"/>
  </r>
  <r>
    <n v="257"/>
    <s v="00775150520168260050"/>
    <n v="1"/>
    <s v="23/02/2017"/>
    <s v="Patrícia Álvares Cruz"/>
    <x v="1"/>
  </r>
  <r>
    <n v="258"/>
    <s v="00289215720168260050"/>
    <n v="1"/>
    <s v="16/01/2017"/>
    <s v="VICENTE LUIZ ADUA"/>
    <x v="0"/>
  </r>
  <r>
    <n v="259"/>
    <s v="00998392320158260050"/>
    <n v="1"/>
    <s v="06/02/2017"/>
    <s v="José Fernandes Freitas Neto"/>
    <x v="0"/>
  </r>
  <r>
    <n v="260"/>
    <s v="00135537120178260050"/>
    <n v="1"/>
    <d v="2017-10-26T00:00:00"/>
    <s v="Sônia Nazaré Fernandes Fraga"/>
    <x v="1"/>
  </r>
  <r>
    <n v="261"/>
    <s v="00629036220168260050"/>
    <n v="1"/>
    <s v="12/01/2017"/>
    <s v="TERESA DE ALMEIDA RIBEIRO MAGALHAES"/>
    <x v="1"/>
  </r>
  <r>
    <n v="262"/>
    <s v="00820914120168260050"/>
    <n v="0"/>
    <s v="24/10/2017"/>
    <s v="Eliana Cassales Tosi"/>
    <x v="1"/>
  </r>
  <r>
    <n v="263"/>
    <s v="00073810720178260635"/>
    <n v="1"/>
    <s v="13/12/2017"/>
    <s v="Isaura Cristina Barreira"/>
    <x v="1"/>
  </r>
  <r>
    <n v="264"/>
    <s v="00647982420178260050"/>
    <n v="1"/>
    <s v="20/10/2017"/>
    <s v="Klaus Marouelli Arroyo"/>
    <x v="0"/>
  </r>
  <r>
    <n v="265"/>
    <s v="00116214820178260050"/>
    <n v="1"/>
    <s v="25/08/2017"/>
    <s v="Paula Marie Konno"/>
    <x v="1"/>
  </r>
  <r>
    <n v="266"/>
    <s v="01061474120168260050"/>
    <n v="1"/>
    <s v="14/03/2017"/>
    <s v="Juliana Guelfi"/>
    <x v="1"/>
  </r>
  <r>
    <n v="267"/>
    <s v="00940995020168260050"/>
    <n v="1"/>
    <d v="2017-06-06T00:00:00"/>
    <s v="Érica Aparecida Ribeiro Lopes e Navarro Rodrigues"/>
    <x v="1"/>
  </r>
  <r>
    <n v="268"/>
    <s v="00129952720168260635"/>
    <n v="1"/>
    <d v="2017-07-31T00:00:00"/>
    <s v="Fernando Cesar Carrari"/>
    <x v="0"/>
  </r>
  <r>
    <n v="269"/>
    <s v="00107158320168260635"/>
    <n v="1"/>
    <d v="2017-05-23T00:00:00"/>
    <s v="Maria Domitila Prado Manssur"/>
    <x v="1"/>
  </r>
  <r>
    <n v="270"/>
    <s v="00654480820168260050"/>
    <n v="1"/>
    <s v="05/10/2017"/>
    <s v="RICHARD FRANCISCO CHEQUINI"/>
    <x v="0"/>
  </r>
  <r>
    <n v="271"/>
    <s v="00067463520178260050"/>
    <n v="1"/>
    <s v="29/09/2017"/>
    <s v="Helio Narvaez"/>
    <x v="0"/>
  </r>
  <r>
    <n v="272"/>
    <s v="00942199320168260050"/>
    <n v="1"/>
    <s v="16/03/2017"/>
    <s v="Helio Narvaez"/>
    <x v="0"/>
  </r>
  <r>
    <n v="273"/>
    <s v="00557109320168260050"/>
    <n v="1"/>
    <s v="17/03/2017"/>
    <s v="Helio Narvaez"/>
    <x v="0"/>
  </r>
  <r>
    <n v="274"/>
    <s v="00493140320168260050"/>
    <n v="1"/>
    <d v="2017-01-23T00:00:00"/>
    <s v="Ana Lucia Fernandes Queiroga"/>
    <x v="1"/>
  </r>
  <r>
    <n v="275"/>
    <s v="00028472020178260635"/>
    <n v="1"/>
    <s v="05/09/2017"/>
    <s v="LEYLA MARIA DA SILVA LACAZ"/>
    <x v="1"/>
  </r>
  <r>
    <n v="276"/>
    <s v="00100584420168260635"/>
    <n v="1"/>
    <d v="2017-02-03T00:00:00"/>
    <s v="Cynthia Torres Cristofaro"/>
    <x v="1"/>
  </r>
  <r>
    <n v="277"/>
    <s v="00521553420178260050"/>
    <n v="1"/>
    <s v="29/09/2017"/>
    <s v="Helio Narvaez"/>
    <x v="0"/>
  </r>
  <r>
    <n v="278"/>
    <s v="00657223520178260050"/>
    <n v="1"/>
    <s v="19/09/2017"/>
    <s v="Wendell Lopes Barbosa de Souza"/>
    <x v="0"/>
  </r>
  <r>
    <n v="279"/>
    <s v="00657223520178260050"/>
    <n v="0"/>
    <s v="19/09/2017"/>
    <s v="Wendell Lopes Barbosa de Souza"/>
    <x v="0"/>
  </r>
  <r>
    <n v="280"/>
    <s v="00102911620178260050"/>
    <n v="1"/>
    <d v="2018-10-06T00:00:00"/>
    <s v="Sônia Nazaré Fernandes Fraga"/>
    <x v="1"/>
  </r>
  <r>
    <n v="281"/>
    <s v="00134127720168260635"/>
    <n v="1"/>
    <s v="02/03/2017"/>
    <s v="Carlos Eduardo Lora Franco"/>
    <x v="0"/>
  </r>
  <r>
    <n v="282"/>
    <s v="00339470220178260050"/>
    <n v="1"/>
    <s v="19/07/2017"/>
    <s v="MARCIO LUCIO FALAVIGNA SAUANDAG"/>
    <x v="0"/>
  </r>
  <r>
    <n v="283"/>
    <s v="00698682220178260050"/>
    <n v="1"/>
    <s v="24/10/2017"/>
    <s v="Wendell Lopes Barbosa de Souza"/>
    <x v="0"/>
  </r>
  <r>
    <n v="284"/>
    <s v="00093592820178260050"/>
    <n v="0"/>
    <s v="29/05/2017"/>
    <s v="Roseane Cristina de Aguiar Almeida"/>
    <x v="1"/>
  </r>
  <r>
    <n v="285"/>
    <s v="00062777720178260635"/>
    <n v="1"/>
    <s v="27/09/2017"/>
    <s v="Roseane Cristina de Aguiar Almeida"/>
    <x v="1"/>
  </r>
  <r>
    <n v="286"/>
    <s v="00001815520178260050"/>
    <n v="0"/>
    <s v="15/03/2017"/>
    <s v="José Roberto Cabral Longaretti"/>
    <x v="0"/>
  </r>
  <r>
    <n v="287"/>
    <s v="00082518620168260635"/>
    <n v="1"/>
    <s v="11/01/2017"/>
    <s v="Marcello Ovidio Lopes Guimarães"/>
    <x v="0"/>
  </r>
  <r>
    <n v="288"/>
    <s v="00269673920178260050"/>
    <n v="0"/>
    <s v="11/07/2017"/>
    <s v="Rafael Henrique Janela Tamai Rocha"/>
    <x v="0"/>
  </r>
  <r>
    <n v="289"/>
    <s v="00065092620168260635"/>
    <n v="1"/>
    <d v="2017-03-06T00:00:00"/>
    <s v="Ana Lucia Fernandes Queiroga"/>
    <x v="1"/>
  </r>
  <r>
    <n v="290"/>
    <s v="00215812820178260050"/>
    <n v="1"/>
    <s v="30/08/2017"/>
    <s v="MARIO RUBENS ASSUMPCAO FILHO"/>
    <x v="0"/>
  </r>
  <r>
    <n v="291"/>
    <s v="00549813320178260050"/>
    <n v="1"/>
    <s v="27/10/2017"/>
    <s v="MARIA PRISCILLA ERNANDES VEIGA OLIVEIRA"/>
    <x v="1"/>
  </r>
  <r>
    <n v="292"/>
    <s v="00011600820178260635"/>
    <n v="1"/>
    <s v="19/07/2017"/>
    <s v="Waldir Calciolari"/>
    <x v="0"/>
  </r>
  <r>
    <n v="293"/>
    <s v="00198188920178260050"/>
    <n v="1"/>
    <s v="06/06/2017"/>
    <s v="Antonio Carlos de Campos Machado Junior"/>
    <x v="0"/>
  </r>
  <r>
    <n v="294"/>
    <s v="00480002220168260050"/>
    <n v="1"/>
    <s v="07/04/2017"/>
    <s v="Marcos Alexandre Coelho Zilli"/>
    <x v="0"/>
  </r>
  <r>
    <n v="295"/>
    <s v="00120876720168260635"/>
    <n v="1"/>
    <d v="2017-06-21T00:00:00"/>
    <s v="Ana Lucia Fernandes Queiroga"/>
    <x v="1"/>
  </r>
  <r>
    <n v="296"/>
    <s v="00727014720168260050"/>
    <n v="0"/>
    <s v="02/10/2017"/>
    <s v="Marcela Dias De Abreu Pinto Coelho"/>
    <x v="1"/>
  </r>
  <r>
    <n v="297"/>
    <s v="0007839-58.2016.8.26.0635"/>
    <n v="1"/>
    <d v="2017-05-16T00:00:00"/>
    <s v="MARIA PRISCILLA ERNANDES VEIGA OLIVEIRA"/>
    <x v="1"/>
  </r>
  <r>
    <n v="298"/>
    <s v="00674167320168260050"/>
    <n v="1"/>
    <s v="07/08/2017"/>
    <s v="Cecilia Pinheiro da Fonseca"/>
    <x v="1"/>
  </r>
  <r>
    <n v="299"/>
    <s v="00674167320168260050"/>
    <n v="0"/>
    <s v="07/08/2017"/>
    <s v="Cecilia Pinheiro da Fonseca"/>
    <x v="1"/>
  </r>
  <r>
    <n v="300"/>
    <s v="00954737220148260050"/>
    <n v="1"/>
    <d v="2017-09-01T00:00:00"/>
    <s v="MARIA PRISCILLA ERNANDES VEIGA OLIVEIRA"/>
    <x v="1"/>
  </r>
  <r>
    <n v="301"/>
    <s v="00941826620168260050"/>
    <n v="1"/>
    <s v="01/06/2017"/>
    <s v="Paulo Eduardo Balbone Costa"/>
    <x v="0"/>
  </r>
  <r>
    <n v="302"/>
    <s v="00941826620168260050"/>
    <n v="0"/>
    <s v="01/06/2017"/>
    <s v="Paulo Eduardo Balbone Costa"/>
    <x v="0"/>
  </r>
  <r>
    <n v="303"/>
    <s v="00112958820178260050"/>
    <n v="1"/>
    <s v="09/05/2017"/>
    <s v="Erica Regina Colmenero Coimbra"/>
    <x v="1"/>
  </r>
  <r>
    <n v="304"/>
    <s v="00275510920178260050"/>
    <n v="1"/>
    <s v="24/08/2017"/>
    <s v="Carla de Oliveira Pinto Ferrari"/>
    <x v="1"/>
  </r>
  <r>
    <n v="305"/>
    <s v="00039612820168260635"/>
    <n v="1"/>
    <s v="23/03/2017"/>
    <s v="Erica Regina Colmenero Coimbra"/>
    <x v="1"/>
  </r>
  <r>
    <n v="306"/>
    <s v="00042996520178260635"/>
    <n v="1"/>
    <s v="28/06/2017"/>
    <s v="Pedro Luiz Fernandes Nery Rafael"/>
    <x v="0"/>
  </r>
  <r>
    <n v="307"/>
    <s v="00300315720178260050"/>
    <n v="1"/>
    <s v="19/07/2017"/>
    <s v="Carlos Eduardo Lora Franco"/>
    <x v="0"/>
  </r>
  <r>
    <n v="308"/>
    <s v="00006491920178260050"/>
    <n v="1"/>
    <s v="08/03/2017"/>
    <s v="Cecilia Pinheiro da Fonseca"/>
    <x v="1"/>
  </r>
  <r>
    <n v="309"/>
    <s v="00125207120168260635"/>
    <n v="1"/>
    <s v="25/05/2017"/>
    <s v="Rejane Rodrigues Lage"/>
    <x v="1"/>
  </r>
  <r>
    <n v="310"/>
    <s v="00338968820178260050"/>
    <n v="1"/>
    <s v="09/08/2017"/>
    <s v="Tamara Priscila Tocci"/>
    <x v="1"/>
  </r>
  <r>
    <n v="311"/>
    <s v="00487303320168260050"/>
    <n v="1"/>
    <d v="2017-03-06T00:00:00"/>
    <s v="Fernanda Galizia Noriega"/>
    <x v="1"/>
  </r>
  <r>
    <n v="312"/>
    <s v="00634950920168260050"/>
    <n v="1"/>
    <d v="2017-04-24T00:00:00"/>
    <s v="Marcos Alexandre Coelho Zilli"/>
    <x v="0"/>
  </r>
  <r>
    <n v="313"/>
    <s v="00384024420168260050"/>
    <n v="1"/>
    <s v="06/02/2017"/>
    <s v="Cecilia Pinheiro da Fonseca"/>
    <x v="1"/>
  </r>
  <r>
    <n v="314"/>
    <s v="00689253920168260050"/>
    <n v="1"/>
    <s v="11/01/2017"/>
    <s v="Carlos Alberto Corrêa de Almeida Oliveira"/>
    <x v="0"/>
  </r>
  <r>
    <n v="315"/>
    <s v="00120487020168260635"/>
    <n v="1"/>
    <s v="18/04/2017"/>
    <s v="Renata William Rached Catelli"/>
    <x v="1"/>
  </r>
  <r>
    <n v="316"/>
    <s v="0013747-96.2016.8.26.0635"/>
    <n v="1"/>
    <d v="2017-07-14T00:00:00"/>
    <s v="Carlos José Zulian"/>
    <x v="0"/>
  </r>
  <r>
    <n v="317"/>
    <s v="01059208520158260050"/>
    <n v="1"/>
    <s v="13/01/2017"/>
    <s v="Maria Cecília Leone"/>
    <x v="1"/>
  </r>
  <r>
    <n v="318"/>
    <s v="00078932420168260635"/>
    <n v="1"/>
    <s v="06/02/2017"/>
    <s v="Carlos Alberto Corrêa de Almeida Oliveira"/>
    <x v="0"/>
  </r>
  <r>
    <n v="319"/>
    <s v="00748268520168260050"/>
    <n v="1"/>
    <s v="04/05/2017"/>
    <s v="Fábio Aguiar Munhoz Soares"/>
    <x v="0"/>
  </r>
  <r>
    <n v="320"/>
    <s v="00126531620168260635"/>
    <n v="1"/>
    <s v="03/04/2017"/>
    <s v="Rafael Henrique Janela Tamai Rocha"/>
    <x v="0"/>
  </r>
  <r>
    <n v="321"/>
    <s v="00945836520168260050"/>
    <n v="1"/>
    <s v="20/03/2017"/>
    <s v="Paulo Eduardo Balbone Costa"/>
    <x v="0"/>
  </r>
  <r>
    <n v="322"/>
    <s v="00836278720168260050"/>
    <n v="1"/>
    <s v="18/01/2017"/>
    <s v="Maria Paula Cassone Rossi"/>
    <x v="1"/>
  </r>
  <r>
    <n v="323"/>
    <s v="00025536520178260635"/>
    <n v="1"/>
    <s v="13/06/2017"/>
    <s v="Carlos Alberto Corrêa de Almeida Oliveira"/>
    <x v="0"/>
  </r>
  <r>
    <n v="324"/>
    <s v="0004434-23.2016.8.26.0050"/>
    <n v="1"/>
    <d v="2017-01-30T00:00:00"/>
    <s v="Carlos José Zulian"/>
    <x v="0"/>
  </r>
  <r>
    <n v="325"/>
    <s v="00496350420178260050"/>
    <n v="1"/>
    <s v="19/10/2017"/>
    <s v="MARCIO LUCIO FALAVIGNA SAUANDAG"/>
    <x v="0"/>
  </r>
  <r>
    <n v="326"/>
    <s v="00254101720178260050"/>
    <n v="1"/>
    <d v="2017-08-10T00:00:00"/>
    <s v="Giovana Furtado de Oliveira"/>
    <x v="1"/>
  </r>
  <r>
    <n v="327"/>
    <s v="00959728520168260050"/>
    <n v="1"/>
    <s v="17/03/2017"/>
    <s v="Lizianne Marques Curto"/>
    <x v="1"/>
  </r>
  <r>
    <n v="328"/>
    <s v="00399350420178260050"/>
    <n v="1"/>
    <s v="12/09/2017"/>
    <s v="MARCIO LUCIO FALAVIGNA SAUANDAG"/>
    <x v="0"/>
  </r>
  <r>
    <n v="329"/>
    <s v="00093592820178260050"/>
    <n v="1"/>
    <s v="29/05/2017"/>
    <s v="Roseane Cristina de Aguiar Almeida"/>
    <x v="1"/>
  </r>
  <r>
    <n v="330"/>
    <s v="00708608020178260050"/>
    <n v="1"/>
    <s v="19/09/2017"/>
    <s v="José Roberto Cabral Longaretti"/>
    <x v="0"/>
  </r>
  <r>
    <n v="331"/>
    <s v="00009965220178260050"/>
    <n v="1"/>
    <s v="07/04/2017"/>
    <s v="LEYLA MARIA DA SILVA LACAZ"/>
    <x v="1"/>
  </r>
  <r>
    <n v="332"/>
    <s v="00969766020168260050"/>
    <n v="1"/>
    <s v="08/06/2017"/>
    <s v="Erika Soares de Azevedo Mascarenhas"/>
    <x v="1"/>
  </r>
  <r>
    <n v="333"/>
    <s v="00354375920178260050"/>
    <n v="1"/>
    <s v="06/09/2017"/>
    <s v="Fátima Vilas Boas Cruz"/>
    <x v="1"/>
  </r>
  <r>
    <n v="334"/>
    <s v="00693867420178260050"/>
    <n v="1"/>
    <s v="16/11/2017"/>
    <s v="Waldir Calciolari"/>
    <x v="0"/>
  </r>
  <r>
    <n v="335"/>
    <s v="00505687420178260050"/>
    <n v="1"/>
    <s v="23/10/2017"/>
    <s v="RICHARD FRANCISCO CHEQUINI"/>
    <x v="0"/>
  </r>
  <r>
    <n v="336"/>
    <s v="00127987220168260635"/>
    <n v="1"/>
    <d v="2017-04-07T00:00:00"/>
    <s v="Sônia Nazaré Fernandes Fraga"/>
    <x v="1"/>
  </r>
  <r>
    <n v="337"/>
    <s v="00554602620178260050"/>
    <n v="1"/>
    <s v="05/12/2017"/>
    <s v="Maria Paula Cassone Rossi"/>
    <x v="1"/>
  </r>
  <r>
    <n v="338"/>
    <s v="00126324020168260635"/>
    <n v="1"/>
    <s v="17/03/2017"/>
    <s v="Carlos Eduardo Lora Franco"/>
    <x v="0"/>
  </r>
  <r>
    <n v="339"/>
    <s v="00132837220168260635"/>
    <n v="1"/>
    <s v="17/07/2017"/>
    <s v="Marcelo Matias Pereira"/>
    <x v="0"/>
  </r>
  <r>
    <n v="340"/>
    <s v="00132837220168260635"/>
    <n v="0"/>
    <s v="17/07/2017"/>
    <s v="Marcelo Matias Pereira"/>
    <x v="0"/>
  </r>
  <r>
    <n v="341"/>
    <s v="00085755120178260050"/>
    <n v="1"/>
    <s v="08/08/2017"/>
    <s v="VICENTE LUIZ ADUA"/>
    <x v="0"/>
  </r>
  <r>
    <n v="342"/>
    <s v="00033288920178260050"/>
    <n v="1"/>
    <s v="15/05/2017"/>
    <s v="ANA CAROLINA MUNHOZ DE ALMEIDA"/>
    <x v="1"/>
  </r>
  <r>
    <n v="343"/>
    <s v="00058845520178260635"/>
    <n v="0"/>
    <s v="05/10/2017"/>
    <s v="Paula Marie Konno"/>
    <x v="1"/>
  </r>
  <r>
    <n v="344"/>
    <s v="00058845520178260635"/>
    <n v="1"/>
    <s v="05/10/2017"/>
    <s v="Paula Marie Konno"/>
    <x v="1"/>
  </r>
  <r>
    <n v="345"/>
    <s v="00058845520178260635"/>
    <n v="0"/>
    <s v="05/10/2017"/>
    <s v="Paula Marie Konno"/>
    <x v="1"/>
  </r>
  <r>
    <n v="346"/>
    <s v="00480002220168260050"/>
    <n v="0"/>
    <s v="07/04/2017"/>
    <s v="Marcos Alexandre Coelho Zilli"/>
    <x v="0"/>
  </r>
  <r>
    <n v="347"/>
    <s v="00011600820178260635"/>
    <n v="0"/>
    <s v="19/07/2017"/>
    <s v="Waldir Calciolari"/>
    <x v="0"/>
  </r>
  <r>
    <n v="348"/>
    <s v="00101769220178260050"/>
    <n v="1"/>
    <s v="21/03/2017"/>
    <s v="LEYLA MARIA DA SILVA LACAZ"/>
    <x v="1"/>
  </r>
  <r>
    <n v="349"/>
    <s v="00289215720168260050"/>
    <n v="0"/>
    <s v="16/01/2017"/>
    <s v="VICENTE LUIZ ADUA"/>
    <x v="0"/>
  </r>
  <r>
    <n v="350"/>
    <s v="00017317020178260540"/>
    <n v="1"/>
    <s v="18/12/2017"/>
    <s v="Cynthia Maria Sabino Bezerra Camurri"/>
    <x v="1"/>
  </r>
  <r>
    <n v="351"/>
    <s v="00821035520168260050"/>
    <n v="1"/>
    <s v="03/02/2017"/>
    <s v="Carlos Eduardo Lora Franco"/>
    <x v="0"/>
  </r>
  <r>
    <n v="352"/>
    <s v="00533107220178260050"/>
    <n v="1"/>
    <s v="22/11/2017"/>
    <s v="Celina Maria Macedo Stern"/>
    <x v="1"/>
  </r>
  <r>
    <n v="353"/>
    <s v="00036702820168260635"/>
    <n v="1"/>
    <s v="16/02/2017"/>
    <s v="Izabel Irlanda Castro Correia Araújo"/>
    <x v="1"/>
  </r>
  <r>
    <n v="354"/>
    <s v="00552870220178260050"/>
    <n v="1"/>
    <s v="30/10/2017"/>
    <s v="Izabel Irlanda Castro Correia Araújo"/>
    <x v="1"/>
  </r>
  <r>
    <n v="355"/>
    <s v="00069800820178260635"/>
    <n v="1"/>
    <s v="31/10/2017"/>
    <s v="CRISTINA ESCHER"/>
    <x v="1"/>
  </r>
  <r>
    <n v="356"/>
    <s v="00037817520178260635"/>
    <n v="1"/>
    <s v="13/07/2017"/>
    <s v="Adriana Costa"/>
    <x v="1"/>
  </r>
  <r>
    <n v="357"/>
    <s v="00803713920168260050"/>
    <n v="1"/>
    <s v="27/03/2017"/>
    <s v="Edison Tetsuzo Namba"/>
    <x v="0"/>
  </r>
  <r>
    <n v="358"/>
    <s v="00727014720168260050"/>
    <n v="1"/>
    <s v="02/10/2017"/>
    <s v="Marcela Dias De Abreu Pinto Coelho"/>
    <x v="1"/>
  </r>
  <r>
    <n v="359"/>
    <s v="00905702320168260050"/>
    <n v="1"/>
    <s v="23/03/2017"/>
    <s v="Fábio Aguiar Munhoz Soares"/>
    <x v="0"/>
  </r>
  <r>
    <n v="360"/>
    <s v="00663831420178260050"/>
    <n v="0"/>
    <s v="07/11/2017"/>
    <s v="José Roberto Cabral Longaretti"/>
    <x v="0"/>
  </r>
  <r>
    <n v="361"/>
    <s v="00810028020168260050"/>
    <n v="0"/>
    <s v="03/08/2017"/>
    <s v="Antonio de Oliveira Angrisani Filho"/>
    <x v="0"/>
  </r>
  <r>
    <n v="362"/>
    <s v="00729872520168260050"/>
    <n v="1"/>
    <s v="20/10/2017"/>
    <s v="Helio Narvaez"/>
    <x v="0"/>
  </r>
  <r>
    <n v="363"/>
    <s v="00033628920168260635"/>
    <n v="1"/>
    <s v="03/08/2017"/>
    <s v="RICHARD FRANCISCO CHEQUINI"/>
    <x v="0"/>
  </r>
  <r>
    <n v="364"/>
    <s v="00006794520178260635"/>
    <n v="1"/>
    <s v="11/08/2017"/>
    <s v="Roseane Cristina de Aguiar Almeida"/>
    <x v="1"/>
  </r>
  <r>
    <n v="365"/>
    <s v="00900047420168260050"/>
    <n v="1"/>
    <s v="10/04/2017"/>
    <s v="Claudia Carneiro Calbucci Renaux"/>
    <x v="1"/>
  </r>
  <r>
    <n v="366"/>
    <s v="00098168520168260635"/>
    <n v="1"/>
    <s v="09/05/2017"/>
    <s v="Antonio de Oliveira Angrisani Filho"/>
    <x v="0"/>
  </r>
  <r>
    <n v="367"/>
    <s v="00567207520168260050"/>
    <n v="1"/>
    <s v="06/09/2017"/>
    <s v="Carlos Eduardo Lora Franco"/>
    <x v="0"/>
  </r>
  <r>
    <n v="368"/>
    <s v="00567207520168260050"/>
    <n v="0"/>
    <s v="06/09/2017"/>
    <s v="Carlos Eduardo Lora Franco"/>
    <x v="0"/>
  </r>
  <r>
    <n v="369"/>
    <s v="00475801720168260050"/>
    <n v="1"/>
    <s v="31/01/2017"/>
    <s v="Paulo Eduardo Balbone Costa"/>
    <x v="0"/>
  </r>
  <r>
    <n v="370"/>
    <s v="00118650220168260635"/>
    <n v="1"/>
    <s v="23/08/2017"/>
    <s v="MARIO RUBENS ASSUMPCAO FILHO"/>
    <x v="0"/>
  </r>
  <r>
    <n v="371"/>
    <s v="00840322620168260050"/>
    <n v="0"/>
    <s v="01/12/2017"/>
    <s v="Klaus Marouelli Arroyo"/>
    <x v="0"/>
  </r>
  <r>
    <n v="372"/>
    <s v="0030299-48.2016.8.26.0050 "/>
    <n v="1"/>
    <d v="2017-03-13T00:00:00"/>
    <s v="Carlos José Zulian"/>
    <x v="0"/>
  </r>
  <r>
    <n v="373"/>
    <s v="00461275020178260050"/>
    <n v="1"/>
    <s v="04/09/2017"/>
    <s v="Rejane Rodrigues Lage"/>
    <x v="1"/>
  </r>
  <r>
    <n v="374"/>
    <s v="00443229620168260050"/>
    <n v="1"/>
    <s v="20/04/2017"/>
    <s v="Izabel Irlanda Castro Correia Araújo"/>
    <x v="1"/>
  </r>
  <r>
    <n v="375"/>
    <s v="00142794520178260050"/>
    <n v="1"/>
    <s v="13/09/2017"/>
    <s v="TERESA DE ALMEIDA RIBEIRO MAGALHAES"/>
    <x v="1"/>
  </r>
  <r>
    <n v="376"/>
    <s v="00820585120168260050"/>
    <n v="1"/>
    <d v="2017-09-19T00:00:00"/>
    <s v="Fernanda Galizia Noriega"/>
    <x v="1"/>
  </r>
  <r>
    <n v="377"/>
    <s v="00341619020178260050"/>
    <n v="1"/>
    <s v="24/10/2017"/>
    <s v="Roseane Cristina de Aguiar Almeida"/>
    <x v="1"/>
  </r>
  <r>
    <n v="378"/>
    <s v="00341619020178260050"/>
    <n v="0"/>
    <s v="24/10/2017"/>
    <s v="Roseane Cristina de Aguiar Almeida"/>
    <x v="1"/>
  </r>
  <r>
    <n v="379"/>
    <s v="01006793320158260050"/>
    <n v="1"/>
    <s v="14/03/2017"/>
    <s v="Antonio Carlos de Campos Machado Junior"/>
    <x v="0"/>
  </r>
  <r>
    <n v="380"/>
    <s v="00034933020178260635"/>
    <n v="1"/>
    <d v="2017-07-06T00:00:00"/>
    <s v="RICHARD FRANCISCO CHEQUINI"/>
    <x v="0"/>
  </r>
  <r>
    <n v="381"/>
    <s v="00471676720178260050"/>
    <n v="1"/>
    <s v="17/08/2017"/>
    <s v="Tamara Priscila Tocci"/>
    <x v="1"/>
  </r>
  <r>
    <n v="382"/>
    <s v="00069541920178260050"/>
    <n v="1"/>
    <s v="28/09/2017"/>
    <s v="CRISTINA ESCHER"/>
    <x v="1"/>
  </r>
  <r>
    <n v="383"/>
    <s v="00317369020178260050"/>
    <n v="1"/>
    <d v="2017-09-27T00:00:00"/>
    <s v="Augusto Antonini"/>
    <x v="0"/>
  </r>
  <r>
    <n v="384"/>
    <s v="00025095520178260050"/>
    <n v="1"/>
    <s v="03/10/2017"/>
    <s v="Rodrigo Cesar Muller Valente"/>
    <x v="0"/>
  </r>
  <r>
    <n v="385"/>
    <s v="00159686120168260050"/>
    <n v="1"/>
    <s v="06/07/2017"/>
    <s v="Klaus Marouelli Arroyo"/>
    <x v="0"/>
  </r>
  <r>
    <n v="386"/>
    <s v="0031554-41.2016.8.26.0050"/>
    <n v="1"/>
    <d v="2017-05-09T00:00:00"/>
    <s v="Carlos José Zulian"/>
    <x v="0"/>
  </r>
  <r>
    <n v="387"/>
    <s v="00828861320178260050"/>
    <n v="1"/>
    <s v="31/10/2017"/>
    <s v="José Roberto Cabral Longaretti"/>
    <x v="0"/>
  </r>
  <r>
    <n v="388"/>
    <s v="00043395620178260050"/>
    <n v="1"/>
    <s v="22/08/2017"/>
    <s v="ALESSANDRA TEIXEIRA MIGUEL"/>
    <x v="1"/>
  </r>
  <r>
    <n v="389"/>
    <s v="00173591720178260050"/>
    <n v="1"/>
    <s v="23/06/2017"/>
    <s v="Edison Tetsuzo Namba"/>
    <x v="0"/>
  </r>
  <r>
    <n v="390"/>
    <s v="00039379720168260635"/>
    <n v="1"/>
    <s v="10/01/2017"/>
    <s v="Waldir Calciolari"/>
    <x v="0"/>
  </r>
  <r>
    <n v="391"/>
    <s v="00085284820158260050"/>
    <n v="1"/>
    <s v="03/05/2017"/>
    <s v="Marcos Fleury Silveira de Alvarenga"/>
    <x v="0"/>
  </r>
  <r>
    <n v="392"/>
    <s v="00735788420168260050"/>
    <n v="1"/>
    <s v="06/06/2017"/>
    <s v="Carlos Alberto Corrêa de Almeida Oliveira"/>
    <x v="0"/>
  </r>
  <r>
    <n v="393"/>
    <s v="00113954320178260050"/>
    <n v="1"/>
    <s v="20/07/2017"/>
    <s v="Rafael Henrique Janela Tamai Rocha"/>
    <x v="0"/>
  </r>
  <r>
    <n v="394"/>
    <s v="00113954320178260050"/>
    <n v="0"/>
    <s v="20/07/2017"/>
    <s v="Rafael Henrique Janela Tamai Rocha"/>
    <x v="0"/>
  </r>
  <r>
    <n v="395"/>
    <s v="00113954320178260050"/>
    <n v="0"/>
    <s v="20/07/2017"/>
    <s v="Rafael Henrique Janela Tamai Rocha"/>
    <x v="0"/>
  </r>
  <r>
    <n v="396"/>
    <s v="00113954320178260050"/>
    <n v="0"/>
    <s v="20/07/2017"/>
    <s v="Rafael Henrique Janela Tamai Rocha"/>
    <x v="0"/>
  </r>
  <r>
    <n v="397"/>
    <s v="00295465720178260050"/>
    <n v="1"/>
    <s v="28/09/2017"/>
    <s v="Eliana Cassales Tosi"/>
    <x v="1"/>
  </r>
  <r>
    <n v="398"/>
    <s v="00370435920168260050"/>
    <n v="1"/>
    <s v="18/10/2017"/>
    <s v="Marcos Fleury Silveira de Alvarenga"/>
    <x v="0"/>
  </r>
  <r>
    <n v="399"/>
    <s v="00370435920168260050"/>
    <n v="0"/>
    <s v="18/10/2017"/>
    <s v="Marcos Fleury Silveira de Alvarenga"/>
    <x v="0"/>
  </r>
  <r>
    <n v="400"/>
    <s v="00020452220178260635"/>
    <n v="1"/>
    <s v="27/06/2017"/>
    <s v="Carla de Oliveira Pinto Ferrari"/>
    <x v="1"/>
  </r>
  <r>
    <n v="401"/>
    <s v="01009336920168260050"/>
    <n v="1"/>
    <s v="16/05/2017"/>
    <s v="Izabel Irlanda Castro Correia Araújo"/>
    <x v="1"/>
  </r>
  <r>
    <n v="402"/>
    <s v="00977404620168260050"/>
    <n v="1"/>
    <d v="2017-03-30T00:00:00"/>
    <s v="Érica Aparecida Ribeiro Lopes e Navarro Rodrigues"/>
    <x v="1"/>
  </r>
  <r>
    <n v="403"/>
    <s v="00065627020178260635"/>
    <n v="1"/>
    <s v="23/11/2017"/>
    <s v="CRISTINA ESCHER"/>
    <x v="1"/>
  </r>
  <r>
    <n v="404"/>
    <s v="00077742920178260635"/>
    <n v="1"/>
    <s v="14/11/2017"/>
    <s v="Rafael Henrique Janela Tamai Rocha"/>
    <x v="0"/>
  </r>
  <r>
    <n v="405"/>
    <s v="00335192020178260050"/>
    <n v="1"/>
    <s v="29/11/2017"/>
    <s v="Carlos Eduardo Oliveira de Alencar"/>
    <x v="0"/>
  </r>
  <r>
    <n v="406"/>
    <s v="00617829620168260050"/>
    <n v="1"/>
    <s v="23/05/2017"/>
    <s v="RICHARD FRANCISCO CHEQUINI"/>
    <x v="0"/>
  </r>
  <r>
    <n v="407"/>
    <s v="00243129420178260050"/>
    <n v="0"/>
    <s v="20/09/2017"/>
    <s v="Antonio Carlos de Campos Machado Junior"/>
    <x v="0"/>
  </r>
  <r>
    <n v="408"/>
    <s v="00292905120168260050"/>
    <n v="0"/>
    <d v="2017-10-09T00:00:00"/>
    <s v="Edison Tetsuzo Namba"/>
    <x v="0"/>
  </r>
  <r>
    <n v="409"/>
    <s v="00704156220178260050"/>
    <n v="1"/>
    <s v="01/11/2017"/>
    <s v="RICHARD FRANCISCO CHEQUINI"/>
    <x v="0"/>
  </r>
  <r>
    <n v="410"/>
    <s v="00068964120168260635"/>
    <n v="1"/>
    <s v="05/05/2017"/>
    <s v="José Fernandes Freitas Neto"/>
    <x v="0"/>
  </r>
  <r>
    <n v="411"/>
    <s v="00976541220158260050"/>
    <n v="1"/>
    <d v="2017-11-01T00:00:00"/>
    <s v="Maria Domitila Prado Manssur"/>
    <x v="1"/>
  </r>
  <r>
    <n v="412"/>
    <s v="0004370-76.2017.8.26.0050 "/>
    <n v="1"/>
    <d v="2017-07-18T00:00:00"/>
    <s v="Carlos José Zulian"/>
    <x v="0"/>
  </r>
  <r>
    <n v="413"/>
    <s v="00004526420178260050"/>
    <n v="1"/>
    <s v="03/08/2017"/>
    <s v="Marcos Fleury Silveira de Alvarenga"/>
    <x v="0"/>
  </r>
  <r>
    <n v="414"/>
    <s v="00695256020168260050"/>
    <n v="1"/>
    <d v="2017-07-05T00:00:00"/>
    <s v="Giovana Furtado de Oliveira"/>
    <x v="1"/>
  </r>
  <r>
    <n v="415"/>
    <s v="00836708720178260050"/>
    <n v="1"/>
    <s v="17/11/2017"/>
    <s v="MARCIO LUCIO FALAVIGNA SAUANDAG"/>
    <x v="0"/>
  </r>
  <r>
    <n v="416"/>
    <s v="00486564220178260050"/>
    <n v="1"/>
    <d v="2017-11-21T00:00:00"/>
    <s v="Augusto Antonini"/>
    <x v="0"/>
  </r>
  <r>
    <n v="417"/>
    <s v="00021893020168260635"/>
    <n v="1"/>
    <d v="2017-08-17T00:00:00"/>
    <s v="Antonio de Oliveira Angrisani Filho"/>
    <x v="0"/>
  </r>
  <r>
    <n v="418"/>
    <s v="00402434020178260050"/>
    <n v="1"/>
    <s v="17/08/2017"/>
    <s v="Roseane Cristina de Aguiar Almeida"/>
    <x v="1"/>
  </r>
  <r>
    <n v="419"/>
    <s v="01040446120168260050"/>
    <n v="1"/>
    <s v="19/10/2017"/>
    <s v="José Fernandes Freitas Neto"/>
    <x v="0"/>
  </r>
  <r>
    <n v="420"/>
    <s v="00037549220178260635"/>
    <n v="1"/>
    <s v="01/09/2017"/>
    <s v="Erica Regina Colmenero Coimbra"/>
    <x v="1"/>
  </r>
  <r>
    <m/>
    <m/>
    <m/>
    <m/>
    <m/>
    <x v="2"/>
  </r>
</pivotCacheRecords>
</file>

<file path=xl/pivotCache/pivotCacheRecords6.xml><?xml version="1.0" encoding="utf-8"?>
<pivotCacheRecords xmlns="http://schemas.openxmlformats.org/spreadsheetml/2006/main" xmlns:r="http://schemas.openxmlformats.org/officeDocument/2006/relationships" count="421">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0"/>
  </r>
  <r>
    <x v="1"/>
  </r>
  <r>
    <x v="1"/>
  </r>
  <r>
    <x v="1"/>
  </r>
  <r>
    <x v="1"/>
  </r>
  <r>
    <x v="1"/>
  </r>
  <r>
    <x v="1"/>
  </r>
  <r>
    <x v="1"/>
  </r>
  <r>
    <x v="1"/>
  </r>
  <r>
    <x v="0"/>
  </r>
  <r>
    <x v="1"/>
  </r>
  <r>
    <x v="1"/>
  </r>
  <r>
    <x v="1"/>
  </r>
  <r>
    <x v="0"/>
  </r>
  <r>
    <x v="0"/>
  </r>
  <r>
    <x v="1"/>
  </r>
  <r>
    <x v="1"/>
  </r>
  <r>
    <x v="1"/>
  </r>
  <r>
    <x v="1"/>
  </r>
  <r>
    <x v="1"/>
  </r>
  <r>
    <x v="1"/>
  </r>
  <r>
    <x v="1"/>
  </r>
  <r>
    <x v="1"/>
  </r>
  <r>
    <x v="0"/>
  </r>
  <r>
    <x v="1"/>
  </r>
  <r>
    <x v="1"/>
  </r>
  <r>
    <x v="1"/>
  </r>
  <r>
    <x v="1"/>
  </r>
  <r>
    <x v="1"/>
  </r>
  <r>
    <x v="1"/>
  </r>
  <r>
    <x v="1"/>
  </r>
  <r>
    <x v="1"/>
  </r>
  <r>
    <x v="0"/>
  </r>
  <r>
    <x v="1"/>
  </r>
  <r>
    <x v="1"/>
  </r>
  <r>
    <x v="1"/>
  </r>
  <r>
    <x v="1"/>
  </r>
  <r>
    <x v="1"/>
  </r>
  <r>
    <x v="1"/>
  </r>
  <r>
    <x v="0"/>
  </r>
  <r>
    <x v="1"/>
  </r>
  <r>
    <x v="1"/>
  </r>
  <r>
    <x v="1"/>
  </r>
  <r>
    <x v="1"/>
  </r>
  <r>
    <x v="0"/>
  </r>
  <r>
    <x v="1"/>
  </r>
  <r>
    <x v="1"/>
  </r>
  <r>
    <x v="1"/>
  </r>
  <r>
    <x v="1"/>
  </r>
  <r>
    <x v="1"/>
  </r>
  <r>
    <x v="1"/>
  </r>
  <r>
    <x v="1"/>
  </r>
  <r>
    <x v="1"/>
  </r>
  <r>
    <x v="1"/>
  </r>
  <r>
    <x v="1"/>
  </r>
  <r>
    <x v="1"/>
  </r>
  <r>
    <x v="1"/>
  </r>
  <r>
    <x v="1"/>
  </r>
  <r>
    <x v="1"/>
  </r>
  <r>
    <x v="0"/>
  </r>
  <r>
    <x v="0"/>
  </r>
  <r>
    <x v="1"/>
  </r>
  <r>
    <x v="1"/>
  </r>
  <r>
    <x v="1"/>
  </r>
  <r>
    <x v="0"/>
  </r>
  <r>
    <x v="0"/>
  </r>
  <r>
    <x v="0"/>
  </r>
  <r>
    <x v="0"/>
  </r>
  <r>
    <x v="1"/>
  </r>
  <r>
    <x v="1"/>
  </r>
  <r>
    <x v="1"/>
  </r>
  <r>
    <x v="0"/>
  </r>
  <r>
    <x v="0"/>
  </r>
  <r>
    <x v="0"/>
  </r>
  <r>
    <x v="1"/>
  </r>
  <r>
    <x v="0"/>
  </r>
  <r>
    <x v="1"/>
  </r>
  <r>
    <x v="0"/>
  </r>
  <r>
    <x v="0"/>
  </r>
  <r>
    <x v="0"/>
  </r>
  <r>
    <x v="1"/>
  </r>
  <r>
    <x v="1"/>
  </r>
  <r>
    <x v="0"/>
  </r>
  <r>
    <x v="1"/>
  </r>
  <r>
    <x v="1"/>
  </r>
  <r>
    <x v="1"/>
  </r>
  <r>
    <x v="0"/>
  </r>
  <r>
    <x v="0"/>
  </r>
  <r>
    <x v="0"/>
  </r>
  <r>
    <x v="0"/>
  </r>
  <r>
    <x v="0"/>
  </r>
  <r>
    <x v="0"/>
  </r>
  <r>
    <x v="0"/>
  </r>
  <r>
    <x v="1"/>
  </r>
  <r>
    <x v="0"/>
  </r>
  <r>
    <x v="0"/>
  </r>
  <r>
    <x v="1"/>
  </r>
  <r>
    <x v="0"/>
  </r>
  <r>
    <x v="0"/>
  </r>
  <r>
    <x v="0"/>
  </r>
  <r>
    <x v="1"/>
  </r>
  <r>
    <x v="1"/>
  </r>
  <r>
    <x v="0"/>
  </r>
  <r>
    <x v="0"/>
  </r>
  <r>
    <x v="1"/>
  </r>
  <r>
    <x v="1"/>
  </r>
  <r>
    <x v="1"/>
  </r>
  <r>
    <x v="1"/>
  </r>
  <r>
    <x v="0"/>
  </r>
  <r>
    <x v="0"/>
  </r>
  <r>
    <x v="1"/>
  </r>
  <r>
    <x v="0"/>
  </r>
  <r>
    <x v="0"/>
  </r>
  <r>
    <x v="0"/>
  </r>
  <r>
    <x v="1"/>
  </r>
  <r>
    <x v="0"/>
  </r>
  <r>
    <x v="0"/>
  </r>
  <r>
    <x v="1"/>
  </r>
  <r>
    <x v="1"/>
  </r>
  <r>
    <x v="1"/>
  </r>
  <r>
    <x v="1"/>
  </r>
  <r>
    <x v="0"/>
  </r>
  <r>
    <x v="1"/>
  </r>
  <r>
    <x v="0"/>
  </r>
  <r>
    <x v="1"/>
  </r>
  <r>
    <x v="1"/>
  </r>
  <r>
    <x v="0"/>
  </r>
  <r>
    <x v="1"/>
  </r>
  <r>
    <x v="1"/>
  </r>
  <r>
    <x v="0"/>
  </r>
  <r>
    <x v="1"/>
  </r>
  <r>
    <x v="0"/>
  </r>
  <r>
    <x v="0"/>
  </r>
  <r>
    <x v="0"/>
  </r>
  <r>
    <x v="0"/>
  </r>
  <r>
    <x v="0"/>
  </r>
  <r>
    <x v="0"/>
  </r>
  <r>
    <x v="0"/>
  </r>
  <r>
    <x v="0"/>
  </r>
  <r>
    <x v="1"/>
  </r>
  <r>
    <x v="0"/>
  </r>
  <r>
    <x v="0"/>
  </r>
  <r>
    <x v="0"/>
  </r>
  <r>
    <x v="0"/>
  </r>
  <r>
    <x v="0"/>
  </r>
  <r>
    <x v="0"/>
  </r>
  <r>
    <x v="0"/>
  </r>
  <r>
    <x v="0"/>
  </r>
  <r>
    <x v="0"/>
  </r>
  <r>
    <x v="0"/>
  </r>
  <r>
    <x v="0"/>
  </r>
  <r>
    <x v="0"/>
  </r>
  <r>
    <x v="0"/>
  </r>
  <r>
    <x v="0"/>
  </r>
  <r>
    <x v="0"/>
  </r>
  <r>
    <x v="0"/>
  </r>
  <r>
    <x v="1"/>
  </r>
  <r>
    <x v="1"/>
  </r>
  <r>
    <x v="0"/>
  </r>
  <r>
    <x v="0"/>
  </r>
  <r>
    <x v="0"/>
  </r>
  <r>
    <x v="1"/>
  </r>
  <r>
    <x v="0"/>
  </r>
  <r>
    <x v="0"/>
  </r>
  <r>
    <x v="1"/>
  </r>
  <r>
    <x v="0"/>
  </r>
  <r>
    <x v="1"/>
  </r>
  <r>
    <x v="0"/>
  </r>
  <r>
    <x v="1"/>
  </r>
  <r>
    <x v="1"/>
  </r>
  <r>
    <x v="1"/>
  </r>
  <r>
    <x v="1"/>
  </r>
  <r>
    <x v="1"/>
  </r>
  <r>
    <x v="1"/>
  </r>
  <r>
    <x v="1"/>
  </r>
  <r>
    <x v="0"/>
  </r>
  <r>
    <x v="0"/>
  </r>
  <r>
    <x v="0"/>
  </r>
  <r>
    <x v="0"/>
  </r>
  <r>
    <x v="0"/>
  </r>
  <r>
    <x v="1"/>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7.xml><?xml version="1.0" encoding="utf-8"?>
<pivotCacheRecords xmlns="http://schemas.openxmlformats.org/spreadsheetml/2006/main" xmlns:r="http://schemas.openxmlformats.org/officeDocument/2006/relationships" count="42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4"/>
  </r>
  <r>
    <x v="4"/>
  </r>
  <r>
    <x v="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5"/>
  </r>
</pivotCacheRecords>
</file>

<file path=xl/pivotCache/pivotCacheRecords8.xml><?xml version="1.0" encoding="utf-8"?>
<pivotCacheRecords xmlns="http://schemas.openxmlformats.org/spreadsheetml/2006/main" xmlns:r="http://schemas.openxmlformats.org/officeDocument/2006/relationships" count="42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4"/>
  </r>
  <r>
    <x v="5"/>
  </r>
  <r>
    <x v="5"/>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7"/>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8"/>
  </r>
  <r>
    <x v="8"/>
  </r>
  <r>
    <x v="8"/>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9"/>
  </r>
  <r>
    <x v="10"/>
  </r>
  <r>
    <x v="11"/>
  </r>
</pivotCacheRecords>
</file>

<file path=xl/pivotCache/pivotCacheRecords9.xml><?xml version="1.0" encoding="utf-8"?>
<pivotCacheRecords xmlns="http://schemas.openxmlformats.org/spreadsheetml/2006/main" xmlns:r="http://schemas.openxmlformats.org/officeDocument/2006/relationships" count="421">
  <r>
    <x v="0"/>
  </r>
  <r>
    <x v="1"/>
  </r>
  <r>
    <x v="2"/>
  </r>
  <r>
    <x v="3"/>
  </r>
  <r>
    <x v="4"/>
  </r>
  <r>
    <x v="5"/>
  </r>
  <r>
    <x v="6"/>
  </r>
  <r>
    <x v="0"/>
  </r>
  <r>
    <x v="0"/>
  </r>
  <r>
    <x v="0"/>
  </r>
  <r>
    <x v="0"/>
  </r>
  <r>
    <x v="0"/>
  </r>
  <r>
    <x v="7"/>
  </r>
  <r>
    <x v="8"/>
  </r>
  <r>
    <x v="9"/>
  </r>
  <r>
    <x v="1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1"/>
  </r>
  <r>
    <x v="12"/>
  </r>
  <r>
    <x v="13"/>
  </r>
  <r>
    <x v="14"/>
  </r>
  <r>
    <x v="15"/>
  </r>
  <r>
    <x v="16"/>
  </r>
  <r>
    <x v="17"/>
  </r>
  <r>
    <x v="18"/>
  </r>
  <r>
    <x v="19"/>
  </r>
  <r>
    <x v="15"/>
  </r>
  <r>
    <x v="20"/>
  </r>
  <r>
    <x v="7"/>
  </r>
  <r>
    <x v="21"/>
  </r>
  <r>
    <x v="22"/>
  </r>
  <r>
    <x v="23"/>
  </r>
  <r>
    <x v="24"/>
  </r>
  <r>
    <x v="25"/>
  </r>
  <r>
    <x v="26"/>
  </r>
  <r>
    <x v="27"/>
  </r>
  <r>
    <x v="27"/>
  </r>
  <r>
    <x v="28"/>
  </r>
  <r>
    <x v="29"/>
  </r>
  <r>
    <x v="30"/>
  </r>
  <r>
    <x v="31"/>
  </r>
  <r>
    <x v="32"/>
  </r>
  <r>
    <x v="33"/>
  </r>
  <r>
    <x v="34"/>
  </r>
  <r>
    <x v="34"/>
  </r>
  <r>
    <x v="35"/>
  </r>
  <r>
    <x v="36"/>
  </r>
  <r>
    <x v="0"/>
  </r>
  <r>
    <x v="0"/>
  </r>
  <r>
    <x v="0"/>
  </r>
  <r>
    <x v="0"/>
  </r>
  <r>
    <x v="37"/>
  </r>
  <r>
    <x v="0"/>
  </r>
  <r>
    <x v="0"/>
  </r>
  <r>
    <x v="0"/>
  </r>
  <r>
    <x v="38"/>
  </r>
  <r>
    <x v="0"/>
  </r>
  <r>
    <x v="0"/>
  </r>
  <r>
    <x v="0"/>
  </r>
  <r>
    <x v="0"/>
  </r>
  <r>
    <x v="39"/>
  </r>
  <r>
    <x v="0"/>
  </r>
  <r>
    <x v="0"/>
  </r>
  <r>
    <x v="0"/>
  </r>
  <r>
    <x v="0"/>
  </r>
  <r>
    <x v="0"/>
  </r>
  <r>
    <x v="0"/>
  </r>
  <r>
    <x v="0"/>
  </r>
  <r>
    <x v="0"/>
  </r>
  <r>
    <x v="0"/>
  </r>
  <r>
    <x v="0"/>
  </r>
  <r>
    <x v="0"/>
  </r>
  <r>
    <x v="0"/>
  </r>
  <r>
    <x v="0"/>
  </r>
  <r>
    <x v="40"/>
  </r>
  <r>
    <x v="41"/>
  </r>
  <r>
    <x v="42"/>
  </r>
  <r>
    <x v="43"/>
  </r>
  <r>
    <x v="44"/>
  </r>
  <r>
    <x v="45"/>
  </r>
  <r>
    <x v="24"/>
  </r>
  <r>
    <x v="46"/>
  </r>
  <r>
    <x v="47"/>
  </r>
  <r>
    <x v="48"/>
  </r>
  <r>
    <x v="49"/>
  </r>
  <r>
    <x v="0"/>
  </r>
  <r>
    <x v="0"/>
  </r>
  <r>
    <x v="50"/>
  </r>
  <r>
    <x v="51"/>
  </r>
  <r>
    <x v="0"/>
  </r>
  <r>
    <x v="33"/>
  </r>
  <r>
    <x v="52"/>
  </r>
  <r>
    <x v="52"/>
  </r>
  <r>
    <x v="53"/>
  </r>
  <r>
    <x v="54"/>
  </r>
  <r>
    <x v="0"/>
  </r>
  <r>
    <x v="0"/>
  </r>
  <r>
    <x v="55"/>
  </r>
  <r>
    <x v="56"/>
  </r>
  <r>
    <x v="56"/>
  </r>
  <r>
    <x v="56"/>
  </r>
  <r>
    <x v="57"/>
  </r>
  <r>
    <x v="58"/>
  </r>
  <r>
    <x v="59"/>
  </r>
  <r>
    <x v="0"/>
  </r>
  <r>
    <x v="60"/>
  </r>
  <r>
    <x v="6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62"/>
  </r>
  <r>
    <x v="63"/>
  </r>
  <r>
    <x v="16"/>
  </r>
  <r>
    <x v="15"/>
  </r>
  <r>
    <x v="63"/>
  </r>
  <r>
    <x v="64"/>
  </r>
  <r>
    <x v="65"/>
  </r>
  <r>
    <x v="66"/>
  </r>
  <r>
    <x v="67"/>
  </r>
  <r>
    <x v="68"/>
  </r>
  <r>
    <x v="68"/>
  </r>
  <r>
    <x v="30"/>
  </r>
  <r>
    <x v="69"/>
  </r>
  <r>
    <x v="70"/>
  </r>
  <r>
    <x v="45"/>
  </r>
  <r>
    <x v="52"/>
  </r>
  <r>
    <x v="71"/>
  </r>
  <r>
    <x v="72"/>
  </r>
  <r>
    <x v="73"/>
  </r>
  <r>
    <x v="59"/>
  </r>
  <r>
    <x v="74"/>
  </r>
  <r>
    <x v="75"/>
  </r>
  <r>
    <x v="76"/>
  </r>
  <r>
    <x v="77"/>
  </r>
  <r>
    <x v="0"/>
  </r>
  <r>
    <x v="0"/>
  </r>
  <r>
    <x v="71"/>
  </r>
  <r>
    <x v="0"/>
  </r>
  <r>
    <x v="17"/>
  </r>
  <r>
    <x v="0"/>
  </r>
  <r>
    <x v="0"/>
  </r>
  <r>
    <x v="0"/>
  </r>
  <r>
    <x v="0"/>
  </r>
  <r>
    <x v="0"/>
  </r>
  <r>
    <x v="0"/>
  </r>
  <r>
    <x v="0"/>
  </r>
  <r>
    <x v="0"/>
  </r>
  <r>
    <x v="0"/>
  </r>
  <r>
    <x v="0"/>
  </r>
  <r>
    <x v="0"/>
  </r>
  <r>
    <x v="0"/>
  </r>
  <r>
    <x v="0"/>
  </r>
  <r>
    <x v="0"/>
  </r>
  <r>
    <x v="0"/>
  </r>
  <r>
    <x v="0"/>
  </r>
  <r>
    <x v="0"/>
  </r>
  <r>
    <x v="0"/>
  </r>
  <r>
    <x v="0"/>
  </r>
  <r>
    <x v="0"/>
  </r>
  <r>
    <x v="0"/>
  </r>
  <r>
    <x v="0"/>
  </r>
  <r>
    <x v="0"/>
  </r>
  <r>
    <x v="0"/>
  </r>
  <r>
    <x v="0"/>
  </r>
  <r>
    <x v="15"/>
  </r>
  <r>
    <x v="78"/>
  </r>
  <r>
    <x v="42"/>
  </r>
  <r>
    <x v="79"/>
  </r>
  <r>
    <x v="80"/>
  </r>
  <r>
    <x v="81"/>
  </r>
  <r>
    <x v="82"/>
  </r>
  <r>
    <x v="67"/>
  </r>
  <r>
    <x v="83"/>
  </r>
  <r>
    <x v="69"/>
  </r>
  <r>
    <x v="84"/>
  </r>
  <r>
    <x v="85"/>
  </r>
  <r>
    <x v="86"/>
  </r>
  <r>
    <x v="87"/>
  </r>
  <r>
    <x v="88"/>
  </r>
  <r>
    <x v="89"/>
  </r>
  <r>
    <x v="0"/>
  </r>
  <r>
    <x v="0"/>
  </r>
  <r>
    <x v="90"/>
  </r>
  <r>
    <x v="91"/>
  </r>
  <r>
    <x v="0"/>
  </r>
  <r>
    <x v="0"/>
  </r>
  <r>
    <x v="0"/>
  </r>
  <r>
    <x v="0"/>
  </r>
  <r>
    <x v="0"/>
  </r>
  <r>
    <x v="0"/>
  </r>
  <r>
    <x v="0"/>
  </r>
  <r>
    <x v="51"/>
  </r>
  <r>
    <x v="16"/>
  </r>
  <r>
    <x v="92"/>
  </r>
  <r>
    <x v="93"/>
  </r>
  <r>
    <x v="30"/>
  </r>
  <r>
    <x v="94"/>
  </r>
  <r>
    <x v="0"/>
  </r>
  <r>
    <x v="0"/>
  </r>
  <r>
    <x v="95"/>
  </r>
  <r>
    <x v="0"/>
  </r>
  <r>
    <x v="96"/>
  </r>
  <r>
    <x v="0"/>
  </r>
  <r>
    <x v="0"/>
  </r>
  <r>
    <x v="0"/>
  </r>
  <r>
    <x v="0"/>
  </r>
  <r>
    <x v="0"/>
  </r>
  <r>
    <x v="0"/>
  </r>
  <r>
    <x v="0"/>
  </r>
  <r>
    <x v="0"/>
  </r>
  <r>
    <x v="97"/>
  </r>
  <r>
    <x v="16"/>
  </r>
  <r>
    <x v="0"/>
  </r>
  <r>
    <x v="98"/>
  </r>
  <r>
    <x v="0"/>
  </r>
  <r>
    <x v="0"/>
  </r>
  <r>
    <x v="0"/>
  </r>
  <r>
    <x v="0"/>
  </r>
  <r>
    <x v="0"/>
  </r>
  <r>
    <x v="0"/>
  </r>
  <r>
    <x v="0"/>
  </r>
  <r>
    <x v="0"/>
  </r>
  <r>
    <x v="99"/>
  </r>
  <r>
    <x v="36"/>
  </r>
  <r>
    <x v="100"/>
  </r>
  <r>
    <x v="101"/>
  </r>
  <r>
    <x v="37"/>
  </r>
  <r>
    <x v="9"/>
  </r>
  <r>
    <x v="102"/>
  </r>
  <r>
    <x v="103"/>
  </r>
  <r>
    <x v="104"/>
  </r>
  <r>
    <x v="0"/>
  </r>
  <r>
    <x v="0"/>
  </r>
  <r>
    <x v="0"/>
  </r>
  <r>
    <x v="0"/>
  </r>
  <r>
    <x v="0"/>
  </r>
  <r>
    <x v="0"/>
  </r>
  <r>
    <x v="0"/>
  </r>
  <r>
    <x v="0"/>
  </r>
  <r>
    <x v="105"/>
  </r>
  <r>
    <x v="55"/>
  </r>
  <r>
    <x v="106"/>
  </r>
  <r>
    <x v="107"/>
  </r>
  <r>
    <x v="108"/>
  </r>
  <r>
    <x v="1"/>
  </r>
  <r>
    <x v="0"/>
  </r>
  <r>
    <x v="0"/>
  </r>
  <r>
    <x v="109"/>
  </r>
  <r>
    <x v="110"/>
  </r>
  <r>
    <x v="0"/>
  </r>
  <r>
    <x v="0"/>
  </r>
  <r>
    <x v="0"/>
  </r>
  <r>
    <x v="0"/>
  </r>
  <r>
    <x v="0"/>
  </r>
  <r>
    <x v="0"/>
  </r>
  <r>
    <x v="15"/>
  </r>
  <r>
    <x v="0"/>
  </r>
  <r>
    <x v="0"/>
  </r>
  <r>
    <x v="11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58"/>
  </r>
  <r>
    <x v="7"/>
  </r>
  <r>
    <x v="112"/>
  </r>
  <r>
    <x v="18"/>
  </r>
  <r>
    <x v="113"/>
  </r>
  <r>
    <x v="18"/>
  </r>
  <r>
    <x v="114"/>
  </r>
  <r>
    <x v="115"/>
  </r>
  <r>
    <x v="116"/>
  </r>
  <r>
    <x v="117"/>
  </r>
  <r>
    <x v="33"/>
  </r>
  <r>
    <x v="13"/>
  </r>
  <r>
    <x v="0"/>
  </r>
  <r>
    <x v="118"/>
  </r>
  <r>
    <x v="119"/>
  </r>
</pivotCacheRecords>
</file>

<file path=xl/pivotCache/pivotCacheRecords10.xml><?xml version="1.0" encoding="utf-8"?>
<pivotCacheRecords xmlns="http://schemas.openxmlformats.org/spreadsheetml/2006/main" xmlns:r="http://schemas.openxmlformats.org/officeDocument/2006/relationships" count="421">
  <r>
    <x v="0"/>
  </r>
  <r>
    <x v="1"/>
  </r>
  <r>
    <x v="2"/>
  </r>
  <r>
    <x v="3"/>
  </r>
  <r>
    <x v="4"/>
  </r>
  <r>
    <x v="5"/>
  </r>
  <r>
    <x v="4"/>
  </r>
  <r>
    <x v="4"/>
  </r>
  <r>
    <x v="6"/>
  </r>
  <r>
    <x v="7"/>
  </r>
  <r>
    <x v="8"/>
  </r>
  <r>
    <x v="9"/>
  </r>
  <r>
    <x v="4"/>
  </r>
  <r>
    <x v="10"/>
  </r>
  <r>
    <x v="11"/>
  </r>
  <r>
    <x v="12"/>
  </r>
  <r>
    <x v="4"/>
  </r>
  <r>
    <x v="4"/>
  </r>
  <r>
    <x v="4"/>
  </r>
  <r>
    <x v="4"/>
  </r>
  <r>
    <x v="4"/>
  </r>
  <r>
    <x v="4"/>
  </r>
  <r>
    <x v="4"/>
  </r>
  <r>
    <x v="4"/>
  </r>
  <r>
    <x v="4"/>
  </r>
  <r>
    <x v="4"/>
  </r>
  <r>
    <x v="4"/>
  </r>
  <r>
    <x v="4"/>
  </r>
  <r>
    <x v="4"/>
  </r>
  <r>
    <x v="4"/>
  </r>
  <r>
    <x v="4"/>
  </r>
  <r>
    <x v="4"/>
  </r>
  <r>
    <x v="4"/>
  </r>
  <r>
    <x v="4"/>
  </r>
  <r>
    <x v="13"/>
  </r>
  <r>
    <x v="14"/>
  </r>
  <r>
    <x v="14"/>
  </r>
  <r>
    <x v="15"/>
  </r>
  <r>
    <x v="16"/>
  </r>
  <r>
    <x v="17"/>
  </r>
  <r>
    <x v="17"/>
  </r>
  <r>
    <x v="18"/>
  </r>
  <r>
    <x v="19"/>
  </r>
  <r>
    <x v="20"/>
  </r>
  <r>
    <x v="21"/>
  </r>
  <r>
    <x v="22"/>
  </r>
  <r>
    <x v="23"/>
  </r>
  <r>
    <x v="23"/>
  </r>
  <r>
    <x v="24"/>
  </r>
  <r>
    <x v="25"/>
  </r>
  <r>
    <x v="26"/>
  </r>
  <r>
    <x v="27"/>
  </r>
  <r>
    <x v="28"/>
  </r>
  <r>
    <x v="25"/>
  </r>
  <r>
    <x v="25"/>
  </r>
  <r>
    <x v="29"/>
  </r>
  <r>
    <x v="30"/>
  </r>
  <r>
    <x v="30"/>
  </r>
  <r>
    <x v="31"/>
  </r>
  <r>
    <x v="32"/>
  </r>
  <r>
    <x v="33"/>
  </r>
  <r>
    <x v="34"/>
  </r>
  <r>
    <x v="35"/>
  </r>
  <r>
    <x v="36"/>
  </r>
  <r>
    <x v="37"/>
  </r>
  <r>
    <x v="38"/>
  </r>
  <r>
    <x v="39"/>
  </r>
  <r>
    <x v="40"/>
  </r>
  <r>
    <x v="41"/>
  </r>
  <r>
    <x v="42"/>
  </r>
  <r>
    <x v="42"/>
  </r>
  <r>
    <x v="43"/>
  </r>
  <r>
    <x v="4"/>
  </r>
  <r>
    <x v="4"/>
  </r>
  <r>
    <x v="4"/>
  </r>
  <r>
    <x v="25"/>
  </r>
  <r>
    <x v="44"/>
  </r>
  <r>
    <x v="45"/>
  </r>
  <r>
    <x v="42"/>
  </r>
  <r>
    <x v="46"/>
  </r>
  <r>
    <x v="47"/>
  </r>
  <r>
    <x v="4"/>
  </r>
  <r>
    <x v="48"/>
  </r>
  <r>
    <x v="49"/>
  </r>
  <r>
    <x v="50"/>
  </r>
  <r>
    <x v="51"/>
  </r>
  <r>
    <x v="4"/>
  </r>
  <r>
    <x v="52"/>
  </r>
  <r>
    <x v="4"/>
  </r>
  <r>
    <x v="53"/>
  </r>
  <r>
    <x v="53"/>
  </r>
  <r>
    <x v="54"/>
  </r>
  <r>
    <x v="41"/>
  </r>
  <r>
    <x v="55"/>
  </r>
  <r>
    <x v="56"/>
  </r>
  <r>
    <x v="57"/>
  </r>
  <r>
    <x v="48"/>
  </r>
  <r>
    <x v="58"/>
  </r>
  <r>
    <x v="58"/>
  </r>
  <r>
    <x v="59"/>
  </r>
  <r>
    <x v="60"/>
  </r>
  <r>
    <x v="4"/>
  </r>
  <r>
    <x v="4"/>
  </r>
  <r>
    <x v="61"/>
  </r>
  <r>
    <x v="62"/>
  </r>
  <r>
    <x v="62"/>
  </r>
  <r>
    <x v="63"/>
  </r>
  <r>
    <x v="64"/>
  </r>
  <r>
    <x v="65"/>
  </r>
  <r>
    <x v="4"/>
  </r>
  <r>
    <x v="66"/>
  </r>
  <r>
    <x v="67"/>
  </r>
  <r>
    <x v="68"/>
  </r>
  <r>
    <x v="69"/>
  </r>
  <r>
    <x v="70"/>
  </r>
  <r>
    <x v="4"/>
  </r>
  <r>
    <x v="4"/>
  </r>
  <r>
    <x v="4"/>
  </r>
  <r>
    <x v="71"/>
  </r>
  <r>
    <x v="72"/>
  </r>
  <r>
    <x v="73"/>
  </r>
  <r>
    <x v="74"/>
  </r>
  <r>
    <x v="75"/>
  </r>
  <r>
    <x v="76"/>
  </r>
  <r>
    <x v="76"/>
  </r>
  <r>
    <x v="77"/>
  </r>
  <r>
    <x v="78"/>
  </r>
  <r>
    <x v="79"/>
  </r>
  <r>
    <x v="80"/>
  </r>
  <r>
    <x v="81"/>
  </r>
  <r>
    <x v="82"/>
  </r>
  <r>
    <x v="83"/>
  </r>
  <r>
    <x v="4"/>
  </r>
  <r>
    <x v="84"/>
  </r>
  <r>
    <x v="85"/>
  </r>
  <r>
    <x v="86"/>
  </r>
  <r>
    <x v="87"/>
  </r>
  <r>
    <x v="4"/>
  </r>
  <r>
    <x v="88"/>
  </r>
  <r>
    <x v="89"/>
  </r>
  <r>
    <x v="89"/>
  </r>
  <r>
    <x v="90"/>
  </r>
  <r>
    <x v="91"/>
  </r>
  <r>
    <x v="92"/>
  </r>
  <r>
    <x v="93"/>
  </r>
  <r>
    <x v="94"/>
  </r>
  <r>
    <x v="94"/>
  </r>
  <r>
    <x v="95"/>
  </r>
  <r>
    <x v="96"/>
  </r>
  <r>
    <x v="97"/>
  </r>
  <r>
    <x v="98"/>
  </r>
  <r>
    <x v="4"/>
  </r>
  <r>
    <x v="99"/>
  </r>
  <r>
    <x v="99"/>
  </r>
  <r>
    <x v="99"/>
  </r>
  <r>
    <x v="100"/>
  </r>
  <r>
    <x v="101"/>
  </r>
  <r>
    <x v="102"/>
  </r>
  <r>
    <x v="4"/>
  </r>
  <r>
    <x v="103"/>
  </r>
  <r>
    <x v="104"/>
  </r>
  <r>
    <x v="105"/>
  </r>
  <r>
    <x v="4"/>
  </r>
  <r>
    <x v="4"/>
  </r>
  <r>
    <x v="4"/>
  </r>
  <r>
    <x v="4"/>
  </r>
  <r>
    <x v="4"/>
  </r>
  <r>
    <x v="4"/>
  </r>
  <r>
    <x v="4"/>
  </r>
  <r>
    <x v="4"/>
  </r>
  <r>
    <x v="4"/>
  </r>
  <r>
    <x v="4"/>
  </r>
  <r>
    <x v="4"/>
  </r>
  <r>
    <x v="4"/>
  </r>
  <r>
    <x v="4"/>
  </r>
  <r>
    <x v="4"/>
  </r>
  <r>
    <x v="106"/>
  </r>
  <r>
    <x v="107"/>
  </r>
  <r>
    <x v="108"/>
  </r>
  <r>
    <x v="109"/>
  </r>
  <r>
    <x v="110"/>
  </r>
  <r>
    <x v="28"/>
  </r>
  <r>
    <x v="111"/>
  </r>
  <r>
    <x v="112"/>
  </r>
  <r>
    <x v="112"/>
  </r>
  <r>
    <x v="113"/>
  </r>
  <r>
    <x v="114"/>
  </r>
  <r>
    <x v="115"/>
  </r>
  <r>
    <x v="116"/>
  </r>
  <r>
    <x v="116"/>
  </r>
  <r>
    <x v="116"/>
  </r>
  <r>
    <x v="114"/>
  </r>
  <r>
    <x v="117"/>
  </r>
  <r>
    <x v="90"/>
  </r>
  <r>
    <x v="118"/>
  </r>
  <r>
    <x v="119"/>
  </r>
  <r>
    <x v="120"/>
  </r>
  <r>
    <x v="121"/>
  </r>
  <r>
    <x v="122"/>
  </r>
  <r>
    <x v="65"/>
  </r>
  <r>
    <x v="123"/>
  </r>
  <r>
    <x v="124"/>
  </r>
  <r>
    <x v="125"/>
  </r>
  <r>
    <x v="126"/>
  </r>
  <r>
    <x v="127"/>
  </r>
  <r>
    <x v="128"/>
  </r>
  <r>
    <x v="129"/>
  </r>
  <r>
    <x v="4"/>
  </r>
  <r>
    <x v="130"/>
  </r>
  <r>
    <x v="4"/>
  </r>
  <r>
    <x v="4"/>
  </r>
  <r>
    <x v="131"/>
  </r>
  <r>
    <x v="132"/>
  </r>
  <r>
    <x v="132"/>
  </r>
  <r>
    <x v="52"/>
  </r>
  <r>
    <x v="133"/>
  </r>
  <r>
    <x v="4"/>
  </r>
  <r>
    <x v="84"/>
  </r>
  <r>
    <x v="94"/>
  </r>
  <r>
    <x v="134"/>
  </r>
  <r>
    <x v="48"/>
  </r>
  <r>
    <x v="135"/>
  </r>
  <r>
    <x v="136"/>
  </r>
  <r>
    <x v="137"/>
  </r>
  <r>
    <x v="4"/>
  </r>
  <r>
    <x v="138"/>
  </r>
  <r>
    <x v="139"/>
  </r>
  <r>
    <x v="4"/>
  </r>
  <r>
    <x v="4"/>
  </r>
  <r>
    <x v="140"/>
  </r>
  <r>
    <x v="141"/>
  </r>
  <r>
    <x v="142"/>
  </r>
  <r>
    <x v="4"/>
  </r>
  <r>
    <x v="4"/>
  </r>
  <r>
    <x v="4"/>
  </r>
  <r>
    <x v="4"/>
  </r>
  <r>
    <x v="4"/>
  </r>
  <r>
    <x v="4"/>
  </r>
  <r>
    <x v="143"/>
  </r>
  <r>
    <x v="144"/>
  </r>
  <r>
    <x v="127"/>
  </r>
  <r>
    <x v="145"/>
  </r>
  <r>
    <x v="146"/>
  </r>
  <r>
    <x v="146"/>
  </r>
  <r>
    <x v="147"/>
  </r>
  <r>
    <x v="148"/>
  </r>
  <r>
    <x v="149"/>
  </r>
  <r>
    <x v="150"/>
  </r>
  <r>
    <x v="151"/>
  </r>
  <r>
    <x v="152"/>
  </r>
  <r>
    <x v="153"/>
  </r>
  <r>
    <x v="154"/>
  </r>
  <r>
    <x v="155"/>
  </r>
  <r>
    <x v="7"/>
  </r>
  <r>
    <x v="156"/>
  </r>
  <r>
    <x v="157"/>
  </r>
  <r>
    <x v="86"/>
  </r>
  <r>
    <x v="4"/>
  </r>
  <r>
    <x v="158"/>
  </r>
  <r>
    <x v="159"/>
  </r>
  <r>
    <x v="160"/>
  </r>
  <r>
    <x v="44"/>
  </r>
  <r>
    <x v="49"/>
  </r>
  <r>
    <x v="4"/>
  </r>
  <r>
    <x v="131"/>
  </r>
  <r>
    <x v="4"/>
  </r>
  <r>
    <x v="133"/>
  </r>
  <r>
    <x v="15"/>
  </r>
  <r>
    <x v="161"/>
  </r>
  <r>
    <x v="162"/>
  </r>
  <r>
    <x v="52"/>
  </r>
  <r>
    <x v="163"/>
  </r>
  <r>
    <x v="164"/>
  </r>
  <r>
    <x v="4"/>
  </r>
  <r>
    <x v="165"/>
  </r>
  <r>
    <x v="166"/>
  </r>
  <r>
    <x v="167"/>
  </r>
  <r>
    <x v="4"/>
  </r>
  <r>
    <x v="4"/>
  </r>
  <r>
    <x v="4"/>
  </r>
  <r>
    <x v="168"/>
  </r>
  <r>
    <x v="169"/>
  </r>
  <r>
    <x v="170"/>
  </r>
  <r>
    <x v="171"/>
  </r>
  <r>
    <x v="172"/>
  </r>
  <r>
    <x v="4"/>
  </r>
  <r>
    <x v="173"/>
  </r>
  <r>
    <x v="4"/>
  </r>
  <r>
    <x v="154"/>
  </r>
  <r>
    <x v="174"/>
  </r>
  <r>
    <x v="175"/>
  </r>
  <r>
    <x v="4"/>
  </r>
  <r>
    <x v="176"/>
  </r>
  <r>
    <x v="177"/>
  </r>
  <r>
    <x v="178"/>
  </r>
  <r>
    <x v="179"/>
  </r>
  <r>
    <x v="4"/>
  </r>
  <r>
    <x v="4"/>
  </r>
  <r>
    <x v="4"/>
  </r>
  <r>
    <x v="180"/>
  </r>
  <r>
    <x v="181"/>
  </r>
  <r>
    <x v="181"/>
  </r>
  <r>
    <x v="182"/>
  </r>
  <r>
    <x v="4"/>
  </r>
  <r>
    <x v="183"/>
  </r>
  <r>
    <x v="4"/>
  </r>
  <r>
    <x v="40"/>
  </r>
  <r>
    <x v="184"/>
  </r>
  <r>
    <x v="185"/>
  </r>
  <r>
    <x v="186"/>
  </r>
  <r>
    <x v="187"/>
  </r>
  <r>
    <x v="188"/>
  </r>
  <r>
    <x v="44"/>
  </r>
  <r>
    <x v="80"/>
  </r>
  <r>
    <x v="189"/>
  </r>
  <r>
    <x v="4"/>
  </r>
  <r>
    <x v="190"/>
  </r>
  <r>
    <x v="4"/>
  </r>
  <r>
    <x v="191"/>
  </r>
  <r>
    <x v="192"/>
  </r>
  <r>
    <x v="11"/>
  </r>
  <r>
    <x v="28"/>
  </r>
  <r>
    <x v="193"/>
  </r>
  <r>
    <x v="73"/>
  </r>
  <r>
    <x v="194"/>
  </r>
  <r>
    <x v="195"/>
  </r>
  <r>
    <x v="196"/>
  </r>
  <r>
    <x v="197"/>
  </r>
  <r>
    <x v="171"/>
  </r>
  <r>
    <x v="198"/>
  </r>
  <r>
    <x v="199"/>
  </r>
  <r>
    <x v="200"/>
  </r>
  <r>
    <x v="4"/>
  </r>
  <r>
    <x v="49"/>
  </r>
  <r>
    <x v="201"/>
  </r>
  <r>
    <x v="202"/>
  </r>
  <r>
    <x v="203"/>
  </r>
  <r>
    <x v="1"/>
  </r>
  <r>
    <x v="4"/>
  </r>
  <r>
    <x v="4"/>
  </r>
  <r>
    <x v="204"/>
  </r>
  <r>
    <x v="205"/>
  </r>
  <r>
    <x v="206"/>
  </r>
  <r>
    <x v="206"/>
  </r>
  <r>
    <x v="206"/>
  </r>
  <r>
    <x v="177"/>
  </r>
  <r>
    <x v="4"/>
  </r>
  <r>
    <x v="207"/>
  </r>
  <r>
    <x v="4"/>
  </r>
  <r>
    <x v="4"/>
  </r>
  <r>
    <x v="208"/>
  </r>
  <r>
    <x v="209"/>
  </r>
  <r>
    <x v="4"/>
  </r>
  <r>
    <x v="210"/>
  </r>
  <r>
    <x v="152"/>
  </r>
  <r>
    <x v="211"/>
  </r>
  <r>
    <x v="212"/>
  </r>
  <r>
    <x v="4"/>
  </r>
  <r>
    <x v="4"/>
  </r>
  <r>
    <x v="4"/>
  </r>
  <r>
    <x v="4"/>
  </r>
  <r>
    <x v="4"/>
  </r>
  <r>
    <x v="4"/>
  </r>
  <r>
    <x v="4"/>
  </r>
  <r>
    <x v="4"/>
  </r>
  <r>
    <x v="4"/>
  </r>
  <r>
    <x v="4"/>
  </r>
  <r>
    <x v="4"/>
  </r>
  <r>
    <x v="4"/>
  </r>
  <r>
    <x v="4"/>
  </r>
  <r>
    <x v="213"/>
  </r>
  <r>
    <x v="214"/>
  </r>
  <r>
    <x v="215"/>
  </r>
  <r>
    <x v="155"/>
  </r>
  <r>
    <x v="216"/>
  </r>
  <r>
    <x v="217"/>
  </r>
  <r>
    <x v="218"/>
  </r>
  <r>
    <x v="218"/>
  </r>
  <r>
    <x v="219"/>
  </r>
  <r>
    <x v="220"/>
  </r>
  <r>
    <x v="2"/>
  </r>
  <r>
    <x v="221"/>
  </r>
  <r>
    <x v="222"/>
  </r>
  <r>
    <x v="223"/>
  </r>
  <r>
    <x v="224"/>
  </r>
  <r>
    <x v="56"/>
  </r>
  <r>
    <x v="225"/>
  </r>
  <r>
    <x v="226"/>
  </r>
  <r>
    <x v="227"/>
  </r>
  <r>
    <x v="32"/>
  </r>
  <r>
    <x v="173"/>
  </r>
  <r>
    <x v="228"/>
  </r>
  <r>
    <x v="120"/>
  </r>
  <r>
    <x v="120"/>
  </r>
  <r>
    <x v="120"/>
  </r>
  <r>
    <x v="120"/>
  </r>
  <r>
    <x v="229"/>
  </r>
  <r>
    <x v="230"/>
  </r>
  <r>
    <x v="230"/>
  </r>
  <r>
    <x v="165"/>
  </r>
  <r>
    <x v="231"/>
  </r>
  <r>
    <x v="232"/>
  </r>
  <r>
    <x v="191"/>
  </r>
  <r>
    <x v="233"/>
  </r>
  <r>
    <x v="234"/>
  </r>
  <r>
    <x v="182"/>
  </r>
  <r>
    <x v="101"/>
  </r>
  <r>
    <x v="4"/>
  </r>
  <r>
    <x v="160"/>
  </r>
  <r>
    <x v="235"/>
  </r>
  <r>
    <x v="236"/>
  </r>
  <r>
    <x v="237"/>
  </r>
  <r>
    <x v="73"/>
  </r>
  <r>
    <x v="4"/>
  </r>
  <r>
    <x v="238"/>
  </r>
  <r>
    <x v="4"/>
  </r>
  <r>
    <x v="54"/>
  </r>
  <r>
    <x v="4"/>
  </r>
  <r>
    <x v="239"/>
  </r>
  <r>
    <x v="240"/>
  </r>
  <r>
    <x v="241"/>
  </r>
</pivotCacheRecords>
</file>

<file path=xl/pivotCache/pivotCacheRecords11.xml><?xml version="1.0" encoding="utf-8"?>
<pivotCacheRecords xmlns="http://schemas.openxmlformats.org/spreadsheetml/2006/main" xmlns:r="http://schemas.openxmlformats.org/officeDocument/2006/relationships" count="421">
  <r>
    <x v="0"/>
  </r>
  <r>
    <x v="1"/>
  </r>
  <r>
    <x v="2"/>
  </r>
  <r>
    <x v="3"/>
  </r>
  <r>
    <x v="0"/>
  </r>
  <r>
    <x v="4"/>
  </r>
  <r>
    <x v="0"/>
  </r>
  <r>
    <x v="0"/>
  </r>
  <r>
    <x v="5"/>
  </r>
  <r>
    <x v="0"/>
  </r>
  <r>
    <x v="6"/>
  </r>
  <r>
    <x v="7"/>
  </r>
  <r>
    <x v="8"/>
  </r>
  <r>
    <x v="9"/>
  </r>
  <r>
    <x v="10"/>
  </r>
  <r>
    <x v="11"/>
  </r>
  <r>
    <x v="0"/>
  </r>
  <r>
    <x v="12"/>
  </r>
  <r>
    <x v="13"/>
  </r>
  <r>
    <x v="14"/>
  </r>
  <r>
    <x v="15"/>
  </r>
  <r>
    <x v="16"/>
  </r>
  <r>
    <x v="17"/>
  </r>
  <r>
    <x v="18"/>
  </r>
  <r>
    <x v="19"/>
  </r>
  <r>
    <x v="20"/>
  </r>
  <r>
    <x v="21"/>
  </r>
  <r>
    <x v="22"/>
  </r>
  <r>
    <x v="22"/>
  </r>
  <r>
    <x v="23"/>
  </r>
  <r>
    <x v="23"/>
  </r>
  <r>
    <x v="24"/>
  </r>
  <r>
    <x v="25"/>
  </r>
  <r>
    <x v="26"/>
  </r>
  <r>
    <x v="0"/>
  </r>
  <r>
    <x v="0"/>
  </r>
  <r>
    <x v="0"/>
  </r>
  <r>
    <x v="27"/>
  </r>
  <r>
    <x v="28"/>
  </r>
  <r>
    <x v="29"/>
  </r>
  <r>
    <x v="29"/>
  </r>
  <r>
    <x v="0"/>
  </r>
  <r>
    <x v="30"/>
  </r>
  <r>
    <x v="31"/>
  </r>
  <r>
    <x v="32"/>
  </r>
  <r>
    <x v="33"/>
  </r>
  <r>
    <x v="0"/>
  </r>
  <r>
    <x v="0"/>
  </r>
  <r>
    <x v="34"/>
  </r>
  <r>
    <x v="35"/>
  </r>
  <r>
    <x v="36"/>
  </r>
  <r>
    <x v="0"/>
  </r>
  <r>
    <x v="37"/>
  </r>
  <r>
    <x v="38"/>
  </r>
  <r>
    <x v="38"/>
  </r>
  <r>
    <x v="0"/>
  </r>
  <r>
    <x v="0"/>
  </r>
  <r>
    <x v="0"/>
  </r>
  <r>
    <x v="39"/>
  </r>
  <r>
    <x v="40"/>
  </r>
  <r>
    <x v="0"/>
  </r>
  <r>
    <x v="41"/>
  </r>
  <r>
    <x v="0"/>
  </r>
  <r>
    <x v="0"/>
  </r>
  <r>
    <x v="42"/>
  </r>
  <r>
    <x v="0"/>
  </r>
  <r>
    <x v="43"/>
  </r>
  <r>
    <x v="44"/>
  </r>
  <r>
    <x v="45"/>
  </r>
  <r>
    <x v="0"/>
  </r>
  <r>
    <x v="0"/>
  </r>
  <r>
    <x v="0"/>
  </r>
  <r>
    <x v="0"/>
  </r>
  <r>
    <x v="46"/>
  </r>
  <r>
    <x v="0"/>
  </r>
  <r>
    <x v="47"/>
  </r>
  <r>
    <x v="48"/>
  </r>
  <r>
    <x v="49"/>
  </r>
  <r>
    <x v="40"/>
  </r>
  <r>
    <x v="50"/>
  </r>
  <r>
    <x v="51"/>
  </r>
  <r>
    <x v="52"/>
  </r>
  <r>
    <x v="53"/>
  </r>
  <r>
    <x v="54"/>
  </r>
  <r>
    <x v="55"/>
  </r>
  <r>
    <x v="56"/>
  </r>
  <r>
    <x v="57"/>
  </r>
  <r>
    <x v="0"/>
  </r>
  <r>
    <x v="0"/>
  </r>
  <r>
    <x v="58"/>
  </r>
  <r>
    <x v="58"/>
  </r>
  <r>
    <x v="21"/>
  </r>
  <r>
    <x v="0"/>
  </r>
  <r>
    <x v="39"/>
  </r>
  <r>
    <x v="59"/>
  </r>
  <r>
    <x v="60"/>
  </r>
  <r>
    <x v="45"/>
  </r>
  <r>
    <x v="61"/>
  </r>
  <r>
    <x v="61"/>
  </r>
  <r>
    <x v="62"/>
  </r>
  <r>
    <x v="63"/>
  </r>
  <r>
    <x v="64"/>
  </r>
  <r>
    <x v="65"/>
  </r>
  <r>
    <x v="0"/>
  </r>
  <r>
    <x v="0"/>
  </r>
  <r>
    <x v="0"/>
  </r>
  <r>
    <x v="66"/>
  </r>
  <r>
    <x v="0"/>
  </r>
  <r>
    <x v="0"/>
  </r>
  <r>
    <x v="0"/>
  </r>
  <r>
    <x v="67"/>
  </r>
  <r>
    <x v="68"/>
  </r>
  <r>
    <x v="0"/>
  </r>
  <r>
    <x v="69"/>
  </r>
  <r>
    <x v="70"/>
  </r>
  <r>
    <x v="0"/>
  </r>
  <r>
    <x v="0"/>
  </r>
  <r>
    <x v="71"/>
  </r>
  <r>
    <x v="0"/>
  </r>
  <r>
    <x v="0"/>
  </r>
  <r>
    <x v="21"/>
  </r>
  <r>
    <x v="0"/>
  </r>
  <r>
    <x v="0"/>
  </r>
  <r>
    <x v="72"/>
  </r>
  <r>
    <x v="72"/>
  </r>
  <r>
    <x v="0"/>
  </r>
  <r>
    <x v="73"/>
  </r>
  <r>
    <x v="74"/>
  </r>
  <r>
    <x v="0"/>
  </r>
  <r>
    <x v="75"/>
  </r>
  <r>
    <x v="76"/>
  </r>
  <r>
    <x v="77"/>
  </r>
  <r>
    <x v="78"/>
  </r>
  <r>
    <x v="79"/>
  </r>
  <r>
    <x v="80"/>
  </r>
  <r>
    <x v="0"/>
  </r>
  <r>
    <x v="81"/>
  </r>
  <r>
    <x v="82"/>
  </r>
  <r>
    <x v="0"/>
  </r>
  <r>
    <x v="0"/>
  </r>
  <r>
    <x v="0"/>
  </r>
  <r>
    <x v="83"/>
  </r>
  <r>
    <x v="0"/>
  </r>
  <r>
    <x v="84"/>
  </r>
  <r>
    <x v="85"/>
  </r>
  <r>
    <x v="71"/>
  </r>
  <r>
    <x v="71"/>
  </r>
  <r>
    <x v="86"/>
  </r>
  <r>
    <x v="87"/>
  </r>
  <r>
    <x v="88"/>
  </r>
  <r>
    <x v="89"/>
  </r>
  <r>
    <x v="0"/>
  </r>
  <r>
    <x v="90"/>
  </r>
  <r>
    <x v="90"/>
  </r>
  <r>
    <x v="90"/>
  </r>
  <r>
    <x v="91"/>
  </r>
  <r>
    <x v="92"/>
  </r>
  <r>
    <x v="93"/>
  </r>
  <r>
    <x v="94"/>
  </r>
  <r>
    <x v="95"/>
  </r>
  <r>
    <x v="96"/>
  </r>
  <r>
    <x v="97"/>
  </r>
  <r>
    <x v="98"/>
  </r>
  <r>
    <x v="99"/>
  </r>
  <r>
    <x v="100"/>
  </r>
  <r>
    <x v="101"/>
  </r>
  <r>
    <x v="102"/>
  </r>
  <r>
    <x v="103"/>
  </r>
  <r>
    <x v="103"/>
  </r>
  <r>
    <x v="104"/>
  </r>
  <r>
    <x v="105"/>
  </r>
  <r>
    <x v="105"/>
  </r>
  <r>
    <x v="105"/>
  </r>
  <r>
    <x v="106"/>
  </r>
  <r>
    <x v="107"/>
  </r>
  <r>
    <x v="108"/>
  </r>
  <r>
    <x v="109"/>
  </r>
  <r>
    <x v="110"/>
  </r>
  <r>
    <x v="111"/>
  </r>
  <r>
    <x v="112"/>
  </r>
  <r>
    <x v="113"/>
  </r>
  <r>
    <x v="114"/>
  </r>
  <r>
    <x v="115"/>
  </r>
  <r>
    <x v="53"/>
  </r>
  <r>
    <x v="53"/>
  </r>
  <r>
    <x v="116"/>
  </r>
  <r>
    <x v="117"/>
  </r>
  <r>
    <x v="0"/>
  </r>
  <r>
    <x v="0"/>
  </r>
  <r>
    <x v="0"/>
  </r>
  <r>
    <x v="0"/>
  </r>
  <r>
    <x v="0"/>
  </r>
  <r>
    <x v="118"/>
  </r>
  <r>
    <x v="0"/>
  </r>
  <r>
    <x v="119"/>
  </r>
  <r>
    <x v="120"/>
  </r>
  <r>
    <x v="0"/>
  </r>
  <r>
    <x v="0"/>
  </r>
  <r>
    <x v="121"/>
  </r>
  <r>
    <x v="0"/>
  </r>
  <r>
    <x v="39"/>
  </r>
  <r>
    <x v="0"/>
  </r>
  <r>
    <x v="122"/>
  </r>
  <r>
    <x v="123"/>
  </r>
  <r>
    <x v="124"/>
  </r>
  <r>
    <x v="125"/>
  </r>
  <r>
    <x v="9"/>
  </r>
  <r>
    <x v="126"/>
  </r>
  <r>
    <x v="2"/>
  </r>
  <r>
    <x v="0"/>
  </r>
  <r>
    <x v="0"/>
  </r>
  <r>
    <x v="127"/>
  </r>
  <r>
    <x v="128"/>
  </r>
  <r>
    <x v="128"/>
  </r>
  <r>
    <x v="129"/>
  </r>
  <r>
    <x v="130"/>
  </r>
  <r>
    <x v="131"/>
  </r>
  <r>
    <x v="79"/>
  </r>
  <r>
    <x v="71"/>
  </r>
  <r>
    <x v="132"/>
  </r>
  <r>
    <x v="133"/>
  </r>
  <r>
    <x v="134"/>
  </r>
  <r>
    <x v="135"/>
  </r>
  <r>
    <x v="136"/>
  </r>
  <r>
    <x v="0"/>
  </r>
  <r>
    <x v="137"/>
  </r>
  <r>
    <x v="0"/>
  </r>
  <r>
    <x v="138"/>
  </r>
  <r>
    <x v="0"/>
  </r>
  <r>
    <x v="139"/>
  </r>
  <r>
    <x v="0"/>
  </r>
  <r>
    <x v="140"/>
  </r>
  <r>
    <x v="141"/>
  </r>
  <r>
    <x v="142"/>
  </r>
  <r>
    <x v="143"/>
  </r>
  <r>
    <x v="144"/>
  </r>
  <r>
    <x v="144"/>
  </r>
  <r>
    <x v="145"/>
  </r>
  <r>
    <x v="0"/>
  </r>
  <r>
    <x v="146"/>
  </r>
  <r>
    <x v="0"/>
  </r>
  <r>
    <x v="0"/>
  </r>
  <r>
    <x v="147"/>
  </r>
  <r>
    <x v="147"/>
  </r>
  <r>
    <x v="0"/>
  </r>
  <r>
    <x v="148"/>
  </r>
  <r>
    <x v="0"/>
  </r>
  <r>
    <x v="149"/>
  </r>
  <r>
    <x v="150"/>
  </r>
  <r>
    <x v="151"/>
  </r>
  <r>
    <x v="152"/>
  </r>
  <r>
    <x v="153"/>
  </r>
  <r>
    <x v="0"/>
  </r>
  <r>
    <x v="0"/>
  </r>
  <r>
    <x v="154"/>
  </r>
  <r>
    <x v="155"/>
  </r>
  <r>
    <x v="0"/>
  </r>
  <r>
    <x v="156"/>
  </r>
  <r>
    <x v="0"/>
  </r>
  <r>
    <x v="157"/>
  </r>
  <r>
    <x v="0"/>
  </r>
  <r>
    <x v="158"/>
  </r>
  <r>
    <x v="159"/>
  </r>
  <r>
    <x v="0"/>
  </r>
  <r>
    <x v="127"/>
  </r>
  <r>
    <x v="160"/>
  </r>
  <r>
    <x v="130"/>
  </r>
  <r>
    <x v="161"/>
  </r>
  <r>
    <x v="162"/>
  </r>
  <r>
    <x v="163"/>
  </r>
  <r>
    <x v="164"/>
  </r>
  <r>
    <x v="165"/>
  </r>
  <r>
    <x v="114"/>
  </r>
  <r>
    <x v="166"/>
  </r>
  <r>
    <x v="0"/>
  </r>
  <r>
    <x v="167"/>
  </r>
  <r>
    <x v="168"/>
  </r>
  <r>
    <x v="169"/>
  </r>
  <r>
    <x v="169"/>
  </r>
  <r>
    <x v="170"/>
  </r>
  <r>
    <x v="171"/>
  </r>
  <r>
    <x v="0"/>
  </r>
  <r>
    <x v="172"/>
  </r>
  <r>
    <x v="173"/>
  </r>
  <r>
    <x v="174"/>
  </r>
  <r>
    <x v="175"/>
  </r>
  <r>
    <x v="0"/>
  </r>
  <r>
    <x v="0"/>
  </r>
  <r>
    <x v="176"/>
  </r>
  <r>
    <x v="177"/>
  </r>
  <r>
    <x v="178"/>
  </r>
  <r>
    <x v="179"/>
  </r>
  <r>
    <x v="180"/>
  </r>
  <r>
    <x v="0"/>
  </r>
  <r>
    <x v="181"/>
  </r>
  <r>
    <x v="0"/>
  </r>
  <r>
    <x v="103"/>
  </r>
  <r>
    <x v="144"/>
  </r>
  <r>
    <x v="144"/>
  </r>
  <r>
    <x v="182"/>
  </r>
  <r>
    <x v="0"/>
  </r>
  <r>
    <x v="0"/>
  </r>
  <r>
    <x v="0"/>
  </r>
  <r>
    <x v="0"/>
  </r>
  <r>
    <x v="183"/>
  </r>
  <r>
    <x v="184"/>
  </r>
  <r>
    <x v="0"/>
  </r>
  <r>
    <x v="0"/>
  </r>
  <r>
    <x v="0"/>
  </r>
  <r>
    <x v="140"/>
  </r>
  <r>
    <x v="185"/>
  </r>
  <r>
    <x v="186"/>
  </r>
  <r>
    <x v="0"/>
  </r>
  <r>
    <x v="0"/>
  </r>
  <r>
    <x v="187"/>
  </r>
  <r>
    <x v="0"/>
  </r>
  <r>
    <x v="0"/>
  </r>
  <r>
    <x v="0"/>
  </r>
  <r>
    <x v="188"/>
  </r>
  <r>
    <x v="0"/>
  </r>
  <r>
    <x v="10"/>
  </r>
  <r>
    <x v="189"/>
  </r>
  <r>
    <x v="190"/>
  </r>
  <r>
    <x v="191"/>
  </r>
  <r>
    <x v="0"/>
  </r>
  <r>
    <x v="192"/>
  </r>
  <r>
    <x v="193"/>
  </r>
  <r>
    <x v="194"/>
  </r>
  <r>
    <x v="173"/>
  </r>
  <r>
    <x v="0"/>
  </r>
  <r>
    <x v="195"/>
  </r>
  <r>
    <x v="0"/>
  </r>
  <r>
    <x v="196"/>
  </r>
  <r>
    <x v="197"/>
  </r>
  <r>
    <x v="198"/>
  </r>
  <r>
    <x v="199"/>
  </r>
  <r>
    <x v="200"/>
  </r>
  <r>
    <x v="1"/>
  </r>
  <r>
    <x v="201"/>
  </r>
  <r>
    <x v="201"/>
  </r>
  <r>
    <x v="202"/>
  </r>
  <r>
    <x v="203"/>
  </r>
  <r>
    <x v="0"/>
  </r>
  <r>
    <x v="0"/>
  </r>
  <r>
    <x v="0"/>
  </r>
  <r>
    <x v="0"/>
  </r>
  <r>
    <x v="179"/>
  </r>
  <r>
    <x v="0"/>
  </r>
  <r>
    <x v="156"/>
  </r>
  <r>
    <x v="204"/>
  </r>
  <r>
    <x v="0"/>
  </r>
  <r>
    <x v="205"/>
  </r>
  <r>
    <x v="206"/>
  </r>
  <r>
    <x v="0"/>
  </r>
  <r>
    <x v="151"/>
  </r>
  <r>
    <x v="207"/>
  </r>
  <r>
    <x v="208"/>
  </r>
  <r>
    <x v="0"/>
  </r>
  <r>
    <x v="0"/>
  </r>
  <r>
    <x v="0"/>
  </r>
  <r>
    <x v="0"/>
  </r>
  <r>
    <x v="209"/>
  </r>
  <r>
    <x v="210"/>
  </r>
  <r>
    <x v="211"/>
  </r>
  <r>
    <x v="212"/>
  </r>
  <r>
    <x v="213"/>
  </r>
  <r>
    <x v="214"/>
  </r>
  <r>
    <x v="214"/>
  </r>
  <r>
    <x v="215"/>
  </r>
  <r>
    <x v="216"/>
  </r>
  <r>
    <x v="0"/>
  </r>
  <r>
    <x v="0"/>
  </r>
  <r>
    <x v="0"/>
  </r>
  <r>
    <x v="0"/>
  </r>
  <r>
    <x v="217"/>
  </r>
  <r>
    <x v="57"/>
  </r>
  <r>
    <x v="218"/>
  </r>
  <r>
    <x v="218"/>
  </r>
  <r>
    <x v="219"/>
  </r>
  <r>
    <x v="220"/>
  </r>
  <r>
    <x v="186"/>
  </r>
  <r>
    <x v="221"/>
  </r>
  <r>
    <x v="222"/>
  </r>
  <r>
    <x v="0"/>
  </r>
  <r>
    <x v="0"/>
  </r>
  <r>
    <x v="0"/>
  </r>
  <r>
    <x v="0"/>
  </r>
  <r>
    <x v="0"/>
  </r>
  <r>
    <x v="223"/>
  </r>
  <r>
    <x v="224"/>
  </r>
  <r>
    <x v="225"/>
  </r>
  <r>
    <x v="226"/>
  </r>
  <r>
    <x v="0"/>
  </r>
  <r>
    <x v="0"/>
  </r>
  <r>
    <x v="0"/>
  </r>
  <r>
    <x v="0"/>
  </r>
  <r>
    <x v="0"/>
  </r>
  <r>
    <x v="0"/>
  </r>
  <r>
    <x v="0"/>
  </r>
  <r>
    <x v="227"/>
  </r>
  <r>
    <x v="0"/>
  </r>
  <r>
    <x v="228"/>
  </r>
  <r>
    <x v="0"/>
  </r>
  <r>
    <x v="0"/>
  </r>
  <r>
    <x v="229"/>
  </r>
  <r>
    <x v="0"/>
  </r>
  <r>
    <x v="92"/>
  </r>
  <r>
    <x v="8"/>
  </r>
  <r>
    <x v="230"/>
  </r>
  <r>
    <x v="231"/>
  </r>
  <r>
    <x v="63"/>
  </r>
  <r>
    <x v="13"/>
  </r>
  <r>
    <x v="232"/>
  </r>
  <r>
    <x v="0"/>
  </r>
  <r>
    <x v="233"/>
  </r>
  <r>
    <x v="234"/>
  </r>
  <r>
    <x v="235"/>
  </r>
  <r>
    <x v="236"/>
  </r>
  <r>
    <x v="237"/>
  </r>
  <r>
    <x v="238"/>
  </r>
  <r>
    <x v="239"/>
  </r>
</pivotCacheRecords>
</file>

<file path=xl/pivotCache/pivotCacheRecords12.xml><?xml version="1.0" encoding="utf-8"?>
<pivotCacheRecords xmlns="http://schemas.openxmlformats.org/spreadsheetml/2006/main" xmlns:r="http://schemas.openxmlformats.org/officeDocument/2006/relationships" count="421">
  <r>
    <x v="0"/>
  </r>
  <r>
    <x v="1"/>
  </r>
  <r>
    <x v="2"/>
  </r>
  <r>
    <x v="3"/>
  </r>
  <r>
    <x v="4"/>
  </r>
  <r>
    <x v="5"/>
  </r>
  <r>
    <x v="6"/>
  </r>
  <r>
    <x v="7"/>
  </r>
  <r>
    <x v="7"/>
  </r>
  <r>
    <x v="7"/>
  </r>
  <r>
    <x v="7"/>
  </r>
  <r>
    <x v="7"/>
  </r>
  <r>
    <x v="7"/>
  </r>
  <r>
    <x v="7"/>
  </r>
  <r>
    <x v="7"/>
  </r>
  <r>
    <x v="7"/>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9"/>
  </r>
  <r>
    <x v="9"/>
  </r>
  <r>
    <x v="9"/>
  </r>
  <r>
    <x v="9"/>
  </r>
  <r>
    <x v="10"/>
  </r>
  <r>
    <x v="10"/>
  </r>
  <r>
    <x v="10"/>
  </r>
  <r>
    <x v="10"/>
  </r>
  <r>
    <x v="10"/>
  </r>
  <r>
    <x v="11"/>
  </r>
  <r>
    <x v="11"/>
  </r>
  <r>
    <x v="11"/>
  </r>
  <r>
    <x v="11"/>
  </r>
  <r>
    <x v="11"/>
  </r>
  <r>
    <x v="11"/>
  </r>
  <r>
    <x v="11"/>
  </r>
  <r>
    <x v="11"/>
  </r>
  <r>
    <x v="11"/>
  </r>
  <r>
    <x v="11"/>
  </r>
  <r>
    <x v="11"/>
  </r>
  <r>
    <x v="11"/>
  </r>
  <r>
    <x v="11"/>
  </r>
  <r>
    <x v="11"/>
  </r>
  <r>
    <x v="11"/>
  </r>
  <r>
    <x v="11"/>
  </r>
  <r>
    <x v="11"/>
  </r>
  <r>
    <x v="11"/>
  </r>
  <r>
    <x v="11"/>
  </r>
  <r>
    <x v="11"/>
  </r>
  <r>
    <x v="11"/>
  </r>
  <r>
    <x v="11"/>
  </r>
  <r>
    <x v="11"/>
  </r>
  <r>
    <x v="11"/>
  </r>
  <r>
    <x v="11"/>
  </r>
  <r>
    <x v="11"/>
  </r>
  <r>
    <x v="11"/>
  </r>
  <r>
    <x v="12"/>
  </r>
  <r>
    <x v="13"/>
  </r>
  <r>
    <x v="13"/>
  </r>
  <r>
    <x v="13"/>
  </r>
  <r>
    <x v="13"/>
  </r>
  <r>
    <x v="14"/>
  </r>
  <r>
    <x v="14"/>
  </r>
  <r>
    <x v="15"/>
  </r>
  <r>
    <x v="15"/>
  </r>
  <r>
    <x v="15"/>
  </r>
  <r>
    <x v="16"/>
  </r>
  <r>
    <x v="16"/>
  </r>
  <r>
    <x v="16"/>
  </r>
  <r>
    <x v="17"/>
  </r>
  <r>
    <x v="17"/>
  </r>
  <r>
    <x v="17"/>
  </r>
  <r>
    <x v="18"/>
  </r>
  <r>
    <x v="18"/>
  </r>
  <r>
    <x v="18"/>
  </r>
  <r>
    <x v="19"/>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2"/>
  </r>
  <r>
    <x v="22"/>
  </r>
  <r>
    <x v="22"/>
  </r>
  <r>
    <x v="23"/>
  </r>
  <r>
    <x v="23"/>
  </r>
  <r>
    <x v="23"/>
  </r>
  <r>
    <x v="23"/>
  </r>
  <r>
    <x v="24"/>
  </r>
  <r>
    <x v="24"/>
  </r>
  <r>
    <x v="24"/>
  </r>
  <r>
    <x v="24"/>
  </r>
  <r>
    <x v="24"/>
  </r>
  <r>
    <x v="24"/>
  </r>
  <r>
    <x v="24"/>
  </r>
  <r>
    <x v="24"/>
  </r>
  <r>
    <x v="24"/>
  </r>
  <r>
    <x v="24"/>
  </r>
  <r>
    <x v="24"/>
  </r>
  <r>
    <x v="24"/>
  </r>
  <r>
    <x v="24"/>
  </r>
  <r>
    <x v="24"/>
  </r>
  <r>
    <x v="25"/>
  </r>
  <r>
    <x v="26"/>
  </r>
  <r>
    <x v="27"/>
  </r>
  <r>
    <x v="28"/>
  </r>
  <r>
    <x v="28"/>
  </r>
  <r>
    <x v="29"/>
  </r>
  <r>
    <x v="29"/>
  </r>
  <r>
    <x v="29"/>
  </r>
  <r>
    <x v="29"/>
  </r>
  <r>
    <x v="29"/>
  </r>
  <r>
    <x v="29"/>
  </r>
  <r>
    <x v="29"/>
  </r>
  <r>
    <x v="29"/>
  </r>
  <r>
    <x v="29"/>
  </r>
  <r>
    <x v="29"/>
  </r>
  <r>
    <x v="30"/>
  </r>
  <r>
    <x v="31"/>
  </r>
  <r>
    <x v="31"/>
  </r>
  <r>
    <x v="31"/>
  </r>
  <r>
    <x v="31"/>
  </r>
  <r>
    <x v="31"/>
  </r>
  <r>
    <x v="31"/>
  </r>
  <r>
    <x v="31"/>
  </r>
  <r>
    <x v="31"/>
  </r>
  <r>
    <x v="31"/>
  </r>
  <r>
    <x v="31"/>
  </r>
  <r>
    <x v="31"/>
  </r>
  <r>
    <x v="31"/>
  </r>
  <r>
    <x v="31"/>
  </r>
  <r>
    <x v="31"/>
  </r>
  <r>
    <x v="31"/>
  </r>
  <r>
    <x v="31"/>
  </r>
  <r>
    <x v="31"/>
  </r>
  <r>
    <x v="32"/>
  </r>
  <r>
    <x v="32"/>
  </r>
  <r>
    <x v="32"/>
  </r>
  <r>
    <x v="32"/>
  </r>
  <r>
    <x v="32"/>
  </r>
  <r>
    <x v="32"/>
  </r>
  <r>
    <x v="32"/>
  </r>
  <r>
    <x v="32"/>
  </r>
  <r>
    <x v="32"/>
  </r>
  <r>
    <x v="32"/>
  </r>
  <r>
    <x v="32"/>
  </r>
  <r>
    <x v="32"/>
  </r>
  <r>
    <x v="32"/>
  </r>
  <r>
    <x v="33"/>
  </r>
  <r>
    <x v="34"/>
  </r>
  <r>
    <x v="34"/>
  </r>
  <r>
    <x v="34"/>
  </r>
  <r>
    <x v="34"/>
  </r>
  <r>
    <x v="34"/>
  </r>
  <r>
    <x v="34"/>
  </r>
  <r>
    <x v="34"/>
  </r>
  <r>
    <x v="35"/>
  </r>
  <r>
    <x v="36"/>
  </r>
  <r>
    <x v="36"/>
  </r>
  <r>
    <x v="37"/>
  </r>
  <r>
    <x v="38"/>
  </r>
  <r>
    <x v="38"/>
  </r>
  <r>
    <x v="38"/>
  </r>
  <r>
    <x v="39"/>
  </r>
  <r>
    <x v="40"/>
  </r>
  <r>
    <x v="41"/>
  </r>
  <r>
    <x v="42"/>
  </r>
  <r>
    <x v="43"/>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4"/>
  </r>
  <r>
    <x v="45"/>
  </r>
</pivotCacheRecords>
</file>

<file path=xl/pivotCache/pivotCacheRecords13.xml><?xml version="1.0" encoding="utf-8"?>
<pivotCacheRecords xmlns="http://schemas.openxmlformats.org/spreadsheetml/2006/main" xmlns:r="http://schemas.openxmlformats.org/officeDocument/2006/relationships" count="421">
  <r>
    <x v="0"/>
  </r>
  <r>
    <x v="1"/>
  </r>
  <r>
    <x v="2"/>
  </r>
  <r>
    <x v="3"/>
  </r>
  <r>
    <x v="4"/>
  </r>
  <r>
    <x v="5"/>
  </r>
  <r>
    <x v="6"/>
  </r>
  <r>
    <x v="7"/>
  </r>
  <r>
    <x v="7"/>
  </r>
  <r>
    <x v="7"/>
  </r>
  <r>
    <x v="7"/>
  </r>
  <r>
    <x v="7"/>
  </r>
  <r>
    <x v="7"/>
  </r>
  <r>
    <x v="7"/>
  </r>
  <r>
    <x v="7"/>
  </r>
  <r>
    <x v="7"/>
  </r>
  <r>
    <x v="8"/>
  </r>
  <r>
    <x v="8"/>
  </r>
  <r>
    <x v="8"/>
  </r>
  <r>
    <x v="8"/>
  </r>
  <r>
    <x v="8"/>
  </r>
  <r>
    <x v="9"/>
  </r>
  <r>
    <x v="8"/>
  </r>
  <r>
    <x v="8"/>
  </r>
  <r>
    <x v="8"/>
  </r>
  <r>
    <x v="8"/>
  </r>
  <r>
    <x v="8"/>
  </r>
  <r>
    <x v="8"/>
  </r>
  <r>
    <x v="8"/>
  </r>
  <r>
    <x v="8"/>
  </r>
  <r>
    <x v="8"/>
  </r>
  <r>
    <x v="8"/>
  </r>
  <r>
    <x v="8"/>
  </r>
  <r>
    <x v="8"/>
  </r>
  <r>
    <x v="8"/>
  </r>
  <r>
    <x v="8"/>
  </r>
  <r>
    <x v="8"/>
  </r>
  <r>
    <x v="8"/>
  </r>
  <r>
    <x v="8"/>
  </r>
  <r>
    <x v="8"/>
  </r>
  <r>
    <x v="8"/>
  </r>
  <r>
    <x v="8"/>
  </r>
  <r>
    <x v="8"/>
  </r>
  <r>
    <x v="8"/>
  </r>
  <r>
    <x v="8"/>
  </r>
  <r>
    <x v="8"/>
  </r>
  <r>
    <x v="8"/>
  </r>
  <r>
    <x v="10"/>
  </r>
  <r>
    <x v="8"/>
  </r>
  <r>
    <x v="11"/>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12"/>
  </r>
  <r>
    <x v="12"/>
  </r>
  <r>
    <x v="12"/>
  </r>
  <r>
    <x v="12"/>
  </r>
  <r>
    <x v="13"/>
  </r>
  <r>
    <x v="13"/>
  </r>
  <r>
    <x v="13"/>
  </r>
  <r>
    <x v="13"/>
  </r>
  <r>
    <x v="13"/>
  </r>
  <r>
    <x v="14"/>
  </r>
  <r>
    <x v="14"/>
  </r>
  <r>
    <x v="14"/>
  </r>
  <r>
    <x v="14"/>
  </r>
  <r>
    <x v="14"/>
  </r>
  <r>
    <x v="14"/>
  </r>
  <r>
    <x v="14"/>
  </r>
  <r>
    <x v="14"/>
  </r>
  <r>
    <x v="14"/>
  </r>
  <r>
    <x v="14"/>
  </r>
  <r>
    <x v="14"/>
  </r>
  <r>
    <x v="15"/>
  </r>
  <r>
    <x v="14"/>
  </r>
  <r>
    <x v="14"/>
  </r>
  <r>
    <x v="14"/>
  </r>
  <r>
    <x v="14"/>
  </r>
  <r>
    <x v="14"/>
  </r>
  <r>
    <x v="14"/>
  </r>
  <r>
    <x v="14"/>
  </r>
  <r>
    <x v="14"/>
  </r>
  <r>
    <x v="14"/>
  </r>
  <r>
    <x v="14"/>
  </r>
  <r>
    <x v="14"/>
  </r>
  <r>
    <x v="14"/>
  </r>
  <r>
    <x v="14"/>
  </r>
  <r>
    <x v="14"/>
  </r>
  <r>
    <x v="14"/>
  </r>
  <r>
    <x v="16"/>
  </r>
  <r>
    <x v="17"/>
  </r>
  <r>
    <x v="17"/>
  </r>
  <r>
    <x v="17"/>
  </r>
  <r>
    <x v="17"/>
  </r>
  <r>
    <x v="18"/>
  </r>
  <r>
    <x v="18"/>
  </r>
  <r>
    <x v="19"/>
  </r>
  <r>
    <x v="20"/>
  </r>
  <r>
    <x v="19"/>
  </r>
  <r>
    <x v="21"/>
  </r>
  <r>
    <x v="21"/>
  </r>
  <r>
    <x v="21"/>
  </r>
  <r>
    <x v="22"/>
  </r>
  <r>
    <x v="22"/>
  </r>
  <r>
    <x v="22"/>
  </r>
  <r>
    <x v="20"/>
  </r>
  <r>
    <x v="23"/>
  </r>
  <r>
    <x v="20"/>
  </r>
  <r>
    <x v="24"/>
  </r>
  <r>
    <x v="25"/>
  </r>
  <r>
    <x v="25"/>
  </r>
  <r>
    <x v="25"/>
  </r>
  <r>
    <x v="25"/>
  </r>
  <r>
    <x v="25"/>
  </r>
  <r>
    <x v="26"/>
  </r>
  <r>
    <x v="26"/>
  </r>
  <r>
    <x v="25"/>
  </r>
  <r>
    <x v="27"/>
  </r>
  <r>
    <x v="27"/>
  </r>
  <r>
    <x v="27"/>
  </r>
  <r>
    <x v="25"/>
  </r>
  <r>
    <x v="25"/>
  </r>
  <r>
    <x v="25"/>
  </r>
  <r>
    <x v="25"/>
  </r>
  <r>
    <x v="25"/>
  </r>
  <r>
    <x v="25"/>
  </r>
  <r>
    <x v="25"/>
  </r>
  <r>
    <x v="25"/>
  </r>
  <r>
    <x v="25"/>
  </r>
  <r>
    <x v="28"/>
  </r>
  <r>
    <x v="26"/>
  </r>
  <r>
    <x v="26"/>
  </r>
  <r>
    <x v="25"/>
  </r>
  <r>
    <x v="25"/>
  </r>
  <r>
    <x v="25"/>
  </r>
  <r>
    <x v="26"/>
  </r>
  <r>
    <x v="26"/>
  </r>
  <r>
    <x v="26"/>
  </r>
  <r>
    <x v="25"/>
  </r>
  <r>
    <x v="25"/>
  </r>
  <r>
    <x v="25"/>
  </r>
  <r>
    <x v="25"/>
  </r>
  <r>
    <x v="25"/>
  </r>
  <r>
    <x v="25"/>
  </r>
  <r>
    <x v="25"/>
  </r>
  <r>
    <x v="25"/>
  </r>
  <r>
    <x v="25"/>
  </r>
  <r>
    <x v="25"/>
  </r>
  <r>
    <x v="25"/>
  </r>
  <r>
    <x v="25"/>
  </r>
  <r>
    <x v="25"/>
  </r>
  <r>
    <x v="25"/>
  </r>
  <r>
    <x v="25"/>
  </r>
  <r>
    <x v="25"/>
  </r>
  <r>
    <x v="25"/>
  </r>
  <r>
    <x v="25"/>
  </r>
  <r>
    <x v="25"/>
  </r>
  <r>
    <x v="25"/>
  </r>
  <r>
    <x v="25"/>
  </r>
  <r>
    <x v="25"/>
  </r>
  <r>
    <x v="26"/>
  </r>
  <r>
    <x v="25"/>
  </r>
  <r>
    <x v="26"/>
  </r>
  <r>
    <x v="25"/>
  </r>
  <r>
    <x v="25"/>
  </r>
  <r>
    <x v="27"/>
  </r>
  <r>
    <x v="25"/>
  </r>
  <r>
    <x v="25"/>
  </r>
  <r>
    <x v="27"/>
  </r>
  <r>
    <x v="25"/>
  </r>
  <r>
    <x v="25"/>
  </r>
  <r>
    <x v="25"/>
  </r>
  <r>
    <x v="25"/>
  </r>
  <r>
    <x v="25"/>
  </r>
  <r>
    <x v="25"/>
  </r>
  <r>
    <x v="25"/>
  </r>
  <r>
    <x v="25"/>
  </r>
  <r>
    <x v="25"/>
  </r>
  <r>
    <x v="25"/>
  </r>
  <r>
    <x v="29"/>
  </r>
  <r>
    <x v="29"/>
  </r>
  <r>
    <x v="29"/>
  </r>
  <r>
    <x v="29"/>
  </r>
  <r>
    <x v="29"/>
  </r>
  <r>
    <x v="29"/>
  </r>
  <r>
    <x v="29"/>
  </r>
  <r>
    <x v="29"/>
  </r>
  <r>
    <x v="29"/>
  </r>
  <r>
    <x v="29"/>
  </r>
  <r>
    <x v="29"/>
  </r>
  <r>
    <x v="29"/>
  </r>
  <r>
    <x v="29"/>
  </r>
  <r>
    <x v="29"/>
  </r>
  <r>
    <x v="28"/>
  </r>
  <r>
    <x v="29"/>
  </r>
  <r>
    <x v="29"/>
  </r>
  <r>
    <x v="29"/>
  </r>
  <r>
    <x v="29"/>
  </r>
  <r>
    <x v="29"/>
  </r>
  <r>
    <x v="29"/>
  </r>
  <r>
    <x v="29"/>
  </r>
  <r>
    <x v="29"/>
  </r>
  <r>
    <x v="29"/>
  </r>
  <r>
    <x v="29"/>
  </r>
  <r>
    <x v="29"/>
  </r>
  <r>
    <x v="29"/>
  </r>
  <r>
    <x v="29"/>
  </r>
  <r>
    <x v="29"/>
  </r>
  <r>
    <x v="29"/>
  </r>
  <r>
    <x v="29"/>
  </r>
  <r>
    <x v="29"/>
  </r>
  <r>
    <x v="29"/>
  </r>
  <r>
    <x v="29"/>
  </r>
  <r>
    <x v="30"/>
  </r>
  <r>
    <x v="29"/>
  </r>
  <r>
    <x v="29"/>
  </r>
  <r>
    <x v="29"/>
  </r>
  <r>
    <x v="31"/>
  </r>
  <r>
    <x v="31"/>
  </r>
  <r>
    <x v="31"/>
  </r>
  <r>
    <x v="15"/>
  </r>
  <r>
    <x v="15"/>
  </r>
  <r>
    <x v="15"/>
  </r>
  <r>
    <x v="15"/>
  </r>
  <r>
    <x v="28"/>
  </r>
  <r>
    <x v="28"/>
  </r>
  <r>
    <x v="28"/>
  </r>
  <r>
    <x v="28"/>
  </r>
  <r>
    <x v="28"/>
  </r>
  <r>
    <x v="28"/>
  </r>
  <r>
    <x v="28"/>
  </r>
  <r>
    <x v="28"/>
  </r>
  <r>
    <x v="28"/>
  </r>
  <r>
    <x v="28"/>
  </r>
  <r>
    <x v="28"/>
  </r>
  <r>
    <x v="28"/>
  </r>
  <r>
    <x v="28"/>
  </r>
  <r>
    <x v="28"/>
  </r>
  <r>
    <x v="32"/>
  </r>
  <r>
    <x v="33"/>
  </r>
  <r>
    <x v="34"/>
  </r>
  <r>
    <x v="35"/>
  </r>
  <r>
    <x v="36"/>
  </r>
  <r>
    <x v="37"/>
  </r>
  <r>
    <x v="38"/>
  </r>
  <r>
    <x v="38"/>
  </r>
  <r>
    <x v="38"/>
  </r>
  <r>
    <x v="39"/>
  </r>
  <r>
    <x v="39"/>
  </r>
  <r>
    <x v="38"/>
  </r>
  <r>
    <x v="38"/>
  </r>
  <r>
    <x v="38"/>
  </r>
  <r>
    <x v="38"/>
  </r>
  <r>
    <x v="40"/>
  </r>
  <r>
    <x v="41"/>
  </r>
  <r>
    <x v="42"/>
  </r>
  <r>
    <x v="41"/>
  </r>
  <r>
    <x v="41"/>
  </r>
  <r>
    <x v="41"/>
  </r>
  <r>
    <x v="41"/>
  </r>
  <r>
    <x v="41"/>
  </r>
  <r>
    <x v="41"/>
  </r>
  <r>
    <x v="41"/>
  </r>
  <r>
    <x v="41"/>
  </r>
  <r>
    <x v="41"/>
  </r>
  <r>
    <x v="41"/>
  </r>
  <r>
    <x v="41"/>
  </r>
  <r>
    <x v="41"/>
  </r>
  <r>
    <x v="41"/>
  </r>
  <r>
    <x v="41"/>
  </r>
  <r>
    <x v="41"/>
  </r>
  <r>
    <x v="27"/>
  </r>
  <r>
    <x v="27"/>
  </r>
  <r>
    <x v="27"/>
  </r>
  <r>
    <x v="27"/>
  </r>
  <r>
    <x v="27"/>
  </r>
  <r>
    <x v="27"/>
  </r>
  <r>
    <x v="27"/>
  </r>
  <r>
    <x v="27"/>
  </r>
  <r>
    <x v="27"/>
  </r>
  <r>
    <x v="27"/>
  </r>
  <r>
    <x v="27"/>
  </r>
  <r>
    <x v="27"/>
  </r>
  <r>
    <x v="27"/>
  </r>
  <r>
    <x v="43"/>
  </r>
  <r>
    <x v="44"/>
  </r>
  <r>
    <x v="44"/>
  </r>
  <r>
    <x v="44"/>
  </r>
  <r>
    <x v="44"/>
  </r>
  <r>
    <x v="45"/>
  </r>
  <r>
    <x v="45"/>
  </r>
  <r>
    <x v="45"/>
  </r>
  <r>
    <x v="46"/>
  </r>
  <r>
    <x v="26"/>
  </r>
  <r>
    <x v="26"/>
  </r>
  <r>
    <x v="47"/>
  </r>
  <r>
    <x v="48"/>
  </r>
  <r>
    <x v="49"/>
  </r>
  <r>
    <x v="48"/>
  </r>
  <r>
    <x v="50"/>
  </r>
  <r>
    <x v="51"/>
  </r>
  <r>
    <x v="52"/>
  </r>
  <r>
    <x v="53"/>
  </r>
  <r>
    <x v="54"/>
  </r>
  <r>
    <x v="55"/>
  </r>
  <r>
    <x v="55"/>
  </r>
  <r>
    <x v="55"/>
  </r>
  <r>
    <x v="55"/>
  </r>
  <r>
    <x v="55"/>
  </r>
  <r>
    <x v="55"/>
  </r>
  <r>
    <x v="55"/>
  </r>
  <r>
    <x v="55"/>
  </r>
  <r>
    <x v="55"/>
  </r>
  <r>
    <x v="55"/>
  </r>
  <r>
    <x v="55"/>
  </r>
  <r>
    <x v="55"/>
  </r>
  <r>
    <x v="55"/>
  </r>
  <r>
    <x v="55"/>
  </r>
  <r>
    <x v="55"/>
  </r>
  <r>
    <x v="55"/>
  </r>
  <r>
    <x v="55"/>
  </r>
  <r>
    <x v="56"/>
  </r>
  <r>
    <x v="55"/>
  </r>
  <r>
    <x v="55"/>
  </r>
  <r>
    <x v="55"/>
  </r>
  <r>
    <x v="55"/>
  </r>
  <r>
    <x v="55"/>
  </r>
  <r>
    <x v="55"/>
  </r>
  <r>
    <x v="55"/>
  </r>
  <r>
    <x v="55"/>
  </r>
  <r>
    <x v="55"/>
  </r>
  <r>
    <x v="55"/>
  </r>
  <r>
    <x v="55"/>
  </r>
  <r>
    <x v="55"/>
  </r>
  <r>
    <x v="55"/>
  </r>
  <r>
    <x v="55"/>
  </r>
  <r>
    <x v="55"/>
  </r>
  <r>
    <x v="55"/>
  </r>
  <r>
    <x v="55"/>
  </r>
  <r>
    <x v="55"/>
  </r>
  <r>
    <x v="55"/>
  </r>
  <r>
    <x v="55"/>
  </r>
  <r>
    <x v="55"/>
  </r>
  <r>
    <x v="55"/>
  </r>
  <r>
    <x v="55"/>
  </r>
  <r>
    <x v="55"/>
  </r>
  <r>
    <x v="55"/>
  </r>
  <r>
    <x v="55"/>
  </r>
  <r>
    <x v="55"/>
  </r>
  <r>
    <x v="57"/>
  </r>
  <r>
    <x v="55"/>
  </r>
  <r>
    <x v="55"/>
  </r>
  <r>
    <x v="55"/>
  </r>
  <r>
    <x v="55"/>
  </r>
  <r>
    <x v="55"/>
  </r>
  <r>
    <x v="55"/>
  </r>
  <r>
    <x v="55"/>
  </r>
  <r>
    <x v="55"/>
  </r>
  <r>
    <x v="55"/>
  </r>
  <r>
    <x v="55"/>
  </r>
  <r>
    <x v="55"/>
  </r>
  <r>
    <x v="55"/>
  </r>
  <r>
    <x v="55"/>
  </r>
  <r>
    <x v="55"/>
  </r>
  <r>
    <x v="55"/>
  </r>
  <r>
    <x v="55"/>
  </r>
  <r>
    <x v="55"/>
  </r>
  <r>
    <x v="58"/>
  </r>
</pivotCacheRecords>
</file>

<file path=xl/pivotCache/pivotCacheRecords14.xml><?xml version="1.0" encoding="utf-8"?>
<pivotCacheRecords xmlns="http://schemas.openxmlformats.org/spreadsheetml/2006/main" xmlns:r="http://schemas.openxmlformats.org/officeDocument/2006/relationships" count="421">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2"/>
  </r>
  <r>
    <x v="2"/>
  </r>
  <r>
    <x v="2"/>
  </r>
  <r>
    <x v="2"/>
  </r>
  <r>
    <x v="2"/>
  </r>
  <r>
    <x v="2"/>
  </r>
  <r>
    <x v="0"/>
  </r>
  <r>
    <x v="2"/>
  </r>
  <r>
    <x v="2"/>
  </r>
  <r>
    <x v="2"/>
  </r>
  <r>
    <x v="0"/>
  </r>
  <r>
    <x v="2"/>
  </r>
  <r>
    <x v="2"/>
  </r>
  <r>
    <x v="0"/>
  </r>
  <r>
    <x v="2"/>
  </r>
  <r>
    <x v="2"/>
  </r>
  <r>
    <x v="2"/>
  </r>
  <r>
    <x v="2"/>
  </r>
  <r>
    <x v="2"/>
  </r>
  <r>
    <x v="0"/>
  </r>
  <r>
    <x v="2"/>
  </r>
  <r>
    <x v="2"/>
  </r>
  <r>
    <x v="2"/>
  </r>
  <r>
    <x v="0"/>
  </r>
  <r>
    <x v="0"/>
  </r>
  <r>
    <x v="2"/>
  </r>
  <r>
    <x v="2"/>
  </r>
  <r>
    <x v="2"/>
  </r>
  <r>
    <x v="2"/>
  </r>
  <r>
    <x v="2"/>
  </r>
  <r>
    <x v="2"/>
  </r>
  <r>
    <x v="2"/>
  </r>
  <r>
    <x v="0"/>
  </r>
  <r>
    <x v="0"/>
  </r>
  <r>
    <x v="0"/>
  </r>
  <r>
    <x v="2"/>
  </r>
  <r>
    <x v="0"/>
  </r>
  <r>
    <x v="2"/>
  </r>
  <r>
    <x v="0"/>
  </r>
  <r>
    <x v="2"/>
  </r>
  <r>
    <x v="2"/>
  </r>
  <r>
    <x v="2"/>
  </r>
  <r>
    <x v="0"/>
  </r>
  <r>
    <x v="2"/>
  </r>
  <r>
    <x v="2"/>
  </r>
  <r>
    <x v="0"/>
  </r>
  <r>
    <x v="2"/>
  </r>
  <r>
    <x v="0"/>
  </r>
  <r>
    <x v="2"/>
  </r>
  <r>
    <x v="0"/>
  </r>
  <r>
    <x v="2"/>
  </r>
  <r>
    <x v="2"/>
  </r>
  <r>
    <x v="2"/>
  </r>
  <r>
    <x v="2"/>
  </r>
  <r>
    <x v="0"/>
  </r>
  <r>
    <x v="0"/>
  </r>
  <r>
    <x v="2"/>
  </r>
  <r>
    <x v="2"/>
  </r>
  <r>
    <x v="2"/>
  </r>
  <r>
    <x v="2"/>
  </r>
  <r>
    <x v="2"/>
  </r>
  <r>
    <x v="2"/>
  </r>
  <r>
    <x v="0"/>
  </r>
  <r>
    <x v="0"/>
  </r>
  <r>
    <x v="2"/>
  </r>
  <r>
    <x v="1"/>
  </r>
  <r>
    <x v="2"/>
  </r>
  <r>
    <x v="2"/>
  </r>
  <r>
    <x v="2"/>
  </r>
  <r>
    <x v="0"/>
  </r>
  <r>
    <x v="0"/>
  </r>
  <r>
    <x v="0"/>
  </r>
  <r>
    <x v="2"/>
  </r>
  <r>
    <x v="2"/>
  </r>
  <r>
    <x v="0"/>
  </r>
  <r>
    <x v="0"/>
  </r>
  <r>
    <x v="0"/>
  </r>
  <r>
    <x v="0"/>
  </r>
  <r>
    <x v="0"/>
  </r>
  <r>
    <x v="2"/>
  </r>
  <r>
    <x v="2"/>
  </r>
  <r>
    <x v="0"/>
  </r>
  <r>
    <x v="0"/>
  </r>
  <r>
    <x v="0"/>
  </r>
  <r>
    <x v="2"/>
  </r>
  <r>
    <x v="0"/>
  </r>
  <r>
    <x v="2"/>
  </r>
  <r>
    <x v="0"/>
  </r>
  <r>
    <x v="0"/>
  </r>
  <r>
    <x v="0"/>
  </r>
  <r>
    <x v="2"/>
  </r>
  <r>
    <x v="2"/>
  </r>
  <r>
    <x v="0"/>
  </r>
  <r>
    <x v="2"/>
  </r>
  <r>
    <x v="2"/>
  </r>
  <r>
    <x v="0"/>
  </r>
  <r>
    <x v="2"/>
  </r>
  <r>
    <x v="0"/>
  </r>
  <r>
    <x v="0"/>
  </r>
  <r>
    <x v="0"/>
  </r>
  <r>
    <x v="0"/>
  </r>
  <r>
    <x v="0"/>
  </r>
  <r>
    <x v="0"/>
  </r>
  <r>
    <x v="2"/>
  </r>
  <r>
    <x v="0"/>
  </r>
  <r>
    <x v="0"/>
  </r>
  <r>
    <x v="2"/>
  </r>
  <r>
    <x v="0"/>
  </r>
  <r>
    <x v="0"/>
  </r>
  <r>
    <x v="0"/>
  </r>
  <r>
    <x v="2"/>
  </r>
  <r>
    <x v="0"/>
  </r>
  <r>
    <x v="2"/>
  </r>
  <r>
    <x v="0"/>
  </r>
  <r>
    <x v="2"/>
  </r>
  <r>
    <x v="2"/>
  </r>
  <r>
    <x v="2"/>
  </r>
  <r>
    <x v="2"/>
  </r>
  <r>
    <x v="0"/>
  </r>
  <r>
    <x v="0"/>
  </r>
  <r>
    <x v="2"/>
  </r>
  <r>
    <x v="0"/>
  </r>
  <r>
    <x v="0"/>
  </r>
  <r>
    <x v="0"/>
  </r>
  <r>
    <x v="2"/>
  </r>
  <r>
    <x v="0"/>
  </r>
  <r>
    <x v="0"/>
  </r>
  <r>
    <x v="2"/>
  </r>
  <r>
    <x v="2"/>
  </r>
  <r>
    <x v="0"/>
  </r>
  <r>
    <x v="2"/>
  </r>
  <r>
    <x v="2"/>
  </r>
  <r>
    <x v="2"/>
  </r>
  <r>
    <x v="0"/>
  </r>
  <r>
    <x v="2"/>
  </r>
  <r>
    <x v="2"/>
  </r>
  <r>
    <x v="0"/>
  </r>
  <r>
    <x v="1"/>
  </r>
  <r>
    <x v="1"/>
  </r>
  <r>
    <x v="0"/>
  </r>
  <r>
    <x v="2"/>
  </r>
  <r>
    <x v="0"/>
  </r>
  <r>
    <x v="0"/>
  </r>
  <r>
    <x v="0"/>
  </r>
  <r>
    <x v="0"/>
  </r>
  <r>
    <x v="0"/>
  </r>
  <r>
    <x v="0"/>
  </r>
  <r>
    <x v="0"/>
  </r>
  <r>
    <x v="2"/>
  </r>
  <r>
    <x v="0"/>
  </r>
  <r>
    <x v="0"/>
  </r>
  <r>
    <x v="0"/>
  </r>
  <r>
    <x v="0"/>
  </r>
  <r>
    <x v="0"/>
  </r>
  <r>
    <x v="0"/>
  </r>
  <r>
    <x v="0"/>
  </r>
  <r>
    <x v="0"/>
  </r>
  <r>
    <x v="0"/>
  </r>
  <r>
    <x v="0"/>
  </r>
  <r>
    <x v="0"/>
  </r>
  <r>
    <x v="0"/>
  </r>
  <r>
    <x v="0"/>
  </r>
  <r>
    <x v="0"/>
  </r>
  <r>
    <x v="0"/>
  </r>
  <r>
    <x v="0"/>
  </r>
  <r>
    <x v="0"/>
  </r>
  <r>
    <x v="2"/>
  </r>
  <r>
    <x v="0"/>
  </r>
  <r>
    <x v="0"/>
  </r>
  <r>
    <x v="0"/>
  </r>
  <r>
    <x v="0"/>
  </r>
  <r>
    <x v="2"/>
  </r>
  <r>
    <x v="2"/>
  </r>
  <r>
    <x v="0"/>
  </r>
  <r>
    <x v="2"/>
  </r>
  <r>
    <x v="2"/>
  </r>
  <r>
    <x v="2"/>
  </r>
  <r>
    <x v="0"/>
  </r>
  <r>
    <x v="2"/>
  </r>
  <r>
    <x v="2"/>
  </r>
  <r>
    <x v="2"/>
  </r>
  <r>
    <x v="2"/>
  </r>
  <r>
    <x v="2"/>
  </r>
  <r>
    <x v="2"/>
  </r>
  <r>
    <x v="2"/>
  </r>
  <r>
    <x v="0"/>
  </r>
  <r>
    <x v="0"/>
  </r>
  <r>
    <x v="0"/>
  </r>
  <r>
    <x v="0"/>
  </r>
  <r>
    <x v="0"/>
  </r>
  <r>
    <x v="2"/>
  </r>
  <r>
    <x v="2"/>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pivotCacheRecords>
</file>

<file path=xl/pivotCache/pivotCacheRecords15.xml><?xml version="1.0" encoding="utf-8"?>
<pivotCacheRecords xmlns="http://schemas.openxmlformats.org/spreadsheetml/2006/main" xmlns:r="http://schemas.openxmlformats.org/officeDocument/2006/relationships" count="421">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3"/>
  </r>
  <r>
    <x v="3"/>
  </r>
  <r>
    <x v="3"/>
  </r>
  <r>
    <x v="3"/>
  </r>
  <r>
    <x v="3"/>
  </r>
  <r>
    <x v="3"/>
  </r>
  <r>
    <x v="0"/>
  </r>
  <r>
    <x v="3"/>
  </r>
  <r>
    <x v="3"/>
  </r>
  <r>
    <x v="3"/>
  </r>
  <r>
    <x v="0"/>
  </r>
  <r>
    <x v="3"/>
  </r>
  <r>
    <x v="3"/>
  </r>
  <r>
    <x v="0"/>
  </r>
  <r>
    <x v="3"/>
  </r>
  <r>
    <x v="3"/>
  </r>
  <r>
    <x v="3"/>
  </r>
  <r>
    <x v="3"/>
  </r>
  <r>
    <x v="3"/>
  </r>
  <r>
    <x v="0"/>
  </r>
  <r>
    <x v="3"/>
  </r>
  <r>
    <x v="3"/>
  </r>
  <r>
    <x v="3"/>
  </r>
  <r>
    <x v="0"/>
  </r>
  <r>
    <x v="0"/>
  </r>
  <r>
    <x v="3"/>
  </r>
  <r>
    <x v="3"/>
  </r>
  <r>
    <x v="3"/>
  </r>
  <r>
    <x v="3"/>
  </r>
  <r>
    <x v="3"/>
  </r>
  <r>
    <x v="3"/>
  </r>
  <r>
    <x v="3"/>
  </r>
  <r>
    <x v="0"/>
  </r>
  <r>
    <x v="0"/>
  </r>
  <r>
    <x v="0"/>
  </r>
  <r>
    <x v="3"/>
  </r>
  <r>
    <x v="0"/>
  </r>
  <r>
    <x v="3"/>
  </r>
  <r>
    <x v="0"/>
  </r>
  <r>
    <x v="3"/>
  </r>
  <r>
    <x v="3"/>
  </r>
  <r>
    <x v="3"/>
  </r>
  <r>
    <x v="0"/>
  </r>
  <r>
    <x v="3"/>
  </r>
  <r>
    <x v="3"/>
  </r>
  <r>
    <x v="0"/>
  </r>
  <r>
    <x v="3"/>
  </r>
  <r>
    <x v="0"/>
  </r>
  <r>
    <x v="3"/>
  </r>
  <r>
    <x v="0"/>
  </r>
  <r>
    <x v="3"/>
  </r>
  <r>
    <x v="3"/>
  </r>
  <r>
    <x v="3"/>
  </r>
  <r>
    <x v="3"/>
  </r>
  <r>
    <x v="0"/>
  </r>
  <r>
    <x v="0"/>
  </r>
  <r>
    <x v="3"/>
  </r>
  <r>
    <x v="3"/>
  </r>
  <r>
    <x v="3"/>
  </r>
  <r>
    <x v="3"/>
  </r>
  <r>
    <x v="3"/>
  </r>
  <r>
    <x v="3"/>
  </r>
  <r>
    <x v="0"/>
  </r>
  <r>
    <x v="0"/>
  </r>
  <r>
    <x v="3"/>
  </r>
  <r>
    <x v="2"/>
  </r>
  <r>
    <x v="3"/>
  </r>
  <r>
    <x v="3"/>
  </r>
  <r>
    <x v="3"/>
  </r>
  <r>
    <x v="0"/>
  </r>
  <r>
    <x v="0"/>
  </r>
  <r>
    <x v="0"/>
  </r>
  <r>
    <x v="3"/>
  </r>
  <r>
    <x v="3"/>
  </r>
  <r>
    <x v="0"/>
  </r>
  <r>
    <x v="0"/>
  </r>
  <r>
    <x v="0"/>
  </r>
  <r>
    <x v="0"/>
  </r>
  <r>
    <x v="0"/>
  </r>
  <r>
    <x v="3"/>
  </r>
  <r>
    <x v="3"/>
  </r>
  <r>
    <x v="0"/>
  </r>
  <r>
    <x v="0"/>
  </r>
  <r>
    <x v="0"/>
  </r>
  <r>
    <x v="3"/>
  </r>
  <r>
    <x v="0"/>
  </r>
  <r>
    <x v="3"/>
  </r>
  <r>
    <x v="0"/>
  </r>
  <r>
    <x v="0"/>
  </r>
  <r>
    <x v="0"/>
  </r>
  <r>
    <x v="3"/>
  </r>
  <r>
    <x v="3"/>
  </r>
  <r>
    <x v="0"/>
  </r>
  <r>
    <x v="3"/>
  </r>
  <r>
    <x v="3"/>
  </r>
  <r>
    <x v="0"/>
  </r>
  <r>
    <x v="3"/>
  </r>
  <r>
    <x v="0"/>
  </r>
  <r>
    <x v="0"/>
  </r>
  <r>
    <x v="0"/>
  </r>
  <r>
    <x v="0"/>
  </r>
  <r>
    <x v="0"/>
  </r>
  <r>
    <x v="0"/>
  </r>
  <r>
    <x v="3"/>
  </r>
  <r>
    <x v="0"/>
  </r>
  <r>
    <x v="0"/>
  </r>
  <r>
    <x v="3"/>
  </r>
  <r>
    <x v="0"/>
  </r>
  <r>
    <x v="0"/>
  </r>
  <r>
    <x v="0"/>
  </r>
  <r>
    <x v="3"/>
  </r>
  <r>
    <x v="0"/>
  </r>
  <r>
    <x v="3"/>
  </r>
  <r>
    <x v="0"/>
  </r>
  <r>
    <x v="3"/>
  </r>
  <r>
    <x v="3"/>
  </r>
  <r>
    <x v="3"/>
  </r>
  <r>
    <x v="3"/>
  </r>
  <r>
    <x v="0"/>
  </r>
  <r>
    <x v="0"/>
  </r>
  <r>
    <x v="3"/>
  </r>
  <r>
    <x v="0"/>
  </r>
  <r>
    <x v="0"/>
  </r>
  <r>
    <x v="0"/>
  </r>
  <r>
    <x v="3"/>
  </r>
  <r>
    <x v="0"/>
  </r>
  <r>
    <x v="0"/>
  </r>
  <r>
    <x v="3"/>
  </r>
  <r>
    <x v="3"/>
  </r>
  <r>
    <x v="0"/>
  </r>
  <r>
    <x v="3"/>
  </r>
  <r>
    <x v="3"/>
  </r>
  <r>
    <x v="3"/>
  </r>
  <r>
    <x v="0"/>
  </r>
  <r>
    <x v="3"/>
  </r>
  <r>
    <x v="3"/>
  </r>
  <r>
    <x v="0"/>
  </r>
  <r>
    <x v="2"/>
  </r>
  <r>
    <x v="2"/>
  </r>
  <r>
    <x v="0"/>
  </r>
  <r>
    <x v="3"/>
  </r>
  <r>
    <x v="0"/>
  </r>
  <r>
    <x v="0"/>
  </r>
  <r>
    <x v="0"/>
  </r>
  <r>
    <x v="0"/>
  </r>
  <r>
    <x v="0"/>
  </r>
  <r>
    <x v="0"/>
  </r>
  <r>
    <x v="0"/>
  </r>
  <r>
    <x v="3"/>
  </r>
  <r>
    <x v="0"/>
  </r>
  <r>
    <x v="0"/>
  </r>
  <r>
    <x v="0"/>
  </r>
  <r>
    <x v="0"/>
  </r>
  <r>
    <x v="0"/>
  </r>
  <r>
    <x v="0"/>
  </r>
  <r>
    <x v="0"/>
  </r>
  <r>
    <x v="0"/>
  </r>
  <r>
    <x v="0"/>
  </r>
  <r>
    <x v="0"/>
  </r>
  <r>
    <x v="0"/>
  </r>
  <r>
    <x v="0"/>
  </r>
  <r>
    <x v="0"/>
  </r>
  <r>
    <x v="0"/>
  </r>
  <r>
    <x v="0"/>
  </r>
  <r>
    <x v="0"/>
  </r>
  <r>
    <x v="0"/>
  </r>
  <r>
    <x v="3"/>
  </r>
  <r>
    <x v="0"/>
  </r>
  <r>
    <x v="0"/>
  </r>
  <r>
    <x v="0"/>
  </r>
  <r>
    <x v="0"/>
  </r>
  <r>
    <x v="3"/>
  </r>
  <r>
    <x v="3"/>
  </r>
  <r>
    <x v="0"/>
  </r>
  <r>
    <x v="3"/>
  </r>
  <r>
    <x v="3"/>
  </r>
  <r>
    <x v="3"/>
  </r>
  <r>
    <x v="0"/>
  </r>
  <r>
    <x v="3"/>
  </r>
  <r>
    <x v="3"/>
  </r>
  <r>
    <x v="3"/>
  </r>
  <r>
    <x v="3"/>
  </r>
  <r>
    <x v="3"/>
  </r>
  <r>
    <x v="3"/>
  </r>
  <r>
    <x v="3"/>
  </r>
  <r>
    <x v="0"/>
  </r>
  <r>
    <x v="0"/>
  </r>
  <r>
    <x v="0"/>
  </r>
  <r>
    <x v="0"/>
  </r>
  <r>
    <x v="0"/>
  </r>
  <r>
    <x v="3"/>
  </r>
  <r>
    <x v="3"/>
  </r>
  <r>
    <x v="0"/>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pivotCacheRecords>
</file>

<file path=xl/pivotCache/pivotCacheRecords16.xml><?xml version="1.0" encoding="utf-8"?>
<pivotCacheRecords xmlns="http://schemas.openxmlformats.org/spreadsheetml/2006/main" xmlns:r="http://schemas.openxmlformats.org/officeDocument/2006/relationships" count="42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pivotCacheRecords>
</file>

<file path=xl/pivotCache/pivotCacheRecords17.xml><?xml version="1.0" encoding="utf-8"?>
<pivotCacheRecords xmlns="http://schemas.openxmlformats.org/spreadsheetml/2006/main" xmlns:r="http://schemas.openxmlformats.org/officeDocument/2006/relationships" count="421">
  <r>
    <n v="41"/>
  </r>
  <r>
    <n v="22"/>
  </r>
  <r>
    <n v="26"/>
  </r>
  <r>
    <n v="34"/>
  </r>
  <r>
    <n v="25"/>
  </r>
  <r>
    <n v="44"/>
  </r>
  <r>
    <n v="21"/>
  </r>
  <r>
    <n v="27"/>
  </r>
  <r>
    <n v="29"/>
  </r>
  <r>
    <n v="22"/>
  </r>
  <r>
    <n v="20"/>
  </r>
  <r>
    <n v="31"/>
  </r>
  <r>
    <n v="48"/>
  </r>
  <r>
    <n v="19"/>
  </r>
  <r>
    <n v="22"/>
  </r>
  <r>
    <n v="22"/>
  </r>
  <r>
    <n v="19"/>
  </r>
  <r>
    <n v="21"/>
  </r>
  <r>
    <n v="41"/>
  </r>
  <r>
    <n v="19"/>
  </r>
  <r>
    <n v="20"/>
  </r>
  <r>
    <n v="50"/>
  </r>
  <r>
    <n v="19"/>
  </r>
  <r>
    <n v="34"/>
  </r>
  <r>
    <n v="37"/>
  </r>
  <r>
    <n v="19"/>
  </r>
  <r>
    <n v="27"/>
  </r>
  <r>
    <n v="24"/>
  </r>
  <r>
    <n v="27"/>
  </r>
  <r>
    <n v="23"/>
  </r>
  <r>
    <n v="19"/>
  </r>
  <r>
    <n v="22"/>
  </r>
  <r>
    <n v="27"/>
  </r>
  <r>
    <n v="21"/>
  </r>
  <r>
    <n v="21"/>
  </r>
  <r>
    <n v="20"/>
  </r>
  <r>
    <n v="23"/>
  </r>
  <r>
    <n v="29"/>
  </r>
  <r>
    <n v="19"/>
  </r>
  <r>
    <n v="19"/>
  </r>
  <r>
    <n v="27"/>
  </r>
  <r>
    <n v="22"/>
  </r>
  <r>
    <n v="29"/>
  </r>
  <r>
    <n v="19"/>
  </r>
  <r>
    <n v="28"/>
  </r>
  <r>
    <n v="29"/>
  </r>
  <r>
    <n v="21"/>
  </r>
  <r>
    <n v="26"/>
  </r>
  <r>
    <n v="30"/>
  </r>
  <r>
    <n v="18"/>
  </r>
  <r>
    <n v="20"/>
  </r>
  <r>
    <n v="22"/>
  </r>
  <r>
    <n v="20"/>
  </r>
  <r>
    <n v="26"/>
  </r>
  <r>
    <n v="24"/>
  </r>
  <r>
    <n v="21"/>
  </r>
  <r>
    <n v="23"/>
  </r>
  <r>
    <n v="20"/>
  </r>
  <r>
    <n v="24"/>
  </r>
  <r>
    <n v="27"/>
  </r>
  <r>
    <n v="21"/>
  </r>
  <r>
    <n v="42"/>
  </r>
  <r>
    <n v="24"/>
  </r>
  <r>
    <n v="33"/>
  </r>
  <r>
    <n v="19"/>
  </r>
  <r>
    <n v="21"/>
  </r>
  <r>
    <n v="22"/>
  </r>
  <r>
    <n v="22"/>
  </r>
  <r>
    <n v="21"/>
  </r>
  <r>
    <n v="18"/>
  </r>
  <r>
    <n v="20"/>
  </r>
  <r>
    <n v="18"/>
  </r>
  <r>
    <n v="19"/>
  </r>
  <r>
    <n v="21"/>
  </r>
  <r>
    <n v="27"/>
  </r>
  <r>
    <n v="19"/>
  </r>
  <r>
    <n v="20"/>
  </r>
  <r>
    <n v="18"/>
  </r>
  <r>
    <n v="27"/>
  </r>
  <r>
    <n v="41"/>
  </r>
  <r>
    <n v="22"/>
  </r>
  <r>
    <n v="23"/>
  </r>
  <r>
    <n v="30"/>
  </r>
  <r>
    <n v="27"/>
  </r>
  <r>
    <n v="24"/>
  </r>
  <r>
    <n v="19"/>
  </r>
  <r>
    <n v="22"/>
  </r>
  <r>
    <n v="27"/>
  </r>
  <r>
    <n v="19"/>
  </r>
  <r>
    <n v="21"/>
  </r>
  <r>
    <n v="25"/>
  </r>
  <r>
    <n v="31"/>
  </r>
  <r>
    <n v="20"/>
  </r>
  <r>
    <n v="21"/>
  </r>
  <r>
    <n v="26"/>
  </r>
  <r>
    <n v="24"/>
  </r>
  <r>
    <n v="23"/>
  </r>
  <r>
    <n v="20"/>
  </r>
  <r>
    <n v="18"/>
  </r>
  <r>
    <n v="30"/>
  </r>
  <r>
    <n v="21"/>
  </r>
  <r>
    <n v="19"/>
  </r>
  <r>
    <n v="31"/>
  </r>
  <r>
    <n v="19"/>
  </r>
  <r>
    <n v="20"/>
  </r>
  <r>
    <n v="27"/>
  </r>
  <r>
    <n v="18"/>
  </r>
  <r>
    <n v="20"/>
  </r>
  <r>
    <n v="38"/>
  </r>
  <r>
    <n v="33"/>
  </r>
  <r>
    <n v="32"/>
  </r>
  <r>
    <n v="20"/>
  </r>
  <r>
    <n v="20"/>
  </r>
  <r>
    <n v="19"/>
  </r>
  <r>
    <n v="21"/>
  </r>
  <r>
    <n v="51"/>
  </r>
  <r>
    <n v="18"/>
  </r>
  <r>
    <n v="19"/>
  </r>
  <r>
    <n v="38"/>
  </r>
  <r>
    <n v="19"/>
  </r>
  <r>
    <n v="18"/>
  </r>
  <r>
    <n v="29"/>
  </r>
  <r>
    <n v="31"/>
  </r>
  <r>
    <n v="20"/>
  </r>
  <r>
    <n v="20"/>
  </r>
  <r>
    <n v="19"/>
  </r>
  <r>
    <n v="28"/>
  </r>
  <r>
    <n v="29"/>
  </r>
  <r>
    <n v="33"/>
  </r>
  <r>
    <n v="19"/>
  </r>
  <r>
    <n v="18"/>
  </r>
  <r>
    <n v="29"/>
  </r>
  <r>
    <n v="29"/>
  </r>
  <r>
    <n v="23"/>
  </r>
  <r>
    <n v="26"/>
  </r>
  <r>
    <n v="20"/>
  </r>
  <r>
    <n v="19"/>
  </r>
  <r>
    <n v="23"/>
  </r>
  <r>
    <n v="35"/>
  </r>
  <r>
    <n v="19"/>
  </r>
  <r>
    <n v="22"/>
  </r>
  <r>
    <n v="20"/>
  </r>
  <r>
    <n v="23"/>
  </r>
  <r>
    <n v="24"/>
  </r>
  <r>
    <n v="37"/>
  </r>
  <r>
    <n v="20"/>
  </r>
  <r>
    <n v="42"/>
  </r>
  <r>
    <n v="19"/>
  </r>
  <r>
    <n v="24"/>
  </r>
  <r>
    <n v="34"/>
  </r>
  <r>
    <n v="25"/>
  </r>
  <r>
    <n v="25"/>
  </r>
  <r>
    <n v="22"/>
  </r>
  <r>
    <n v="20"/>
  </r>
  <r>
    <n v="23"/>
  </r>
  <r>
    <n v="21"/>
  </r>
  <r>
    <n v="39"/>
  </r>
  <r>
    <n v="30"/>
  </r>
  <r>
    <n v="33"/>
  </r>
  <r>
    <n v="21"/>
  </r>
  <r>
    <n v="18"/>
  </r>
  <r>
    <n v="21"/>
  </r>
  <r>
    <n v="29"/>
  </r>
  <r>
    <n v="23"/>
  </r>
  <r>
    <n v="24"/>
  </r>
  <r>
    <n v="27"/>
  </r>
  <r>
    <n v="19"/>
  </r>
  <r>
    <n v="23"/>
  </r>
  <r>
    <n v="29"/>
  </r>
  <r>
    <n v="20"/>
  </r>
  <r>
    <n v="24"/>
  </r>
  <r>
    <n v="25"/>
  </r>
  <r>
    <n v="23"/>
  </r>
  <r>
    <n v="30"/>
  </r>
  <r>
    <n v="35"/>
  </r>
  <r>
    <n v="20"/>
  </r>
  <r>
    <n v="22"/>
  </r>
  <r>
    <n v="20"/>
  </r>
  <r>
    <n v="39"/>
  </r>
  <r>
    <n v="32"/>
  </r>
  <r>
    <n v="23"/>
  </r>
  <r>
    <n v="20"/>
  </r>
  <r>
    <n v="31"/>
  </r>
  <r>
    <n v="20"/>
  </r>
  <r>
    <n v="23"/>
  </r>
  <r>
    <n v="30"/>
  </r>
  <r>
    <n v="19"/>
  </r>
  <r>
    <n v="20"/>
  </r>
  <r>
    <n v="34"/>
  </r>
  <r>
    <n v="33"/>
  </r>
  <r>
    <n v="28"/>
  </r>
  <r>
    <n v="28"/>
  </r>
  <r>
    <n v="22"/>
  </r>
  <r>
    <n v="35"/>
  </r>
  <r>
    <n v="20"/>
  </r>
  <r>
    <n v="34"/>
  </r>
  <r>
    <n v="49"/>
  </r>
  <r>
    <n v="44"/>
  </r>
  <r>
    <n v="20"/>
  </r>
  <r>
    <n v="31"/>
  </r>
  <r>
    <n v="19"/>
  </r>
  <r>
    <n v="22"/>
  </r>
  <r>
    <n v="19"/>
  </r>
  <r>
    <n v="23"/>
  </r>
  <r>
    <n v="21"/>
  </r>
  <r>
    <n v="37"/>
  </r>
  <r>
    <n v="20"/>
  </r>
  <r>
    <n v="34"/>
  </r>
  <r>
    <n v="24"/>
  </r>
  <r>
    <n v="21"/>
  </r>
  <r>
    <n v="24"/>
  </r>
  <r>
    <n v="21"/>
  </r>
  <r>
    <n v="20"/>
  </r>
  <r>
    <n v="19"/>
  </r>
  <r>
    <n v="19"/>
  </r>
  <r>
    <n v="19"/>
  </r>
  <r>
    <n v="32"/>
  </r>
  <r>
    <n v="30"/>
  </r>
  <r>
    <n v="37"/>
  </r>
  <r>
    <n v="26"/>
  </r>
  <r>
    <n v="33"/>
  </r>
  <r>
    <n v="54"/>
  </r>
  <r>
    <n v="19"/>
  </r>
  <r>
    <n v="26"/>
  </r>
  <r>
    <n v="35"/>
  </r>
  <r>
    <n v="29"/>
  </r>
  <r>
    <n v="25"/>
  </r>
  <r>
    <n v="20"/>
  </r>
  <r>
    <n v="30"/>
  </r>
  <r>
    <n v="20"/>
  </r>
  <r>
    <n v="23"/>
  </r>
  <r>
    <n v="24"/>
  </r>
  <r>
    <n v="36"/>
  </r>
  <r>
    <n v="31"/>
  </r>
  <r>
    <n v="42"/>
  </r>
  <r>
    <n v="20"/>
  </r>
  <r>
    <n v="20"/>
  </r>
  <r>
    <n v="27"/>
  </r>
  <r>
    <n v="28"/>
  </r>
  <r>
    <n v="30"/>
  </r>
  <r>
    <n v="30"/>
  </r>
  <r>
    <n v="59"/>
  </r>
  <r>
    <n v="22"/>
  </r>
  <r>
    <n v="19"/>
  </r>
  <r>
    <n v="22"/>
  </r>
  <r>
    <n v="25"/>
  </r>
  <r>
    <n v="33"/>
  </r>
  <r>
    <n v="27"/>
  </r>
  <r>
    <n v="35"/>
  </r>
  <r>
    <n v="52"/>
  </r>
  <r>
    <n v="26"/>
  </r>
  <r>
    <n v="32"/>
  </r>
  <r>
    <n v="35"/>
  </r>
  <r>
    <n v="23"/>
  </r>
  <r>
    <n v="29"/>
  </r>
  <r>
    <n v="33"/>
  </r>
  <r>
    <n v="20"/>
  </r>
  <r>
    <n v="20"/>
  </r>
  <r>
    <n v="33"/>
  </r>
  <r>
    <n v="23"/>
  </r>
  <r>
    <n v="27"/>
  </r>
  <r>
    <n v="34"/>
  </r>
  <r>
    <n v="36"/>
  </r>
  <r>
    <n v="25"/>
  </r>
  <r>
    <n v="26"/>
  </r>
  <r>
    <n v="25"/>
  </r>
  <r>
    <n v="22"/>
  </r>
  <r>
    <n v="25"/>
  </r>
  <r>
    <n v="38"/>
  </r>
  <r>
    <n v="22"/>
  </r>
  <r>
    <n v="23"/>
  </r>
  <r>
    <n v="22"/>
  </r>
  <r>
    <n v="30"/>
  </r>
  <r>
    <n v="24"/>
  </r>
  <r>
    <n v="27"/>
  </r>
  <r>
    <n v="30"/>
  </r>
  <r>
    <n v="46"/>
  </r>
  <r>
    <n v="21"/>
  </r>
  <r>
    <n v="22"/>
  </r>
  <r>
    <n v="29"/>
  </r>
  <r>
    <n v="43"/>
  </r>
  <r>
    <n v="45"/>
  </r>
  <r>
    <n v="30"/>
  </r>
  <r>
    <n v="21"/>
  </r>
  <r>
    <n v="25"/>
  </r>
  <r>
    <n v="30"/>
  </r>
  <r>
    <n v="24"/>
  </r>
  <r>
    <n v="24"/>
  </r>
  <r>
    <n v="23"/>
  </r>
  <r>
    <n v="24"/>
  </r>
  <r>
    <n v="34"/>
  </r>
  <r>
    <n v="18"/>
  </r>
  <r>
    <n v="31"/>
  </r>
  <r>
    <n v="41"/>
  </r>
  <r>
    <n v="23"/>
  </r>
  <r>
    <n v="55"/>
  </r>
  <r>
    <n v="33"/>
  </r>
  <r>
    <n v="45"/>
  </r>
  <r>
    <n v="41"/>
  </r>
  <r>
    <n v="27"/>
  </r>
  <r>
    <n v="28"/>
  </r>
  <r>
    <n v="52"/>
  </r>
  <r>
    <n v="21"/>
  </r>
  <r>
    <n v="43"/>
  </r>
  <r>
    <n v="23"/>
  </r>
  <r>
    <n v="39"/>
  </r>
  <r>
    <n v="27"/>
  </r>
  <r>
    <n v="28"/>
  </r>
  <r>
    <n v="35"/>
  </r>
  <r>
    <n v="23"/>
  </r>
  <r>
    <n v="37"/>
  </r>
  <r>
    <n v="23"/>
  </r>
  <r>
    <n v="32"/>
  </r>
  <r>
    <n v="21"/>
  </r>
  <r>
    <n v="22"/>
  </r>
  <r>
    <n v="27"/>
  </r>
  <r>
    <n v="35"/>
  </r>
  <r>
    <n v="34"/>
  </r>
  <r>
    <n v="27"/>
  </r>
  <r>
    <n v="28"/>
  </r>
  <r>
    <n v="26"/>
  </r>
  <r>
    <n v="28"/>
  </r>
  <r>
    <n v="33"/>
  </r>
  <r>
    <n v="27"/>
  </r>
  <r>
    <n v="24"/>
  </r>
  <r>
    <n v="35"/>
  </r>
  <r>
    <n v="28"/>
  </r>
  <r>
    <n v="25"/>
  </r>
  <r>
    <n v="30"/>
  </r>
  <r>
    <n v="35"/>
  </r>
  <r>
    <n v="24"/>
  </r>
  <r>
    <n v="26"/>
  </r>
  <r>
    <n v="29"/>
  </r>
  <r>
    <n v="25"/>
  </r>
  <r>
    <n v="25"/>
  </r>
  <r>
    <n v="30"/>
  </r>
  <r>
    <n v="23"/>
  </r>
  <r>
    <n v="21"/>
  </r>
  <r>
    <n v="29"/>
  </r>
  <r>
    <n v="31"/>
  </r>
  <r>
    <n v="31"/>
  </r>
  <r>
    <n v="36"/>
  </r>
  <r>
    <n v="23"/>
  </r>
  <r>
    <n v="27"/>
  </r>
  <r>
    <n v="23"/>
  </r>
  <r>
    <n v="41"/>
  </r>
  <r>
    <n v="28"/>
  </r>
  <r>
    <n v="27"/>
  </r>
  <r>
    <n v="24"/>
  </r>
  <r>
    <n v="42"/>
  </r>
  <r>
    <n v="43"/>
  </r>
  <r>
    <n v="29"/>
  </r>
  <r>
    <n v="27"/>
  </r>
  <r>
    <n v="36"/>
  </r>
  <r>
    <n v="42"/>
  </r>
  <r>
    <n v="25"/>
  </r>
  <r>
    <n v="46"/>
  </r>
  <r>
    <n v="33"/>
  </r>
  <r>
    <n v="18"/>
  </r>
  <r>
    <n v="30"/>
  </r>
  <r>
    <n v="28"/>
  </r>
  <r>
    <n v="28"/>
  </r>
  <r>
    <n v="47"/>
  </r>
  <r>
    <n v="35"/>
  </r>
  <r>
    <n v="30"/>
  </r>
  <r>
    <n v="23"/>
  </r>
  <r>
    <n v="22"/>
  </r>
  <r>
    <n v="25"/>
  </r>
  <r>
    <n v="25"/>
  </r>
  <r>
    <n v="29"/>
  </r>
  <r>
    <n v="25"/>
  </r>
  <r>
    <n v="33"/>
  </r>
  <r>
    <n v="24"/>
  </r>
  <r>
    <n v="22"/>
  </r>
  <r>
    <n v="36"/>
  </r>
  <r>
    <n v="20"/>
  </r>
  <r>
    <n v="26"/>
  </r>
  <r>
    <n v="21"/>
  </r>
  <r>
    <n v="29"/>
  </r>
  <r>
    <n v="34"/>
  </r>
  <r>
    <n v="21"/>
  </r>
  <r>
    <n v="27"/>
  </r>
  <r>
    <n v="20"/>
  </r>
  <r>
    <n v="31"/>
  </r>
  <r>
    <n v="37"/>
  </r>
  <r>
    <n v="30"/>
  </r>
  <r>
    <n v="20"/>
  </r>
  <r>
    <n v="27"/>
  </r>
  <r>
    <n v="35"/>
  </r>
  <r>
    <n v="39"/>
  </r>
  <r>
    <m/>
  </r>
  <r>
    <n v="19"/>
  </r>
  <r>
    <n v="30"/>
  </r>
  <r>
    <n v="38"/>
  </r>
  <r>
    <n v="28"/>
  </r>
  <r>
    <n v="33"/>
  </r>
  <r>
    <n v="24"/>
  </r>
  <r>
    <n v="24"/>
  </r>
  <r>
    <n v="27"/>
  </r>
  <r>
    <n v="26"/>
  </r>
  <r>
    <n v="31"/>
  </r>
  <r>
    <n v="18"/>
  </r>
  <r>
    <n v="21"/>
  </r>
  <r>
    <n v="31"/>
  </r>
  <r>
    <n v="23"/>
  </r>
  <r>
    <n v="20"/>
  </r>
  <r>
    <n v="22"/>
  </r>
  <r>
    <n v="41"/>
  </r>
  <r>
    <n v="23"/>
  </r>
  <r>
    <n v="49"/>
  </r>
  <r>
    <n v="21"/>
  </r>
  <r>
    <n v="23"/>
  </r>
  <r>
    <n v="28"/>
  </r>
  <r>
    <n v="57"/>
  </r>
  <r>
    <n v="25"/>
  </r>
  <r>
    <n v="25"/>
  </r>
  <r>
    <n v="22"/>
  </r>
  <r>
    <n v="31"/>
  </r>
  <r>
    <n v="27"/>
  </r>
  <r>
    <n v="27"/>
  </r>
  <r>
    <m/>
  </r>
</pivotCacheRecords>
</file>

<file path=xl/pivotCache/pivotCacheRecords18.xml><?xml version="1.0" encoding="utf-8"?>
<pivotCacheRecords xmlns="http://schemas.openxmlformats.org/spreadsheetml/2006/main" xmlns:r="http://schemas.openxmlformats.org/officeDocument/2006/relationships" count="421">
  <r>
    <x v="0"/>
  </r>
  <r>
    <x v="0"/>
  </r>
  <r>
    <x v="0"/>
  </r>
  <r>
    <x v="0"/>
  </r>
  <r>
    <x v="0"/>
  </r>
  <r>
    <x v="0"/>
  </r>
  <r>
    <x v="0"/>
  </r>
  <r>
    <x v="0"/>
  </r>
  <r>
    <x v="0"/>
  </r>
  <r>
    <x v="0"/>
  </r>
  <r>
    <x v="0"/>
  </r>
  <r>
    <x v="0"/>
  </r>
  <r>
    <x v="1"/>
  </r>
  <r>
    <x v="1"/>
  </r>
  <r>
    <x v="0"/>
  </r>
  <r>
    <x v="1"/>
  </r>
  <r>
    <x v="1"/>
  </r>
  <r>
    <x v="1"/>
  </r>
  <r>
    <x v="0"/>
  </r>
  <r>
    <x v="0"/>
  </r>
  <r>
    <x v="1"/>
  </r>
  <r>
    <x v="1"/>
  </r>
  <r>
    <x v="0"/>
  </r>
  <r>
    <x v="0"/>
  </r>
  <r>
    <x v="0"/>
  </r>
  <r>
    <x v="1"/>
  </r>
  <r>
    <x v="0"/>
  </r>
  <r>
    <x v="1"/>
  </r>
  <r>
    <x v="1"/>
  </r>
  <r>
    <x v="1"/>
  </r>
  <r>
    <x v="0"/>
  </r>
  <r>
    <x v="0"/>
  </r>
  <r>
    <x v="0"/>
  </r>
  <r>
    <x v="0"/>
  </r>
  <r>
    <x v="1"/>
  </r>
  <r>
    <x v="0"/>
  </r>
  <r>
    <x v="1"/>
  </r>
  <r>
    <x v="0"/>
  </r>
  <r>
    <x v="1"/>
  </r>
  <r>
    <x v="1"/>
  </r>
  <r>
    <x v="0"/>
  </r>
  <r>
    <x v="1"/>
  </r>
  <r>
    <x v="0"/>
  </r>
  <r>
    <x v="1"/>
  </r>
  <r>
    <x v="0"/>
  </r>
  <r>
    <x v="0"/>
  </r>
  <r>
    <x v="0"/>
  </r>
  <r>
    <x v="1"/>
  </r>
  <r>
    <x v="0"/>
  </r>
  <r>
    <x v="0"/>
  </r>
  <r>
    <x v="0"/>
  </r>
  <r>
    <x v="0"/>
  </r>
  <r>
    <x v="0"/>
  </r>
  <r>
    <x v="0"/>
  </r>
  <r>
    <x v="0"/>
  </r>
  <r>
    <x v="0"/>
  </r>
  <r>
    <x v="0"/>
  </r>
  <r>
    <x v="0"/>
  </r>
  <r>
    <x v="1"/>
  </r>
  <r>
    <x v="1"/>
  </r>
  <r>
    <x v="0"/>
  </r>
  <r>
    <x v="1"/>
  </r>
  <r>
    <x v="0"/>
  </r>
  <r>
    <x v="1"/>
  </r>
  <r>
    <x v="0"/>
  </r>
  <r>
    <x v="0"/>
  </r>
  <r>
    <x v="0"/>
  </r>
  <r>
    <x v="0"/>
  </r>
  <r>
    <x v="0"/>
  </r>
  <r>
    <x v="1"/>
  </r>
  <r>
    <x v="1"/>
  </r>
  <r>
    <x v="0"/>
  </r>
  <r>
    <x v="0"/>
  </r>
  <r>
    <x v="1"/>
  </r>
  <r>
    <x v="1"/>
  </r>
  <r>
    <x v="0"/>
  </r>
  <r>
    <x v="0"/>
  </r>
  <r>
    <x v="1"/>
  </r>
  <r>
    <x v="0"/>
  </r>
  <r>
    <x v="0"/>
  </r>
  <r>
    <x v="0"/>
  </r>
  <r>
    <x v="0"/>
  </r>
  <r>
    <x v="1"/>
  </r>
  <r>
    <x v="0"/>
  </r>
  <r>
    <x v="0"/>
  </r>
  <r>
    <x v="0"/>
  </r>
  <r>
    <x v="0"/>
  </r>
  <r>
    <x v="1"/>
  </r>
  <r>
    <x v="1"/>
  </r>
  <r>
    <x v="0"/>
  </r>
  <r>
    <x v="0"/>
  </r>
  <r>
    <x v="0"/>
  </r>
  <r>
    <x v="0"/>
  </r>
  <r>
    <x v="1"/>
  </r>
  <r>
    <x v="0"/>
  </r>
  <r>
    <x v="0"/>
  </r>
  <r>
    <x v="0"/>
  </r>
  <r>
    <x v="0"/>
  </r>
  <r>
    <x v="0"/>
  </r>
  <r>
    <x v="0"/>
  </r>
  <r>
    <x v="0"/>
  </r>
  <r>
    <x v="0"/>
  </r>
  <r>
    <x v="0"/>
  </r>
  <r>
    <x v="0"/>
  </r>
  <r>
    <x v="1"/>
  </r>
  <r>
    <x v="0"/>
  </r>
  <r>
    <x v="0"/>
  </r>
  <r>
    <x v="0"/>
  </r>
  <r>
    <x v="0"/>
  </r>
  <r>
    <x v="1"/>
  </r>
  <r>
    <x v="0"/>
  </r>
  <r>
    <x v="0"/>
  </r>
  <r>
    <x v="0"/>
  </r>
  <r>
    <x v="1"/>
  </r>
  <r>
    <x v="0"/>
  </r>
  <r>
    <x v="0"/>
  </r>
  <r>
    <x v="0"/>
  </r>
  <r>
    <x v="1"/>
  </r>
  <r>
    <x v="1"/>
  </r>
  <r>
    <x v="0"/>
  </r>
  <r>
    <x v="0"/>
  </r>
  <r>
    <x v="0"/>
  </r>
  <r>
    <x v="1"/>
  </r>
  <r>
    <x v="1"/>
  </r>
  <r>
    <x v="1"/>
  </r>
  <r>
    <x v="0"/>
  </r>
  <r>
    <x v="0"/>
  </r>
  <r>
    <x v="1"/>
  </r>
  <r>
    <x v="1"/>
  </r>
  <r>
    <x v="1"/>
  </r>
  <r>
    <x v="0"/>
  </r>
  <r>
    <x v="1"/>
  </r>
  <r>
    <x v="1"/>
  </r>
  <r>
    <x v="1"/>
  </r>
  <r>
    <x v="0"/>
  </r>
  <r>
    <x v="0"/>
  </r>
  <r>
    <x v="0"/>
  </r>
  <r>
    <x v="0"/>
  </r>
  <r>
    <x v="1"/>
  </r>
  <r>
    <x v="1"/>
  </r>
  <r>
    <x v="0"/>
  </r>
  <r>
    <x v="0"/>
  </r>
  <r>
    <x v="1"/>
  </r>
  <r>
    <x v="0"/>
  </r>
  <r>
    <x v="0"/>
  </r>
  <r>
    <x v="1"/>
  </r>
  <r>
    <x v="0"/>
  </r>
  <r>
    <x v="0"/>
  </r>
  <r>
    <x v="0"/>
  </r>
  <r>
    <x v="0"/>
  </r>
  <r>
    <x v="1"/>
  </r>
  <r>
    <x v="0"/>
  </r>
  <r>
    <x v="0"/>
  </r>
  <r>
    <x v="0"/>
  </r>
  <r>
    <x v="0"/>
  </r>
  <r>
    <x v="0"/>
  </r>
  <r>
    <x v="1"/>
  </r>
  <r>
    <x v="0"/>
  </r>
  <r>
    <x v="1"/>
  </r>
  <r>
    <x v="1"/>
  </r>
  <r>
    <x v="1"/>
  </r>
  <r>
    <x v="0"/>
  </r>
  <r>
    <x v="0"/>
  </r>
  <r>
    <x v="1"/>
  </r>
  <r>
    <x v="1"/>
  </r>
  <r>
    <x v="0"/>
  </r>
  <r>
    <x v="0"/>
  </r>
  <r>
    <x v="1"/>
  </r>
  <r>
    <x v="1"/>
  </r>
  <r>
    <x v="0"/>
  </r>
  <r>
    <x v="1"/>
  </r>
  <r>
    <x v="0"/>
  </r>
  <r>
    <x v="0"/>
  </r>
  <r>
    <x v="0"/>
  </r>
  <r>
    <x v="0"/>
  </r>
  <r>
    <x v="0"/>
  </r>
  <r>
    <x v="0"/>
  </r>
  <r>
    <x v="1"/>
  </r>
  <r>
    <x v="0"/>
  </r>
  <r>
    <x v="0"/>
  </r>
  <r>
    <x v="0"/>
  </r>
  <r>
    <x v="0"/>
  </r>
  <r>
    <x v="1"/>
  </r>
  <r>
    <x v="1"/>
  </r>
  <r>
    <x v="1"/>
  </r>
  <r>
    <x v="0"/>
  </r>
  <r>
    <x v="0"/>
  </r>
  <r>
    <x v="0"/>
  </r>
  <r>
    <x v="1"/>
  </r>
  <r>
    <x v="0"/>
  </r>
  <r>
    <x v="0"/>
  </r>
  <r>
    <x v="1"/>
  </r>
  <r>
    <x v="1"/>
  </r>
  <r>
    <x v="0"/>
  </r>
  <r>
    <x v="0"/>
  </r>
  <r>
    <x v="0"/>
  </r>
  <r>
    <x v="1"/>
  </r>
  <r>
    <x v="0"/>
  </r>
  <r>
    <x v="1"/>
  </r>
  <r>
    <x v="0"/>
  </r>
  <r>
    <x v="0"/>
  </r>
  <r>
    <x v="1"/>
  </r>
  <r>
    <x v="1"/>
  </r>
  <r>
    <x v="0"/>
  </r>
  <r>
    <x v="0"/>
  </r>
  <r>
    <x v="0"/>
  </r>
  <r>
    <x v="0"/>
  </r>
  <r>
    <x v="1"/>
  </r>
  <r>
    <x v="0"/>
  </r>
  <r>
    <x v="0"/>
  </r>
  <r>
    <x v="0"/>
  </r>
  <r>
    <x v="0"/>
  </r>
  <r>
    <x v="0"/>
  </r>
  <r>
    <x v="0"/>
  </r>
  <r>
    <x v="1"/>
  </r>
  <r>
    <x v="0"/>
  </r>
  <r>
    <x v="0"/>
  </r>
  <r>
    <x v="0"/>
  </r>
  <r>
    <x v="0"/>
  </r>
  <r>
    <x v="0"/>
  </r>
  <r>
    <x v="0"/>
  </r>
  <r>
    <x v="0"/>
  </r>
  <r>
    <x v="0"/>
  </r>
  <r>
    <x v="1"/>
  </r>
  <r>
    <x v="1"/>
  </r>
  <r>
    <x v="1"/>
  </r>
  <r>
    <x v="0"/>
  </r>
  <r>
    <x v="0"/>
  </r>
  <r>
    <x v="0"/>
  </r>
  <r>
    <x v="0"/>
  </r>
  <r>
    <x v="0"/>
  </r>
  <r>
    <x v="0"/>
  </r>
  <r>
    <x v="0"/>
  </r>
  <r>
    <x v="0"/>
  </r>
  <r>
    <x v="1"/>
  </r>
  <r>
    <x v="1"/>
  </r>
  <r>
    <x v="1"/>
  </r>
  <r>
    <x v="0"/>
  </r>
  <r>
    <x v="1"/>
  </r>
  <r>
    <x v="0"/>
  </r>
  <r>
    <x v="0"/>
  </r>
  <r>
    <x v="1"/>
  </r>
  <r>
    <x v="0"/>
  </r>
  <r>
    <x v="0"/>
  </r>
  <r>
    <x v="0"/>
  </r>
  <r>
    <x v="0"/>
  </r>
  <r>
    <x v="1"/>
  </r>
  <r>
    <x v="0"/>
  </r>
  <r>
    <x v="1"/>
  </r>
  <r>
    <x v="1"/>
  </r>
  <r>
    <x v="0"/>
  </r>
  <r>
    <x v="0"/>
  </r>
  <r>
    <x v="0"/>
  </r>
  <r>
    <x v="1"/>
  </r>
  <r>
    <x v="1"/>
  </r>
  <r>
    <x v="1"/>
  </r>
  <r>
    <x v="0"/>
  </r>
  <r>
    <x v="0"/>
  </r>
  <r>
    <x v="0"/>
  </r>
  <r>
    <x v="1"/>
  </r>
  <r>
    <x v="1"/>
  </r>
  <r>
    <x v="0"/>
  </r>
  <r>
    <x v="0"/>
  </r>
  <r>
    <x v="0"/>
  </r>
  <r>
    <x v="0"/>
  </r>
  <r>
    <x v="0"/>
  </r>
  <r>
    <x v="1"/>
  </r>
  <r>
    <x v="0"/>
  </r>
  <r>
    <x v="0"/>
  </r>
  <r>
    <x v="1"/>
  </r>
  <r>
    <x v="0"/>
  </r>
  <r>
    <x v="0"/>
  </r>
  <r>
    <x v="0"/>
  </r>
  <r>
    <x v="0"/>
  </r>
  <r>
    <x v="0"/>
  </r>
  <r>
    <x v="0"/>
  </r>
  <r>
    <x v="0"/>
  </r>
  <r>
    <x v="1"/>
  </r>
  <r>
    <x v="1"/>
  </r>
  <r>
    <x v="0"/>
  </r>
  <r>
    <x v="0"/>
  </r>
  <r>
    <x v="0"/>
  </r>
  <r>
    <x v="1"/>
  </r>
  <r>
    <x v="0"/>
  </r>
  <r>
    <x v="1"/>
  </r>
  <r>
    <x v="0"/>
  </r>
  <r>
    <x v="0"/>
  </r>
  <r>
    <x v="0"/>
  </r>
  <r>
    <x v="0"/>
  </r>
  <r>
    <x v="0"/>
  </r>
  <r>
    <x v="0"/>
  </r>
  <r>
    <x v="1"/>
  </r>
  <r>
    <x v="1"/>
  </r>
  <r>
    <x v="0"/>
  </r>
  <r>
    <x v="0"/>
  </r>
  <r>
    <x v="1"/>
  </r>
  <r>
    <x v="1"/>
  </r>
  <r>
    <x v="0"/>
  </r>
  <r>
    <x v="1"/>
  </r>
  <r>
    <x v="0"/>
  </r>
  <r>
    <x v="1"/>
  </r>
  <r>
    <x v="0"/>
  </r>
  <r>
    <x v="0"/>
  </r>
  <r>
    <x v="0"/>
  </r>
  <r>
    <x v="0"/>
  </r>
  <r>
    <x v="1"/>
  </r>
  <r>
    <x v="1"/>
  </r>
  <r>
    <x v="0"/>
  </r>
  <r>
    <x v="0"/>
  </r>
  <r>
    <x v="0"/>
  </r>
  <r>
    <x v="0"/>
  </r>
  <r>
    <x v="0"/>
  </r>
  <r>
    <x v="1"/>
  </r>
  <r>
    <x v="1"/>
  </r>
  <r>
    <x v="0"/>
  </r>
  <r>
    <x v="0"/>
  </r>
  <r>
    <x v="0"/>
  </r>
  <r>
    <x v="0"/>
  </r>
  <r>
    <x v="0"/>
  </r>
  <r>
    <x v="0"/>
  </r>
  <r>
    <x v="0"/>
  </r>
  <r>
    <x v="1"/>
  </r>
  <r>
    <x v="1"/>
  </r>
  <r>
    <x v="0"/>
  </r>
  <r>
    <x v="0"/>
  </r>
  <r>
    <x v="0"/>
  </r>
  <r>
    <x v="0"/>
  </r>
  <r>
    <x v="0"/>
  </r>
  <r>
    <x v="0"/>
  </r>
  <r>
    <x v="1"/>
  </r>
  <r>
    <x v="0"/>
  </r>
  <r>
    <x v="1"/>
  </r>
  <r>
    <x v="0"/>
  </r>
  <r>
    <x v="1"/>
  </r>
  <r>
    <x v="1"/>
  </r>
  <r>
    <x v="0"/>
  </r>
  <r>
    <x v="0"/>
  </r>
  <r>
    <x v="0"/>
  </r>
  <r>
    <x v="0"/>
  </r>
  <r>
    <x v="0"/>
  </r>
  <r>
    <x v="0"/>
  </r>
  <r>
    <x v="0"/>
  </r>
  <r>
    <x v="1"/>
  </r>
  <r>
    <x v="1"/>
  </r>
  <r>
    <x v="1"/>
  </r>
  <r>
    <x v="0"/>
  </r>
  <r>
    <x v="1"/>
  </r>
  <r>
    <x v="0"/>
  </r>
  <r>
    <x v="0"/>
  </r>
  <r>
    <x v="1"/>
  </r>
  <r>
    <x v="1"/>
  </r>
  <r>
    <x v="1"/>
  </r>
  <r>
    <x v="0"/>
  </r>
  <r>
    <x v="0"/>
  </r>
  <r>
    <x v="1"/>
  </r>
  <r>
    <x v="0"/>
  </r>
  <r>
    <x v="1"/>
  </r>
  <r>
    <x v="0"/>
  </r>
  <r>
    <x v="0"/>
  </r>
  <r>
    <x v="1"/>
  </r>
  <r>
    <x v="1"/>
  </r>
  <r>
    <x v="0"/>
  </r>
  <r>
    <x v="0"/>
  </r>
  <r>
    <x v="1"/>
  </r>
  <r>
    <x v="1"/>
  </r>
  <r>
    <x v="1"/>
  </r>
  <r>
    <x v="0"/>
  </r>
  <r>
    <x v="0"/>
  </r>
  <r>
    <x v="0"/>
  </r>
  <r>
    <x v="0"/>
  </r>
  <r>
    <x v="0"/>
  </r>
  <r>
    <x v="1"/>
  </r>
  <r>
    <x v="0"/>
  </r>
  <r>
    <x v="1"/>
  </r>
  <r>
    <x v="1"/>
  </r>
  <r>
    <x v="0"/>
  </r>
  <r>
    <x v="0"/>
  </r>
  <r>
    <x v="0"/>
  </r>
  <r>
    <x v="0"/>
  </r>
  <r>
    <x v="0"/>
  </r>
  <r>
    <x v="1"/>
  </r>
  <r>
    <x v="0"/>
  </r>
  <r>
    <x v="0"/>
  </r>
  <r>
    <x v="0"/>
  </r>
  <r>
    <x v="0"/>
  </r>
  <r>
    <x v="0"/>
  </r>
  <r>
    <x v="0"/>
  </r>
  <r>
    <x v="0"/>
  </r>
  <r>
    <x v="0"/>
  </r>
  <r>
    <x v="0"/>
  </r>
  <r>
    <x v="1"/>
  </r>
  <r>
    <x v="0"/>
  </r>
  <r>
    <x v="0"/>
  </r>
  <r>
    <x v="0"/>
  </r>
  <r>
    <x v="1"/>
  </r>
  <r>
    <x v="0"/>
  </r>
  <r>
    <x v="1"/>
  </r>
  <r>
    <x v="0"/>
  </r>
  <r>
    <x v="0"/>
  </r>
  <r>
    <x v="0"/>
  </r>
  <r>
    <x v="1"/>
  </r>
  <r>
    <x v="0"/>
  </r>
  <r>
    <x v="0"/>
  </r>
  <r>
    <x v="1"/>
  </r>
  <r>
    <x v="0"/>
  </r>
  <r>
    <x v="0"/>
  </r>
  <r>
    <x v="1"/>
  </r>
  <r>
    <x v="1"/>
  </r>
  <r>
    <x v="1"/>
  </r>
  <r>
    <x v="1"/>
  </r>
  <r>
    <x v="0"/>
  </r>
  <r>
    <x v="1"/>
  </r>
  <r>
    <x v="1"/>
  </r>
  <r>
    <x v="0"/>
  </r>
  <r>
    <x v="0"/>
  </r>
  <r>
    <x v="0"/>
  </r>
  <r>
    <x v="1"/>
  </r>
  <r>
    <x v="0"/>
  </r>
  <r>
    <x v="0"/>
  </r>
  <r>
    <x v="0"/>
  </r>
  <r>
    <x v="2"/>
  </r>
</pivotCacheRecords>
</file>

<file path=xl/pivotCache/pivotCacheRecords19.xml><?xml version="1.0" encoding="utf-8"?>
<pivotCacheRecords xmlns="http://schemas.openxmlformats.org/spreadsheetml/2006/main" xmlns:r="http://schemas.openxmlformats.org/officeDocument/2006/relationships" count="421">
  <r>
    <x v="0"/>
  </r>
  <r>
    <x v="0"/>
  </r>
  <r>
    <x v="0"/>
  </r>
  <r>
    <x v="0"/>
  </r>
  <r>
    <x v="0"/>
  </r>
  <r>
    <x v="0"/>
  </r>
  <r>
    <x v="0"/>
  </r>
  <r>
    <x v="1"/>
  </r>
  <r>
    <x v="0"/>
  </r>
  <r>
    <x v="0"/>
  </r>
  <r>
    <x v="0"/>
  </r>
  <r>
    <x v="1"/>
  </r>
  <r>
    <x v="2"/>
  </r>
  <r>
    <x v="2"/>
  </r>
  <r>
    <x v="2"/>
  </r>
  <r>
    <x v="3"/>
  </r>
  <r>
    <x v="2"/>
  </r>
  <r>
    <x v="3"/>
  </r>
  <r>
    <x v="2"/>
  </r>
  <r>
    <x v="2"/>
  </r>
  <r>
    <x v="0"/>
  </r>
  <r>
    <x v="0"/>
  </r>
  <r>
    <x v="1"/>
  </r>
  <r>
    <x v="0"/>
  </r>
  <r>
    <x v="1"/>
  </r>
  <r>
    <x v="3"/>
  </r>
  <r>
    <x v="1"/>
  </r>
  <r>
    <x v="1"/>
  </r>
  <r>
    <x v="1"/>
  </r>
  <r>
    <x v="1"/>
  </r>
  <r>
    <x v="1"/>
  </r>
  <r>
    <x v="2"/>
  </r>
  <r>
    <x v="0"/>
  </r>
  <r>
    <x v="2"/>
  </r>
  <r>
    <x v="2"/>
  </r>
  <r>
    <x v="1"/>
  </r>
  <r>
    <x v="1"/>
  </r>
  <r>
    <x v="1"/>
  </r>
  <r>
    <x v="1"/>
  </r>
  <r>
    <x v="1"/>
  </r>
  <r>
    <x v="1"/>
  </r>
  <r>
    <x v="0"/>
  </r>
  <r>
    <x v="1"/>
  </r>
  <r>
    <x v="0"/>
  </r>
  <r>
    <x v="2"/>
  </r>
  <r>
    <x v="2"/>
  </r>
  <r>
    <x v="0"/>
  </r>
  <r>
    <x v="0"/>
  </r>
  <r>
    <x v="0"/>
  </r>
  <r>
    <x v="2"/>
  </r>
  <r>
    <x v="2"/>
  </r>
  <r>
    <x v="2"/>
  </r>
  <r>
    <x v="0"/>
  </r>
  <r>
    <x v="1"/>
  </r>
  <r>
    <x v="1"/>
  </r>
  <r>
    <x v="0"/>
  </r>
  <r>
    <x v="2"/>
  </r>
  <r>
    <x v="2"/>
  </r>
  <r>
    <x v="2"/>
  </r>
  <r>
    <x v="3"/>
  </r>
  <r>
    <x v="3"/>
  </r>
  <r>
    <x v="0"/>
  </r>
  <r>
    <x v="2"/>
  </r>
  <r>
    <x v="3"/>
  </r>
  <r>
    <x v="1"/>
  </r>
  <r>
    <x v="2"/>
  </r>
  <r>
    <x v="0"/>
  </r>
  <r>
    <x v="1"/>
  </r>
  <r>
    <x v="3"/>
  </r>
  <r>
    <x v="0"/>
  </r>
  <r>
    <x v="0"/>
  </r>
  <r>
    <x v="2"/>
  </r>
  <r>
    <x v="1"/>
  </r>
  <r>
    <x v="2"/>
  </r>
  <r>
    <x v="2"/>
  </r>
  <r>
    <x v="2"/>
  </r>
  <r>
    <x v="2"/>
  </r>
  <r>
    <x v="3"/>
  </r>
  <r>
    <x v="2"/>
  </r>
  <r>
    <x v="1"/>
  </r>
  <r>
    <x v="0"/>
  </r>
  <r>
    <x v="2"/>
  </r>
  <r>
    <x v="2"/>
  </r>
  <r>
    <x v="1"/>
  </r>
  <r>
    <x v="2"/>
  </r>
  <r>
    <x v="0"/>
  </r>
  <r>
    <x v="2"/>
  </r>
  <r>
    <x v="0"/>
  </r>
  <r>
    <x v="1"/>
  </r>
  <r>
    <x v="0"/>
  </r>
  <r>
    <x v="0"/>
  </r>
  <r>
    <x v="0"/>
  </r>
  <r>
    <x v="2"/>
  </r>
  <r>
    <x v="1"/>
  </r>
  <r>
    <x v="0"/>
  </r>
  <r>
    <x v="0"/>
  </r>
  <r>
    <x v="2"/>
  </r>
  <r>
    <x v="0"/>
  </r>
  <r>
    <x v="0"/>
  </r>
  <r>
    <x v="3"/>
  </r>
  <r>
    <x v="2"/>
  </r>
  <r>
    <x v="2"/>
  </r>
  <r>
    <x v="0"/>
  </r>
  <r>
    <x v="0"/>
  </r>
  <r>
    <x v="0"/>
  </r>
  <r>
    <x v="0"/>
  </r>
  <r>
    <x v="2"/>
  </r>
  <r>
    <x v="0"/>
  </r>
  <r>
    <x v="3"/>
  </r>
  <r>
    <x v="1"/>
  </r>
  <r>
    <x v="3"/>
  </r>
  <r>
    <x v="0"/>
  </r>
  <r>
    <x v="2"/>
  </r>
  <r>
    <x v="2"/>
  </r>
  <r>
    <x v="0"/>
  </r>
  <r>
    <x v="2"/>
  </r>
  <r>
    <x v="2"/>
  </r>
  <r>
    <x v="2"/>
  </r>
  <r>
    <x v="3"/>
  </r>
  <r>
    <x v="2"/>
  </r>
  <r>
    <x v="2"/>
  </r>
  <r>
    <x v="2"/>
  </r>
  <r>
    <x v="0"/>
  </r>
  <r>
    <x v="3"/>
  </r>
  <r>
    <x v="3"/>
  </r>
  <r>
    <x v="2"/>
  </r>
  <r>
    <x v="3"/>
  </r>
  <r>
    <x v="0"/>
  </r>
  <r>
    <x v="2"/>
  </r>
  <r>
    <x v="2"/>
  </r>
  <r>
    <x v="0"/>
  </r>
  <r>
    <x v="2"/>
  </r>
  <r>
    <x v="3"/>
  </r>
  <r>
    <x v="0"/>
  </r>
  <r>
    <x v="1"/>
  </r>
  <r>
    <x v="0"/>
  </r>
  <r>
    <x v="0"/>
  </r>
  <r>
    <x v="0"/>
  </r>
  <r>
    <x v="0"/>
  </r>
  <r>
    <x v="3"/>
  </r>
  <r>
    <x v="3"/>
  </r>
  <r>
    <x v="3"/>
  </r>
  <r>
    <x v="0"/>
  </r>
  <r>
    <x v="2"/>
  </r>
  <r>
    <x v="0"/>
  </r>
  <r>
    <x v="1"/>
  </r>
  <r>
    <x v="1"/>
  </r>
  <r>
    <x v="2"/>
  </r>
  <r>
    <x v="3"/>
  </r>
  <r>
    <x v="0"/>
  </r>
  <r>
    <x v="0"/>
  </r>
  <r>
    <x v="0"/>
  </r>
  <r>
    <x v="3"/>
  </r>
  <r>
    <x v="3"/>
  </r>
  <r>
    <x v="3"/>
  </r>
  <r>
    <x v="2"/>
  </r>
  <r>
    <x v="0"/>
  </r>
  <r>
    <x v="3"/>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4"/>
  </r>
</pivotCacheRecords>
</file>

<file path=xl/pivotCache/pivotCacheRecords20.xml><?xml version="1.0" encoding="utf-8"?>
<pivotCacheRecords xmlns="http://schemas.openxmlformats.org/spreadsheetml/2006/main" xmlns:r="http://schemas.openxmlformats.org/officeDocument/2006/relationships" count="421">
  <r>
    <x v="0"/>
  </r>
  <r>
    <x v="1"/>
  </r>
  <r>
    <x v="1"/>
  </r>
  <r>
    <x v="0"/>
  </r>
  <r>
    <x v="2"/>
  </r>
  <r>
    <x v="0"/>
  </r>
  <r>
    <x v="0"/>
  </r>
  <r>
    <x v="0"/>
  </r>
  <r>
    <x v="1"/>
  </r>
  <r>
    <x v="1"/>
  </r>
  <r>
    <x v="3"/>
  </r>
  <r>
    <x v="0"/>
  </r>
  <r>
    <x v="3"/>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4"/>
  </r>
  <r>
    <x v="4"/>
  </r>
  <r>
    <x v="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0"/>
  </r>
  <r>
    <x v="0"/>
  </r>
  <r>
    <x v="3"/>
  </r>
  <r>
    <x v="0"/>
  </r>
  <r>
    <x v="1"/>
  </r>
  <r>
    <x v="0"/>
  </r>
  <r>
    <x v="0"/>
  </r>
  <r>
    <x v="0"/>
  </r>
  <r>
    <x v="1"/>
  </r>
  <r>
    <x v="3"/>
  </r>
  <r>
    <x v="0"/>
  </r>
  <r>
    <x v="3"/>
  </r>
  <r>
    <x v="3"/>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5"/>
  </r>
  <r>
    <x v="0"/>
  </r>
  <r>
    <x v="5"/>
  </r>
  <r>
    <x v="0"/>
  </r>
  <r>
    <x v="5"/>
  </r>
  <r>
    <x v="0"/>
  </r>
  <r>
    <x v="0"/>
  </r>
  <r>
    <x v="0"/>
  </r>
  <r>
    <x v="0"/>
  </r>
  <r>
    <x v="0"/>
  </r>
  <r>
    <x v="0"/>
  </r>
  <r>
    <x v="0"/>
  </r>
  <r>
    <x v="0"/>
  </r>
  <r>
    <x v="0"/>
  </r>
  <r>
    <x v="0"/>
  </r>
  <r>
    <x v="0"/>
  </r>
  <r>
    <x v="0"/>
  </r>
  <r>
    <x v="0"/>
  </r>
  <r>
    <x v="0"/>
  </r>
  <r>
    <x v="0"/>
  </r>
  <r>
    <x v="0"/>
  </r>
  <r>
    <x v="1"/>
  </r>
  <r>
    <x v="0"/>
  </r>
  <r>
    <x v="1"/>
  </r>
  <r>
    <x v="0"/>
  </r>
  <r>
    <x v="0"/>
  </r>
  <r>
    <x v="0"/>
  </r>
  <r>
    <x v="0"/>
  </r>
  <r>
    <x v="0"/>
  </r>
  <r>
    <x v="1"/>
  </r>
  <r>
    <x v="0"/>
  </r>
  <r>
    <x v="0"/>
  </r>
  <r>
    <x v="0"/>
  </r>
  <r>
    <x v="0"/>
  </r>
  <r>
    <x v="0"/>
  </r>
  <r>
    <x v="0"/>
  </r>
  <r>
    <x v="3"/>
  </r>
  <r>
    <x v="0"/>
  </r>
  <r>
    <x v="0"/>
  </r>
  <r>
    <x v="0"/>
  </r>
  <r>
    <x v="0"/>
  </r>
  <r>
    <x v="0"/>
  </r>
  <r>
    <x v="0"/>
  </r>
  <r>
    <x v="0"/>
  </r>
  <r>
    <x v="0"/>
  </r>
  <r>
    <x v="0"/>
  </r>
  <r>
    <x v="1"/>
  </r>
  <r>
    <x v="0"/>
  </r>
  <r>
    <x v="0"/>
  </r>
  <r>
    <x v="0"/>
  </r>
  <r>
    <x v="0"/>
  </r>
  <r>
    <x v="0"/>
  </r>
  <r>
    <x v="0"/>
  </r>
  <r>
    <x v="0"/>
  </r>
  <r>
    <x v="5"/>
  </r>
  <r>
    <x v="6"/>
  </r>
  <r>
    <x v="0"/>
  </r>
  <r>
    <x v="3"/>
  </r>
  <r>
    <x v="0"/>
  </r>
  <r>
    <x v="0"/>
  </r>
  <r>
    <x v="1"/>
  </r>
  <r>
    <x v="0"/>
  </r>
  <r>
    <x v="0"/>
  </r>
  <r>
    <x v="1"/>
  </r>
  <r>
    <x v="0"/>
  </r>
  <r>
    <x v="0"/>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8"/>
  </r>
</pivotCacheRecords>
</file>

<file path=xl/pivotCache/pivotCacheRecords21.xml><?xml version="1.0" encoding="utf-8"?>
<pivotCacheRecords xmlns="http://schemas.openxmlformats.org/spreadsheetml/2006/main" xmlns:r="http://schemas.openxmlformats.org/officeDocument/2006/relationships" count="42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2"/>
  </r>
  <r>
    <x v="1"/>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3"/>
  </r>
  <r>
    <x v="0"/>
  </r>
  <r>
    <x v="1"/>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2"/>
  </r>
  <r>
    <x v="0"/>
  </r>
  <r>
    <x v="0"/>
  </r>
  <r>
    <x v="0"/>
  </r>
  <r>
    <x v="2"/>
  </r>
  <r>
    <x v="0"/>
  </r>
  <r>
    <x v="0"/>
  </r>
  <r>
    <x v="0"/>
  </r>
  <r>
    <x v="0"/>
  </r>
  <r>
    <x v="0"/>
  </r>
  <r>
    <x v="0"/>
  </r>
  <r>
    <x v="0"/>
  </r>
  <r>
    <x v="0"/>
  </r>
  <r>
    <x v="0"/>
  </r>
  <r>
    <x v="0"/>
  </r>
  <r>
    <x v="0"/>
  </r>
  <r>
    <x v="0"/>
  </r>
  <r>
    <x v="0"/>
  </r>
  <r>
    <x v="0"/>
  </r>
  <r>
    <x v="0"/>
  </r>
  <r>
    <x v="0"/>
  </r>
  <r>
    <x v="0"/>
  </r>
  <r>
    <x v="0"/>
  </r>
  <r>
    <x v="3"/>
  </r>
  <r>
    <x v="0"/>
  </r>
  <r>
    <x v="0"/>
  </r>
  <r>
    <x v="0"/>
  </r>
  <r>
    <x v="0"/>
  </r>
  <r>
    <x v="0"/>
  </r>
  <r>
    <x v="0"/>
  </r>
  <r>
    <x v="0"/>
  </r>
  <r>
    <x v="0"/>
  </r>
  <r>
    <x v="0"/>
  </r>
  <r>
    <x v="0"/>
  </r>
  <r>
    <x v="0"/>
  </r>
  <r>
    <x v="0"/>
  </r>
  <r>
    <x v="1"/>
  </r>
  <r>
    <x v="0"/>
  </r>
  <r>
    <x v="0"/>
  </r>
  <r>
    <x v="0"/>
  </r>
  <r>
    <x v="0"/>
  </r>
  <r>
    <x v="0"/>
  </r>
  <r>
    <x v="0"/>
  </r>
  <r>
    <x v="0"/>
  </r>
  <r>
    <x v="0"/>
  </r>
  <r>
    <x v="0"/>
  </r>
  <r>
    <x v="0"/>
  </r>
  <r>
    <x v="2"/>
  </r>
  <r>
    <x v="3"/>
  </r>
  <r>
    <x v="1"/>
  </r>
  <r>
    <x v="0"/>
  </r>
  <r>
    <x v="0"/>
  </r>
  <r>
    <x v="0"/>
  </r>
  <r>
    <x v="3"/>
  </r>
  <r>
    <x v="0"/>
  </r>
  <r>
    <x v="0"/>
  </r>
  <r>
    <x v="0"/>
  </r>
  <r>
    <x v="0"/>
  </r>
  <r>
    <x v="0"/>
  </r>
  <r>
    <x v="1"/>
  </r>
  <r>
    <x v="1"/>
  </r>
  <r>
    <x v="0"/>
  </r>
  <r>
    <x v="2"/>
  </r>
  <r>
    <x v="0"/>
  </r>
  <r>
    <x v="0"/>
  </r>
  <r>
    <x v="0"/>
  </r>
  <r>
    <x v="0"/>
  </r>
  <r>
    <x v="0"/>
  </r>
  <r>
    <x v="0"/>
  </r>
  <r>
    <x v="1"/>
  </r>
  <r>
    <x v="0"/>
  </r>
  <r>
    <x v="0"/>
  </r>
  <r>
    <x v="1"/>
  </r>
  <r>
    <x v="3"/>
  </r>
  <r>
    <x v="3"/>
  </r>
  <r>
    <x v="0"/>
  </r>
  <r>
    <x v="0"/>
  </r>
  <r>
    <x v="0"/>
  </r>
  <r>
    <x v="0"/>
  </r>
  <r>
    <x v="1"/>
  </r>
  <r>
    <x v="0"/>
  </r>
  <r>
    <x v="0"/>
  </r>
  <r>
    <x v="0"/>
  </r>
  <r>
    <x v="1"/>
  </r>
  <r>
    <x v="0"/>
  </r>
  <r>
    <x v="0"/>
  </r>
  <r>
    <x v="0"/>
  </r>
  <r>
    <x v="0"/>
  </r>
  <r>
    <x v="0"/>
  </r>
  <r>
    <x v="2"/>
  </r>
  <r>
    <x v="0"/>
  </r>
  <r>
    <x v="0"/>
  </r>
  <r>
    <x v="1"/>
  </r>
  <r>
    <x v="0"/>
  </r>
  <r>
    <x v="0"/>
  </r>
  <r>
    <x v="0"/>
  </r>
  <r>
    <x v="1"/>
  </r>
  <r>
    <x v="0"/>
  </r>
  <r>
    <x v="0"/>
  </r>
  <r>
    <x v="3"/>
  </r>
  <r>
    <x v="0"/>
  </r>
  <r>
    <x v="0"/>
  </r>
  <r>
    <x v="3"/>
  </r>
  <r>
    <x v="0"/>
  </r>
  <r>
    <x v="1"/>
  </r>
  <r>
    <x v="1"/>
  </r>
  <r>
    <x v="1"/>
  </r>
  <r>
    <x v="1"/>
  </r>
  <r>
    <x v="0"/>
  </r>
  <r>
    <x v="3"/>
  </r>
  <r>
    <x v="0"/>
  </r>
  <r>
    <x v="0"/>
  </r>
  <r>
    <x v="0"/>
  </r>
  <r>
    <x v="0"/>
  </r>
  <r>
    <x v="0"/>
  </r>
  <r>
    <x v="0"/>
  </r>
  <r>
    <x v="2"/>
  </r>
  <r>
    <x v="0"/>
  </r>
  <r>
    <x v="0"/>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0"/>
  </r>
  <r>
    <x v="0"/>
  </r>
  <r>
    <x v="0"/>
  </r>
  <r>
    <x v="0"/>
  </r>
  <r>
    <x v="1"/>
  </r>
  <r>
    <x v="0"/>
  </r>
  <r>
    <x v="0"/>
  </r>
  <r>
    <x v="0"/>
  </r>
  <r>
    <x v="0"/>
  </r>
  <r>
    <x v="1"/>
  </r>
  <r>
    <x v="0"/>
  </r>
  <r>
    <x v="0"/>
  </r>
  <r>
    <x v="0"/>
  </r>
  <r>
    <x v="0"/>
  </r>
  <r>
    <x v="0"/>
  </r>
  <r>
    <x v="0"/>
  </r>
  <r>
    <x v="0"/>
  </r>
  <r>
    <x v="0"/>
  </r>
  <r>
    <x v="1"/>
  </r>
  <r>
    <x v="0"/>
  </r>
  <r>
    <x v="0"/>
  </r>
  <r>
    <x v="0"/>
  </r>
  <r>
    <x v="0"/>
  </r>
  <r>
    <x v="0"/>
  </r>
  <r>
    <x v="0"/>
  </r>
  <r>
    <x v="2"/>
  </r>
  <r>
    <x v="1"/>
  </r>
  <r>
    <x v="1"/>
  </r>
  <r>
    <x v="1"/>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1"/>
  </r>
  <r>
    <x v="0"/>
  </r>
  <r>
    <x v="0"/>
  </r>
  <r>
    <x v="0"/>
  </r>
  <r>
    <x v="0"/>
  </r>
  <r>
    <x v="0"/>
  </r>
  <r>
    <x v="0"/>
  </r>
  <r>
    <x v="1"/>
  </r>
  <r>
    <x v="0"/>
  </r>
  <r>
    <x v="0"/>
  </r>
  <r>
    <x v="0"/>
  </r>
  <r>
    <x v="0"/>
  </r>
  <r>
    <x v="0"/>
  </r>
  <r>
    <x v="0"/>
  </r>
  <r>
    <x v="0"/>
  </r>
  <r>
    <x v="0"/>
  </r>
  <r>
    <x v="0"/>
  </r>
  <r>
    <x v="0"/>
  </r>
  <r>
    <x v="0"/>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pivotCacheRecords>
</file>

<file path=xl/pivotCache/pivotCacheRecords22.xml><?xml version="1.0" encoding="utf-8"?>
<pivotCacheRecords xmlns="http://schemas.openxmlformats.org/spreadsheetml/2006/main" xmlns:r="http://schemas.openxmlformats.org/officeDocument/2006/relationships" count="421">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0"/>
  </r>
  <r>
    <x v="1"/>
  </r>
  <r>
    <x v="1"/>
  </r>
  <r>
    <x v="1"/>
  </r>
  <r>
    <x v="1"/>
  </r>
  <r>
    <x v="1"/>
  </r>
  <r>
    <x v="1"/>
  </r>
  <r>
    <x v="1"/>
  </r>
  <r>
    <x v="1"/>
  </r>
  <r>
    <x v="0"/>
  </r>
  <r>
    <x v="1"/>
  </r>
  <r>
    <x v="1"/>
  </r>
  <r>
    <x v="1"/>
  </r>
  <r>
    <x v="0"/>
  </r>
  <r>
    <x v="0"/>
  </r>
  <r>
    <x v="1"/>
  </r>
  <r>
    <x v="1"/>
  </r>
  <r>
    <x v="1"/>
  </r>
  <r>
    <x v="1"/>
  </r>
  <r>
    <x v="1"/>
  </r>
  <r>
    <x v="1"/>
  </r>
  <r>
    <x v="1"/>
  </r>
  <r>
    <x v="1"/>
  </r>
  <r>
    <x v="0"/>
  </r>
  <r>
    <x v="1"/>
  </r>
  <r>
    <x v="1"/>
  </r>
  <r>
    <x v="1"/>
  </r>
  <r>
    <x v="1"/>
  </r>
  <r>
    <x v="1"/>
  </r>
  <r>
    <x v="1"/>
  </r>
  <r>
    <x v="1"/>
  </r>
  <r>
    <x v="1"/>
  </r>
  <r>
    <x v="0"/>
  </r>
  <r>
    <x v="1"/>
  </r>
  <r>
    <x v="1"/>
  </r>
  <r>
    <x v="1"/>
  </r>
  <r>
    <x v="1"/>
  </r>
  <r>
    <x v="1"/>
  </r>
  <r>
    <x v="1"/>
  </r>
  <r>
    <x v="0"/>
  </r>
  <r>
    <x v="1"/>
  </r>
  <r>
    <x v="1"/>
  </r>
  <r>
    <x v="1"/>
  </r>
  <r>
    <x v="1"/>
  </r>
  <r>
    <x v="0"/>
  </r>
  <r>
    <x v="1"/>
  </r>
  <r>
    <x v="1"/>
  </r>
  <r>
    <x v="1"/>
  </r>
  <r>
    <x v="1"/>
  </r>
  <r>
    <x v="1"/>
  </r>
  <r>
    <x v="1"/>
  </r>
  <r>
    <x v="1"/>
  </r>
  <r>
    <x v="1"/>
  </r>
  <r>
    <x v="1"/>
  </r>
  <r>
    <x v="1"/>
  </r>
  <r>
    <x v="1"/>
  </r>
  <r>
    <x v="1"/>
  </r>
  <r>
    <x v="1"/>
  </r>
  <r>
    <x v="1"/>
  </r>
  <r>
    <x v="0"/>
  </r>
  <r>
    <x v="0"/>
  </r>
  <r>
    <x v="1"/>
  </r>
  <r>
    <x v="1"/>
  </r>
  <r>
    <x v="1"/>
  </r>
  <r>
    <x v="0"/>
  </r>
  <r>
    <x v="0"/>
  </r>
  <r>
    <x v="0"/>
  </r>
  <r>
    <x v="0"/>
  </r>
  <r>
    <x v="1"/>
  </r>
  <r>
    <x v="1"/>
  </r>
  <r>
    <x v="1"/>
  </r>
  <r>
    <x v="0"/>
  </r>
  <r>
    <x v="0"/>
  </r>
  <r>
    <x v="0"/>
  </r>
  <r>
    <x v="1"/>
  </r>
  <r>
    <x v="0"/>
  </r>
  <r>
    <x v="1"/>
  </r>
  <r>
    <x v="0"/>
  </r>
  <r>
    <x v="0"/>
  </r>
  <r>
    <x v="0"/>
  </r>
  <r>
    <x v="1"/>
  </r>
  <r>
    <x v="1"/>
  </r>
  <r>
    <x v="0"/>
  </r>
  <r>
    <x v="1"/>
  </r>
  <r>
    <x v="1"/>
  </r>
  <r>
    <x v="1"/>
  </r>
  <r>
    <x v="0"/>
  </r>
  <r>
    <x v="0"/>
  </r>
  <r>
    <x v="0"/>
  </r>
  <r>
    <x v="0"/>
  </r>
  <r>
    <x v="0"/>
  </r>
  <r>
    <x v="0"/>
  </r>
  <r>
    <x v="0"/>
  </r>
  <r>
    <x v="1"/>
  </r>
  <r>
    <x v="0"/>
  </r>
  <r>
    <x v="0"/>
  </r>
  <r>
    <x v="1"/>
  </r>
  <r>
    <x v="0"/>
  </r>
  <r>
    <x v="0"/>
  </r>
  <r>
    <x v="0"/>
  </r>
  <r>
    <x v="1"/>
  </r>
  <r>
    <x v="1"/>
  </r>
  <r>
    <x v="0"/>
  </r>
  <r>
    <x v="0"/>
  </r>
  <r>
    <x v="1"/>
  </r>
  <r>
    <x v="1"/>
  </r>
  <r>
    <x v="1"/>
  </r>
  <r>
    <x v="1"/>
  </r>
  <r>
    <x v="0"/>
  </r>
  <r>
    <x v="0"/>
  </r>
  <r>
    <x v="1"/>
  </r>
  <r>
    <x v="0"/>
  </r>
  <r>
    <x v="0"/>
  </r>
  <r>
    <x v="0"/>
  </r>
  <r>
    <x v="1"/>
  </r>
  <r>
    <x v="0"/>
  </r>
  <r>
    <x v="0"/>
  </r>
  <r>
    <x v="1"/>
  </r>
  <r>
    <x v="1"/>
  </r>
  <r>
    <x v="1"/>
  </r>
  <r>
    <x v="1"/>
  </r>
  <r>
    <x v="0"/>
  </r>
  <r>
    <x v="1"/>
  </r>
  <r>
    <x v="0"/>
  </r>
  <r>
    <x v="1"/>
  </r>
  <r>
    <x v="1"/>
  </r>
  <r>
    <x v="0"/>
  </r>
  <r>
    <x v="1"/>
  </r>
  <r>
    <x v="1"/>
  </r>
  <r>
    <x v="0"/>
  </r>
  <r>
    <x v="1"/>
  </r>
  <r>
    <x v="0"/>
  </r>
  <r>
    <x v="0"/>
  </r>
  <r>
    <x v="0"/>
  </r>
  <r>
    <x v="0"/>
  </r>
  <r>
    <x v="0"/>
  </r>
  <r>
    <x v="0"/>
  </r>
  <r>
    <x v="0"/>
  </r>
  <r>
    <x v="0"/>
  </r>
  <r>
    <x v="1"/>
  </r>
  <r>
    <x v="0"/>
  </r>
  <r>
    <x v="0"/>
  </r>
  <r>
    <x v="0"/>
  </r>
  <r>
    <x v="0"/>
  </r>
  <r>
    <x v="0"/>
  </r>
  <r>
    <x v="0"/>
  </r>
  <r>
    <x v="0"/>
  </r>
  <r>
    <x v="0"/>
  </r>
  <r>
    <x v="0"/>
  </r>
  <r>
    <x v="0"/>
  </r>
  <r>
    <x v="0"/>
  </r>
  <r>
    <x v="0"/>
  </r>
  <r>
    <x v="0"/>
  </r>
  <r>
    <x v="0"/>
  </r>
  <r>
    <x v="0"/>
  </r>
  <r>
    <x v="0"/>
  </r>
  <r>
    <x v="1"/>
  </r>
  <r>
    <x v="1"/>
  </r>
  <r>
    <x v="0"/>
  </r>
  <r>
    <x v="0"/>
  </r>
  <r>
    <x v="0"/>
  </r>
  <r>
    <x v="1"/>
  </r>
  <r>
    <x v="0"/>
  </r>
  <r>
    <x v="0"/>
  </r>
  <r>
    <x v="1"/>
  </r>
  <r>
    <x v="0"/>
  </r>
  <r>
    <x v="1"/>
  </r>
  <r>
    <x v="0"/>
  </r>
  <r>
    <x v="1"/>
  </r>
  <r>
    <x v="1"/>
  </r>
  <r>
    <x v="1"/>
  </r>
  <r>
    <x v="1"/>
  </r>
  <r>
    <x v="1"/>
  </r>
  <r>
    <x v="1"/>
  </r>
  <r>
    <x v="1"/>
  </r>
  <r>
    <x v="0"/>
  </r>
  <r>
    <x v="0"/>
  </r>
  <r>
    <x v="0"/>
  </r>
  <r>
    <x v="0"/>
  </r>
  <r>
    <x v="0"/>
  </r>
  <r>
    <x v="1"/>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23.xml><?xml version="1.0" encoding="utf-8"?>
<pivotCacheRecords xmlns="http://schemas.openxmlformats.org/spreadsheetml/2006/main" xmlns:r="http://schemas.openxmlformats.org/officeDocument/2006/relationships" count="421">
  <r>
    <x v="0"/>
  </r>
  <r>
    <x v="1"/>
  </r>
  <r>
    <x v="1"/>
  </r>
  <r>
    <x v="0"/>
  </r>
  <r>
    <x v="1"/>
  </r>
  <r>
    <x v="1"/>
  </r>
  <r>
    <x v="0"/>
  </r>
  <r>
    <x v="1"/>
  </r>
  <r>
    <x v="0"/>
  </r>
  <r>
    <x v="1"/>
  </r>
  <r>
    <x v="0"/>
  </r>
  <r>
    <x v="0"/>
  </r>
  <r>
    <x v="1"/>
  </r>
  <r>
    <x v="1"/>
  </r>
  <r>
    <x v="1"/>
  </r>
  <r>
    <x v="0"/>
  </r>
  <r>
    <x v="0"/>
  </r>
  <r>
    <x v="0"/>
  </r>
  <r>
    <x v="0"/>
  </r>
  <r>
    <x v="0"/>
  </r>
  <r>
    <x v="0"/>
  </r>
  <r>
    <x v="0"/>
  </r>
  <r>
    <x v="0"/>
  </r>
  <r>
    <x v="0"/>
  </r>
  <r>
    <x v="0"/>
  </r>
  <r>
    <x v="0"/>
  </r>
  <r>
    <x v="0"/>
  </r>
  <r>
    <x v="0"/>
  </r>
  <r>
    <x v="0"/>
  </r>
  <r>
    <x v="1"/>
  </r>
  <r>
    <x v="1"/>
  </r>
  <r>
    <x v="0"/>
  </r>
  <r>
    <x v="0"/>
  </r>
  <r>
    <x v="0"/>
  </r>
  <r>
    <x v="0"/>
  </r>
  <r>
    <x v="1"/>
  </r>
  <r>
    <x v="1"/>
  </r>
  <r>
    <x v="0"/>
  </r>
  <r>
    <x v="0"/>
  </r>
  <r>
    <x v="1"/>
  </r>
  <r>
    <x v="1"/>
  </r>
  <r>
    <x v="0"/>
  </r>
  <r>
    <x v="0"/>
  </r>
  <r>
    <x v="0"/>
  </r>
  <r>
    <x v="0"/>
  </r>
  <r>
    <x v="0"/>
  </r>
  <r>
    <x v="1"/>
  </r>
  <r>
    <x v="0"/>
  </r>
  <r>
    <x v="0"/>
  </r>
  <r>
    <x v="0"/>
  </r>
  <r>
    <x v="0"/>
  </r>
  <r>
    <x v="0"/>
  </r>
  <r>
    <x v="0"/>
  </r>
  <r>
    <x v="0"/>
  </r>
  <r>
    <x v="0"/>
  </r>
  <r>
    <x v="0"/>
  </r>
  <r>
    <x v="0"/>
  </r>
  <r>
    <x v="0"/>
  </r>
  <r>
    <x v="0"/>
  </r>
  <r>
    <x v="0"/>
  </r>
  <r>
    <x v="0"/>
  </r>
  <r>
    <x v="0"/>
  </r>
  <r>
    <x v="0"/>
  </r>
  <r>
    <x v="0"/>
  </r>
  <r>
    <x v="0"/>
  </r>
  <r>
    <x v="0"/>
  </r>
  <r>
    <x v="0"/>
  </r>
  <r>
    <x v="0"/>
  </r>
  <r>
    <x v="0"/>
  </r>
  <r>
    <x v="1"/>
  </r>
  <r>
    <x v="1"/>
  </r>
  <r>
    <x v="0"/>
  </r>
  <r>
    <x v="0"/>
  </r>
  <r>
    <x v="0"/>
  </r>
  <r>
    <x v="0"/>
  </r>
  <r>
    <x v="0"/>
  </r>
  <r>
    <x v="1"/>
  </r>
  <r>
    <x v="1"/>
  </r>
  <r>
    <x v="0"/>
  </r>
  <r>
    <x v="0"/>
  </r>
  <r>
    <x v="0"/>
  </r>
  <r>
    <x v="0"/>
  </r>
  <r>
    <x v="0"/>
  </r>
  <r>
    <x v="0"/>
  </r>
  <r>
    <x v="0"/>
  </r>
  <r>
    <x v="0"/>
  </r>
  <r>
    <x v="0"/>
  </r>
  <r>
    <x v="0"/>
  </r>
  <r>
    <x v="0"/>
  </r>
  <r>
    <x v="1"/>
  </r>
  <r>
    <x v="1"/>
  </r>
  <r>
    <x v="0"/>
  </r>
  <r>
    <x v="0"/>
  </r>
  <r>
    <x v="0"/>
  </r>
  <r>
    <x v="0"/>
  </r>
  <r>
    <x v="0"/>
  </r>
  <r>
    <x v="0"/>
  </r>
  <r>
    <x v="0"/>
  </r>
  <r>
    <x v="0"/>
  </r>
  <r>
    <x v="0"/>
  </r>
  <r>
    <x v="0"/>
  </r>
  <r>
    <x v="0"/>
  </r>
  <r>
    <x v="0"/>
  </r>
  <r>
    <x v="0"/>
  </r>
  <r>
    <x v="1"/>
  </r>
  <r>
    <x v="1"/>
  </r>
  <r>
    <x v="0"/>
  </r>
  <r>
    <x v="0"/>
  </r>
  <r>
    <x v="1"/>
  </r>
  <r>
    <x v="0"/>
  </r>
  <r>
    <x v="0"/>
  </r>
  <r>
    <x v="0"/>
  </r>
  <r>
    <x v="0"/>
  </r>
  <r>
    <x v="0"/>
  </r>
  <r>
    <x v="0"/>
  </r>
  <r>
    <x v="1"/>
  </r>
  <r>
    <x v="0"/>
  </r>
  <r>
    <x v="0"/>
  </r>
  <r>
    <x v="0"/>
  </r>
  <r>
    <x v="0"/>
  </r>
  <r>
    <x v="0"/>
  </r>
  <r>
    <x v="0"/>
  </r>
  <r>
    <x v="0"/>
  </r>
  <r>
    <x v="0"/>
  </r>
  <r>
    <x v="0"/>
  </r>
  <r>
    <x v="0"/>
  </r>
  <r>
    <x v="0"/>
  </r>
  <r>
    <x v="0"/>
  </r>
  <r>
    <x v="1"/>
  </r>
  <r>
    <x v="0"/>
  </r>
  <r>
    <x v="0"/>
  </r>
  <r>
    <x v="0"/>
  </r>
  <r>
    <x v="1"/>
  </r>
  <r>
    <x v="1"/>
  </r>
  <r>
    <x v="0"/>
  </r>
  <r>
    <x v="0"/>
  </r>
  <r>
    <x v="0"/>
  </r>
  <r>
    <x v="0"/>
  </r>
  <r>
    <x v="0"/>
  </r>
  <r>
    <x v="1"/>
  </r>
  <r>
    <x v="1"/>
  </r>
  <r>
    <x v="1"/>
  </r>
  <r>
    <x v="0"/>
  </r>
  <r>
    <x v="0"/>
  </r>
  <r>
    <x v="0"/>
  </r>
  <r>
    <x v="1"/>
  </r>
  <r>
    <x v="1"/>
  </r>
  <r>
    <x v="0"/>
  </r>
  <r>
    <x v="0"/>
  </r>
  <r>
    <x v="0"/>
  </r>
  <r>
    <x v="0"/>
  </r>
  <r>
    <x v="0"/>
  </r>
  <r>
    <x v="1"/>
  </r>
  <r>
    <x v="1"/>
  </r>
  <r>
    <x v="1"/>
  </r>
  <r>
    <x v="0"/>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1"/>
  </r>
  <r>
    <x v="0"/>
  </r>
  <r>
    <x v="0"/>
  </r>
  <r>
    <x v="1"/>
  </r>
  <r>
    <x v="0"/>
  </r>
  <r>
    <x v="0"/>
  </r>
  <r>
    <x v="0"/>
  </r>
  <r>
    <x v="0"/>
  </r>
  <r>
    <x v="0"/>
  </r>
  <r>
    <x v="0"/>
  </r>
  <r>
    <x v="0"/>
  </r>
  <r>
    <x v="0"/>
  </r>
  <r>
    <x v="0"/>
  </r>
  <r>
    <x v="0"/>
  </r>
  <r>
    <x v="0"/>
  </r>
  <r>
    <x v="1"/>
  </r>
  <r>
    <x v="1"/>
  </r>
  <r>
    <x v="1"/>
  </r>
  <r>
    <x v="0"/>
  </r>
  <r>
    <x v="0"/>
  </r>
  <r>
    <x v="0"/>
  </r>
  <r>
    <x v="1"/>
  </r>
  <r>
    <x v="1"/>
  </r>
  <r>
    <x v="0"/>
  </r>
  <r>
    <x v="0"/>
  </r>
  <r>
    <x v="0"/>
  </r>
  <r>
    <x v="0"/>
  </r>
  <r>
    <x v="0"/>
  </r>
  <r>
    <x v="0"/>
  </r>
  <r>
    <x v="0"/>
  </r>
  <r>
    <x v="0"/>
  </r>
  <r>
    <x v="0"/>
  </r>
  <r>
    <x v="0"/>
  </r>
  <r>
    <x v="0"/>
  </r>
  <r>
    <x v="0"/>
  </r>
  <r>
    <x v="0"/>
  </r>
  <r>
    <x v="0"/>
  </r>
  <r>
    <x v="0"/>
  </r>
  <r>
    <x v="0"/>
  </r>
  <r>
    <x v="1"/>
  </r>
  <r>
    <x v="1"/>
  </r>
  <r>
    <x v="0"/>
  </r>
  <r>
    <x v="0"/>
  </r>
  <r>
    <x v="0"/>
  </r>
  <r>
    <x v="0"/>
  </r>
  <r>
    <x v="0"/>
  </r>
  <r>
    <x v="1"/>
  </r>
  <r>
    <x v="1"/>
  </r>
  <r>
    <x v="0"/>
  </r>
  <r>
    <x v="0"/>
  </r>
  <r>
    <x v="0"/>
  </r>
  <r>
    <x v="0"/>
  </r>
  <r>
    <x v="0"/>
  </r>
  <r>
    <x v="0"/>
  </r>
  <r>
    <x v="0"/>
  </r>
  <r>
    <x v="0"/>
  </r>
  <r>
    <x v="0"/>
  </r>
  <r>
    <x v="1"/>
  </r>
  <r>
    <x v="0"/>
  </r>
  <r>
    <x v="0"/>
  </r>
  <r>
    <x v="0"/>
  </r>
  <r>
    <x v="0"/>
  </r>
  <r>
    <x v="0"/>
  </r>
  <r>
    <x v="0"/>
  </r>
  <r>
    <x v="0"/>
  </r>
  <r>
    <x v="1"/>
  </r>
  <r>
    <x v="0"/>
  </r>
  <r>
    <x v="0"/>
  </r>
  <r>
    <x v="1"/>
  </r>
  <r>
    <x v="0"/>
  </r>
  <r>
    <x v="0"/>
  </r>
  <r>
    <x v="0"/>
  </r>
  <r>
    <x v="0"/>
  </r>
  <r>
    <x v="1"/>
  </r>
  <r>
    <x v="0"/>
  </r>
  <r>
    <x v="0"/>
  </r>
  <r>
    <x v="0"/>
  </r>
  <r>
    <x v="0"/>
  </r>
  <r>
    <x v="0"/>
  </r>
  <r>
    <x v="0"/>
  </r>
  <r>
    <x v="0"/>
  </r>
  <r>
    <x v="0"/>
  </r>
  <r>
    <x v="0"/>
  </r>
  <r>
    <x v="0"/>
  </r>
  <r>
    <x v="0"/>
  </r>
  <r>
    <x v="0"/>
  </r>
  <r>
    <x v="0"/>
  </r>
  <r>
    <x v="0"/>
  </r>
  <r>
    <x v="0"/>
  </r>
  <r>
    <x v="0"/>
  </r>
  <r>
    <x v="0"/>
  </r>
  <r>
    <x v="1"/>
  </r>
  <r>
    <x v="0"/>
  </r>
  <r>
    <x v="0"/>
  </r>
  <r>
    <x v="0"/>
  </r>
  <r>
    <x v="0"/>
  </r>
  <r>
    <x v="0"/>
  </r>
  <r>
    <x v="1"/>
  </r>
  <r>
    <x v="1"/>
  </r>
  <r>
    <x v="1"/>
  </r>
  <r>
    <x v="0"/>
  </r>
  <r>
    <x v="1"/>
  </r>
  <r>
    <x v="1"/>
  </r>
  <r>
    <x v="0"/>
  </r>
  <r>
    <x v="0"/>
  </r>
  <r>
    <x v="0"/>
  </r>
  <r>
    <x v="0"/>
  </r>
  <r>
    <x v="0"/>
  </r>
  <r>
    <x v="0"/>
  </r>
  <r>
    <x v="0"/>
  </r>
  <r>
    <x v="0"/>
  </r>
  <r>
    <x v="0"/>
  </r>
  <r>
    <x v="0"/>
  </r>
  <r>
    <x v="0"/>
  </r>
  <r>
    <x v="1"/>
  </r>
  <r>
    <x v="0"/>
  </r>
  <r>
    <x v="1"/>
  </r>
  <r>
    <x v="0"/>
  </r>
  <r>
    <x v="1"/>
  </r>
  <r>
    <x v="0"/>
  </r>
  <r>
    <x v="0"/>
  </r>
  <r>
    <x v="0"/>
  </r>
  <r>
    <x v="0"/>
  </r>
  <r>
    <x v="0"/>
  </r>
  <r>
    <x v="1"/>
  </r>
  <r>
    <x v="0"/>
  </r>
  <r>
    <x v="0"/>
  </r>
  <r>
    <x v="0"/>
  </r>
  <r>
    <x v="0"/>
  </r>
  <r>
    <x v="0"/>
  </r>
  <r>
    <x v="0"/>
  </r>
  <r>
    <x v="0"/>
  </r>
  <r>
    <x v="0"/>
  </r>
  <r>
    <x v="0"/>
  </r>
  <r>
    <x v="0"/>
  </r>
  <r>
    <x v="0"/>
  </r>
  <r>
    <x v="0"/>
  </r>
  <r>
    <x v="0"/>
  </r>
  <r>
    <x v="0"/>
  </r>
  <r>
    <x v="0"/>
  </r>
  <r>
    <x v="1"/>
  </r>
  <r>
    <x v="1"/>
  </r>
  <r>
    <x v="0"/>
  </r>
  <r>
    <x v="0"/>
  </r>
  <r>
    <x v="0"/>
  </r>
  <r>
    <x v="0"/>
  </r>
  <r>
    <x v="1"/>
  </r>
  <r>
    <x v="1"/>
  </r>
  <r>
    <x v="1"/>
  </r>
  <r>
    <x v="1"/>
  </r>
  <r>
    <x v="0"/>
  </r>
  <r>
    <x v="1"/>
  </r>
  <r>
    <x v="0"/>
  </r>
  <r>
    <x v="0"/>
  </r>
  <r>
    <x v="0"/>
  </r>
  <r>
    <x v="1"/>
  </r>
  <r>
    <x v="0"/>
  </r>
  <r>
    <x v="0"/>
  </r>
  <r>
    <x v="0"/>
  </r>
  <r>
    <x v="0"/>
  </r>
  <r>
    <x v="0"/>
  </r>
  <r>
    <x v="2"/>
  </r>
  <r>
    <x v="2"/>
  </r>
  <r>
    <x v="2"/>
  </r>
  <r>
    <x v="2"/>
  </r>
  <r>
    <x v="3"/>
  </r>
  <r>
    <x v="3"/>
  </r>
  <r>
    <x v="2"/>
  </r>
  <r>
    <x v="3"/>
  </r>
  <r>
    <x v="3"/>
  </r>
  <r>
    <x v="2"/>
  </r>
  <r>
    <x v="2"/>
  </r>
  <r>
    <x v="2"/>
  </r>
  <r>
    <x v="3"/>
  </r>
  <r>
    <x v="3"/>
  </r>
  <r>
    <x v="2"/>
  </r>
  <r>
    <x v="2"/>
  </r>
  <r>
    <x v="3"/>
  </r>
  <r>
    <x v="3"/>
  </r>
  <r>
    <x v="2"/>
  </r>
  <r>
    <x v="3"/>
  </r>
  <r>
    <x v="2"/>
  </r>
  <r>
    <x v="3"/>
  </r>
  <r>
    <x v="3"/>
  </r>
  <r>
    <x v="2"/>
  </r>
  <r>
    <x v="2"/>
  </r>
  <r>
    <x v="2"/>
  </r>
  <r>
    <x v="3"/>
  </r>
  <r>
    <x v="3"/>
  </r>
  <r>
    <x v="3"/>
  </r>
  <r>
    <x v="3"/>
  </r>
  <r>
    <x v="2"/>
  </r>
  <r>
    <x v="2"/>
  </r>
  <r>
    <x v="3"/>
  </r>
  <r>
    <x v="2"/>
  </r>
  <r>
    <x v="2"/>
  </r>
  <r>
    <x v="2"/>
  </r>
  <r>
    <x v="2"/>
  </r>
  <r>
    <x v="2"/>
  </r>
  <r>
    <x v="2"/>
  </r>
  <r>
    <x v="2"/>
  </r>
  <r>
    <x v="3"/>
  </r>
  <r>
    <x v="3"/>
  </r>
  <r>
    <x v="3"/>
  </r>
  <r>
    <x v="3"/>
  </r>
  <r>
    <x v="2"/>
  </r>
  <r>
    <x v="3"/>
  </r>
  <r>
    <x v="3"/>
  </r>
  <r>
    <x v="2"/>
  </r>
  <r>
    <x v="3"/>
  </r>
  <r>
    <x v="2"/>
  </r>
  <r>
    <x v="3"/>
  </r>
  <r>
    <x v="2"/>
  </r>
  <r>
    <x v="2"/>
  </r>
  <r>
    <x v="2"/>
  </r>
  <r>
    <x v="2"/>
  </r>
  <r>
    <x v="2"/>
  </r>
  <r>
    <x v="3"/>
  </r>
  <r>
    <x v="3"/>
  </r>
  <r>
    <x v="3"/>
  </r>
  <r>
    <x v="2"/>
  </r>
  <r>
    <x v="3"/>
  </r>
  <r>
    <x v="2"/>
  </r>
  <r>
    <x v="2"/>
  </r>
  <r>
    <x v="4"/>
  </r>
</pivotCacheRecords>
</file>

<file path=xl/pivotCache/pivotCacheRecords24.xml><?xml version="1.0" encoding="utf-8"?>
<pivotCacheRecords xmlns="http://schemas.openxmlformats.org/spreadsheetml/2006/main" xmlns:r="http://schemas.openxmlformats.org/officeDocument/2006/relationships" count="421">
  <r>
    <x v="0"/>
  </r>
  <r>
    <x v="0"/>
  </r>
  <r>
    <x v="1"/>
  </r>
  <r>
    <x v="1"/>
  </r>
  <r>
    <x v="0"/>
  </r>
  <r>
    <x v="1"/>
  </r>
  <r>
    <x v="1"/>
  </r>
  <r>
    <x v="1"/>
  </r>
  <r>
    <x v="1"/>
  </r>
  <r>
    <x v="1"/>
  </r>
  <r>
    <x v="1"/>
  </r>
  <r>
    <x v="1"/>
  </r>
  <r>
    <x v="2"/>
  </r>
  <r>
    <x v="2"/>
  </r>
  <r>
    <x v="1"/>
  </r>
  <r>
    <x v="2"/>
  </r>
  <r>
    <x v="2"/>
  </r>
  <r>
    <x v="2"/>
  </r>
  <r>
    <x v="1"/>
  </r>
  <r>
    <x v="0"/>
  </r>
  <r>
    <x v="2"/>
  </r>
  <r>
    <x v="2"/>
  </r>
  <r>
    <x v="1"/>
  </r>
  <r>
    <x v="0"/>
  </r>
  <r>
    <x v="0"/>
  </r>
  <r>
    <x v="2"/>
  </r>
  <r>
    <x v="1"/>
  </r>
  <r>
    <x v="2"/>
  </r>
  <r>
    <x v="2"/>
  </r>
  <r>
    <x v="2"/>
  </r>
  <r>
    <x v="1"/>
  </r>
  <r>
    <x v="1"/>
  </r>
  <r>
    <x v="0"/>
  </r>
  <r>
    <x v="1"/>
  </r>
  <r>
    <x v="2"/>
  </r>
  <r>
    <x v="1"/>
  </r>
  <r>
    <x v="2"/>
  </r>
  <r>
    <x v="1"/>
  </r>
  <r>
    <x v="2"/>
  </r>
  <r>
    <x v="2"/>
  </r>
  <r>
    <x v="1"/>
  </r>
  <r>
    <x v="2"/>
  </r>
  <r>
    <x v="0"/>
  </r>
  <r>
    <x v="2"/>
  </r>
  <r>
    <x v="1"/>
  </r>
  <r>
    <x v="1"/>
  </r>
  <r>
    <x v="0"/>
  </r>
  <r>
    <x v="2"/>
  </r>
  <r>
    <x v="1"/>
  </r>
  <r>
    <x v="1"/>
  </r>
  <r>
    <x v="0"/>
  </r>
  <r>
    <x v="1"/>
  </r>
  <r>
    <x v="1"/>
  </r>
  <r>
    <x v="1"/>
  </r>
  <r>
    <x v="1"/>
  </r>
  <r>
    <x v="1"/>
  </r>
  <r>
    <x v="1"/>
  </r>
  <r>
    <x v="1"/>
  </r>
  <r>
    <x v="2"/>
  </r>
  <r>
    <x v="2"/>
  </r>
  <r>
    <x v="1"/>
  </r>
  <r>
    <x v="2"/>
  </r>
  <r>
    <x v="1"/>
  </r>
  <r>
    <x v="2"/>
  </r>
  <r>
    <x v="1"/>
  </r>
  <r>
    <x v="1"/>
  </r>
  <r>
    <x v="1"/>
  </r>
  <r>
    <x v="1"/>
  </r>
  <r>
    <x v="0"/>
  </r>
  <r>
    <x v="2"/>
  </r>
  <r>
    <x v="2"/>
  </r>
  <r>
    <x v="1"/>
  </r>
  <r>
    <x v="1"/>
  </r>
  <r>
    <x v="2"/>
  </r>
  <r>
    <x v="2"/>
  </r>
  <r>
    <x v="0"/>
  </r>
  <r>
    <x v="1"/>
  </r>
  <r>
    <x v="2"/>
  </r>
  <r>
    <x v="0"/>
  </r>
  <r>
    <x v="1"/>
  </r>
  <r>
    <x v="1"/>
  </r>
  <r>
    <x v="0"/>
  </r>
  <r>
    <x v="2"/>
  </r>
  <r>
    <x v="1"/>
  </r>
  <r>
    <x v="1"/>
  </r>
  <r>
    <x v="1"/>
  </r>
  <r>
    <x v="1"/>
  </r>
  <r>
    <x v="2"/>
  </r>
  <r>
    <x v="2"/>
  </r>
  <r>
    <x v="1"/>
  </r>
  <r>
    <x v="1"/>
  </r>
  <r>
    <x v="1"/>
  </r>
  <r>
    <x v="3"/>
  </r>
  <r>
    <x v="2"/>
  </r>
  <r>
    <x v="0"/>
  </r>
  <r>
    <x v="1"/>
  </r>
  <r>
    <x v="1"/>
  </r>
  <r>
    <x v="0"/>
  </r>
  <r>
    <x v="0"/>
  </r>
  <r>
    <x v="1"/>
  </r>
  <r>
    <x v="0"/>
  </r>
  <r>
    <x v="3"/>
  </r>
  <r>
    <x v="0"/>
  </r>
  <r>
    <x v="1"/>
  </r>
  <r>
    <x v="2"/>
  </r>
  <r>
    <x v="1"/>
  </r>
  <r>
    <x v="1"/>
  </r>
  <r>
    <x v="1"/>
  </r>
  <r>
    <x v="1"/>
  </r>
  <r>
    <x v="2"/>
  </r>
  <r>
    <x v="1"/>
  </r>
  <r>
    <x v="1"/>
  </r>
  <r>
    <x v="1"/>
  </r>
  <r>
    <x v="2"/>
  </r>
  <r>
    <x v="1"/>
  </r>
  <r>
    <x v="1"/>
  </r>
  <r>
    <x v="1"/>
  </r>
  <r>
    <x v="2"/>
  </r>
  <r>
    <x v="2"/>
  </r>
  <r>
    <x v="1"/>
  </r>
  <r>
    <x v="1"/>
  </r>
  <r>
    <x v="1"/>
  </r>
  <r>
    <x v="2"/>
  </r>
  <r>
    <x v="2"/>
  </r>
  <r>
    <x v="2"/>
  </r>
  <r>
    <x v="1"/>
  </r>
  <r>
    <x v="1"/>
  </r>
  <r>
    <x v="2"/>
  </r>
  <r>
    <x v="2"/>
  </r>
  <r>
    <x v="2"/>
  </r>
  <r>
    <x v="0"/>
  </r>
  <r>
    <x v="2"/>
  </r>
  <r>
    <x v="2"/>
  </r>
  <r>
    <x v="2"/>
  </r>
  <r>
    <x v="1"/>
  </r>
  <r>
    <x v="1"/>
  </r>
  <r>
    <x v="0"/>
  </r>
  <r>
    <x v="1"/>
  </r>
  <r>
    <x v="2"/>
  </r>
  <r>
    <x v="2"/>
  </r>
  <r>
    <x v="1"/>
  </r>
  <r>
    <x v="1"/>
  </r>
  <r>
    <x v="2"/>
  </r>
  <r>
    <x v="0"/>
  </r>
  <r>
    <x v="1"/>
  </r>
  <r>
    <x v="2"/>
  </r>
  <r>
    <x v="1"/>
  </r>
  <r>
    <x v="1"/>
  </r>
  <r>
    <x v="0"/>
  </r>
  <r>
    <x v="1"/>
  </r>
  <r>
    <x v="2"/>
  </r>
  <r>
    <x v="0"/>
  </r>
  <r>
    <x v="3"/>
  </r>
  <r>
    <x v="1"/>
  </r>
  <r>
    <x v="1"/>
  </r>
  <r>
    <x v="1"/>
  </r>
  <r>
    <x v="2"/>
  </r>
  <r>
    <x v="1"/>
  </r>
  <r>
    <x v="2"/>
  </r>
  <r>
    <x v="2"/>
  </r>
  <r>
    <x v="2"/>
  </r>
  <r>
    <x v="0"/>
  </r>
  <r>
    <x v="1"/>
  </r>
  <r>
    <x v="2"/>
  </r>
  <r>
    <x v="2"/>
  </r>
  <r>
    <x v="1"/>
  </r>
  <r>
    <x v="1"/>
  </r>
  <r>
    <x v="2"/>
  </r>
  <r>
    <x v="2"/>
  </r>
  <r>
    <x v="1"/>
  </r>
  <r>
    <x v="2"/>
  </r>
  <r>
    <x v="1"/>
  </r>
  <r>
    <x v="1"/>
  </r>
  <r>
    <x v="1"/>
  </r>
  <r>
    <x v="0"/>
  </r>
  <r>
    <x v="1"/>
  </r>
  <r>
    <x v="1"/>
  </r>
  <r>
    <x v="2"/>
  </r>
  <r>
    <x v="1"/>
  </r>
  <r>
    <x v="1"/>
  </r>
  <r>
    <x v="1"/>
  </r>
  <r>
    <x v="0"/>
  </r>
  <r>
    <x v="2"/>
  </r>
  <r>
    <x v="2"/>
  </r>
  <r>
    <x v="2"/>
  </r>
  <r>
    <x v="1"/>
  </r>
  <r>
    <x v="1"/>
  </r>
  <r>
    <x v="1"/>
  </r>
  <r>
    <x v="2"/>
  </r>
  <r>
    <x v="0"/>
  </r>
  <r>
    <x v="0"/>
  </r>
  <r>
    <x v="2"/>
  </r>
  <r>
    <x v="2"/>
  </r>
  <r>
    <x v="1"/>
  </r>
  <r>
    <x v="1"/>
  </r>
  <r>
    <x v="1"/>
  </r>
  <r>
    <x v="2"/>
  </r>
  <r>
    <x v="0"/>
  </r>
  <r>
    <x v="2"/>
  </r>
  <r>
    <x v="1"/>
  </r>
  <r>
    <x v="1"/>
  </r>
  <r>
    <x v="2"/>
  </r>
  <r>
    <x v="2"/>
  </r>
  <r>
    <x v="0"/>
  </r>
  <r>
    <x v="0"/>
  </r>
  <r>
    <x v="1"/>
  </r>
  <r>
    <x v="1"/>
  </r>
  <r>
    <x v="2"/>
  </r>
  <r>
    <x v="0"/>
  </r>
  <r>
    <x v="1"/>
  </r>
  <r>
    <x v="1"/>
  </r>
  <r>
    <x v="0"/>
  </r>
  <r>
    <x v="1"/>
  </r>
  <r>
    <x v="0"/>
  </r>
  <r>
    <x v="2"/>
  </r>
  <r>
    <x v="1"/>
  </r>
  <r>
    <x v="1"/>
  </r>
  <r>
    <x v="0"/>
  </r>
  <r>
    <x v="0"/>
  </r>
  <r>
    <x v="1"/>
  </r>
  <r>
    <x v="1"/>
  </r>
  <r>
    <x v="1"/>
  </r>
  <r>
    <x v="1"/>
  </r>
  <r>
    <x v="2"/>
  </r>
  <r>
    <x v="2"/>
  </r>
  <r>
    <x v="2"/>
  </r>
  <r>
    <x v="0"/>
  </r>
  <r>
    <x v="1"/>
  </r>
  <r>
    <x v="1"/>
  </r>
  <r>
    <x v="1"/>
  </r>
  <r>
    <x v="1"/>
  </r>
  <r>
    <x v="1"/>
  </r>
  <r>
    <x v="1"/>
  </r>
  <r>
    <x v="1"/>
  </r>
  <r>
    <x v="2"/>
  </r>
  <r>
    <x v="2"/>
  </r>
  <r>
    <x v="2"/>
  </r>
  <r>
    <x v="1"/>
  </r>
  <r>
    <x v="2"/>
  </r>
  <r>
    <x v="1"/>
  </r>
  <r>
    <x v="1"/>
  </r>
  <r>
    <x v="2"/>
  </r>
  <r>
    <x v="1"/>
  </r>
  <r>
    <x v="1"/>
  </r>
  <r>
    <x v="1"/>
  </r>
  <r>
    <x v="1"/>
  </r>
  <r>
    <x v="2"/>
  </r>
  <r>
    <x v="1"/>
  </r>
  <r>
    <x v="2"/>
  </r>
  <r>
    <x v="2"/>
  </r>
  <r>
    <x v="1"/>
  </r>
  <r>
    <x v="1"/>
  </r>
  <r>
    <x v="1"/>
  </r>
  <r>
    <x v="2"/>
  </r>
  <r>
    <x v="2"/>
  </r>
  <r>
    <x v="2"/>
  </r>
  <r>
    <x v="1"/>
  </r>
  <r>
    <x v="1"/>
  </r>
  <r>
    <x v="1"/>
  </r>
  <r>
    <x v="2"/>
  </r>
  <r>
    <x v="2"/>
  </r>
  <r>
    <x v="1"/>
  </r>
  <r>
    <x v="1"/>
  </r>
  <r>
    <x v="0"/>
  </r>
  <r>
    <x v="1"/>
  </r>
  <r>
    <x v="1"/>
  </r>
  <r>
    <x v="2"/>
  </r>
  <r>
    <x v="1"/>
  </r>
  <r>
    <x v="0"/>
  </r>
  <r>
    <x v="2"/>
  </r>
  <r>
    <x v="1"/>
  </r>
  <r>
    <x v="0"/>
  </r>
  <r>
    <x v="1"/>
  </r>
  <r>
    <x v="1"/>
  </r>
  <r>
    <x v="0"/>
  </r>
  <r>
    <x v="1"/>
  </r>
  <r>
    <x v="1"/>
  </r>
  <r>
    <x v="2"/>
  </r>
  <r>
    <x v="2"/>
  </r>
  <r>
    <x v="1"/>
  </r>
  <r>
    <x v="1"/>
  </r>
  <r>
    <x v="0"/>
  </r>
  <r>
    <x v="2"/>
  </r>
  <r>
    <x v="1"/>
  </r>
  <r>
    <x v="2"/>
  </r>
  <r>
    <x v="1"/>
  </r>
  <r>
    <x v="1"/>
  </r>
  <r>
    <x v="1"/>
  </r>
  <r>
    <x v="0"/>
  </r>
  <r>
    <x v="0"/>
  </r>
  <r>
    <x v="1"/>
  </r>
  <r>
    <x v="2"/>
  </r>
  <r>
    <x v="2"/>
  </r>
  <r>
    <x v="0"/>
  </r>
  <r>
    <x v="1"/>
  </r>
  <r>
    <x v="2"/>
  </r>
  <r>
    <x v="2"/>
  </r>
  <r>
    <x v="1"/>
  </r>
  <r>
    <x v="2"/>
  </r>
  <r>
    <x v="0"/>
  </r>
  <r>
    <x v="2"/>
  </r>
  <r>
    <x v="0"/>
  </r>
  <r>
    <x v="1"/>
  </r>
  <r>
    <x v="0"/>
  </r>
  <r>
    <x v="1"/>
  </r>
  <r>
    <x v="2"/>
  </r>
  <r>
    <x v="2"/>
  </r>
  <r>
    <x v="0"/>
  </r>
  <r>
    <x v="1"/>
  </r>
  <r>
    <x v="1"/>
  </r>
  <r>
    <x v="1"/>
  </r>
  <r>
    <x v="0"/>
  </r>
  <r>
    <x v="2"/>
  </r>
  <r>
    <x v="2"/>
  </r>
  <r>
    <x v="1"/>
  </r>
  <r>
    <x v="1"/>
  </r>
  <r>
    <x v="1"/>
  </r>
  <r>
    <x v="1"/>
  </r>
  <r>
    <x v="0"/>
  </r>
  <r>
    <x v="1"/>
  </r>
  <r>
    <x v="1"/>
  </r>
  <r>
    <x v="2"/>
  </r>
  <r>
    <x v="2"/>
  </r>
  <r>
    <x v="1"/>
  </r>
  <r>
    <x v="1"/>
  </r>
  <r>
    <x v="1"/>
  </r>
  <r>
    <x v="1"/>
  </r>
  <r>
    <x v="1"/>
  </r>
  <r>
    <x v="1"/>
  </r>
  <r>
    <x v="2"/>
  </r>
  <r>
    <x v="1"/>
  </r>
  <r>
    <x v="4"/>
  </r>
  <r>
    <x v="0"/>
  </r>
  <r>
    <x v="2"/>
  </r>
  <r>
    <x v="2"/>
  </r>
  <r>
    <x v="1"/>
  </r>
  <r>
    <x v="1"/>
  </r>
  <r>
    <x v="1"/>
  </r>
  <r>
    <x v="1"/>
  </r>
  <r>
    <x v="1"/>
  </r>
  <r>
    <x v="1"/>
  </r>
  <r>
    <x v="1"/>
  </r>
  <r>
    <x v="2"/>
  </r>
  <r>
    <x v="2"/>
  </r>
  <r>
    <x v="2"/>
  </r>
  <r>
    <x v="0"/>
  </r>
  <r>
    <x v="2"/>
  </r>
  <r>
    <x v="1"/>
  </r>
  <r>
    <x v="1"/>
  </r>
  <r>
    <x v="2"/>
  </r>
  <r>
    <x v="2"/>
  </r>
  <r>
    <x v="2"/>
  </r>
  <r>
    <x v="1"/>
  </r>
  <r>
    <x v="1"/>
  </r>
  <r>
    <x v="2"/>
  </r>
  <r>
    <x v="1"/>
  </r>
  <r>
    <x v="2"/>
  </r>
  <r>
    <x v="0"/>
  </r>
  <r>
    <x v="1"/>
  </r>
  <r>
    <x v="2"/>
  </r>
  <r>
    <x v="2"/>
  </r>
  <r>
    <x v="1"/>
  </r>
  <r>
    <x v="1"/>
  </r>
  <r>
    <x v="2"/>
  </r>
  <r>
    <x v="2"/>
  </r>
  <r>
    <x v="2"/>
  </r>
  <r>
    <x v="1"/>
  </r>
  <r>
    <x v="0"/>
  </r>
  <r>
    <x v="1"/>
  </r>
  <r>
    <x v="0"/>
  </r>
  <r>
    <x v="1"/>
  </r>
  <r>
    <x v="2"/>
  </r>
  <r>
    <x v="1"/>
  </r>
  <r>
    <x v="2"/>
  </r>
  <r>
    <x v="2"/>
  </r>
  <r>
    <x v="1"/>
  </r>
  <r>
    <x v="1"/>
  </r>
  <r>
    <x v="1"/>
  </r>
  <r>
    <x v="1"/>
  </r>
  <r>
    <x v="1"/>
  </r>
  <r>
    <x v="2"/>
  </r>
  <r>
    <x v="1"/>
  </r>
  <r>
    <x v="1"/>
  </r>
  <r>
    <x v="1"/>
  </r>
  <r>
    <x v="1"/>
  </r>
  <r>
    <x v="1"/>
  </r>
  <r>
    <x v="0"/>
  </r>
  <r>
    <x v="1"/>
  </r>
  <r>
    <x v="1"/>
  </r>
  <r>
    <x v="0"/>
  </r>
  <r>
    <x v="4"/>
  </r>
  <r>
    <x v="1"/>
  </r>
  <r>
    <x v="1"/>
  </r>
  <r>
    <x v="1"/>
  </r>
  <r>
    <x v="2"/>
  </r>
  <r>
    <x v="1"/>
  </r>
  <r>
    <x v="2"/>
  </r>
  <r>
    <x v="1"/>
  </r>
  <r>
    <x v="1"/>
  </r>
  <r>
    <x v="1"/>
  </r>
  <r>
    <x v="2"/>
  </r>
  <r>
    <x v="1"/>
  </r>
  <r>
    <x v="1"/>
  </r>
  <r>
    <x v="2"/>
  </r>
  <r>
    <x v="1"/>
  </r>
  <r>
    <x v="1"/>
  </r>
  <r>
    <x v="2"/>
  </r>
  <r>
    <x v="2"/>
  </r>
  <r>
    <x v="2"/>
  </r>
  <r>
    <x v="2"/>
  </r>
  <r>
    <x v="1"/>
  </r>
  <r>
    <x v="2"/>
  </r>
  <r>
    <x v="2"/>
  </r>
  <r>
    <x v="1"/>
  </r>
  <r>
    <x v="0"/>
  </r>
  <r>
    <x v="1"/>
  </r>
  <r>
    <x v="2"/>
  </r>
  <r>
    <x v="0"/>
  </r>
  <r>
    <x v="1"/>
  </r>
  <r>
    <x v="0"/>
  </r>
  <r>
    <x v="5"/>
  </r>
</pivotCacheRecords>
</file>

<file path=xl/pivotCache/pivotCacheRecords25.xml><?xml version="1.0" encoding="utf-8"?>
<pivotCacheRecords xmlns="http://schemas.openxmlformats.org/spreadsheetml/2006/main" xmlns:r="http://schemas.openxmlformats.org/officeDocument/2006/relationships" count="421">
  <r>
    <x v="0"/>
  </r>
  <r>
    <x v="0"/>
  </r>
  <r>
    <x v="0"/>
  </r>
  <r>
    <x v="0"/>
  </r>
  <r>
    <x v="0"/>
  </r>
  <r>
    <x v="0"/>
  </r>
  <r>
    <x v="1"/>
  </r>
  <r>
    <x v="0"/>
  </r>
  <r>
    <x v="0"/>
  </r>
  <r>
    <x v="1"/>
  </r>
  <r>
    <x v="0"/>
  </r>
  <r>
    <x v="0"/>
  </r>
  <r>
    <x v="1"/>
  </r>
  <r>
    <x v="0"/>
  </r>
  <r>
    <x v="0"/>
  </r>
  <r>
    <x v="0"/>
  </r>
  <r>
    <x v="0"/>
  </r>
  <r>
    <x v="0"/>
  </r>
  <r>
    <x v="0"/>
  </r>
  <r>
    <x v="0"/>
  </r>
  <r>
    <x v="0"/>
  </r>
  <r>
    <x v="0"/>
  </r>
  <r>
    <x v="0"/>
  </r>
  <r>
    <x v="0"/>
  </r>
  <r>
    <x v="0"/>
  </r>
  <r>
    <x v="0"/>
  </r>
  <r>
    <x v="0"/>
  </r>
  <r>
    <x v="0"/>
  </r>
  <r>
    <x v="0"/>
  </r>
  <r>
    <x v="0"/>
  </r>
  <r>
    <x v="1"/>
  </r>
  <r>
    <x v="0"/>
  </r>
  <r>
    <x v="0"/>
  </r>
  <r>
    <x v="1"/>
  </r>
  <r>
    <x v="0"/>
  </r>
  <r>
    <x v="0"/>
  </r>
  <r>
    <x v="1"/>
  </r>
  <r>
    <x v="0"/>
  </r>
  <r>
    <x v="0"/>
  </r>
  <r>
    <x v="0"/>
  </r>
  <r>
    <x v="0"/>
  </r>
  <r>
    <x v="0"/>
  </r>
  <r>
    <x v="0"/>
  </r>
  <r>
    <x v="0"/>
  </r>
  <r>
    <x v="0"/>
  </r>
  <r>
    <x v="0"/>
  </r>
  <r>
    <x v="0"/>
  </r>
  <r>
    <x v="0"/>
  </r>
  <r>
    <x v="1"/>
  </r>
  <r>
    <x v="0"/>
  </r>
  <r>
    <x v="0"/>
  </r>
  <r>
    <x v="0"/>
  </r>
  <r>
    <x v="0"/>
  </r>
  <r>
    <x v="0"/>
  </r>
  <r>
    <x v="0"/>
  </r>
  <r>
    <x v="0"/>
  </r>
  <r>
    <x v="0"/>
  </r>
  <r>
    <x v="1"/>
  </r>
  <r>
    <x v="0"/>
  </r>
  <r>
    <x v="0"/>
  </r>
  <r>
    <x v="0"/>
  </r>
  <r>
    <x v="0"/>
  </r>
  <r>
    <x v="0"/>
  </r>
  <r>
    <x v="0"/>
  </r>
  <r>
    <x v="0"/>
  </r>
  <r>
    <x v="0"/>
  </r>
  <r>
    <x v="0"/>
  </r>
  <r>
    <x v="0"/>
  </r>
  <r>
    <x v="0"/>
  </r>
  <r>
    <x v="0"/>
  </r>
  <r>
    <x v="0"/>
  </r>
  <r>
    <x v="0"/>
  </r>
  <r>
    <x v="0"/>
  </r>
  <r>
    <x v="0"/>
  </r>
  <r>
    <x v="0"/>
  </r>
  <r>
    <x v="0"/>
  </r>
  <r>
    <x v="1"/>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0"/>
  </r>
  <r>
    <x v="0"/>
  </r>
  <r>
    <x v="0"/>
  </r>
  <r>
    <x v="0"/>
  </r>
  <r>
    <x v="1"/>
  </r>
  <r>
    <x v="1"/>
  </r>
  <r>
    <x v="0"/>
  </r>
  <r>
    <x v="0"/>
  </r>
  <r>
    <x v="0"/>
  </r>
  <r>
    <x v="0"/>
  </r>
  <r>
    <x v="0"/>
  </r>
  <r>
    <x v="0"/>
  </r>
  <r>
    <x v="0"/>
  </r>
  <r>
    <x v="0"/>
  </r>
  <r>
    <x v="0"/>
  </r>
  <r>
    <x v="0"/>
  </r>
  <r>
    <x v="0"/>
  </r>
  <r>
    <x v="0"/>
  </r>
  <r>
    <x v="0"/>
  </r>
  <r>
    <x v="0"/>
  </r>
  <r>
    <x v="0"/>
  </r>
  <r>
    <x v="0"/>
  </r>
  <r>
    <x v="0"/>
  </r>
  <r>
    <x v="0"/>
  </r>
  <r>
    <x v="0"/>
  </r>
  <r>
    <x v="0"/>
  </r>
  <r>
    <x v="1"/>
  </r>
  <r>
    <x v="0"/>
  </r>
  <r>
    <x v="0"/>
  </r>
  <r>
    <x v="0"/>
  </r>
  <r>
    <x v="0"/>
  </r>
  <r>
    <x v="0"/>
  </r>
  <r>
    <x v="1"/>
  </r>
  <r>
    <x v="1"/>
  </r>
  <r>
    <x v="1"/>
  </r>
  <r>
    <x v="0"/>
  </r>
  <r>
    <x v="1"/>
  </r>
  <r>
    <x v="0"/>
  </r>
  <r>
    <x v="0"/>
  </r>
  <r>
    <x v="0"/>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0"/>
  </r>
  <r>
    <x v="0"/>
  </r>
  <r>
    <x v="0"/>
  </r>
  <r>
    <x v="0"/>
  </r>
  <r>
    <x v="0"/>
  </r>
  <r>
    <x v="0"/>
  </r>
  <r>
    <x v="0"/>
  </r>
  <r>
    <x v="0"/>
  </r>
  <r>
    <x v="0"/>
  </r>
  <r>
    <x v="1"/>
  </r>
  <r>
    <x v="0"/>
  </r>
  <r>
    <x v="0"/>
  </r>
  <r>
    <x v="0"/>
  </r>
  <r>
    <x v="0"/>
  </r>
  <r>
    <x v="0"/>
  </r>
  <r>
    <x v="0"/>
  </r>
  <r>
    <x v="0"/>
  </r>
  <r>
    <x v="0"/>
  </r>
  <r>
    <x v="0"/>
  </r>
  <r>
    <x v="0"/>
  </r>
  <r>
    <x v="0"/>
  </r>
  <r>
    <x v="0"/>
  </r>
  <r>
    <x v="0"/>
  </r>
  <r>
    <x v="0"/>
  </r>
  <r>
    <x v="0"/>
  </r>
  <r>
    <x v="0"/>
  </r>
  <r>
    <x v="1"/>
  </r>
  <r>
    <x v="0"/>
  </r>
  <r>
    <x v="0"/>
  </r>
  <r>
    <x v="0"/>
  </r>
  <r>
    <x v="0"/>
  </r>
  <r>
    <x v="0"/>
  </r>
  <r>
    <x v="0"/>
  </r>
  <r>
    <x v="0"/>
  </r>
  <r>
    <x v="0"/>
  </r>
  <r>
    <x v="0"/>
  </r>
  <r>
    <x v="0"/>
  </r>
  <r>
    <x v="0"/>
  </r>
  <r>
    <x v="0"/>
  </r>
  <r>
    <x v="1"/>
  </r>
  <r>
    <x v="1"/>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1"/>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1"/>
  </r>
  <r>
    <x v="0"/>
  </r>
  <r>
    <x v="0"/>
  </r>
  <r>
    <x v="0"/>
  </r>
  <r>
    <x v="0"/>
  </r>
  <r>
    <x v="0"/>
  </r>
  <r>
    <x v="0"/>
  </r>
  <r>
    <x v="0"/>
  </r>
  <r>
    <x v="0"/>
  </r>
  <r>
    <x v="0"/>
  </r>
  <r>
    <x v="0"/>
  </r>
  <r>
    <x v="0"/>
  </r>
  <r>
    <x v="0"/>
  </r>
  <r>
    <x v="0"/>
  </r>
  <r>
    <x v="0"/>
  </r>
  <r>
    <x v="0"/>
  </r>
  <r>
    <x v="0"/>
  </r>
  <r>
    <x v="0"/>
  </r>
  <r>
    <x v="1"/>
  </r>
  <r>
    <x v="0"/>
  </r>
  <r>
    <x v="0"/>
  </r>
  <r>
    <x v="0"/>
  </r>
  <r>
    <x v="0"/>
  </r>
  <r>
    <x v="0"/>
  </r>
  <r>
    <x v="0"/>
  </r>
  <r>
    <x v="0"/>
  </r>
  <r>
    <x v="0"/>
  </r>
  <r>
    <x v="0"/>
  </r>
  <r>
    <x v="0"/>
  </r>
  <r>
    <x v="0"/>
  </r>
  <r>
    <x v="1"/>
  </r>
  <r>
    <x v="1"/>
  </r>
  <r>
    <x v="0"/>
  </r>
  <r>
    <x v="0"/>
  </r>
  <r>
    <x v="0"/>
  </r>
  <r>
    <x v="0"/>
  </r>
  <r>
    <x v="0"/>
  </r>
  <r>
    <x v="0"/>
  </r>
  <r>
    <x v="1"/>
  </r>
  <r>
    <x v="1"/>
  </r>
  <r>
    <x v="0"/>
  </r>
  <r>
    <x v="1"/>
  </r>
  <r>
    <x v="0"/>
  </r>
  <r>
    <x v="0"/>
  </r>
  <r>
    <x v="0"/>
  </r>
  <r>
    <x v="0"/>
  </r>
  <r>
    <x v="0"/>
  </r>
  <r>
    <x v="0"/>
  </r>
  <r>
    <x v="0"/>
  </r>
  <r>
    <x v="0"/>
  </r>
  <r>
    <x v="0"/>
  </r>
  <r>
    <x v="0"/>
  </r>
  <r>
    <x v="0"/>
  </r>
  <r>
    <x v="0"/>
  </r>
  <r>
    <x v="1"/>
  </r>
  <r>
    <x v="0"/>
  </r>
  <r>
    <x v="0"/>
  </r>
  <r>
    <x v="0"/>
  </r>
  <r>
    <x v="0"/>
  </r>
  <r>
    <x v="0"/>
  </r>
  <r>
    <x v="0"/>
  </r>
  <r>
    <x v="2"/>
  </r>
</pivotCacheRecords>
</file>

<file path=xl/pivotCache/pivotCacheRecords26.xml><?xml version="1.0" encoding="utf-8"?>
<pivotCacheRecords xmlns="http://schemas.openxmlformats.org/spreadsheetml/2006/main" xmlns:r="http://schemas.openxmlformats.org/officeDocument/2006/relationships" count="421">
  <r>
    <x v="0"/>
  </r>
  <r>
    <x v="1"/>
  </r>
  <r>
    <x v="1"/>
  </r>
  <r>
    <x v="2"/>
  </r>
  <r>
    <x v="2"/>
  </r>
  <r>
    <x v="2"/>
  </r>
  <r>
    <x v="1"/>
  </r>
  <r>
    <x v="1"/>
  </r>
  <r>
    <x v="1"/>
  </r>
  <r>
    <x v="1"/>
  </r>
  <r>
    <x v="1"/>
  </r>
  <r>
    <x v="3"/>
  </r>
  <r>
    <x v="4"/>
  </r>
  <r>
    <x v="1"/>
  </r>
  <r>
    <x v="1"/>
  </r>
  <r>
    <x v="1"/>
  </r>
  <r>
    <x v="1"/>
  </r>
  <r>
    <x v="1"/>
  </r>
  <r>
    <x v="1"/>
  </r>
  <r>
    <x v="1"/>
  </r>
  <r>
    <x v="1"/>
  </r>
  <r>
    <x v="2"/>
  </r>
  <r>
    <x v="1"/>
  </r>
  <r>
    <x v="1"/>
  </r>
  <r>
    <x v="1"/>
  </r>
  <r>
    <x v="1"/>
  </r>
  <r>
    <x v="1"/>
  </r>
  <r>
    <x v="1"/>
  </r>
  <r>
    <x v="1"/>
  </r>
  <r>
    <x v="2"/>
  </r>
  <r>
    <x v="2"/>
  </r>
  <r>
    <x v="1"/>
  </r>
  <r>
    <x v="3"/>
  </r>
  <r>
    <x v="1"/>
  </r>
  <r>
    <x v="1"/>
  </r>
  <r>
    <x v="1"/>
  </r>
  <r>
    <x v="1"/>
  </r>
  <r>
    <x v="5"/>
  </r>
  <r>
    <x v="1"/>
  </r>
  <r>
    <x v="1"/>
  </r>
  <r>
    <x v="1"/>
  </r>
  <r>
    <x v="1"/>
  </r>
  <r>
    <x v="1"/>
  </r>
  <r>
    <x v="1"/>
  </r>
  <r>
    <x v="1"/>
  </r>
  <r>
    <x v="1"/>
  </r>
  <r>
    <x v="1"/>
  </r>
  <r>
    <x v="1"/>
  </r>
  <r>
    <x v="1"/>
  </r>
  <r>
    <x v="2"/>
  </r>
  <r>
    <x v="2"/>
  </r>
  <r>
    <x v="1"/>
  </r>
  <r>
    <x v="1"/>
  </r>
  <r>
    <x v="1"/>
  </r>
  <r>
    <x v="1"/>
  </r>
  <r>
    <x v="1"/>
  </r>
  <r>
    <x v="1"/>
  </r>
  <r>
    <x v="1"/>
  </r>
  <r>
    <x v="2"/>
  </r>
  <r>
    <x v="1"/>
  </r>
  <r>
    <x v="1"/>
  </r>
  <r>
    <x v="1"/>
  </r>
  <r>
    <x v="1"/>
  </r>
  <r>
    <x v="2"/>
  </r>
  <r>
    <x v="1"/>
  </r>
  <r>
    <x v="1"/>
  </r>
  <r>
    <x v="1"/>
  </r>
  <r>
    <x v="1"/>
  </r>
  <r>
    <x v="1"/>
  </r>
  <r>
    <x v="1"/>
  </r>
  <r>
    <x v="1"/>
  </r>
  <r>
    <x v="1"/>
  </r>
  <r>
    <x v="1"/>
  </r>
  <r>
    <x v="1"/>
  </r>
  <r>
    <x v="1"/>
  </r>
  <r>
    <x v="1"/>
  </r>
  <r>
    <x v="1"/>
  </r>
  <r>
    <x v="1"/>
  </r>
  <r>
    <x v="1"/>
  </r>
  <r>
    <x v="1"/>
  </r>
  <r>
    <x v="1"/>
  </r>
  <r>
    <x v="1"/>
  </r>
  <r>
    <x v="1"/>
  </r>
  <r>
    <x v="5"/>
  </r>
  <r>
    <x v="1"/>
  </r>
  <r>
    <x v="1"/>
  </r>
  <r>
    <x v="1"/>
  </r>
  <r>
    <x v="1"/>
  </r>
  <r>
    <x v="1"/>
  </r>
  <r>
    <x v="1"/>
  </r>
  <r>
    <x v="1"/>
  </r>
  <r>
    <x v="1"/>
  </r>
  <r>
    <x v="1"/>
  </r>
  <r>
    <x v="1"/>
  </r>
  <r>
    <x v="1"/>
  </r>
  <r>
    <x v="1"/>
  </r>
  <r>
    <x v="1"/>
  </r>
  <r>
    <x v="1"/>
  </r>
  <r>
    <x v="1"/>
  </r>
  <r>
    <x v="1"/>
  </r>
  <r>
    <x v="1"/>
  </r>
  <r>
    <x v="1"/>
  </r>
  <r>
    <x v="1"/>
  </r>
  <r>
    <x v="1"/>
  </r>
  <r>
    <x v="1"/>
  </r>
  <r>
    <x v="1"/>
  </r>
  <r>
    <x v="6"/>
  </r>
  <r>
    <x v="1"/>
  </r>
  <r>
    <x v="6"/>
  </r>
  <r>
    <x v="1"/>
  </r>
  <r>
    <x v="1"/>
  </r>
  <r>
    <x v="1"/>
  </r>
  <r>
    <x v="1"/>
  </r>
  <r>
    <x v="1"/>
  </r>
  <r>
    <x v="1"/>
  </r>
  <r>
    <x v="1"/>
  </r>
  <r>
    <x v="6"/>
  </r>
  <r>
    <x v="2"/>
  </r>
  <r>
    <x v="1"/>
  </r>
  <r>
    <x v="7"/>
  </r>
  <r>
    <x v="1"/>
  </r>
  <r>
    <x v="3"/>
  </r>
  <r>
    <x v="1"/>
  </r>
  <r>
    <x v="1"/>
  </r>
  <r>
    <x v="1"/>
  </r>
  <r>
    <x v="1"/>
  </r>
  <r>
    <x v="2"/>
  </r>
  <r>
    <x v="1"/>
  </r>
  <r>
    <x v="1"/>
  </r>
  <r>
    <x v="1"/>
  </r>
  <r>
    <x v="1"/>
  </r>
  <r>
    <x v="5"/>
  </r>
  <r>
    <x v="1"/>
  </r>
  <r>
    <x v="6"/>
  </r>
  <r>
    <x v="1"/>
  </r>
  <r>
    <x v="1"/>
  </r>
  <r>
    <x v="1"/>
  </r>
  <r>
    <x v="1"/>
  </r>
  <r>
    <x v="1"/>
  </r>
  <r>
    <x v="2"/>
  </r>
  <r>
    <x v="2"/>
  </r>
  <r>
    <x v="1"/>
  </r>
  <r>
    <x v="1"/>
  </r>
  <r>
    <x v="1"/>
  </r>
  <r>
    <x v="1"/>
  </r>
  <r>
    <x v="2"/>
  </r>
  <r>
    <x v="2"/>
  </r>
  <r>
    <x v="1"/>
  </r>
  <r>
    <x v="1"/>
  </r>
  <r>
    <x v="2"/>
  </r>
  <r>
    <x v="1"/>
  </r>
  <r>
    <x v="5"/>
  </r>
  <r>
    <x v="1"/>
  </r>
  <r>
    <x v="1"/>
  </r>
  <r>
    <x v="1"/>
  </r>
  <r>
    <x v="1"/>
  </r>
  <r>
    <x v="2"/>
  </r>
  <r>
    <x v="1"/>
  </r>
  <r>
    <x v="2"/>
  </r>
  <r>
    <x v="1"/>
  </r>
  <r>
    <x v="1"/>
  </r>
  <r>
    <x v="1"/>
  </r>
  <r>
    <x v="1"/>
  </r>
  <r>
    <x v="1"/>
  </r>
  <r>
    <x v="1"/>
  </r>
  <r>
    <x v="1"/>
  </r>
  <r>
    <x v="1"/>
  </r>
  <r>
    <x v="3"/>
  </r>
  <r>
    <x v="3"/>
  </r>
  <r>
    <x v="1"/>
  </r>
  <r>
    <x v="1"/>
  </r>
  <r>
    <x v="1"/>
  </r>
  <r>
    <x v="1"/>
  </r>
  <r>
    <x v="2"/>
  </r>
  <r>
    <x v="1"/>
  </r>
  <r>
    <x v="1"/>
  </r>
  <r>
    <x v="1"/>
  </r>
  <r>
    <x v="1"/>
  </r>
  <r>
    <x v="1"/>
  </r>
  <r>
    <x v="1"/>
  </r>
  <r>
    <x v="5"/>
  </r>
  <r>
    <x v="1"/>
  </r>
  <r>
    <x v="2"/>
  </r>
  <r>
    <x v="1"/>
  </r>
  <r>
    <x v="1"/>
  </r>
  <r>
    <x v="6"/>
  </r>
  <r>
    <x v="1"/>
  </r>
  <r>
    <x v="6"/>
  </r>
  <r>
    <x v="1"/>
  </r>
  <r>
    <x v="1"/>
  </r>
  <r>
    <x v="1"/>
  </r>
  <r>
    <x v="6"/>
  </r>
  <r>
    <x v="1"/>
  </r>
  <r>
    <x v="1"/>
  </r>
  <r>
    <x v="1"/>
  </r>
  <r>
    <x v="1"/>
  </r>
  <r>
    <x v="1"/>
  </r>
  <r>
    <x v="1"/>
  </r>
  <r>
    <x v="1"/>
  </r>
  <r>
    <x v="6"/>
  </r>
  <r>
    <x v="1"/>
  </r>
  <r>
    <x v="1"/>
  </r>
  <r>
    <x v="1"/>
  </r>
  <r>
    <x v="1"/>
  </r>
  <r>
    <x v="1"/>
  </r>
  <r>
    <x v="1"/>
  </r>
  <r>
    <x v="1"/>
  </r>
  <r>
    <x v="1"/>
  </r>
  <r>
    <x v="1"/>
  </r>
  <r>
    <x v="1"/>
  </r>
  <r>
    <x v="1"/>
  </r>
  <r>
    <x v="1"/>
  </r>
  <r>
    <x v="6"/>
  </r>
  <r>
    <x v="6"/>
  </r>
  <r>
    <x v="1"/>
  </r>
  <r>
    <x v="1"/>
  </r>
  <r>
    <x v="1"/>
  </r>
  <r>
    <x v="6"/>
  </r>
  <r>
    <x v="2"/>
  </r>
  <r>
    <x v="1"/>
  </r>
  <r>
    <x v="2"/>
  </r>
  <r>
    <x v="8"/>
  </r>
  <r>
    <x v="1"/>
  </r>
  <r>
    <x v="1"/>
  </r>
  <r>
    <x v="1"/>
  </r>
  <r>
    <x v="2"/>
  </r>
  <r>
    <x v="1"/>
  </r>
  <r>
    <x v="1"/>
  </r>
  <r>
    <x v="1"/>
  </r>
  <r>
    <x v="1"/>
  </r>
  <r>
    <x v="9"/>
  </r>
  <r>
    <x v="1"/>
  </r>
  <r>
    <x v="1"/>
  </r>
  <r>
    <x v="1"/>
  </r>
  <r>
    <x v="1"/>
  </r>
  <r>
    <x v="0"/>
  </r>
  <r>
    <x v="0"/>
  </r>
  <r>
    <x v="1"/>
  </r>
  <r>
    <x v="1"/>
  </r>
  <r>
    <x v="1"/>
  </r>
  <r>
    <x v="1"/>
  </r>
  <r>
    <x v="1"/>
  </r>
  <r>
    <x v="8"/>
  </r>
  <r>
    <x v="8"/>
  </r>
  <r>
    <x v="1"/>
  </r>
  <r>
    <x v="1"/>
  </r>
  <r>
    <x v="1"/>
  </r>
  <r>
    <x v="1"/>
  </r>
  <r>
    <x v="1"/>
  </r>
  <r>
    <x v="1"/>
  </r>
  <r>
    <x v="1"/>
  </r>
  <r>
    <x v="1"/>
  </r>
  <r>
    <x v="1"/>
  </r>
  <r>
    <x v="1"/>
  </r>
  <r>
    <x v="1"/>
  </r>
  <r>
    <x v="1"/>
  </r>
  <r>
    <x v="1"/>
  </r>
  <r>
    <x v="1"/>
  </r>
  <r>
    <x v="1"/>
  </r>
  <r>
    <x v="1"/>
  </r>
  <r>
    <x v="1"/>
  </r>
  <r>
    <x v="1"/>
  </r>
  <r>
    <x v="1"/>
  </r>
  <r>
    <x v="1"/>
  </r>
  <r>
    <x v="1"/>
  </r>
  <r>
    <x v="6"/>
  </r>
  <r>
    <x v="1"/>
  </r>
  <r>
    <x v="1"/>
  </r>
  <r>
    <x v="1"/>
  </r>
  <r>
    <x v="1"/>
  </r>
  <r>
    <x v="1"/>
  </r>
  <r>
    <x v="2"/>
  </r>
  <r>
    <x v="1"/>
  </r>
  <r>
    <x v="1"/>
  </r>
  <r>
    <x v="1"/>
  </r>
  <r>
    <x v="1"/>
  </r>
  <r>
    <x v="1"/>
  </r>
  <r>
    <x v="1"/>
  </r>
  <r>
    <x v="1"/>
  </r>
  <r>
    <x v="1"/>
  </r>
  <r>
    <x v="1"/>
  </r>
  <r>
    <x v="1"/>
  </r>
  <r>
    <x v="1"/>
  </r>
  <r>
    <x v="1"/>
  </r>
  <r>
    <x v="1"/>
  </r>
  <r>
    <x v="1"/>
  </r>
  <r>
    <x v="1"/>
  </r>
  <r>
    <x v="2"/>
  </r>
  <r>
    <x v="1"/>
  </r>
  <r>
    <x v="1"/>
  </r>
  <r>
    <x v="1"/>
  </r>
  <r>
    <x v="1"/>
  </r>
  <r>
    <x v="1"/>
  </r>
  <r>
    <x v="7"/>
  </r>
  <r>
    <x v="2"/>
  </r>
  <r>
    <x v="1"/>
  </r>
  <r>
    <x v="3"/>
  </r>
  <r>
    <x v="0"/>
  </r>
  <r>
    <x v="0"/>
  </r>
  <r>
    <x v="1"/>
  </r>
  <r>
    <x v="1"/>
  </r>
  <r>
    <x v="1"/>
  </r>
  <r>
    <x v="1"/>
  </r>
  <r>
    <x v="1"/>
  </r>
  <r>
    <x v="1"/>
  </r>
  <r>
    <x v="2"/>
  </r>
  <r>
    <x v="1"/>
  </r>
  <r>
    <x v="1"/>
  </r>
  <r>
    <x v="1"/>
  </r>
  <r>
    <x v="1"/>
  </r>
  <r>
    <x v="1"/>
  </r>
  <r>
    <x v="1"/>
  </r>
  <r>
    <x v="1"/>
  </r>
  <r>
    <x v="1"/>
  </r>
  <r>
    <x v="1"/>
  </r>
  <r>
    <x v="1"/>
  </r>
  <r>
    <x v="1"/>
  </r>
  <r>
    <x v="2"/>
  </r>
  <r>
    <x v="1"/>
  </r>
  <r>
    <x v="1"/>
  </r>
  <r>
    <x v="1"/>
  </r>
  <r>
    <x v="1"/>
  </r>
  <r>
    <x v="1"/>
  </r>
  <r>
    <x v="1"/>
  </r>
  <r>
    <x v="1"/>
  </r>
  <r>
    <x v="1"/>
  </r>
  <r>
    <x v="1"/>
  </r>
  <r>
    <x v="1"/>
  </r>
  <r>
    <x v="1"/>
  </r>
  <r>
    <x v="2"/>
  </r>
  <r>
    <x v="1"/>
  </r>
  <r>
    <x v="1"/>
  </r>
  <r>
    <x v="2"/>
  </r>
  <r>
    <x v="1"/>
  </r>
  <r>
    <x v="1"/>
  </r>
  <r>
    <x v="1"/>
  </r>
  <r>
    <x v="1"/>
  </r>
  <r>
    <x v="1"/>
  </r>
  <r>
    <x v="1"/>
  </r>
  <r>
    <x v="1"/>
  </r>
  <r>
    <x v="1"/>
  </r>
  <r>
    <x v="2"/>
  </r>
  <r>
    <x v="2"/>
  </r>
  <r>
    <x v="2"/>
  </r>
  <r>
    <x v="2"/>
  </r>
  <r>
    <x v="7"/>
  </r>
  <r>
    <x v="1"/>
  </r>
  <r>
    <x v="1"/>
  </r>
  <r>
    <x v="1"/>
  </r>
  <r>
    <x v="2"/>
  </r>
  <r>
    <x v="1"/>
  </r>
  <r>
    <x v="1"/>
  </r>
  <r>
    <x v="1"/>
  </r>
  <r>
    <x v="1"/>
  </r>
  <r>
    <x v="1"/>
  </r>
  <r>
    <x v="2"/>
  </r>
  <r>
    <x v="2"/>
  </r>
  <r>
    <x v="1"/>
  </r>
  <r>
    <x v="1"/>
  </r>
  <r>
    <x v="1"/>
  </r>
  <r>
    <x v="1"/>
  </r>
  <r>
    <x v="2"/>
  </r>
  <r>
    <x v="1"/>
  </r>
  <r>
    <x v="1"/>
  </r>
  <r>
    <x v="1"/>
  </r>
  <r>
    <x v="1"/>
  </r>
  <r>
    <x v="1"/>
  </r>
  <r>
    <x v="1"/>
  </r>
  <r>
    <x v="1"/>
  </r>
  <r>
    <x v="1"/>
  </r>
  <r>
    <x v="1"/>
  </r>
  <r>
    <x v="1"/>
  </r>
  <r>
    <x v="2"/>
  </r>
  <r>
    <x v="1"/>
  </r>
  <r>
    <x v="1"/>
  </r>
  <r>
    <x v="1"/>
  </r>
  <r>
    <x v="1"/>
  </r>
  <r>
    <x v="1"/>
  </r>
  <r>
    <x v="1"/>
  </r>
  <r>
    <x v="1"/>
  </r>
  <r>
    <x v="1"/>
  </r>
  <r>
    <x v="1"/>
  </r>
  <r>
    <x v="1"/>
  </r>
  <r>
    <x v="1"/>
  </r>
  <r>
    <x v="1"/>
  </r>
  <r>
    <x v="1"/>
  </r>
  <r>
    <x v="1"/>
  </r>
  <r>
    <x v="1"/>
  </r>
  <r>
    <x v="1"/>
  </r>
  <r>
    <x v="1"/>
  </r>
  <r>
    <x v="0"/>
  </r>
  <r>
    <x v="1"/>
  </r>
  <r>
    <x v="1"/>
  </r>
  <r>
    <x v="1"/>
  </r>
  <r>
    <x v="1"/>
  </r>
  <r>
    <x v="1"/>
  </r>
  <r>
    <x v="1"/>
  </r>
  <r>
    <x v="1"/>
  </r>
  <r>
    <x v="1"/>
  </r>
  <r>
    <x v="1"/>
  </r>
  <r>
    <x v="1"/>
  </r>
  <r>
    <x v="1"/>
  </r>
  <r>
    <x v="3"/>
  </r>
  <r>
    <x v="1"/>
  </r>
  <r>
    <x v="5"/>
  </r>
  <r>
    <x v="1"/>
  </r>
  <r>
    <x v="2"/>
  </r>
  <r>
    <x v="4"/>
  </r>
  <r>
    <x v="1"/>
  </r>
  <r>
    <x v="1"/>
  </r>
  <r>
    <x v="1"/>
  </r>
  <r>
    <x v="1"/>
  </r>
  <r>
    <x v="0"/>
  </r>
  <r>
    <x v="1"/>
  </r>
  <r>
    <x v="1"/>
  </r>
  <r>
    <x v="1"/>
  </r>
  <r>
    <x v="1"/>
  </r>
  <r>
    <x v="1"/>
  </r>
  <r>
    <x v="6"/>
  </r>
  <r>
    <x v="1"/>
  </r>
  <r>
    <x v="10"/>
  </r>
</pivotCacheRecords>
</file>

<file path=xl/pivotCache/pivotCacheRecords27.xml><?xml version="1.0" encoding="utf-8"?>
<pivotCacheRecords xmlns="http://schemas.openxmlformats.org/spreadsheetml/2006/main" xmlns:r="http://schemas.openxmlformats.org/officeDocument/2006/relationships" count="421">
  <r>
    <x v="0"/>
  </r>
  <r>
    <x v="0"/>
  </r>
  <r>
    <x v="1"/>
  </r>
  <r>
    <x v="2"/>
  </r>
  <r>
    <x v="3"/>
  </r>
  <r>
    <x v="4"/>
  </r>
  <r>
    <x v="5"/>
  </r>
  <r>
    <x v="6"/>
  </r>
  <r>
    <x v="7"/>
  </r>
  <r>
    <x v="1"/>
  </r>
  <r>
    <x v="8"/>
  </r>
  <r>
    <x v="6"/>
  </r>
  <r>
    <x v="9"/>
  </r>
  <r>
    <x v="10"/>
  </r>
  <r>
    <x v="11"/>
  </r>
  <r>
    <x v="12"/>
  </r>
  <r>
    <x v="13"/>
  </r>
  <r>
    <x v="8"/>
  </r>
  <r>
    <x v="14"/>
  </r>
  <r>
    <x v="15"/>
  </r>
  <r>
    <x v="5"/>
  </r>
  <r>
    <x v="0"/>
  </r>
  <r>
    <x v="16"/>
  </r>
  <r>
    <x v="17"/>
  </r>
  <r>
    <x v="16"/>
  </r>
  <r>
    <x v="1"/>
  </r>
  <r>
    <x v="1"/>
  </r>
  <r>
    <x v="18"/>
  </r>
  <r>
    <x v="18"/>
  </r>
  <r>
    <x v="19"/>
  </r>
  <r>
    <x v="19"/>
  </r>
  <r>
    <x v="14"/>
  </r>
  <r>
    <x v="5"/>
  </r>
  <r>
    <x v="20"/>
  </r>
  <r>
    <x v="10"/>
  </r>
  <r>
    <x v="12"/>
  </r>
  <r>
    <x v="12"/>
  </r>
  <r>
    <x v="12"/>
  </r>
  <r>
    <x v="21"/>
  </r>
  <r>
    <x v="5"/>
  </r>
  <r>
    <x v="5"/>
  </r>
  <r>
    <x v="22"/>
  </r>
  <r>
    <x v="23"/>
  </r>
  <r>
    <x v="22"/>
  </r>
  <r>
    <x v="10"/>
  </r>
  <r>
    <x v="24"/>
  </r>
  <r>
    <x v="17"/>
  </r>
  <r>
    <x v="17"/>
  </r>
  <r>
    <x v="20"/>
  </r>
  <r>
    <x v="21"/>
  </r>
  <r>
    <x v="10"/>
  </r>
  <r>
    <x v="10"/>
  </r>
  <r>
    <x v="20"/>
  </r>
  <r>
    <x v="25"/>
  </r>
  <r>
    <x v="25"/>
  </r>
  <r>
    <x v="8"/>
  </r>
  <r>
    <x v="11"/>
  </r>
  <r>
    <x v="11"/>
  </r>
  <r>
    <x v="2"/>
  </r>
  <r>
    <x v="6"/>
  </r>
  <r>
    <x v="0"/>
  </r>
  <r>
    <x v="1"/>
  </r>
  <r>
    <x v="23"/>
  </r>
  <r>
    <x v="25"/>
  </r>
  <r>
    <x v="23"/>
  </r>
  <r>
    <x v="5"/>
  </r>
  <r>
    <x v="17"/>
  </r>
  <r>
    <x v="14"/>
  </r>
  <r>
    <x v="22"/>
  </r>
  <r>
    <x v="7"/>
  </r>
  <r>
    <x v="7"/>
  </r>
  <r>
    <x v="3"/>
  </r>
  <r>
    <x v="6"/>
  </r>
  <r>
    <x v="22"/>
  </r>
  <r>
    <x v="3"/>
  </r>
  <r>
    <x v="26"/>
  </r>
  <r>
    <x v="23"/>
  </r>
  <r>
    <x v="17"/>
  </r>
  <r>
    <x v="10"/>
  </r>
  <r>
    <x v="4"/>
  </r>
  <r>
    <x v="20"/>
  </r>
  <r>
    <x v="22"/>
  </r>
  <r>
    <x v="10"/>
  </r>
  <r>
    <x v="19"/>
  </r>
  <r>
    <x v="27"/>
  </r>
  <r>
    <x v="17"/>
  </r>
  <r>
    <x v="3"/>
  </r>
  <r>
    <x v="28"/>
  </r>
  <r>
    <x v="23"/>
  </r>
  <r>
    <x v="1"/>
  </r>
  <r>
    <x v="1"/>
  </r>
  <r>
    <x v="20"/>
  </r>
  <r>
    <x v="13"/>
  </r>
  <r>
    <x v="17"/>
  </r>
  <r>
    <x v="21"/>
  </r>
  <r>
    <x v="22"/>
  </r>
  <r>
    <x v="10"/>
  </r>
  <r>
    <x v="20"/>
  </r>
  <r>
    <x v="20"/>
  </r>
  <r>
    <x v="25"/>
  </r>
  <r>
    <x v="10"/>
  </r>
  <r>
    <x v="24"/>
  </r>
  <r>
    <x v="7"/>
  </r>
  <r>
    <x v="7"/>
  </r>
  <r>
    <x v="7"/>
  </r>
  <r>
    <x v="7"/>
  </r>
  <r>
    <x v="27"/>
  </r>
  <r>
    <x v="14"/>
  </r>
  <r>
    <x v="14"/>
  </r>
  <r>
    <x v="17"/>
  </r>
  <r>
    <x v="7"/>
  </r>
  <r>
    <x v="29"/>
  </r>
  <r>
    <x v="29"/>
  </r>
  <r>
    <x v="0"/>
  </r>
  <r>
    <x v="14"/>
  </r>
  <r>
    <x v="10"/>
  </r>
  <r>
    <x v="23"/>
  </r>
  <r>
    <x v="0"/>
  </r>
  <r>
    <x v="26"/>
  </r>
  <r>
    <x v="0"/>
  </r>
  <r>
    <x v="13"/>
  </r>
  <r>
    <x v="21"/>
  </r>
  <r>
    <x v="19"/>
  </r>
  <r>
    <x v="13"/>
  </r>
  <r>
    <x v="13"/>
  </r>
  <r>
    <x v="21"/>
  </r>
  <r>
    <x v="26"/>
  </r>
  <r>
    <x v="21"/>
  </r>
  <r>
    <x v="10"/>
  </r>
  <r>
    <x v="23"/>
  </r>
  <r>
    <x v="15"/>
  </r>
  <r>
    <x v="13"/>
  </r>
  <r>
    <x v="26"/>
  </r>
  <r>
    <x v="14"/>
  </r>
  <r>
    <x v="21"/>
  </r>
  <r>
    <x v="29"/>
  </r>
  <r>
    <x v="23"/>
  </r>
  <r>
    <x v="21"/>
  </r>
  <r>
    <x v="4"/>
  </r>
  <r>
    <x v="19"/>
  </r>
  <r>
    <x v="19"/>
  </r>
  <r>
    <x v="26"/>
  </r>
  <r>
    <x v="0"/>
  </r>
  <r>
    <x v="30"/>
  </r>
  <r>
    <x v="15"/>
  </r>
  <r>
    <x v="16"/>
  </r>
  <r>
    <x v="16"/>
  </r>
  <r>
    <x v="3"/>
  </r>
  <r>
    <x v="24"/>
  </r>
  <r>
    <x v="22"/>
  </r>
  <r>
    <x v="28"/>
  </r>
  <r>
    <x v="28"/>
  </r>
  <r>
    <x v="16"/>
  </r>
  <r>
    <x v="16"/>
  </r>
  <r>
    <x v="16"/>
  </r>
  <r>
    <x v="10"/>
  </r>
  <r>
    <x v="27"/>
  </r>
  <r>
    <x v="21"/>
  </r>
  <r>
    <x v="10"/>
  </r>
  <r>
    <x v="1"/>
  </r>
  <r>
    <x v="22"/>
  </r>
  <r>
    <x v="5"/>
  </r>
  <r>
    <x v="4"/>
  </r>
  <r>
    <x v="30"/>
  </r>
  <r>
    <x v="30"/>
  </r>
  <r>
    <x v="19"/>
  </r>
  <r>
    <x v="2"/>
  </r>
  <r>
    <x v="30"/>
  </r>
  <r>
    <x v="30"/>
  </r>
  <r>
    <x v="14"/>
  </r>
  <r>
    <x v="15"/>
  </r>
  <r>
    <x v="15"/>
  </r>
  <r>
    <x v="15"/>
  </r>
  <r>
    <x v="10"/>
  </r>
  <r>
    <x v="8"/>
  </r>
  <r>
    <x v="15"/>
  </r>
  <r>
    <x v="9"/>
  </r>
  <r>
    <x v="29"/>
  </r>
  <r>
    <x v="8"/>
  </r>
  <r>
    <x v="18"/>
  </r>
  <r>
    <x v="29"/>
  </r>
  <r>
    <x v="9"/>
  </r>
  <r>
    <x v="25"/>
  </r>
  <r>
    <x v="9"/>
  </r>
  <r>
    <x v="9"/>
  </r>
  <r>
    <x v="2"/>
  </r>
  <r>
    <x v="13"/>
  </r>
  <r>
    <x v="23"/>
  </r>
  <r>
    <x v="9"/>
  </r>
  <r>
    <x v="9"/>
  </r>
  <r>
    <x v="9"/>
  </r>
  <r>
    <x v="7"/>
  </r>
  <r>
    <x v="4"/>
  </r>
  <r>
    <x v="20"/>
  </r>
  <r>
    <x v="3"/>
  </r>
  <r>
    <x v="11"/>
  </r>
  <r>
    <x v="4"/>
  </r>
  <r>
    <x v="28"/>
  </r>
  <r>
    <x v="30"/>
  </r>
  <r>
    <x v="14"/>
  </r>
  <r>
    <x v="6"/>
  </r>
  <r>
    <x v="10"/>
  </r>
  <r>
    <x v="18"/>
  </r>
  <r>
    <x v="14"/>
  </r>
  <r>
    <x v="13"/>
  </r>
  <r>
    <x v="14"/>
  </r>
  <r>
    <x v="10"/>
  </r>
  <r>
    <x v="8"/>
  </r>
  <r>
    <x v="14"/>
  </r>
  <r>
    <x v="9"/>
  </r>
  <r>
    <x v="24"/>
  </r>
  <r>
    <x v="10"/>
  </r>
  <r>
    <x v="11"/>
  </r>
  <r>
    <x v="11"/>
  </r>
  <r>
    <x v="24"/>
  </r>
  <r>
    <x v="22"/>
  </r>
  <r>
    <x v="29"/>
  </r>
  <r>
    <x v="14"/>
  </r>
  <r>
    <x v="16"/>
  </r>
  <r>
    <x v="2"/>
  </r>
  <r>
    <x v="29"/>
  </r>
  <r>
    <x v="8"/>
  </r>
  <r>
    <x v="15"/>
  </r>
  <r>
    <x v="8"/>
  </r>
  <r>
    <x v="13"/>
  </r>
  <r>
    <x v="27"/>
  </r>
  <r>
    <x v="14"/>
  </r>
  <r>
    <x v="3"/>
  </r>
  <r>
    <x v="15"/>
  </r>
  <r>
    <x v="23"/>
  </r>
  <r>
    <x v="8"/>
  </r>
  <r>
    <x v="13"/>
  </r>
  <r>
    <x v="3"/>
  </r>
  <r>
    <x v="12"/>
  </r>
  <r>
    <x v="6"/>
  </r>
  <r>
    <x v="0"/>
  </r>
  <r>
    <x v="0"/>
  </r>
  <r>
    <x v="24"/>
  </r>
  <r>
    <x v="7"/>
  </r>
  <r>
    <x v="6"/>
  </r>
  <r>
    <x v="24"/>
  </r>
  <r>
    <x v="12"/>
  </r>
  <r>
    <x v="21"/>
  </r>
  <r>
    <x v="21"/>
  </r>
  <r>
    <x v="13"/>
  </r>
  <r>
    <x v="12"/>
  </r>
  <r>
    <x v="8"/>
  </r>
  <r>
    <x v="6"/>
  </r>
  <r>
    <x v="13"/>
  </r>
  <r>
    <x v="8"/>
  </r>
  <r>
    <x v="23"/>
  </r>
  <r>
    <x v="6"/>
  </r>
  <r>
    <x v="29"/>
  </r>
  <r>
    <x v="1"/>
  </r>
  <r>
    <x v="5"/>
  </r>
  <r>
    <x v="7"/>
  </r>
  <r>
    <x v="6"/>
  </r>
  <r>
    <x v="18"/>
  </r>
  <r>
    <x v="12"/>
  </r>
  <r>
    <x v="15"/>
  </r>
  <r>
    <x v="14"/>
  </r>
  <r>
    <x v="23"/>
  </r>
  <r>
    <x v="23"/>
  </r>
  <r>
    <x v="7"/>
  </r>
  <r>
    <x v="10"/>
  </r>
  <r>
    <x v="8"/>
  </r>
  <r>
    <x v="22"/>
  </r>
  <r>
    <x v="22"/>
  </r>
  <r>
    <x v="9"/>
  </r>
  <r>
    <x v="5"/>
  </r>
  <r>
    <x v="26"/>
  </r>
  <r>
    <x v="26"/>
  </r>
  <r>
    <x v="26"/>
  </r>
  <r>
    <x v="9"/>
  </r>
  <r>
    <x v="18"/>
  </r>
  <r>
    <x v="7"/>
  </r>
  <r>
    <x v="26"/>
  </r>
  <r>
    <x v="3"/>
  </r>
  <r>
    <x v="3"/>
  </r>
  <r>
    <x v="15"/>
  </r>
  <r>
    <x v="0"/>
  </r>
  <r>
    <x v="4"/>
  </r>
  <r>
    <x v="3"/>
  </r>
  <r>
    <x v="2"/>
  </r>
  <r>
    <x v="2"/>
  </r>
  <r>
    <x v="3"/>
  </r>
  <r>
    <x v="14"/>
  </r>
  <r>
    <x v="4"/>
  </r>
  <r>
    <x v="9"/>
  </r>
  <r>
    <x v="23"/>
  </r>
  <r>
    <x v="8"/>
  </r>
  <r>
    <x v="19"/>
  </r>
  <r>
    <x v="27"/>
  </r>
  <r>
    <x v="31"/>
  </r>
  <r>
    <x v="9"/>
  </r>
  <r>
    <x v="18"/>
  </r>
  <r>
    <x v="30"/>
  </r>
  <r>
    <x v="0"/>
  </r>
  <r>
    <x v="0"/>
  </r>
  <r>
    <x v="15"/>
  </r>
  <r>
    <x v="11"/>
  </r>
  <r>
    <x v="11"/>
  </r>
  <r>
    <x v="17"/>
  </r>
  <r>
    <x v="5"/>
  </r>
  <r>
    <x v="17"/>
  </r>
  <r>
    <x v="3"/>
  </r>
  <r>
    <x v="0"/>
  </r>
  <r>
    <x v="0"/>
  </r>
  <r>
    <x v="28"/>
  </r>
  <r>
    <x v="2"/>
  </r>
  <r>
    <x v="20"/>
  </r>
  <r>
    <x v="31"/>
  </r>
  <r>
    <x v="0"/>
  </r>
  <r>
    <x v="19"/>
  </r>
  <r>
    <x v="1"/>
  </r>
  <r>
    <x v="30"/>
  </r>
  <r>
    <x v="29"/>
  </r>
  <r>
    <x v="19"/>
  </r>
  <r>
    <x v="13"/>
  </r>
  <r>
    <x v="4"/>
  </r>
  <r>
    <x v="11"/>
  </r>
  <r>
    <x v="6"/>
  </r>
  <r>
    <x v="19"/>
  </r>
  <r>
    <x v="30"/>
  </r>
  <r>
    <x v="4"/>
  </r>
  <r>
    <x v="15"/>
  </r>
  <r>
    <x v="28"/>
  </r>
  <r>
    <x v="4"/>
  </r>
  <r>
    <x v="2"/>
  </r>
  <r>
    <x v="3"/>
  </r>
  <r>
    <x v="18"/>
  </r>
  <r>
    <x v="12"/>
  </r>
  <r>
    <x v="13"/>
  </r>
  <r>
    <x v="19"/>
  </r>
  <r>
    <x v="5"/>
  </r>
  <r>
    <x v="15"/>
  </r>
  <r>
    <x v="6"/>
  </r>
  <r>
    <x v="0"/>
  </r>
  <r>
    <x v="29"/>
  </r>
  <r>
    <x v="29"/>
  </r>
  <r>
    <x v="18"/>
  </r>
  <r>
    <x v="18"/>
  </r>
  <r>
    <x v="10"/>
  </r>
  <r>
    <x v="10"/>
  </r>
  <r>
    <x v="10"/>
  </r>
  <r>
    <x v="31"/>
  </r>
  <r>
    <x v="19"/>
  </r>
  <r>
    <x v="18"/>
  </r>
  <r>
    <x v="18"/>
  </r>
  <r>
    <x v="26"/>
  </r>
  <r>
    <x v="0"/>
  </r>
  <r>
    <x v="31"/>
  </r>
  <r>
    <x v="31"/>
  </r>
  <r>
    <x v="31"/>
  </r>
  <r>
    <x v="8"/>
  </r>
  <r>
    <x v="1"/>
  </r>
  <r>
    <x v="21"/>
  </r>
  <r>
    <x v="18"/>
  </r>
  <r>
    <x v="13"/>
  </r>
  <r>
    <x v="3"/>
  </r>
  <r>
    <x v="16"/>
  </r>
  <r>
    <x v="26"/>
  </r>
  <r>
    <x v="5"/>
  </r>
  <r>
    <x v="2"/>
  </r>
  <r>
    <x v="3"/>
  </r>
  <r>
    <x v="16"/>
  </r>
  <r>
    <x v="0"/>
  </r>
  <r>
    <x v="0"/>
  </r>
  <r>
    <x v="11"/>
  </r>
  <r>
    <x v="23"/>
  </r>
  <r>
    <x v="7"/>
  </r>
  <r>
    <x v="30"/>
  </r>
  <r>
    <x v="28"/>
  </r>
  <r>
    <x v="31"/>
  </r>
  <r>
    <x v="14"/>
  </r>
  <r>
    <x v="20"/>
  </r>
  <r>
    <x v="2"/>
  </r>
  <r>
    <x v="2"/>
  </r>
  <r>
    <x v="27"/>
  </r>
  <r>
    <x v="5"/>
  </r>
  <r>
    <x v="2"/>
  </r>
  <r>
    <x v="8"/>
  </r>
  <r>
    <x v="20"/>
  </r>
  <r>
    <x v="25"/>
  </r>
  <r>
    <x v="7"/>
  </r>
  <r>
    <x v="30"/>
  </r>
  <r>
    <x v="3"/>
  </r>
  <r>
    <x v="10"/>
  </r>
  <r>
    <x v="21"/>
  </r>
  <r>
    <x v="19"/>
  </r>
  <r>
    <x v="25"/>
  </r>
  <r>
    <x v="19"/>
  </r>
  <r>
    <x v="4"/>
  </r>
  <r>
    <x v="4"/>
  </r>
  <r>
    <x v="4"/>
  </r>
  <r>
    <x v="4"/>
  </r>
  <r>
    <x v="23"/>
  </r>
  <r>
    <x v="25"/>
  </r>
  <r>
    <x v="25"/>
  </r>
  <r>
    <x v="5"/>
  </r>
  <r>
    <x v="31"/>
  </r>
  <r>
    <x v="22"/>
  </r>
  <r>
    <x v="31"/>
  </r>
  <r>
    <x v="4"/>
  </r>
  <r>
    <x v="21"/>
  </r>
  <r>
    <x v="5"/>
  </r>
  <r>
    <x v="27"/>
  </r>
  <r>
    <x v="9"/>
  </r>
  <r>
    <x v="5"/>
  </r>
  <r>
    <x v="12"/>
  </r>
  <r>
    <x v="9"/>
  </r>
  <r>
    <x v="30"/>
  </r>
  <r>
    <x v="25"/>
  </r>
  <r>
    <x v="15"/>
  </r>
  <r>
    <x v="4"/>
  </r>
  <r>
    <x v="20"/>
  </r>
  <r>
    <x v="16"/>
  </r>
  <r>
    <x v="2"/>
  </r>
  <r>
    <x v="12"/>
  </r>
  <r>
    <x v="17"/>
  </r>
  <r>
    <x v="32"/>
  </r>
</pivotCacheRecords>
</file>

<file path=xl/pivotCache/pivotCacheRecords28.xml><?xml version="1.0" encoding="utf-8"?>
<pivotCacheRecords xmlns="http://schemas.openxmlformats.org/spreadsheetml/2006/main" xmlns:r="http://schemas.openxmlformats.org/officeDocument/2006/relationships" count="421">
  <r>
    <x v="0"/>
  </r>
  <r>
    <x v="0"/>
  </r>
  <r>
    <x v="1"/>
  </r>
  <r>
    <x v="2"/>
  </r>
  <r>
    <x v="3"/>
  </r>
  <r>
    <x v="4"/>
  </r>
  <r>
    <x v="5"/>
  </r>
  <r>
    <x v="6"/>
  </r>
  <r>
    <x v="7"/>
  </r>
  <r>
    <x v="8"/>
  </r>
  <r>
    <x v="9"/>
  </r>
  <r>
    <x v="10"/>
  </r>
  <r>
    <x v="11"/>
  </r>
  <r>
    <x v="12"/>
  </r>
  <r>
    <x v="13"/>
  </r>
  <r>
    <x v="14"/>
  </r>
  <r>
    <x v="15"/>
  </r>
  <r>
    <x v="9"/>
  </r>
  <r>
    <x v="16"/>
  </r>
  <r>
    <x v="17"/>
  </r>
  <r>
    <x v="5"/>
  </r>
  <r>
    <x v="18"/>
  </r>
  <r>
    <x v="19"/>
  </r>
  <r>
    <x v="20"/>
  </r>
  <r>
    <x v="12"/>
  </r>
  <r>
    <x v="21"/>
  </r>
  <r>
    <x v="22"/>
  </r>
  <r>
    <x v="23"/>
  </r>
  <r>
    <x v="23"/>
  </r>
  <r>
    <x v="24"/>
  </r>
  <r>
    <x v="24"/>
  </r>
  <r>
    <x v="16"/>
  </r>
  <r>
    <x v="5"/>
  </r>
  <r>
    <x v="25"/>
  </r>
  <r>
    <x v="26"/>
  </r>
  <r>
    <x v="14"/>
  </r>
  <r>
    <x v="14"/>
  </r>
  <r>
    <x v="14"/>
  </r>
  <r>
    <x v="11"/>
  </r>
  <r>
    <x v="5"/>
  </r>
  <r>
    <x v="5"/>
  </r>
  <r>
    <x v="27"/>
  </r>
  <r>
    <x v="28"/>
  </r>
  <r>
    <x v="27"/>
  </r>
  <r>
    <x v="29"/>
  </r>
  <r>
    <x v="30"/>
  </r>
  <r>
    <x v="20"/>
  </r>
  <r>
    <x v="20"/>
  </r>
  <r>
    <x v="31"/>
  </r>
  <r>
    <x v="11"/>
  </r>
  <r>
    <x v="32"/>
  </r>
  <r>
    <x v="26"/>
  </r>
  <r>
    <x v="25"/>
  </r>
  <r>
    <x v="33"/>
  </r>
  <r>
    <x v="33"/>
  </r>
  <r>
    <x v="9"/>
  </r>
  <r>
    <x v="13"/>
  </r>
  <r>
    <x v="13"/>
  </r>
  <r>
    <x v="2"/>
  </r>
  <r>
    <x v="22"/>
  </r>
  <r>
    <x v="18"/>
  </r>
  <r>
    <x v="8"/>
  </r>
  <r>
    <x v="34"/>
  </r>
  <r>
    <x v="33"/>
  </r>
  <r>
    <x v="28"/>
  </r>
  <r>
    <x v="35"/>
  </r>
  <r>
    <x v="20"/>
  </r>
  <r>
    <x v="36"/>
  </r>
  <r>
    <x v="37"/>
  </r>
  <r>
    <x v="7"/>
  </r>
  <r>
    <x v="7"/>
  </r>
  <r>
    <x v="38"/>
  </r>
  <r>
    <x v="6"/>
  </r>
  <r>
    <x v="37"/>
  </r>
  <r>
    <x v="3"/>
  </r>
  <r>
    <x v="39"/>
  </r>
  <r>
    <x v="40"/>
  </r>
  <r>
    <x v="41"/>
  </r>
  <r>
    <x v="26"/>
  </r>
  <r>
    <x v="4"/>
  </r>
  <r>
    <x v="25"/>
  </r>
  <r>
    <x v="37"/>
  </r>
  <r>
    <x v="29"/>
  </r>
  <r>
    <x v="24"/>
  </r>
  <r>
    <x v="42"/>
  </r>
  <r>
    <x v="43"/>
  </r>
  <r>
    <x v="38"/>
  </r>
  <r>
    <x v="44"/>
  </r>
  <r>
    <x v="28"/>
  </r>
  <r>
    <x v="21"/>
  </r>
  <r>
    <x v="21"/>
  </r>
  <r>
    <x v="25"/>
  </r>
  <r>
    <x v="15"/>
  </r>
  <r>
    <x v="41"/>
  </r>
  <r>
    <x v="45"/>
  </r>
  <r>
    <x v="37"/>
  </r>
  <r>
    <x v="29"/>
  </r>
  <r>
    <x v="31"/>
  </r>
  <r>
    <x v="31"/>
  </r>
  <r>
    <x v="33"/>
  </r>
  <r>
    <x v="29"/>
  </r>
  <r>
    <x v="46"/>
  </r>
  <r>
    <x v="7"/>
  </r>
  <r>
    <x v="7"/>
  </r>
  <r>
    <x v="7"/>
  </r>
  <r>
    <x v="7"/>
  </r>
  <r>
    <x v="42"/>
  </r>
  <r>
    <x v="36"/>
  </r>
  <r>
    <x v="36"/>
  </r>
  <r>
    <x v="41"/>
  </r>
  <r>
    <x v="47"/>
  </r>
  <r>
    <x v="48"/>
  </r>
  <r>
    <x v="49"/>
  </r>
  <r>
    <x v="0"/>
  </r>
  <r>
    <x v="16"/>
  </r>
  <r>
    <x v="29"/>
  </r>
  <r>
    <x v="40"/>
  </r>
  <r>
    <x v="0"/>
  </r>
  <r>
    <x v="39"/>
  </r>
  <r>
    <x v="18"/>
  </r>
  <r>
    <x v="15"/>
  </r>
  <r>
    <x v="45"/>
  </r>
  <r>
    <x v="50"/>
  </r>
  <r>
    <x v="51"/>
  </r>
  <r>
    <x v="51"/>
  </r>
  <r>
    <x v="45"/>
  </r>
  <r>
    <x v="39"/>
  </r>
  <r>
    <x v="52"/>
  </r>
  <r>
    <x v="29"/>
  </r>
  <r>
    <x v="40"/>
  </r>
  <r>
    <x v="17"/>
  </r>
  <r>
    <x v="15"/>
  </r>
  <r>
    <x v="39"/>
  </r>
  <r>
    <x v="16"/>
  </r>
  <r>
    <x v="11"/>
  </r>
  <r>
    <x v="49"/>
  </r>
  <r>
    <x v="40"/>
  </r>
  <r>
    <x v="52"/>
  </r>
  <r>
    <x v="53"/>
  </r>
  <r>
    <x v="24"/>
  </r>
  <r>
    <x v="24"/>
  </r>
  <r>
    <x v="39"/>
  </r>
  <r>
    <x v="0"/>
  </r>
  <r>
    <x v="54"/>
  </r>
  <r>
    <x v="17"/>
  </r>
  <r>
    <x v="19"/>
  </r>
  <r>
    <x v="19"/>
  </r>
  <r>
    <x v="3"/>
  </r>
  <r>
    <x v="46"/>
  </r>
  <r>
    <x v="37"/>
  </r>
  <r>
    <x v="44"/>
  </r>
  <r>
    <x v="44"/>
  </r>
  <r>
    <x v="19"/>
  </r>
  <r>
    <x v="19"/>
  </r>
  <r>
    <x v="19"/>
  </r>
  <r>
    <x v="26"/>
  </r>
  <r>
    <x v="42"/>
  </r>
  <r>
    <x v="11"/>
  </r>
  <r>
    <x v="55"/>
  </r>
  <r>
    <x v="21"/>
  </r>
  <r>
    <x v="56"/>
  </r>
  <r>
    <x v="5"/>
  </r>
  <r>
    <x v="53"/>
  </r>
  <r>
    <x v="54"/>
  </r>
  <r>
    <x v="54"/>
  </r>
  <r>
    <x v="50"/>
  </r>
  <r>
    <x v="57"/>
  </r>
  <r>
    <x v="58"/>
  </r>
  <r>
    <x v="58"/>
  </r>
  <r>
    <x v="16"/>
  </r>
  <r>
    <x v="59"/>
  </r>
  <r>
    <x v="59"/>
  </r>
  <r>
    <x v="59"/>
  </r>
  <r>
    <x v="26"/>
  </r>
  <r>
    <x v="58"/>
  </r>
  <r>
    <x v="60"/>
  </r>
  <r>
    <x v="61"/>
  </r>
  <r>
    <x v="49"/>
  </r>
  <r>
    <x v="9"/>
  </r>
  <r>
    <x v="62"/>
  </r>
  <r>
    <x v="49"/>
  </r>
  <r>
    <x v="63"/>
  </r>
  <r>
    <x v="64"/>
  </r>
  <r>
    <x v="61"/>
  </r>
  <r>
    <x v="61"/>
  </r>
  <r>
    <x v="57"/>
  </r>
  <r>
    <x v="51"/>
  </r>
  <r>
    <x v="40"/>
  </r>
  <r>
    <x v="61"/>
  </r>
  <r>
    <x v="61"/>
  </r>
  <r>
    <x v="61"/>
  </r>
  <r>
    <x v="47"/>
  </r>
  <r>
    <x v="53"/>
  </r>
  <r>
    <x v="60"/>
  </r>
  <r>
    <x v="3"/>
  </r>
  <r>
    <x v="13"/>
  </r>
  <r>
    <x v="4"/>
  </r>
  <r>
    <x v="12"/>
  </r>
  <r>
    <x v="54"/>
  </r>
  <r>
    <x v="36"/>
  </r>
  <r>
    <x v="10"/>
  </r>
  <r>
    <x v="26"/>
  </r>
  <r>
    <x v="62"/>
  </r>
  <r>
    <x v="16"/>
  </r>
  <r>
    <x v="15"/>
  </r>
  <r>
    <x v="16"/>
  </r>
  <r>
    <x v="60"/>
  </r>
  <r>
    <x v="9"/>
  </r>
  <r>
    <x v="36"/>
  </r>
  <r>
    <x v="63"/>
  </r>
  <r>
    <x v="65"/>
  </r>
  <r>
    <x v="60"/>
  </r>
  <r>
    <x v="13"/>
  </r>
  <r>
    <x v="13"/>
  </r>
  <r>
    <x v="65"/>
  </r>
  <r>
    <x v="37"/>
  </r>
  <r>
    <x v="48"/>
  </r>
  <r>
    <x v="16"/>
  </r>
  <r>
    <x v="19"/>
  </r>
  <r>
    <x v="57"/>
  </r>
  <r>
    <x v="66"/>
  </r>
  <r>
    <x v="58"/>
  </r>
  <r>
    <x v="59"/>
  </r>
  <r>
    <x v="58"/>
  </r>
  <r>
    <x v="51"/>
  </r>
  <r>
    <x v="42"/>
  </r>
  <r>
    <x v="36"/>
  </r>
  <r>
    <x v="3"/>
  </r>
  <r>
    <x v="59"/>
  </r>
  <r>
    <x v="40"/>
  </r>
  <r>
    <x v="58"/>
  </r>
  <r>
    <x v="15"/>
  </r>
  <r>
    <x v="3"/>
  </r>
  <r>
    <x v="67"/>
  </r>
  <r>
    <x v="6"/>
  </r>
  <r>
    <x v="18"/>
  </r>
  <r>
    <x v="18"/>
  </r>
  <r>
    <x v="65"/>
  </r>
  <r>
    <x v="7"/>
  </r>
  <r>
    <x v="6"/>
  </r>
  <r>
    <x v="46"/>
  </r>
  <r>
    <x v="14"/>
  </r>
  <r>
    <x v="11"/>
  </r>
  <r>
    <x v="11"/>
  </r>
  <r>
    <x v="15"/>
  </r>
  <r>
    <x v="67"/>
  </r>
  <r>
    <x v="58"/>
  </r>
  <r>
    <x v="10"/>
  </r>
  <r>
    <x v="51"/>
  </r>
  <r>
    <x v="9"/>
  </r>
  <r>
    <x v="28"/>
  </r>
  <r>
    <x v="10"/>
  </r>
  <r>
    <x v="48"/>
  </r>
  <r>
    <x v="8"/>
  </r>
  <r>
    <x v="35"/>
  </r>
  <r>
    <x v="7"/>
  </r>
  <r>
    <x v="10"/>
  </r>
  <r>
    <x v="62"/>
  </r>
  <r>
    <x v="14"/>
  </r>
  <r>
    <x v="59"/>
  </r>
  <r>
    <x v="16"/>
  </r>
  <r>
    <x v="40"/>
  </r>
  <r>
    <x v="28"/>
  </r>
  <r>
    <x v="7"/>
  </r>
  <r>
    <x v="60"/>
  </r>
  <r>
    <x v="68"/>
  </r>
  <r>
    <x v="37"/>
  </r>
  <r>
    <x v="27"/>
  </r>
  <r>
    <x v="61"/>
  </r>
  <r>
    <x v="35"/>
  </r>
  <r>
    <x v="39"/>
  </r>
  <r>
    <x v="39"/>
  </r>
  <r>
    <x v="39"/>
  </r>
  <r>
    <x v="63"/>
  </r>
  <r>
    <x v="23"/>
  </r>
  <r>
    <x v="47"/>
  </r>
  <r>
    <x v="39"/>
  </r>
  <r>
    <x v="69"/>
  </r>
  <r>
    <x v="69"/>
  </r>
  <r>
    <x v="59"/>
  </r>
  <r>
    <x v="0"/>
  </r>
  <r>
    <x v="53"/>
  </r>
  <r>
    <x v="69"/>
  </r>
  <r>
    <x v="57"/>
  </r>
  <r>
    <x v="57"/>
  </r>
  <r>
    <x v="3"/>
  </r>
  <r>
    <x v="36"/>
  </r>
  <r>
    <x v="4"/>
  </r>
  <r>
    <x v="63"/>
  </r>
  <r>
    <x v="34"/>
  </r>
  <r>
    <x v="58"/>
  </r>
  <r>
    <x v="24"/>
  </r>
  <r>
    <x v="42"/>
  </r>
  <r>
    <x v="70"/>
  </r>
  <r>
    <x v="63"/>
  </r>
  <r>
    <x v="71"/>
  </r>
  <r>
    <x v="58"/>
  </r>
  <r>
    <x v="18"/>
  </r>
  <r>
    <x v="18"/>
  </r>
  <r>
    <x v="58"/>
  </r>
  <r>
    <x v="13"/>
  </r>
  <r>
    <x v="13"/>
  </r>
  <r>
    <x v="20"/>
  </r>
  <r>
    <x v="5"/>
  </r>
  <r>
    <x v="20"/>
  </r>
  <r>
    <x v="30"/>
  </r>
  <r>
    <x v="0"/>
  </r>
  <r>
    <x v="18"/>
  </r>
  <r>
    <x v="72"/>
  </r>
  <r>
    <x v="2"/>
  </r>
  <r>
    <x v="25"/>
  </r>
  <r>
    <x v="70"/>
  </r>
  <r>
    <x v="18"/>
  </r>
  <r>
    <x v="50"/>
  </r>
  <r>
    <x v="8"/>
  </r>
  <r>
    <x v="54"/>
  </r>
  <r>
    <x v="49"/>
  </r>
  <r>
    <x v="50"/>
  </r>
  <r>
    <x v="51"/>
  </r>
  <r>
    <x v="4"/>
  </r>
  <r>
    <x v="13"/>
  </r>
  <r>
    <x v="6"/>
  </r>
  <r>
    <x v="50"/>
  </r>
  <r>
    <x v="54"/>
  </r>
  <r>
    <x v="53"/>
  </r>
  <r>
    <x v="17"/>
  </r>
  <r>
    <x v="73"/>
  </r>
  <r>
    <x v="53"/>
  </r>
  <r>
    <x v="57"/>
  </r>
  <r>
    <x v="3"/>
  </r>
  <r>
    <x v="23"/>
  </r>
  <r>
    <x v="67"/>
  </r>
  <r>
    <x v="15"/>
  </r>
  <r>
    <x v="24"/>
  </r>
  <r>
    <x v="35"/>
  </r>
  <r>
    <x v="59"/>
  </r>
  <r>
    <x v="6"/>
  </r>
  <r>
    <x v="0"/>
  </r>
  <r>
    <x v="48"/>
  </r>
  <r>
    <x v="48"/>
  </r>
  <r>
    <x v="62"/>
  </r>
  <r>
    <x v="74"/>
  </r>
  <r>
    <x v="60"/>
  </r>
  <r>
    <x v="60"/>
  </r>
  <r>
    <x v="60"/>
  </r>
  <r>
    <x v="70"/>
  </r>
  <r>
    <x v="24"/>
  </r>
  <r>
    <x v="23"/>
  </r>
  <r>
    <x v="62"/>
  </r>
  <r>
    <x v="75"/>
  </r>
  <r>
    <x v="0"/>
  </r>
  <r>
    <x v="76"/>
  </r>
  <r>
    <x v="77"/>
  </r>
  <r>
    <x v="77"/>
  </r>
  <r>
    <x v="9"/>
  </r>
  <r>
    <x v="1"/>
  </r>
  <r>
    <x v="11"/>
  </r>
  <r>
    <x v="71"/>
  </r>
  <r>
    <x v="51"/>
  </r>
  <r>
    <x v="3"/>
  </r>
  <r>
    <x v="19"/>
  </r>
  <r>
    <x v="39"/>
  </r>
  <r>
    <x v="35"/>
  </r>
  <r>
    <x v="57"/>
  </r>
  <r>
    <x v="38"/>
  </r>
  <r>
    <x v="19"/>
  </r>
  <r>
    <x v="0"/>
  </r>
  <r>
    <x v="0"/>
  </r>
  <r>
    <x v="13"/>
  </r>
  <r>
    <x v="34"/>
  </r>
  <r>
    <x v="7"/>
  </r>
  <r>
    <x v="54"/>
  </r>
  <r>
    <x v="72"/>
  </r>
  <r>
    <x v="77"/>
  </r>
  <r>
    <x v="16"/>
  </r>
  <r>
    <x v="25"/>
  </r>
  <r>
    <x v="57"/>
  </r>
  <r>
    <x v="57"/>
  </r>
  <r>
    <x v="42"/>
  </r>
  <r>
    <x v="35"/>
  </r>
  <r>
    <x v="2"/>
  </r>
  <r>
    <x v="9"/>
  </r>
  <r>
    <x v="31"/>
  </r>
  <r>
    <x v="64"/>
  </r>
  <r>
    <x v="7"/>
  </r>
  <r>
    <x v="54"/>
  </r>
  <r>
    <x v="3"/>
  </r>
  <r>
    <x v="29"/>
  </r>
  <r>
    <x v="11"/>
  </r>
  <r>
    <x v="24"/>
  </r>
  <r>
    <x v="33"/>
  </r>
  <r>
    <x v="50"/>
  </r>
  <r>
    <x v="4"/>
  </r>
  <r>
    <x v="4"/>
  </r>
  <r>
    <x v="4"/>
  </r>
  <r>
    <x v="4"/>
  </r>
  <r>
    <x v="40"/>
  </r>
  <r>
    <x v="33"/>
  </r>
  <r>
    <x v="33"/>
  </r>
  <r>
    <x v="5"/>
  </r>
  <r>
    <x v="77"/>
  </r>
  <r>
    <x v="37"/>
  </r>
  <r>
    <x v="9"/>
  </r>
  <r>
    <x v="4"/>
  </r>
  <r>
    <x v="45"/>
  </r>
  <r>
    <x v="35"/>
  </r>
  <r>
    <x v="42"/>
  </r>
  <r>
    <x v="11"/>
  </r>
  <r>
    <x v="35"/>
  </r>
  <r>
    <x v="14"/>
  </r>
  <r>
    <x v="61"/>
  </r>
  <r>
    <x v="54"/>
  </r>
  <r>
    <x v="33"/>
  </r>
  <r>
    <x v="17"/>
  </r>
  <r>
    <x v="53"/>
  </r>
  <r>
    <x v="31"/>
  </r>
  <r>
    <x v="19"/>
  </r>
  <r>
    <x v="57"/>
  </r>
  <r>
    <x v="14"/>
  </r>
  <r>
    <x v="20"/>
  </r>
  <r>
    <x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name="Tabela dinâmica11" cacheId="34"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242:C246" firstHeaderRow="1" firstDataRow="1" firstDataCol="1"/>
  <pivotFields count="1">
    <pivotField axis="axisRow" dataField="1" showAll="0">
      <items count="5">
        <item x="2"/>
        <item x="1"/>
        <item x="0"/>
        <item h="1" x="3"/>
        <item t="default"/>
      </items>
    </pivotField>
  </pivotFields>
  <rowFields count="1">
    <field x="0"/>
  </rowFields>
  <rowItems count="4">
    <i>
      <x/>
    </i>
    <i>
      <x v="1"/>
    </i>
    <i>
      <x v="2"/>
    </i>
    <i t="grand">
      <x/>
    </i>
  </rowItems>
  <colItems count="1">
    <i/>
  </colItems>
  <dataFields count="1">
    <dataField name="Contagem de Substituição da pen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7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84:F285"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TotPen (meses)" fld="0" subtotal="countNums" baseField="0" baseItem="14480168"/>
    <dataField name="Average of TotPen (meses)2" fld="0" subtotal="average" baseField="0" baseItem="1"/>
    <dataField name="Min of TotPen (meses)2" fld="0" subtotal="min" baseField="0" baseItem="1"/>
    <dataField name="Max of TotPen (meses)2" fld="0" subtotal="max" baseField="0" baseItem="1"/>
    <dataField name="StdDev of TotPen (meses)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6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06:F307"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Maconha (g)" fld="0" subtotal="count" baseField="0" baseItem="0"/>
    <dataField name="Average of Maconha (g)2" fld="0" subtotal="average" baseField="0" baseItem="1"/>
    <dataField name="Min of Maconha (g)2" fld="0" subtotal="min" baseField="0" baseItem="1"/>
    <dataField name="Max of Maconha (g)2" fld="0" subtotal="max" baseField="0" baseItem="1"/>
    <dataField name="StdDev of Maconha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ela dinâmica5" cacheId="102"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151:C157" firstHeaderRow="1" firstDataRow="1" firstDataCol="1"/>
  <pivotFields count="1">
    <pivotField axis="axisRow" dataField="1" showAll="0" sortType="descending">
      <items count="8">
        <item x="4"/>
        <item x="2"/>
        <item x="3"/>
        <item x="1"/>
        <item m="1" x="6"/>
        <item x="0"/>
        <item h="1" x="5"/>
        <item t="default"/>
      </items>
      <autoSortScope>
        <pivotArea dataOnly="0" outline="0" fieldPosition="0">
          <references count="1">
            <reference field="4294967294" count="1" selected="0">
              <x v="0"/>
            </reference>
          </references>
        </pivotArea>
      </autoSortScope>
    </pivotField>
  </pivotFields>
  <rowFields count="1">
    <field x="0"/>
  </rowFields>
  <rowItems count="6">
    <i>
      <x v="3"/>
    </i>
    <i>
      <x v="1"/>
    </i>
    <i>
      <x v="5"/>
    </i>
    <i>
      <x v="2"/>
    </i>
    <i>
      <x/>
    </i>
    <i t="grand">
      <x/>
    </i>
  </rowItems>
  <colItems count="1">
    <i/>
  </colItems>
  <dataFields count="1">
    <dataField name="Contagem de Cuti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8" cacheId="6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12:F313" firstHeaderRow="0" firstDataRow="1" firstDataCol="0" rowPageCount="1" colPageCount="1"/>
  <pivotFields count="1">
    <pivotField axis="axisPage" dataField="1" multipleItemSelectionAllowed="1" showAll="0">
      <items count="241">
        <item h="1" x="0"/>
        <item x="98"/>
        <item x="115"/>
        <item x="186"/>
        <item x="219"/>
        <item x="232"/>
        <item x="73"/>
        <item x="152"/>
        <item x="185"/>
        <item x="227"/>
        <item x="192"/>
        <item x="220"/>
        <item x="218"/>
        <item x="48"/>
        <item x="109"/>
        <item x="146"/>
        <item x="29"/>
        <item x="150"/>
        <item x="131"/>
        <item x="37"/>
        <item x="20"/>
        <item x="178"/>
        <item x="107"/>
        <item x="60"/>
        <item x="117"/>
        <item x="59"/>
        <item x="31"/>
        <item x="44"/>
        <item x="229"/>
        <item x="197"/>
        <item x="57"/>
        <item x="114"/>
        <item x="79"/>
        <item x="168"/>
        <item x="161"/>
        <item x="235"/>
        <item x="226"/>
        <item x="210"/>
        <item x="10"/>
        <item x="125"/>
        <item x="28"/>
        <item x="124"/>
        <item x="51"/>
        <item x="13"/>
        <item x="162"/>
        <item x="216"/>
        <item x="55"/>
        <item x="113"/>
        <item x="25"/>
        <item x="85"/>
        <item x="36"/>
        <item x="61"/>
        <item x="237"/>
        <item x="68"/>
        <item x="175"/>
        <item x="138"/>
        <item x="24"/>
        <item x="158"/>
        <item x="230"/>
        <item x="167"/>
        <item x="183"/>
        <item x="53"/>
        <item x="212"/>
        <item x="238"/>
        <item x="9"/>
        <item x="154"/>
        <item x="8"/>
        <item x="209"/>
        <item x="140"/>
        <item x="221"/>
        <item x="67"/>
        <item x="236"/>
        <item x="52"/>
        <item x="5"/>
        <item x="45"/>
        <item x="120"/>
        <item x="156"/>
        <item x="40"/>
        <item x="211"/>
        <item x="137"/>
        <item x="70"/>
        <item x="193"/>
        <item x="7"/>
        <item x="224"/>
        <item x="148"/>
        <item x="172"/>
        <item x="21"/>
        <item x="127"/>
        <item x="82"/>
        <item x="122"/>
        <item x="75"/>
        <item x="47"/>
        <item x="41"/>
        <item x="72"/>
        <item x="126"/>
        <item x="27"/>
        <item x="142"/>
        <item x="35"/>
        <item x="214"/>
        <item x="160"/>
        <item x="17"/>
        <item x="141"/>
        <item x="222"/>
        <item x="38"/>
        <item x="89"/>
        <item x="19"/>
        <item x="231"/>
        <item x="54"/>
        <item x="69"/>
        <item x="223"/>
        <item x="34"/>
        <item x="2"/>
        <item x="32"/>
        <item x="63"/>
        <item x="50"/>
        <item x="217"/>
        <item x="65"/>
        <item x="14"/>
        <item x="132"/>
        <item x="177"/>
        <item x="39"/>
        <item x="133"/>
        <item x="15"/>
        <item x="164"/>
        <item x="191"/>
        <item x="49"/>
        <item x="215"/>
        <item x="225"/>
        <item x="136"/>
        <item x="112"/>
        <item x="198"/>
        <item x="77"/>
        <item x="119"/>
        <item x="74"/>
        <item x="93"/>
        <item x="18"/>
        <item x="234"/>
        <item x="189"/>
        <item x="199"/>
        <item x="80"/>
        <item x="228"/>
        <item x="181"/>
        <item x="174"/>
        <item x="213"/>
        <item x="176"/>
        <item x="159"/>
        <item x="128"/>
        <item x="26"/>
        <item x="6"/>
        <item x="111"/>
        <item x="56"/>
        <item x="147"/>
        <item x="205"/>
        <item x="116"/>
        <item x="42"/>
        <item x="155"/>
        <item x="83"/>
        <item x="97"/>
        <item x="190"/>
        <item x="233"/>
        <item x="165"/>
        <item x="43"/>
        <item x="163"/>
        <item x="145"/>
        <item x="64"/>
        <item x="81"/>
        <item x="104"/>
        <item x="153"/>
        <item x="46"/>
        <item x="1"/>
        <item x="22"/>
        <item x="62"/>
        <item x="157"/>
        <item x="66"/>
        <item x="33"/>
        <item x="188"/>
        <item x="91"/>
        <item x="129"/>
        <item x="135"/>
        <item x="200"/>
        <item x="194"/>
        <item x="76"/>
        <item x="202"/>
        <item x="195"/>
        <item x="170"/>
        <item x="30"/>
        <item x="84"/>
        <item x="187"/>
        <item x="134"/>
        <item x="123"/>
        <item x="87"/>
        <item x="151"/>
        <item x="96"/>
        <item x="182"/>
        <item x="4"/>
        <item x="86"/>
        <item x="58"/>
        <item x="139"/>
        <item x="100"/>
        <item x="184"/>
        <item x="196"/>
        <item x="16"/>
        <item x="101"/>
        <item x="171"/>
        <item x="180"/>
        <item x="92"/>
        <item x="12"/>
        <item x="102"/>
        <item x="206"/>
        <item x="130"/>
        <item x="23"/>
        <item x="95"/>
        <item x="149"/>
        <item x="169"/>
        <item x="11"/>
        <item x="143"/>
        <item x="110"/>
        <item x="173"/>
        <item x="94"/>
        <item x="78"/>
        <item x="118"/>
        <item x="121"/>
        <item x="99"/>
        <item x="3"/>
        <item x="88"/>
        <item x="90"/>
        <item x="105"/>
        <item x="166"/>
        <item x="103"/>
        <item x="208"/>
        <item x="201"/>
        <item x="108"/>
        <item x="179"/>
        <item x="203"/>
        <item x="207"/>
        <item x="204"/>
        <item x="106"/>
        <item x="71"/>
        <item x="144"/>
        <item x="239"/>
        <item t="default"/>
      </items>
    </pivotField>
  </pivotFields>
  <rowItems count="1">
    <i/>
  </rowItems>
  <colFields count="1">
    <field x="-2"/>
  </colFields>
  <colItems count="5">
    <i>
      <x/>
    </i>
    <i i="1">
      <x v="1"/>
    </i>
    <i i="2">
      <x v="2"/>
    </i>
    <i i="3">
      <x v="3"/>
    </i>
    <i i="4">
      <x v="4"/>
    </i>
  </colItems>
  <pageFields count="1">
    <pageField fld="0" hier="-1"/>
  </pageFields>
  <dataFields count="5">
    <dataField name="Count of Maconha (g)" fld="0" subtotal="count" baseField="0" baseItem="0"/>
    <dataField name="Average of Maconha (g)2" fld="0" subtotal="average" baseField="0" baseItem="1"/>
    <dataField name="Min of Maconha (g)2" fld="0" subtotal="min" baseField="0" baseItem="1"/>
    <dataField name="Max of Maconha (g)2" fld="0" subtotal="max" baseField="0" baseItem="1"/>
    <dataField name="StdDev of Maconha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ela dinâmica7" cacheId="99"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169:C174" firstHeaderRow="1" firstDataRow="1" firstDataCol="1"/>
  <pivotFields count="1">
    <pivotField axis="axisRow" dataField="1"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s>
  <rowFields count="1">
    <field x="0"/>
  </rowFields>
  <rowItems count="5">
    <i>
      <x v="3"/>
    </i>
    <i>
      <x v="2"/>
    </i>
    <i>
      <x/>
    </i>
    <i>
      <x v="1"/>
    </i>
    <i t="grand">
      <x/>
    </i>
  </rowItems>
  <colItems count="1">
    <i/>
  </colItems>
  <dataFields count="1">
    <dataField name="Contagem de Sentenç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6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20:F321"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Cocaína (g)" fld="0" subtotal="count" baseField="0" baseItem="0"/>
    <dataField name="Average of Cocaína (g)2" fld="0" subtotal="average" baseField="0" baseItem="1"/>
    <dataField name="Min of Cocaína (g)2" fld="0" subtotal="min" baseField="0" baseItem="1"/>
    <dataField name="Max of Cocaína (g)2" fld="0" subtotal="max" baseField="0" baseItem="1"/>
    <dataField name="Count of Cocaína (g)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abela dinâmica1" cacheId="114"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9:C88" firstHeaderRow="1" firstDataRow="1" firstDataCol="1"/>
  <pivotFields count="1">
    <pivotField axis="axisRow" dataField="1" showAll="0" sortType="descending">
      <items count="80">
        <item x="1"/>
        <item x="29"/>
        <item x="74"/>
        <item x="63"/>
        <item x="32"/>
        <item x="42"/>
        <item x="19"/>
        <item x="31"/>
        <item x="5"/>
        <item x="50"/>
        <item x="0"/>
        <item x="45"/>
        <item x="54"/>
        <item x="18"/>
        <item x="76"/>
        <item x="38"/>
        <item x="9"/>
        <item x="46"/>
        <item x="75"/>
        <item x="47"/>
        <item x="66"/>
        <item x="41"/>
        <item x="11"/>
        <item x="40"/>
        <item x="55"/>
        <item x="37"/>
        <item x="20"/>
        <item x="67"/>
        <item x="51"/>
        <item x="15"/>
        <item x="43"/>
        <item x="25"/>
        <item x="27"/>
        <item x="17"/>
        <item x="39"/>
        <item x="28"/>
        <item x="77"/>
        <item x="14"/>
        <item x="3"/>
        <item x="68"/>
        <item x="52"/>
        <item x="7"/>
        <item x="23"/>
        <item x="73"/>
        <item x="21"/>
        <item x="71"/>
        <item x="36"/>
        <item x="48"/>
        <item x="53"/>
        <item x="26"/>
        <item x="70"/>
        <item x="33"/>
        <item x="49"/>
        <item x="61"/>
        <item x="6"/>
        <item x="58"/>
        <item x="34"/>
        <item x="65"/>
        <item x="10"/>
        <item x="60"/>
        <item x="13"/>
        <item x="30"/>
        <item x="4"/>
        <item x="72"/>
        <item x="8"/>
        <item x="35"/>
        <item x="64"/>
        <item x="57"/>
        <item x="56"/>
        <item x="59"/>
        <item x="2"/>
        <item x="22"/>
        <item x="12"/>
        <item x="16"/>
        <item x="62"/>
        <item x="44"/>
        <item x="24"/>
        <item x="69"/>
        <item h="1" x="78"/>
        <item t="default"/>
      </items>
      <autoSortScope>
        <pivotArea dataOnly="0" outline="0" fieldPosition="0">
          <references count="1">
            <reference field="4294967294" count="1" selected="0">
              <x v="0"/>
            </reference>
          </references>
        </pivotArea>
      </autoSortScope>
    </pivotField>
  </pivotFields>
  <rowFields count="1">
    <field x="0"/>
  </rowFields>
  <rowItems count="79">
    <i>
      <x v="41"/>
    </i>
    <i>
      <x v="10"/>
    </i>
    <i>
      <x v="6"/>
    </i>
    <i>
      <x v="67"/>
    </i>
    <i>
      <x v="55"/>
    </i>
    <i>
      <x v="60"/>
    </i>
    <i>
      <x v="62"/>
    </i>
    <i>
      <x v="22"/>
    </i>
    <i>
      <x v="73"/>
    </i>
    <i>
      <x v="34"/>
    </i>
    <i>
      <x v="38"/>
    </i>
    <i>
      <x v="76"/>
    </i>
    <i>
      <x v="13"/>
    </i>
    <i>
      <x v="12"/>
    </i>
    <i>
      <x v="16"/>
    </i>
    <i>
      <x v="69"/>
    </i>
    <i>
      <x v="65"/>
    </i>
    <i>
      <x v="51"/>
    </i>
    <i>
      <x v="59"/>
    </i>
    <i>
      <x v="53"/>
    </i>
    <i>
      <x v="23"/>
    </i>
    <i>
      <x v="8"/>
    </i>
    <i>
      <x v="25"/>
    </i>
    <i>
      <x v="29"/>
    </i>
    <i>
      <x v="37"/>
    </i>
    <i>
      <x v="48"/>
    </i>
    <i>
      <x v="5"/>
    </i>
    <i>
      <x v="28"/>
    </i>
    <i>
      <x v="1"/>
    </i>
    <i>
      <x v="26"/>
    </i>
    <i>
      <x v="46"/>
    </i>
    <i>
      <x v="9"/>
    </i>
    <i>
      <x v="54"/>
    </i>
    <i>
      <x v="49"/>
    </i>
    <i>
      <x v="31"/>
    </i>
    <i>
      <x v="47"/>
    </i>
    <i>
      <x v="33"/>
    </i>
    <i>
      <x v="7"/>
    </i>
    <i>
      <x v="74"/>
    </i>
    <i>
      <x v="3"/>
    </i>
    <i>
      <x v="58"/>
    </i>
    <i>
      <x v="52"/>
    </i>
    <i>
      <x v="35"/>
    </i>
    <i>
      <x v="42"/>
    </i>
    <i>
      <x v="36"/>
    </i>
    <i>
      <x v="70"/>
    </i>
    <i>
      <x v="11"/>
    </i>
    <i>
      <x v="64"/>
    </i>
    <i>
      <x v="44"/>
    </i>
    <i>
      <x v="32"/>
    </i>
    <i>
      <x v="75"/>
    </i>
    <i>
      <x v="19"/>
    </i>
    <i>
      <x v="50"/>
    </i>
    <i>
      <x v="21"/>
    </i>
    <i>
      <x v="15"/>
    </i>
    <i>
      <x v="27"/>
    </i>
    <i>
      <x v="17"/>
    </i>
    <i>
      <x v="72"/>
    </i>
    <i>
      <x v="56"/>
    </i>
    <i>
      <x v="57"/>
    </i>
    <i>
      <x v="77"/>
    </i>
    <i>
      <x/>
    </i>
    <i>
      <x v="40"/>
    </i>
    <i>
      <x v="66"/>
    </i>
    <i>
      <x v="45"/>
    </i>
    <i>
      <x v="71"/>
    </i>
    <i>
      <x v="61"/>
    </i>
    <i>
      <x v="63"/>
    </i>
    <i>
      <x v="43"/>
    </i>
    <i>
      <x v="2"/>
    </i>
    <i>
      <x v="24"/>
    </i>
    <i>
      <x v="18"/>
    </i>
    <i>
      <x v="30"/>
    </i>
    <i>
      <x v="20"/>
    </i>
    <i>
      <x v="14"/>
    </i>
    <i>
      <x v="4"/>
    </i>
    <i>
      <x v="68"/>
    </i>
    <i>
      <x v="39"/>
    </i>
    <i t="grand">
      <x/>
    </i>
  </rowItems>
  <colItems count="1">
    <i/>
  </colItems>
  <dataFields count="1">
    <dataField name="Contagem de Juiz"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1" cacheId="5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48:F349"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LSD (g)" fld="0" subtotal="count" baseField="0" baseItem="0"/>
    <dataField name="Average of LSD (g)2" fld="0" subtotal="average" baseField="0" baseItem="1"/>
    <dataField name="Min of LSD (g)2" fld="0" subtotal="min" baseField="0" baseItem="1"/>
    <dataField name="Max of LSD (g)2" fld="0" subtotal="max" baseField="0" baseItem="1"/>
    <dataField name="StdDev of LSD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4" cacheId="4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46:C149" firstHeaderRow="1" firstDataRow="1" firstDataCol="1"/>
  <pivotFields count="6">
    <pivotField dataField="1" showAll="0" defaultSubtotal="0"/>
    <pivotField showAll="0" defaultSubtotal="0"/>
    <pivotField showAll="0" defaultSubtotal="0"/>
    <pivotField showAll="0" defaultSubtotal="0"/>
    <pivotField showAll="0" defaultSubtotal="0"/>
    <pivotField axis="axisRow" showAll="0">
      <items count="4">
        <item x="1"/>
        <item x="0"/>
        <item h="1" x="2"/>
        <item t="default"/>
      </items>
    </pivotField>
  </pivotFields>
  <rowFields count="1">
    <field x="5"/>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8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59:C162" firstHeaderRow="1" firstDataRow="1" firstDataCol="1"/>
  <pivotFields count="1">
    <pivotField axis="axisRow" dataField="1" showAll="0">
      <items count="4">
        <item x="1"/>
        <item x="0"/>
        <item h="1" x="2"/>
        <item t="default"/>
      </items>
    </pivotField>
  </pivotFields>
  <rowFields count="1">
    <field x="0"/>
  </rowFields>
  <rowItems count="3">
    <i>
      <x/>
    </i>
    <i>
      <x v="1"/>
    </i>
    <i t="grand">
      <x/>
    </i>
  </rowItems>
  <colItems count="1">
    <i/>
  </colItems>
  <dataFields count="1">
    <dataField name="Count of Cutis (agr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2" cacheId="5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53:F354" firstHeaderRow="0" firstDataRow="1" firstDataCol="0" rowPageCount="1" colPageCount="1"/>
  <pivotFields count="1">
    <pivotField axis="axisPage" dataField="1" multipleItemSelectionAllowed="1" showAll="0">
      <items count="7">
        <item h="1" x="0"/>
        <item x="1"/>
        <item x="4"/>
        <item x="3"/>
        <item x="2"/>
        <item x="5"/>
        <item t="default"/>
      </items>
    </pivotField>
  </pivotFields>
  <rowItems count="1">
    <i/>
  </rowItems>
  <colFields count="1">
    <field x="-2"/>
  </colFields>
  <colItems count="5">
    <i>
      <x/>
    </i>
    <i i="1">
      <x v="1"/>
    </i>
    <i i="2">
      <x v="2"/>
    </i>
    <i i="3">
      <x v="3"/>
    </i>
    <i i="4">
      <x v="4"/>
    </i>
  </colItems>
  <pageFields count="1">
    <pageField fld="0" hier="-1"/>
  </pageFields>
  <dataFields count="5">
    <dataField name="Count of LSD (g)" fld="0" subtotal="count" baseField="0" baseItem="0"/>
    <dataField name="Average of LSD (g)2" fld="0" subtotal="average" baseField="0" baseItem="1"/>
    <dataField name="Min of LSD (g)2" fld="0" subtotal="min" baseField="0" baseItem="1"/>
    <dataField name="Max of LSD (g)2" fld="0" subtotal="max" baseField="0" baseItem="1"/>
    <dataField name="StdDev of LSD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9" cacheId="5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39:F340"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Ecstasy (g)" fld="0" subtotal="count" baseField="0" baseItem="0"/>
    <dataField name="Average of Ecstasy (g)2" fld="0" subtotal="average" baseField="0" baseItem="1"/>
    <dataField name="Min of Ecstasy (g)2" fld="0" subtotal="min" baseField="0" baseItem="1"/>
    <dataField name="Max of Ecstasy (g)2" fld="0" subtotal="max" baseField="0" baseItem="1"/>
    <dataField name="StdDev of Ecstasy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Tabela dinâmica8" cacheId="96"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182:C186" firstHeaderRow="1" firstDataRow="1" firstDataCol="1"/>
  <pivotFields count="1">
    <pivotField axis="axisRow" dataField="1"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s>
  <rowFields count="1">
    <field x="0"/>
  </rowFields>
  <rowItems count="4">
    <i>
      <x v="1"/>
    </i>
    <i>
      <x v="2"/>
    </i>
    <i>
      <x/>
    </i>
    <i t="grand">
      <x/>
    </i>
  </rowItems>
  <colItems count="1">
    <i/>
  </colItems>
  <dataFields count="1">
    <dataField name="Contagem de Agravantes3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7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70:C276" firstHeaderRow="1" firstDataRow="1" firstDataCol="1"/>
  <pivotFields count="1">
    <pivotField axis="axisRow" dataField="1" showAll="0">
      <items count="7">
        <item x="1"/>
        <item x="2"/>
        <item x="3"/>
        <item x="0"/>
        <item x="4"/>
        <item h="1" x="5"/>
        <item t="default"/>
      </items>
    </pivotField>
  </pivotFields>
  <rowFields count="1">
    <field x="0"/>
  </rowFields>
  <rowItems count="6">
    <i>
      <x/>
    </i>
    <i>
      <x v="1"/>
    </i>
    <i>
      <x v="2"/>
    </i>
    <i>
      <x v="3"/>
    </i>
    <i>
      <x v="4"/>
    </i>
    <i t="grand">
      <x/>
    </i>
  </rowItems>
  <colItems count="1">
    <i/>
  </colItems>
  <dataFields count="1">
    <dataField name="Count of §4º"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1"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35:F336" firstHeaderRow="0" firstDataRow="1" firstDataCol="0" rowPageCount="1" colPageCount="1"/>
  <pivotFields count="1">
    <pivotField axis="axisPage" dataField="1" multipleItemSelectionAllowed="1" showAll="0">
      <items count="121">
        <item h="1" x="0"/>
        <item x="11"/>
        <item x="51"/>
        <item x="99"/>
        <item x="115"/>
        <item x="67"/>
        <item x="73"/>
        <item x="33"/>
        <item x="1"/>
        <item x="117"/>
        <item x="13"/>
        <item x="98"/>
        <item x="14"/>
        <item x="112"/>
        <item x="76"/>
        <item x="17"/>
        <item x="15"/>
        <item x="63"/>
        <item x="16"/>
        <item x="41"/>
        <item x="113"/>
        <item x="18"/>
        <item x="65"/>
        <item x="37"/>
        <item x="22"/>
        <item x="114"/>
        <item x="32"/>
        <item x="31"/>
        <item x="9"/>
        <item x="106"/>
        <item x="66"/>
        <item x="23"/>
        <item x="80"/>
        <item x="92"/>
        <item x="55"/>
        <item x="83"/>
        <item x="24"/>
        <item x="42"/>
        <item x="28"/>
        <item x="20"/>
        <item x="64"/>
        <item x="30"/>
        <item x="107"/>
        <item x="7"/>
        <item x="47"/>
        <item x="82"/>
        <item x="5"/>
        <item x="81"/>
        <item x="118"/>
        <item x="91"/>
        <item x="29"/>
        <item x="21"/>
        <item x="74"/>
        <item x="19"/>
        <item x="103"/>
        <item x="12"/>
        <item x="88"/>
        <item x="72"/>
        <item x="87"/>
        <item x="6"/>
        <item x="111"/>
        <item x="49"/>
        <item x="102"/>
        <item x="44"/>
        <item x="25"/>
        <item x="45"/>
        <item x="59"/>
        <item x="43"/>
        <item x="84"/>
        <item x="71"/>
        <item x="60"/>
        <item x="70"/>
        <item x="104"/>
        <item x="26"/>
        <item x="86"/>
        <item x="116"/>
        <item x="61"/>
        <item x="77"/>
        <item x="46"/>
        <item x="8"/>
        <item x="36"/>
        <item x="2"/>
        <item x="108"/>
        <item x="50"/>
        <item x="109"/>
        <item x="62"/>
        <item x="54"/>
        <item x="94"/>
        <item x="48"/>
        <item x="79"/>
        <item x="39"/>
        <item x="34"/>
        <item x="85"/>
        <item x="101"/>
        <item x="78"/>
        <item x="100"/>
        <item x="69"/>
        <item x="89"/>
        <item x="75"/>
        <item x="38"/>
        <item x="40"/>
        <item x="90"/>
        <item x="53"/>
        <item x="68"/>
        <item x="96"/>
        <item x="10"/>
        <item x="57"/>
        <item x="56"/>
        <item x="35"/>
        <item x="110"/>
        <item x="27"/>
        <item x="52"/>
        <item x="93"/>
        <item x="95"/>
        <item x="105"/>
        <item x="3"/>
        <item x="97"/>
        <item x="58"/>
        <item x="4"/>
        <item x="119"/>
        <item t="default"/>
      </items>
    </pivotField>
  </pivotFields>
  <rowItems count="1">
    <i/>
  </rowItems>
  <colFields count="1">
    <field x="-2"/>
  </colFields>
  <colItems count="5">
    <i>
      <x/>
    </i>
    <i i="1">
      <x v="1"/>
    </i>
    <i i="2">
      <x v="2"/>
    </i>
    <i i="3">
      <x v="3"/>
    </i>
    <i i="4">
      <x v="4"/>
    </i>
  </colItems>
  <pageFields count="1">
    <pageField fld="0" hier="-1"/>
  </pageFields>
  <dataFields count="5">
    <dataField name="Count of Crack (g)" fld="0" subtotal="count" baseField="0" baseItem="0"/>
    <dataField name="Average of Crack (g)2" fld="0" subtotal="average" baseField="0" baseItem="1"/>
    <dataField name="Min of Crack (g)2" fld="0" subtotal="min" baseField="0" baseItem="1"/>
    <dataField name="Max of Crack (g)2" fld="0" subtotal="max" baseField="0" baseItem="1"/>
    <dataField name="StdDev of Crack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Tabela dinâmica10" cacheId="90"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213:C222" firstHeaderRow="1" firstDataRow="1" firstDataCol="1"/>
  <pivotFields count="1">
    <pivotField axis="axisRow" dataField="1" showAll="0" sortType="descending">
      <items count="10">
        <item x="1"/>
        <item x="2"/>
        <item x="6"/>
        <item x="4"/>
        <item x="3"/>
        <item x="5"/>
        <item x="7"/>
        <item x="0"/>
        <item h="1" x="8"/>
        <item t="default"/>
      </items>
      <autoSortScope>
        <pivotArea dataOnly="0" outline="0" fieldPosition="0">
          <references count="1">
            <reference field="4294967294" count="1" selected="0">
              <x v="0"/>
            </reference>
          </references>
        </pivotArea>
      </autoSortScope>
    </pivotField>
  </pivotFields>
  <rowFields count="1">
    <field x="0"/>
  </rowFields>
  <rowItems count="9">
    <i>
      <x v="7"/>
    </i>
    <i>
      <x v="6"/>
    </i>
    <i>
      <x/>
    </i>
    <i>
      <x v="4"/>
    </i>
    <i>
      <x v="5"/>
    </i>
    <i>
      <x v="3"/>
    </i>
    <i>
      <x v="1"/>
    </i>
    <i>
      <x v="2"/>
    </i>
    <i t="grand">
      <x/>
    </i>
  </rowItems>
  <colItems count="1">
    <i/>
  </colItems>
  <dataFields count="1">
    <dataField name="Contagem de Aumento3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Tabela dinâmica9" cacheId="93"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193:C199" firstHeaderRow="1" firstDataRow="1" firstDataCol="1"/>
  <pivotFields count="1">
    <pivotField axis="axisRow" dataField="1" showAll="0" sortType="descending">
      <items count="7">
        <item x="1"/>
        <item x="2"/>
        <item x="3"/>
        <item x="4"/>
        <item x="0"/>
        <item h="1" x="5"/>
        <item t="default"/>
      </items>
      <autoSortScope>
        <pivotArea dataOnly="0" outline="0" fieldPosition="0">
          <references count="1">
            <reference field="4294967294" count="1" selected="0">
              <x v="0"/>
            </reference>
          </references>
        </pivotArea>
      </autoSortScope>
    </pivotField>
  </pivotFields>
  <rowFields count="1">
    <field x="0"/>
  </rowFields>
  <rowItems count="6">
    <i>
      <x v="4"/>
    </i>
    <i>
      <x v="3"/>
    </i>
    <i>
      <x/>
    </i>
    <i>
      <x v="2"/>
    </i>
    <i>
      <x v="1"/>
    </i>
    <i t="grand">
      <x/>
    </i>
  </rowItems>
  <colItems count="1">
    <i/>
  </colItems>
  <dataFields count="1">
    <dataField name="Contagem de Atenuantes3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8" cacheId="7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78:C282" firstHeaderRow="1" firstDataRow="1" firstDataCol="1"/>
  <pivotFields count="1">
    <pivotField axis="axisRow" dataField="1" showAll="0">
      <items count="5">
        <item x="1"/>
        <item x="2"/>
        <item x="0"/>
        <item h="1" x="3"/>
        <item t="default"/>
      </items>
    </pivotField>
  </pivotFields>
  <rowFields count="1">
    <field x="0"/>
  </rowFields>
  <rowItems count="4">
    <i>
      <x/>
    </i>
    <i>
      <x v="1"/>
    </i>
    <i>
      <x v="2"/>
    </i>
    <i t="grand">
      <x/>
    </i>
  </rowItems>
  <colItems count="1">
    <i/>
  </colItems>
  <dataFields count="1">
    <dataField name="Count of §4º (agrupad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 cacheId="9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63:C268" firstHeaderRow="1" firstDataRow="1" firstDataCol="1"/>
  <pivotFields count="1">
    <pivotField axis="axisRow" dataField="1" showAll="0">
      <items count="6">
        <item x="2"/>
        <item x="3"/>
        <item x="1"/>
        <item x="0"/>
        <item h="1" x="4"/>
        <item t="default"/>
      </items>
    </pivotField>
  </pivotFields>
  <rowFields count="1">
    <field x="0"/>
  </rowFields>
  <rowItems count="5">
    <i>
      <x/>
    </i>
    <i>
      <x v="1"/>
    </i>
    <i>
      <x v="2"/>
    </i>
    <i>
      <x v="3"/>
    </i>
    <i t="grand">
      <x/>
    </i>
  </rowItems>
  <colItems count="1">
    <i/>
  </colItems>
  <dataFields count="1">
    <dataField name="Count of Sentenç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Tabela dinâmica3" cacheId="108"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128:C139" firstHeaderRow="1" firstDataRow="1" firstDataCol="1"/>
  <pivotFields count="1">
    <pivotField axis="axisRow" dataField="1" showAll="0" sortType="descending">
      <items count="12">
        <item x="5"/>
        <item x="0"/>
        <item x="9"/>
        <item x="6"/>
        <item x="8"/>
        <item x="4"/>
        <item x="2"/>
        <item x="3"/>
        <item x="7"/>
        <item x="1"/>
        <item h="1" x="10"/>
        <item t="default"/>
      </items>
      <autoSortScope>
        <pivotArea dataOnly="0" outline="0" fieldPosition="0">
          <references count="1">
            <reference field="4294967294" count="1" selected="0">
              <x v="0"/>
            </reference>
          </references>
        </pivotArea>
      </autoSortScope>
    </pivotField>
  </pivotFields>
  <rowFields count="1">
    <field x="0"/>
  </rowFields>
  <rowItems count="11">
    <i>
      <x v="9"/>
    </i>
    <i>
      <x v="6"/>
    </i>
    <i>
      <x v="3"/>
    </i>
    <i>
      <x v="7"/>
    </i>
    <i>
      <x v="1"/>
    </i>
    <i>
      <x/>
    </i>
    <i>
      <x v="8"/>
    </i>
    <i>
      <x v="4"/>
    </i>
    <i>
      <x v="5"/>
    </i>
    <i>
      <x v="2"/>
    </i>
    <i t="grand">
      <x/>
    </i>
  </rowItems>
  <colItems count="1">
    <i/>
  </colItems>
  <dataFields count="1">
    <dataField name="Contagem de Loca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6" cacheId="6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02:F303" firstHeaderRow="0" firstDataRow="1" firstDataCol="0" rowPageCount="1" colPageCount="1"/>
  <pivotFields count="1">
    <pivotField axis="axisPage" dataField="1" multipleItemSelectionAllowed="1" showAll="0">
      <items count="47">
        <item h="1" x="44"/>
        <item x="7"/>
        <item x="9"/>
        <item x="11"/>
        <item x="12"/>
        <item x="10"/>
        <item x="13"/>
        <item x="15"/>
        <item x="16"/>
        <item x="14"/>
        <item x="17"/>
        <item x="18"/>
        <item x="19"/>
        <item x="20"/>
        <item x="22"/>
        <item x="23"/>
        <item x="21"/>
        <item x="24"/>
        <item x="25"/>
        <item x="26"/>
        <item x="27"/>
        <item x="28"/>
        <item x="29"/>
        <item x="30"/>
        <item x="31"/>
        <item x="32"/>
        <item x="33"/>
        <item x="34"/>
        <item x="35"/>
        <item x="36"/>
        <item x="38"/>
        <item x="39"/>
        <item x="37"/>
        <item x="40"/>
        <item x="41"/>
        <item x="42"/>
        <item x="43"/>
        <item x="0"/>
        <item x="1"/>
        <item x="2"/>
        <item x="3"/>
        <item x="4"/>
        <item x="5"/>
        <item x="6"/>
        <item x="45"/>
        <item x="8"/>
        <item t="default"/>
      </items>
    </pivotField>
  </pivotFields>
  <rowItems count="1">
    <i/>
  </rowItems>
  <colFields count="1">
    <field x="-2"/>
  </colFields>
  <colItems count="5">
    <i>
      <x/>
    </i>
    <i i="1">
      <x v="1"/>
    </i>
    <i i="2">
      <x v="2"/>
    </i>
    <i i="3">
      <x v="3"/>
    </i>
    <i i="4">
      <x v="4"/>
    </i>
  </colItems>
  <pageFields count="1">
    <pageField fld="0" hier="-1"/>
  </pageFields>
  <dataFields count="5">
    <dataField name="Count of Pena33 (meses)" fld="0" subtotal="count" baseField="0" baseItem="0"/>
    <dataField name="Average of Pena33 (meses)2" fld="0" subtotal="average" baseField="0" baseItem="1"/>
    <dataField name="Min of Pena33 (meses)2" fld="0" subtotal="min" baseField="0" baseItem="1"/>
    <dataField name="Max of Pena33 (meses)2" fld="0" subtotal="max" baseField="0" baseItem="1"/>
    <dataField name="StdDev of Pena33 (meses)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27" cacheId="4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35:C239" firstHeaderRow="1" firstDataRow="1" firstDataCol="1"/>
  <pivotFields count="1">
    <pivotField axis="axisRow" dataField="1" showAll="0">
      <items count="6">
        <item x="1"/>
        <item m="1" x="4"/>
        <item h="1" x="3"/>
        <item x="0"/>
        <item x="2"/>
        <item t="default"/>
      </items>
    </pivotField>
  </pivotFields>
  <rowFields count="1">
    <field x="0"/>
  </rowFields>
  <rowItems count="4">
    <i>
      <x/>
    </i>
    <i>
      <x v="3"/>
    </i>
    <i>
      <x v="4"/>
    </i>
    <i t="grand">
      <x/>
    </i>
  </rowItems>
  <colItems count="1">
    <i/>
  </colItems>
  <dataFields count="1">
    <dataField name="Count of Aumento33 (agr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3" cacheId="6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26:F327" firstHeaderRow="0" firstDataRow="1" firstDataCol="0" rowPageCount="1" colPageCount="1"/>
  <pivotFields count="1">
    <pivotField axis="axisPage" dataField="1" multipleItemSelectionAllowed="1" showAll="0">
      <items count="243">
        <item h="1" x="4"/>
        <item x="195"/>
        <item x="213"/>
        <item x="21"/>
        <item x="110"/>
        <item x="156"/>
        <item x="44"/>
        <item x="167"/>
        <item x="234"/>
        <item x="119"/>
        <item x="135"/>
        <item x="128"/>
        <item x="7"/>
        <item x="46"/>
        <item x="41"/>
        <item x="123"/>
        <item x="127"/>
        <item x="138"/>
        <item x="20"/>
        <item x="182"/>
        <item x="40"/>
        <item x="131"/>
        <item x="191"/>
        <item x="52"/>
        <item x="165"/>
        <item x="56"/>
        <item x="62"/>
        <item x="109"/>
        <item x="15"/>
        <item x="141"/>
        <item x="229"/>
        <item x="149"/>
        <item x="9"/>
        <item x="30"/>
        <item x="190"/>
        <item x="13"/>
        <item x="209"/>
        <item x="235"/>
        <item x="54"/>
        <item x="16"/>
        <item x="28"/>
        <item x="142"/>
        <item x="223"/>
        <item x="216"/>
        <item x="217"/>
        <item x="18"/>
        <item x="91"/>
        <item x="148"/>
        <item x="73"/>
        <item x="106"/>
        <item x="161"/>
        <item x="134"/>
        <item x="221"/>
        <item x="5"/>
        <item x="225"/>
        <item x="145"/>
        <item x="32"/>
        <item x="218"/>
        <item x="87"/>
        <item x="24"/>
        <item x="231"/>
        <item x="6"/>
        <item x="168"/>
        <item x="175"/>
        <item x="220"/>
        <item x="236"/>
        <item x="224"/>
        <item x="172"/>
        <item x="202"/>
        <item x="185"/>
        <item x="237"/>
        <item x="230"/>
        <item x="2"/>
        <item x="192"/>
        <item x="50"/>
        <item x="86"/>
        <item x="238"/>
        <item x="48"/>
        <item x="144"/>
        <item x="45"/>
        <item x="173"/>
        <item x="114"/>
        <item x="33"/>
        <item x="80"/>
        <item x="226"/>
        <item x="227"/>
        <item x="160"/>
        <item x="67"/>
        <item x="29"/>
        <item x="77"/>
        <item x="228"/>
        <item x="61"/>
        <item x="25"/>
        <item x="49"/>
        <item x="147"/>
        <item x="78"/>
        <item x="79"/>
        <item x="115"/>
        <item x="151"/>
        <item x="27"/>
        <item x="75"/>
        <item x="47"/>
        <item x="37"/>
        <item x="31"/>
        <item x="240"/>
        <item x="118"/>
        <item x="159"/>
        <item x="82"/>
        <item x="154"/>
        <item x="158"/>
        <item x="155"/>
        <item x="95"/>
        <item x="170"/>
        <item x="163"/>
        <item x="183"/>
        <item x="157"/>
        <item x="136"/>
        <item x="81"/>
        <item x="68"/>
        <item x="88"/>
        <item x="193"/>
        <item x="42"/>
        <item x="66"/>
        <item x="137"/>
        <item x="93"/>
        <item x="55"/>
        <item x="1"/>
        <item x="10"/>
        <item x="153"/>
        <item x="35"/>
        <item x="121"/>
        <item x="60"/>
        <item x="76"/>
        <item x="90"/>
        <item x="83"/>
        <item x="130"/>
        <item x="201"/>
        <item x="38"/>
        <item x="14"/>
        <item x="64"/>
        <item x="180"/>
        <item x="169"/>
        <item x="26"/>
        <item x="11"/>
        <item x="84"/>
        <item x="215"/>
        <item x="126"/>
        <item x="105"/>
        <item x="57"/>
        <item x="51"/>
        <item x="39"/>
        <item x="164"/>
        <item x="19"/>
        <item x="69"/>
        <item x="104"/>
        <item x="122"/>
        <item x="124"/>
        <item x="189"/>
        <item x="188"/>
        <item x="239"/>
        <item x="8"/>
        <item x="199"/>
        <item x="233"/>
        <item x="129"/>
        <item x="139"/>
        <item x="43"/>
        <item x="186"/>
        <item x="208"/>
        <item x="34"/>
        <item x="187"/>
        <item x="174"/>
        <item x="108"/>
        <item x="72"/>
        <item x="143"/>
        <item x="113"/>
        <item x="85"/>
        <item x="99"/>
        <item x="204"/>
        <item x="203"/>
        <item x="12"/>
        <item x="70"/>
        <item x="17"/>
        <item x="125"/>
        <item x="222"/>
        <item x="97"/>
        <item x="96"/>
        <item x="53"/>
        <item x="98"/>
        <item x="197"/>
        <item x="162"/>
        <item x="219"/>
        <item x="58"/>
        <item x="74"/>
        <item x="65"/>
        <item x="133"/>
        <item x="184"/>
        <item x="89"/>
        <item x="196"/>
        <item x="23"/>
        <item x="132"/>
        <item x="102"/>
        <item x="107"/>
        <item x="146"/>
        <item x="63"/>
        <item x="22"/>
        <item x="92"/>
        <item x="111"/>
        <item x="176"/>
        <item x="36"/>
        <item x="101"/>
        <item x="211"/>
        <item x="100"/>
        <item x="117"/>
        <item x="140"/>
        <item x="59"/>
        <item x="103"/>
        <item x="152"/>
        <item x="166"/>
        <item x="194"/>
        <item x="200"/>
        <item x="214"/>
        <item x="150"/>
        <item x="112"/>
        <item x="178"/>
        <item x="198"/>
        <item x="212"/>
        <item x="71"/>
        <item x="181"/>
        <item x="0"/>
        <item x="3"/>
        <item x="205"/>
        <item x="116"/>
        <item x="94"/>
        <item x="171"/>
        <item x="206"/>
        <item x="177"/>
        <item x="232"/>
        <item x="207"/>
        <item x="179"/>
        <item x="210"/>
        <item x="120"/>
        <item x="241"/>
        <item t="default"/>
      </items>
    </pivotField>
  </pivotFields>
  <rowItems count="1">
    <i/>
  </rowItems>
  <colFields count="1">
    <field x="-2"/>
  </colFields>
  <colItems count="5">
    <i>
      <x/>
    </i>
    <i i="1">
      <x v="1"/>
    </i>
    <i i="2">
      <x v="2"/>
    </i>
    <i i="3">
      <x v="3"/>
    </i>
    <i i="4">
      <x v="4"/>
    </i>
  </colItems>
  <pageFields count="1">
    <pageField fld="0" hier="-1"/>
  </pageFields>
  <dataFields count="5">
    <dataField name="Count of Cocaína (g)" fld="0" subtotal="count" baseField="0" baseItem="0"/>
    <dataField name="Average of Cocaína (g)2" fld="0" subtotal="average" baseField="0" baseItem="1"/>
    <dataField name="Min of Cocaína (g)2" fld="0" subtotal="min" baseField="0" baseItem="1"/>
    <dataField name="Max of Cocaína (g)2" fld="0" subtotal="max" baseField="0" baseItem="1"/>
    <dataField name="Count of Cocaína (g)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20" cacheId="5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44:F345" firstHeaderRow="0" firstDataRow="1" firstDataCol="0" rowPageCount="1" colPageCount="1"/>
  <pivotFields count="1">
    <pivotField axis="axisPage" dataField="1" multipleItemSelectionAllowed="1" showAll="0">
      <items count="13">
        <item h="1" x="0"/>
        <item x="6"/>
        <item x="1"/>
        <item x="4"/>
        <item x="2"/>
        <item x="3"/>
        <item x="5"/>
        <item x="7"/>
        <item x="9"/>
        <item x="10"/>
        <item x="8"/>
        <item x="11"/>
        <item t="default"/>
      </items>
    </pivotField>
  </pivotFields>
  <rowItems count="1">
    <i/>
  </rowItems>
  <colFields count="1">
    <field x="-2"/>
  </colFields>
  <colItems count="5">
    <i>
      <x/>
    </i>
    <i i="1">
      <x v="1"/>
    </i>
    <i i="2">
      <x v="2"/>
    </i>
    <i i="3">
      <x v="3"/>
    </i>
    <i i="4">
      <x v="4"/>
    </i>
  </colItems>
  <pageFields count="1">
    <pageField fld="0" hier="-1"/>
  </pageFields>
  <dataFields count="5">
    <dataField name="Count of Ecstasy (g)" fld="0" subtotal="count" baseField="0" baseItem="0"/>
    <dataField name="Average of Ecstasy (g)2" fld="0" subtotal="average" baseField="0" baseItem="1"/>
    <dataField name="Min of Ecstasy (g)2" fld="0" subtotal="min" baseField="0" baseItem="1"/>
    <dataField name="Max of Ecstasy (g)2" fld="0" subtotal="max" baseField="0" baseItem="1"/>
    <dataField name="StdDev of Ecstasy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14" cacheId="7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91:F292" firstHeaderRow="0" firstDataRow="1" firstDataCol="0" rowPageCount="1" colPageCount="1"/>
  <pivotFields count="1">
    <pivotField axis="axisPage" dataField="1" multipleItemSelectionAllowed="1" showAll="0">
      <items count="60">
        <item h="1" x="55"/>
        <item x="57"/>
        <item x="56"/>
        <item x="8"/>
        <item x="7"/>
        <item x="12"/>
        <item x="14"/>
        <item x="11"/>
        <item x="16"/>
        <item x="13"/>
        <item x="17"/>
        <item x="19"/>
        <item x="21"/>
        <item x="10"/>
        <item x="18"/>
        <item x="22"/>
        <item x="20"/>
        <item x="24"/>
        <item x="25"/>
        <item x="23"/>
        <item x="31"/>
        <item x="15"/>
        <item x="29"/>
        <item x="28"/>
        <item x="32"/>
        <item x="33"/>
        <item x="34"/>
        <item x="36"/>
        <item x="38"/>
        <item x="40"/>
        <item x="41"/>
        <item x="27"/>
        <item x="43"/>
        <item x="44"/>
        <item x="46"/>
        <item x="26"/>
        <item x="48"/>
        <item x="50"/>
        <item x="47"/>
        <item x="51"/>
        <item x="52"/>
        <item x="49"/>
        <item x="30"/>
        <item x="39"/>
        <item x="0"/>
        <item x="1"/>
        <item x="2"/>
        <item x="37"/>
        <item x="35"/>
        <item x="3"/>
        <item x="42"/>
        <item x="4"/>
        <item x="5"/>
        <item x="9"/>
        <item x="6"/>
        <item x="54"/>
        <item x="53"/>
        <item x="45"/>
        <item x="58"/>
        <item t="default"/>
      </items>
    </pivotField>
  </pivotFields>
  <rowItems count="1">
    <i/>
  </rowItems>
  <colFields count="1">
    <field x="-2"/>
  </colFields>
  <colItems count="5">
    <i>
      <x/>
    </i>
    <i i="1">
      <x v="1"/>
    </i>
    <i i="2">
      <x v="2"/>
    </i>
    <i i="3">
      <x v="3"/>
    </i>
    <i i="4">
      <x v="4"/>
    </i>
  </colItems>
  <pageFields count="1">
    <pageField fld="0" hier="-1"/>
  </pageFields>
  <dataFields count="5">
    <dataField name="Count of TotPen (meses)" fld="0" subtotal="countNums" baseField="0" baseItem="14480168"/>
    <dataField name="Average of TotPen (meses)2" fld="0" subtotal="average" baseField="0" baseItem="1"/>
    <dataField name="Min of TotPen (meses)2" fld="0" subtotal="min" baseField="0" baseItem="1"/>
    <dataField name="Max of TotPen (meses)2" fld="0" subtotal="max" baseField="0" baseItem="1"/>
    <dataField name="StdDev of TotPen (meses)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23" cacheId="4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88:C190" firstHeaderRow="1" firstDataRow="1" firstDataCol="1"/>
  <pivotFields count="1">
    <pivotField axis="axisRow" dataField="1" showAll="0">
      <items count="6">
        <item x="0"/>
        <item m="1" x="4"/>
        <item h="1" x="3"/>
        <item h="1" x="1"/>
        <item h="1" x="2"/>
        <item t="default"/>
      </items>
    </pivotField>
  </pivotFields>
  <rowFields count="1">
    <field x="0"/>
  </rowFields>
  <rowItems count="2">
    <i>
      <x/>
    </i>
    <i t="grand">
      <x/>
    </i>
  </rowItems>
  <colItems count="1">
    <i/>
  </colItems>
  <dataFields count="1">
    <dataField name="Count of Agravantes33 (agr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10" cacheId="5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30:F331"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Crack (g)" fld="0" subtotal="count" baseField="0" baseItem="0"/>
    <dataField name="Average of Crack (g)2" fld="0" subtotal="average" baseField="0" baseItem="1"/>
    <dataField name="Min of Crack (g)2" fld="0" subtotal="min" baseField="0" baseItem="1"/>
    <dataField name="Max of Crack (g)2" fld="0" subtotal="max" baseField="0" baseItem="1"/>
    <dataField name="StdDev of Crack (g)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12" cacheId="3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55:C261" firstHeaderRow="1" firstDataRow="1" firstDataCol="1"/>
  <pivotFields count="1">
    <pivotField axis="axisRow" dataField="1" showAll="0">
      <items count="10">
        <item x="2"/>
        <item m="1" x="8"/>
        <item m="1" x="6"/>
        <item h="1" x="5"/>
        <item m="1" x="7"/>
        <item x="4"/>
        <item x="1"/>
        <item x="3"/>
        <item x="0"/>
        <item t="default"/>
      </items>
    </pivotField>
  </pivotFields>
  <rowFields count="1">
    <field x="0"/>
  </rowFields>
  <rowItems count="6">
    <i>
      <x/>
    </i>
    <i>
      <x v="5"/>
    </i>
    <i>
      <x v="6"/>
    </i>
    <i>
      <x v="7"/>
    </i>
    <i>
      <x v="8"/>
    </i>
    <i t="grand">
      <x/>
    </i>
  </rowItems>
  <colItems count="1">
    <i/>
  </colItems>
  <dataFields count="1">
    <dataField name="Count of Regime inicial (agrupad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5" cacheId="8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65:F166"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Idade" fld="0" subtotal="count" baseField="0" baseItem="0"/>
    <dataField name="Average of Idade2" fld="0" subtotal="average" baseField="0" baseItem="1"/>
    <dataField name="Min of Idade2" fld="0" subtotal="min" baseField="0" baseItem="1"/>
    <dataField name="Max of Idade2" fld="0" subtotal="max" baseField="0" baseItem="1"/>
    <dataField name="StdDev of Idade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Tabela dinâmica12" cacheId="87"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248:C253" firstHeaderRow="1" firstDataRow="1" firstDataCol="1"/>
  <pivotFields count="1">
    <pivotField axis="axisRow" dataField="1" showAll="0">
      <items count="6">
        <item x="0"/>
        <item x="3"/>
        <item x="1"/>
        <item x="2"/>
        <item h="1" x="4"/>
        <item t="default"/>
      </items>
    </pivotField>
  </pivotFields>
  <rowFields count="1">
    <field x="0"/>
  </rowFields>
  <rowItems count="5">
    <i>
      <x/>
    </i>
    <i>
      <x v="1"/>
    </i>
    <i>
      <x v="2"/>
    </i>
    <i>
      <x v="3"/>
    </i>
    <i t="grand">
      <x/>
    </i>
  </rowItems>
  <colItems count="1">
    <i/>
  </colItems>
  <dataFields count="1">
    <dataField name="Contagem de Regime inicia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15" cacheId="6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95:F296" firstHeaderRow="0" firstDataRow="1" firstDataCol="0"/>
  <pivotFields count="1">
    <pivotField dataField="1" showAll="0"/>
  </pivotFields>
  <rowItems count="1">
    <i/>
  </rowItems>
  <colFields count="1">
    <field x="-2"/>
  </colFields>
  <colItems count="5">
    <i>
      <x/>
    </i>
    <i i="1">
      <x v="1"/>
    </i>
    <i i="2">
      <x v="2"/>
    </i>
    <i i="3">
      <x v="3"/>
    </i>
    <i i="4">
      <x v="4"/>
    </i>
  </colItems>
  <dataFields count="5">
    <dataField name="Count of Pena33 (meses)" fld="0" subtotal="count" baseField="0" baseItem="0"/>
    <dataField name="Average of Pena33 (meses)2" fld="0" subtotal="average" baseField="0" baseItem="1"/>
    <dataField name="Min of Pena33 (meses)2" fld="0" subtotal="min" baseField="0" baseItem="1"/>
    <dataField name="Max of Pena33 (meses)2" fld="0" subtotal="max" baseField="0" baseItem="1"/>
    <dataField name="StdDev of Pena33 (meses)2" fld="0"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3.xml><?xml version="1.0" encoding="utf-8"?>
<pivotTableDefinition xmlns="http://schemas.openxmlformats.org/spreadsheetml/2006/main" name="Tabela dinâmica4" cacheId="105"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141:C144" firstHeaderRow="1" firstDataRow="1" firstDataCol="1"/>
  <pivotFields count="1">
    <pivotField axis="axisRow" dataField="1" showAll="0">
      <items count="5">
        <item x="1"/>
        <item x="0"/>
        <item m="1" x="3"/>
        <item h="1" x="2"/>
        <item t="default"/>
      </items>
    </pivotField>
  </pivotFields>
  <rowFields count="1">
    <field x="0"/>
  </rowFields>
  <rowItems count="3">
    <i>
      <x/>
    </i>
    <i>
      <x v="1"/>
    </i>
    <i t="grand">
      <x/>
    </i>
  </rowItems>
  <colItems count="1">
    <i/>
  </colItems>
  <dataFields count="1">
    <dataField name="Contagem de Sex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4.xml><?xml version="1.0" encoding="utf-8"?>
<pivotTableDefinition xmlns="http://schemas.openxmlformats.org/spreadsheetml/2006/main" name="PivotTable25" cacheId="4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07:C211" firstHeaderRow="1" firstDataRow="1" firstDataCol="1"/>
  <pivotFields count="1">
    <pivotField axis="axisRow" dataField="1" showAll="0">
      <items count="6">
        <item x="1"/>
        <item m="1" x="4"/>
        <item h="1" x="3"/>
        <item x="0"/>
        <item x="2"/>
        <item t="default"/>
      </items>
    </pivotField>
  </pivotFields>
  <rowFields count="1">
    <field x="0"/>
  </rowFields>
  <rowItems count="4">
    <i>
      <x/>
    </i>
    <i>
      <x v="3"/>
    </i>
    <i>
      <x v="4"/>
    </i>
    <i t="grand">
      <x/>
    </i>
  </rowItems>
  <colItems count="1">
    <i/>
  </colItems>
  <dataFields count="1">
    <dataField name="Count of Atenuantes33 (agr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5.xml><?xml version="1.0" encoding="utf-8"?>
<pivotTableDefinition xmlns="http://schemas.openxmlformats.org/spreadsheetml/2006/main" name="Tabela dinâmica2" cacheId="111" applyNumberFormats="0" applyBorderFormats="0" applyFontFormats="0" applyPatternFormats="0" applyAlignmentFormats="0" applyWidthHeightFormats="1" dataCaption="Valores" updatedVersion="4" minRefreshableVersion="3" useAutoFormatting="1" itemPrintTitles="1" createdVersion="5" indent="0" outline="1" outlineData="1" multipleFieldFilters="0">
  <location ref="B90:C123" firstHeaderRow="1" firstDataRow="1" firstDataCol="1"/>
  <pivotFields count="1">
    <pivotField axis="axisRow" dataField="1" showAll="0" sortType="descending">
      <items count="34">
        <item x="29"/>
        <item x="28"/>
        <item x="25"/>
        <item x="3"/>
        <item x="18"/>
        <item x="31"/>
        <item x="9"/>
        <item x="13"/>
        <item x="14"/>
        <item x="27"/>
        <item x="30"/>
        <item x="5"/>
        <item x="1"/>
        <item x="4"/>
        <item x="7"/>
        <item x="15"/>
        <item x="19"/>
        <item x="22"/>
        <item x="16"/>
        <item x="20"/>
        <item x="2"/>
        <item x="17"/>
        <item x="23"/>
        <item x="21"/>
        <item x="10"/>
        <item x="0"/>
        <item x="8"/>
        <item x="24"/>
        <item x="12"/>
        <item x="11"/>
        <item x="26"/>
        <item x="6"/>
        <item h="1" x="32"/>
        <item t="default"/>
      </items>
      <autoSortScope>
        <pivotArea dataOnly="0" outline="0" fieldPosition="0">
          <references count="1">
            <reference field="4294967294" count="1" selected="0">
              <x v="0"/>
            </reference>
          </references>
        </pivotArea>
      </autoSortScope>
    </pivotField>
  </pivotFields>
  <rowFields count="1">
    <field x="0"/>
  </rowFields>
  <rowItems count="33">
    <i>
      <x v="24"/>
    </i>
    <i>
      <x v="25"/>
    </i>
    <i>
      <x v="13"/>
    </i>
    <i>
      <x v="3"/>
    </i>
    <i>
      <x v="8"/>
    </i>
    <i>
      <x v="22"/>
    </i>
    <i>
      <x v="11"/>
    </i>
    <i>
      <x v="26"/>
    </i>
    <i>
      <x v="14"/>
    </i>
    <i>
      <x v="7"/>
    </i>
    <i>
      <x v="16"/>
    </i>
    <i>
      <x v="6"/>
    </i>
    <i>
      <x v="15"/>
    </i>
    <i>
      <x v="23"/>
    </i>
    <i>
      <x v="20"/>
    </i>
    <i>
      <x v="4"/>
    </i>
    <i>
      <x v="31"/>
    </i>
    <i>
      <x v="10"/>
    </i>
    <i>
      <x v="17"/>
    </i>
    <i>
      <x v="19"/>
    </i>
    <i>
      <x v="12"/>
    </i>
    <i>
      <x v="18"/>
    </i>
    <i>
      <x v="28"/>
    </i>
    <i>
      <x v="30"/>
    </i>
    <i>
      <x/>
    </i>
    <i>
      <x v="21"/>
    </i>
    <i>
      <x v="29"/>
    </i>
    <i>
      <x v="2"/>
    </i>
    <i>
      <x v="5"/>
    </i>
    <i>
      <x v="1"/>
    </i>
    <i>
      <x v="27"/>
    </i>
    <i>
      <x v="9"/>
    </i>
    <i t="grand">
      <x/>
    </i>
  </rowItems>
  <colItems count="1">
    <i/>
  </colItems>
  <dataFields count="1">
    <dataField name="Contagem de Var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6.xml><?xml version="1.0" encoding="utf-8"?>
<pivotTableDefinition xmlns="http://schemas.openxmlformats.org/spreadsheetml/2006/main" name="PivotTable6" cacheId="7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76:C179" firstHeaderRow="1" firstDataRow="1" firstDataCol="1"/>
  <pivotFields count="1">
    <pivotField axis="axisRow" dataField="1" showAll="0">
      <items count="4">
        <item x="0"/>
        <item x="1"/>
        <item h="1" x="2"/>
        <item t="default"/>
      </items>
    </pivotField>
  </pivotFields>
  <rowFields count="1">
    <field x="0"/>
  </rowFields>
  <rowItems count="3">
    <i>
      <x/>
    </i>
    <i>
      <x v="1"/>
    </i>
    <i t="grand">
      <x/>
    </i>
  </rowItems>
  <colItems count="1">
    <i/>
  </colItems>
  <dataFields count="1">
    <dataField name="Count of Sentença (agr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3" displayName="Tabela3" ref="A1:AI421" totalsRowShown="0">
  <autoFilter ref="A1:AI421"/>
  <sortState ref="A2:AI421">
    <sortCondition ref="AH1:AH421"/>
  </sortState>
  <tableColumns count="35">
    <tableColumn id="1" name="Processo"/>
    <tableColumn id="20" name="DtDisp"/>
    <tableColumn id="22" name="Juiz"/>
    <tableColumn id="23" name="Vara"/>
    <tableColumn id="2" name="Nome"/>
    <tableColumn id="13" name="Local"/>
    <tableColumn id="3" name="Sexo"/>
    <tableColumn id="25" name="DN" dataDxfId="5"/>
    <tableColumn id="26" name="Cutis"/>
    <tableColumn id="47" name="Cabelo"/>
    <tableColumn id="6" name="Objetos"/>
    <tableColumn id="7" name="Maconha" dataDxfId="4"/>
    <tableColumn id="8" name="Cocaína" dataDxfId="3"/>
    <tableColumn id="9" name="Crack" dataDxfId="2"/>
    <tableColumn id="10" name="Ecstasy"/>
    <tableColumn id="11" name="LSD" dataDxfId="1"/>
    <tableColumn id="12" name="Outras"/>
    <tableColumn id="5" name="DenDrog"/>
    <tableColumn id="31" name="DenOutros"/>
    <tableColumn id="14" name="Aspectos"/>
    <tableColumn id="15" name="Sentença"/>
    <tableColumn id="16" name="ResDrogas"/>
    <tableColumn id="43" name="ResOutros"/>
    <tableColumn id="17" name="AvalNegPB"/>
    <tableColumn id="18" name="PenaBase"/>
    <tableColumn id="29" name="Agravantes33"/>
    <tableColumn id="30" name="Atenuantes33"/>
    <tableColumn id="27" name="Aumento33"/>
    <tableColumn id="19" name="§4º"/>
    <tableColumn id="34" name="Pena33"/>
    <tableColumn id="35" name="PenaDrogas"/>
    <tableColumn id="36" name="PenaOutros"/>
    <tableColumn id="37" name="TotPen"/>
    <tableColumn id="41" name="Substituição da pena"/>
    <tableColumn id="40" name="Regime inicial"/>
  </tableColumns>
  <tableStyleInfo name="TableStyleMedium11" showFirstColumn="0" showLastColumn="0" showRowStripes="1" showColumnStripes="0"/>
</table>
</file>

<file path=xl/tables/table2.xml><?xml version="1.0" encoding="utf-8"?>
<table xmlns="http://schemas.openxmlformats.org/spreadsheetml/2006/main" id="3" name="Tabela14" displayName="Tabela14" ref="A1:G4587" totalsRowShown="0">
  <autoFilter ref="A1:G4587">
    <filterColumn colId="3">
      <filters>
        <filter val="ALYSSON MARQUES DUTRA"/>
      </filters>
    </filterColumn>
  </autoFilter>
  <tableColumns count="7">
    <tableColumn id="1" name="NUM_PROCESSO" dataDxfId="0"/>
    <tableColumn id="2" name="NME_FORO"/>
    <tableColumn id="3" name="NME_VARA"/>
    <tableColumn id="4" name="NME_REU"/>
    <tableColumn id="5" name="IDADE_REU"/>
    <tableColumn id="6" name="TPO_GENERO"/>
    <tableColumn id="7" name="DSC_COR"/>
  </tableColumns>
  <tableStyleInfo name="TableStyleMedium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rinterSettings" Target="../printerSettings/printerSettings4.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41"/>
  <sheetViews>
    <sheetView zoomScale="80" zoomScaleNormal="80" workbookViewId="0">
      <pane xSplit="1" topLeftCell="P1" activePane="topRight" state="frozen"/>
      <selection pane="topRight" activeCell="AM1" sqref="AM1"/>
    </sheetView>
  </sheetViews>
  <sheetFormatPr defaultRowHeight="15"/>
  <cols>
    <col min="1" max="1" width="21" customWidth="1"/>
    <col min="2" max="2" width="11.7109375" customWidth="1"/>
    <col min="3" max="3" width="12.7109375" customWidth="1"/>
    <col min="5" max="5" width="10.85546875" customWidth="1"/>
    <col min="7" max="7" width="11" bestFit="1" customWidth="1"/>
    <col min="8" max="8" width="11.28515625" customWidth="1"/>
    <col min="9" max="9" width="8.28515625" customWidth="1"/>
    <col min="10" max="10" width="10" customWidth="1"/>
    <col min="11" max="11" width="7.42578125" customWidth="1"/>
    <col min="12" max="13" width="8.7109375" style="135"/>
    <col min="16" max="16" width="8.7109375" style="135"/>
    <col min="18" max="19" width="7.85546875" customWidth="1"/>
    <col min="30" max="30" width="8.7109375" customWidth="1"/>
  </cols>
  <sheetData>
    <row r="1" spans="1:35">
      <c r="A1" t="s">
        <v>53</v>
      </c>
      <c r="B1" t="s">
        <v>54</v>
      </c>
      <c r="C1" t="s">
        <v>2</v>
      </c>
      <c r="D1" t="s">
        <v>11</v>
      </c>
      <c r="E1" t="s">
        <v>55</v>
      </c>
      <c r="F1" s="117" t="s">
        <v>56</v>
      </c>
      <c r="G1" t="s">
        <v>0</v>
      </c>
      <c r="H1" t="s">
        <v>12</v>
      </c>
      <c r="I1" s="117" t="s">
        <v>1</v>
      </c>
      <c r="J1" s="117" t="s">
        <v>57</v>
      </c>
      <c r="K1" s="117" t="s">
        <v>58</v>
      </c>
      <c r="L1" s="157" t="s">
        <v>13</v>
      </c>
      <c r="M1" s="157" t="s">
        <v>14</v>
      </c>
      <c r="N1" s="117" t="s">
        <v>15</v>
      </c>
      <c r="O1" s="117" t="s">
        <v>16</v>
      </c>
      <c r="P1" s="157" t="s">
        <v>17</v>
      </c>
      <c r="Q1" s="117" t="s">
        <v>63</v>
      </c>
      <c r="R1" s="117" t="s">
        <v>1065</v>
      </c>
      <c r="S1" s="117" t="s">
        <v>1066</v>
      </c>
      <c r="T1" s="117" t="s">
        <v>19</v>
      </c>
      <c r="U1" t="s">
        <v>20</v>
      </c>
      <c r="V1" t="s">
        <v>1067</v>
      </c>
      <c r="W1" t="s">
        <v>1068</v>
      </c>
      <c r="X1" s="117" t="s">
        <v>64</v>
      </c>
      <c r="Y1" t="s">
        <v>59</v>
      </c>
      <c r="Z1" s="117" t="s">
        <v>67</v>
      </c>
      <c r="AA1" s="117" t="s">
        <v>68</v>
      </c>
      <c r="AB1" s="117" t="s">
        <v>66</v>
      </c>
      <c r="AC1" s="117" t="s">
        <v>65</v>
      </c>
      <c r="AD1" t="s">
        <v>60</v>
      </c>
      <c r="AE1" t="s">
        <v>61</v>
      </c>
      <c r="AF1" t="s">
        <v>62</v>
      </c>
      <c r="AG1" s="117" t="s">
        <v>9852</v>
      </c>
      <c r="AH1" t="s">
        <v>22</v>
      </c>
      <c r="AI1" t="s">
        <v>21</v>
      </c>
    </row>
    <row r="2" spans="1:35">
      <c r="A2" t="s">
        <v>24</v>
      </c>
      <c r="B2" s="2" t="s">
        <v>29</v>
      </c>
      <c r="C2" t="s">
        <v>30</v>
      </c>
      <c r="D2" s="3" t="s">
        <v>23</v>
      </c>
      <c r="E2" s="4" t="s">
        <v>31</v>
      </c>
      <c r="F2" t="s">
        <v>1855</v>
      </c>
      <c r="G2" t="s">
        <v>3</v>
      </c>
      <c r="H2" s="6">
        <v>34226</v>
      </c>
      <c r="I2" t="s">
        <v>5</v>
      </c>
      <c r="J2" t="s">
        <v>41</v>
      </c>
      <c r="K2" t="s">
        <v>9815</v>
      </c>
      <c r="L2" s="135" t="s">
        <v>32</v>
      </c>
      <c r="M2" s="135" t="s">
        <v>33</v>
      </c>
      <c r="N2" s="135" t="s">
        <v>34</v>
      </c>
      <c r="O2" s="144">
        <v>0</v>
      </c>
      <c r="P2" s="135">
        <v>0</v>
      </c>
      <c r="Q2" s="144">
        <v>0</v>
      </c>
      <c r="R2" t="s">
        <v>9843</v>
      </c>
      <c r="S2" t="s">
        <v>7</v>
      </c>
      <c r="T2" s="117" t="s">
        <v>38</v>
      </c>
      <c r="U2" t="s">
        <v>36</v>
      </c>
      <c r="V2" t="s">
        <v>9843</v>
      </c>
      <c r="W2" t="s">
        <v>35</v>
      </c>
      <c r="X2" t="s">
        <v>7</v>
      </c>
      <c r="Y2" t="s">
        <v>9</v>
      </c>
      <c r="Z2" t="s">
        <v>7</v>
      </c>
      <c r="AA2" t="s">
        <v>7</v>
      </c>
      <c r="AB2" t="s">
        <v>7</v>
      </c>
      <c r="AC2" t="s">
        <v>9870</v>
      </c>
      <c r="AD2" t="s">
        <v>10</v>
      </c>
      <c r="AE2" t="s">
        <v>35</v>
      </c>
      <c r="AF2" t="s">
        <v>35</v>
      </c>
      <c r="AG2" t="s">
        <v>10</v>
      </c>
      <c r="AH2" t="s">
        <v>9851</v>
      </c>
      <c r="AI2" s="117" t="s">
        <v>35</v>
      </c>
    </row>
    <row r="3" spans="1:35">
      <c r="A3" t="s">
        <v>25</v>
      </c>
      <c r="B3" s="2" t="s">
        <v>39</v>
      </c>
      <c r="C3" t="s">
        <v>30</v>
      </c>
      <c r="D3" s="3" t="s">
        <v>23</v>
      </c>
      <c r="E3" s="4" t="s">
        <v>40</v>
      </c>
      <c r="F3" s="134" t="s">
        <v>1864</v>
      </c>
      <c r="G3" t="s">
        <v>3</v>
      </c>
      <c r="H3" s="6">
        <v>36283</v>
      </c>
      <c r="I3" t="s">
        <v>5</v>
      </c>
      <c r="J3" t="s">
        <v>18</v>
      </c>
      <c r="K3" t="s">
        <v>9816</v>
      </c>
      <c r="L3" s="135" t="s">
        <v>42</v>
      </c>
      <c r="M3" s="135" t="s">
        <v>43</v>
      </c>
      <c r="N3" s="135">
        <v>0</v>
      </c>
      <c r="O3" s="144">
        <v>0</v>
      </c>
      <c r="P3" s="135">
        <v>0</v>
      </c>
      <c r="Q3" s="144">
        <v>0</v>
      </c>
      <c r="R3" t="s">
        <v>9843</v>
      </c>
      <c r="S3" t="s">
        <v>7</v>
      </c>
      <c r="T3" s="117" t="s">
        <v>45</v>
      </c>
      <c r="U3" t="s">
        <v>36</v>
      </c>
      <c r="V3" t="s">
        <v>9843</v>
      </c>
      <c r="W3" t="s">
        <v>35</v>
      </c>
      <c r="X3" t="s">
        <v>7</v>
      </c>
      <c r="Y3" t="s">
        <v>9</v>
      </c>
      <c r="Z3" t="s">
        <v>7</v>
      </c>
      <c r="AA3" t="s">
        <v>7</v>
      </c>
      <c r="AB3" t="s">
        <v>7</v>
      </c>
      <c r="AC3" t="s">
        <v>9871</v>
      </c>
      <c r="AD3" t="s">
        <v>44</v>
      </c>
      <c r="AE3" t="s">
        <v>35</v>
      </c>
      <c r="AF3" t="s">
        <v>35</v>
      </c>
      <c r="AG3" t="s">
        <v>44</v>
      </c>
      <c r="AH3" t="s">
        <v>9851</v>
      </c>
      <c r="AI3" s="117" t="s">
        <v>35</v>
      </c>
    </row>
    <row r="4" spans="1:35">
      <c r="A4" t="s">
        <v>26</v>
      </c>
      <c r="B4" s="2" t="s">
        <v>46</v>
      </c>
      <c r="C4" t="s">
        <v>30</v>
      </c>
      <c r="D4" s="3" t="s">
        <v>23</v>
      </c>
      <c r="E4" t="s">
        <v>47</v>
      </c>
      <c r="F4" t="s">
        <v>1855</v>
      </c>
      <c r="G4" t="s">
        <v>3</v>
      </c>
      <c r="H4" s="6">
        <v>32120</v>
      </c>
      <c r="I4" t="s">
        <v>5</v>
      </c>
      <c r="J4" t="s">
        <v>48</v>
      </c>
      <c r="K4" t="s">
        <v>1070</v>
      </c>
      <c r="L4" s="135" t="s">
        <v>49</v>
      </c>
      <c r="M4" s="135" t="s">
        <v>50</v>
      </c>
      <c r="N4" s="135">
        <v>0</v>
      </c>
      <c r="O4" s="144">
        <v>0</v>
      </c>
      <c r="P4" s="135">
        <v>0</v>
      </c>
      <c r="Q4" s="144">
        <v>0</v>
      </c>
      <c r="R4" t="s">
        <v>9843</v>
      </c>
      <c r="S4" t="s">
        <v>7</v>
      </c>
      <c r="T4" s="117" t="s">
        <v>1274</v>
      </c>
      <c r="U4" t="s">
        <v>51</v>
      </c>
      <c r="V4" t="s">
        <v>52</v>
      </c>
      <c r="W4" t="s">
        <v>35</v>
      </c>
      <c r="X4" t="s">
        <v>35</v>
      </c>
      <c r="Y4" t="s">
        <v>35</v>
      </c>
      <c r="Z4" t="s">
        <v>35</v>
      </c>
      <c r="AA4" t="s">
        <v>35</v>
      </c>
      <c r="AB4" t="s">
        <v>35</v>
      </c>
      <c r="AC4" s="1" t="s">
        <v>35</v>
      </c>
      <c r="AD4" t="s">
        <v>35</v>
      </c>
      <c r="AE4" t="s">
        <v>7</v>
      </c>
      <c r="AF4" t="s">
        <v>35</v>
      </c>
      <c r="AG4" t="s">
        <v>35</v>
      </c>
      <c r="AH4" t="s">
        <v>35</v>
      </c>
      <c r="AI4" t="s">
        <v>35</v>
      </c>
    </row>
    <row r="5" spans="1:35">
      <c r="A5" t="s">
        <v>27</v>
      </c>
      <c r="B5" s="2" t="s">
        <v>70</v>
      </c>
      <c r="C5" t="s">
        <v>30</v>
      </c>
      <c r="D5" s="3" t="s">
        <v>23</v>
      </c>
      <c r="E5" s="4" t="s">
        <v>71</v>
      </c>
      <c r="F5" t="s">
        <v>1855</v>
      </c>
      <c r="G5" t="s">
        <v>3</v>
      </c>
      <c r="H5" s="6">
        <v>31345</v>
      </c>
      <c r="I5" t="s">
        <v>4</v>
      </c>
      <c r="J5" t="s">
        <v>9785</v>
      </c>
      <c r="K5" t="s">
        <v>1071</v>
      </c>
      <c r="L5" s="135" t="s">
        <v>10052</v>
      </c>
      <c r="M5" s="135" t="s">
        <v>9877</v>
      </c>
      <c r="N5" s="135" t="s">
        <v>9878</v>
      </c>
      <c r="O5" s="144">
        <v>0</v>
      </c>
      <c r="P5" s="135">
        <v>0</v>
      </c>
      <c r="Q5" s="144" t="s">
        <v>9879</v>
      </c>
      <c r="R5" t="s">
        <v>9843</v>
      </c>
      <c r="S5" t="s">
        <v>7</v>
      </c>
      <c r="T5" s="117" t="s">
        <v>72</v>
      </c>
      <c r="U5" t="s">
        <v>36</v>
      </c>
      <c r="V5" t="s">
        <v>9843</v>
      </c>
      <c r="W5" t="s">
        <v>35</v>
      </c>
      <c r="X5" s="117" t="s">
        <v>9859</v>
      </c>
      <c r="Y5" s="117" t="s">
        <v>8</v>
      </c>
      <c r="Z5" s="117" t="s">
        <v>7</v>
      </c>
      <c r="AA5" s="117" t="s">
        <v>1111</v>
      </c>
      <c r="AB5" s="117" t="s">
        <v>7</v>
      </c>
      <c r="AC5" s="117" t="s">
        <v>9872</v>
      </c>
      <c r="AD5" s="117" t="s">
        <v>8</v>
      </c>
      <c r="AE5" s="117" t="s">
        <v>35</v>
      </c>
      <c r="AF5" s="117" t="s">
        <v>35</v>
      </c>
      <c r="AG5" s="117" t="s">
        <v>8</v>
      </c>
      <c r="AH5" s="117" t="s">
        <v>35</v>
      </c>
      <c r="AI5" s="125" t="s">
        <v>1849</v>
      </c>
    </row>
    <row r="6" spans="1:35">
      <c r="A6" t="s">
        <v>28</v>
      </c>
      <c r="B6" s="6" t="s">
        <v>73</v>
      </c>
      <c r="C6" t="s">
        <v>30</v>
      </c>
      <c r="D6" s="3" t="s">
        <v>23</v>
      </c>
      <c r="E6" s="4" t="s">
        <v>75</v>
      </c>
      <c r="F6" t="s">
        <v>76</v>
      </c>
      <c r="G6" t="s">
        <v>3</v>
      </c>
      <c r="H6" s="6">
        <v>28579</v>
      </c>
      <c r="I6" s="2" t="s">
        <v>4</v>
      </c>
      <c r="J6" s="2" t="s">
        <v>77</v>
      </c>
      <c r="K6" t="s">
        <v>1262</v>
      </c>
      <c r="L6" s="135" t="s">
        <v>10053</v>
      </c>
      <c r="M6" s="135" t="s">
        <v>9880</v>
      </c>
      <c r="N6" s="135" t="s">
        <v>10076</v>
      </c>
      <c r="O6" s="144">
        <v>0</v>
      </c>
      <c r="P6" s="135">
        <v>0</v>
      </c>
      <c r="Q6" s="144">
        <v>0</v>
      </c>
      <c r="R6" t="s">
        <v>9846</v>
      </c>
      <c r="S6" t="s">
        <v>7</v>
      </c>
      <c r="T6" s="117" t="s">
        <v>9767</v>
      </c>
      <c r="U6" t="s">
        <v>78</v>
      </c>
      <c r="V6" t="s">
        <v>9843</v>
      </c>
      <c r="W6" t="s">
        <v>35</v>
      </c>
      <c r="X6" t="s">
        <v>7</v>
      </c>
      <c r="Y6" t="s">
        <v>9</v>
      </c>
      <c r="Z6" t="s">
        <v>7</v>
      </c>
      <c r="AA6" t="s">
        <v>7</v>
      </c>
      <c r="AB6" t="s">
        <v>7</v>
      </c>
      <c r="AC6" t="s">
        <v>9871</v>
      </c>
      <c r="AD6" s="117" t="s">
        <v>79</v>
      </c>
      <c r="AE6" s="117" t="s">
        <v>35</v>
      </c>
      <c r="AF6" s="117" t="s">
        <v>35</v>
      </c>
      <c r="AG6" s="117" t="s">
        <v>79</v>
      </c>
      <c r="AH6" s="117" t="s">
        <v>7</v>
      </c>
      <c r="AI6" s="125" t="s">
        <v>1849</v>
      </c>
    </row>
    <row r="7" spans="1:35">
      <c r="A7" t="s">
        <v>28</v>
      </c>
      <c r="B7" s="6" t="s">
        <v>73</v>
      </c>
      <c r="C7" t="s">
        <v>30</v>
      </c>
      <c r="D7" s="3" t="s">
        <v>23</v>
      </c>
      <c r="E7" s="4" t="s">
        <v>74</v>
      </c>
      <c r="F7" t="s">
        <v>76</v>
      </c>
      <c r="G7" t="s">
        <v>3</v>
      </c>
      <c r="H7" s="6">
        <v>34806</v>
      </c>
      <c r="I7" s="2" t="s">
        <v>4</v>
      </c>
      <c r="J7" s="2" t="s">
        <v>77</v>
      </c>
      <c r="K7" t="s">
        <v>1186</v>
      </c>
      <c r="L7" s="135" t="s">
        <v>10053</v>
      </c>
      <c r="M7" s="135" t="s">
        <v>9880</v>
      </c>
      <c r="N7" s="135" t="s">
        <v>10076</v>
      </c>
      <c r="O7" s="144">
        <v>0</v>
      </c>
      <c r="P7" s="135">
        <v>0</v>
      </c>
      <c r="Q7" s="144">
        <v>0</v>
      </c>
      <c r="R7" t="s">
        <v>9846</v>
      </c>
      <c r="S7" t="s">
        <v>7</v>
      </c>
      <c r="T7" s="117" t="s">
        <v>80</v>
      </c>
      <c r="U7" t="s">
        <v>6</v>
      </c>
      <c r="V7" t="s">
        <v>35</v>
      </c>
      <c r="W7" t="s">
        <v>35</v>
      </c>
      <c r="X7" t="s">
        <v>35</v>
      </c>
      <c r="Y7" t="s">
        <v>35</v>
      </c>
      <c r="Z7" t="s">
        <v>35</v>
      </c>
      <c r="AA7" t="s">
        <v>35</v>
      </c>
      <c r="AB7" t="s">
        <v>35</v>
      </c>
      <c r="AC7" t="s">
        <v>35</v>
      </c>
      <c r="AD7" t="s">
        <v>35</v>
      </c>
      <c r="AE7" t="s">
        <v>35</v>
      </c>
      <c r="AF7" t="s">
        <v>35</v>
      </c>
      <c r="AG7" t="s">
        <v>35</v>
      </c>
      <c r="AH7" t="s">
        <v>35</v>
      </c>
      <c r="AI7" t="s">
        <v>35</v>
      </c>
    </row>
    <row r="8" spans="1:35">
      <c r="A8" t="s">
        <v>81</v>
      </c>
      <c r="B8" s="2" t="s">
        <v>82</v>
      </c>
      <c r="C8" t="s">
        <v>30</v>
      </c>
      <c r="D8" t="s">
        <v>23</v>
      </c>
      <c r="E8" s="4" t="s">
        <v>83</v>
      </c>
      <c r="F8" t="s">
        <v>76</v>
      </c>
      <c r="G8" t="s">
        <v>3</v>
      </c>
      <c r="H8" s="6">
        <v>32087</v>
      </c>
      <c r="I8" t="s">
        <v>4</v>
      </c>
      <c r="J8" t="s">
        <v>48</v>
      </c>
      <c r="K8" t="s">
        <v>1064</v>
      </c>
      <c r="L8" s="135" t="s">
        <v>84</v>
      </c>
      <c r="M8" s="156" t="s">
        <v>85</v>
      </c>
      <c r="N8" s="135" t="s">
        <v>86</v>
      </c>
      <c r="O8" s="144">
        <v>0</v>
      </c>
      <c r="P8" s="135">
        <v>0</v>
      </c>
      <c r="Q8" s="144">
        <v>0</v>
      </c>
      <c r="R8" t="s">
        <v>9843</v>
      </c>
      <c r="S8" t="s">
        <v>7</v>
      </c>
      <c r="T8" s="117" t="s">
        <v>80</v>
      </c>
      <c r="U8" t="s">
        <v>36</v>
      </c>
      <c r="V8" t="s">
        <v>9843</v>
      </c>
      <c r="W8" t="s">
        <v>35</v>
      </c>
      <c r="X8" t="s">
        <v>7</v>
      </c>
      <c r="Y8" t="s">
        <v>9</v>
      </c>
      <c r="Z8" s="117" t="s">
        <v>7</v>
      </c>
      <c r="AA8" t="s">
        <v>7</v>
      </c>
      <c r="AB8" t="s">
        <v>7</v>
      </c>
      <c r="AC8" s="117" t="s">
        <v>9872</v>
      </c>
      <c r="AD8" t="s">
        <v>9</v>
      </c>
      <c r="AE8" t="s">
        <v>35</v>
      </c>
      <c r="AF8" t="s">
        <v>35</v>
      </c>
      <c r="AG8" t="s">
        <v>9</v>
      </c>
      <c r="AH8" s="117" t="s">
        <v>35</v>
      </c>
      <c r="AI8" s="125" t="s">
        <v>1849</v>
      </c>
    </row>
    <row r="9" spans="1:35">
      <c r="A9" s="123" t="s">
        <v>88</v>
      </c>
      <c r="B9" s="124" t="s">
        <v>95</v>
      </c>
      <c r="C9" s="123" t="s">
        <v>96</v>
      </c>
      <c r="D9" s="86" t="s">
        <v>87</v>
      </c>
      <c r="E9" s="86" t="s">
        <v>97</v>
      </c>
      <c r="F9" t="s">
        <v>1598</v>
      </c>
      <c r="G9" s="123" t="s">
        <v>3</v>
      </c>
      <c r="H9" s="126">
        <v>33476</v>
      </c>
      <c r="I9" s="125" t="s">
        <v>1093</v>
      </c>
      <c r="J9" s="125" t="s">
        <v>1101</v>
      </c>
      <c r="K9" s="125" t="s">
        <v>1072</v>
      </c>
      <c r="L9" s="125">
        <v>0</v>
      </c>
      <c r="M9" s="125">
        <v>0</v>
      </c>
      <c r="N9" s="125" t="s">
        <v>1845</v>
      </c>
      <c r="O9" s="146">
        <v>0</v>
      </c>
      <c r="P9" s="125">
        <v>0</v>
      </c>
      <c r="Q9" s="146">
        <v>0</v>
      </c>
      <c r="R9" t="s">
        <v>9843</v>
      </c>
      <c r="S9" s="125" t="s">
        <v>7</v>
      </c>
      <c r="T9" s="125" t="s">
        <v>1846</v>
      </c>
      <c r="U9" s="125" t="s">
        <v>36</v>
      </c>
      <c r="V9" t="s">
        <v>9843</v>
      </c>
      <c r="W9" s="125" t="s">
        <v>35</v>
      </c>
      <c r="X9" s="125" t="s">
        <v>7</v>
      </c>
      <c r="Y9" s="125" t="s">
        <v>9</v>
      </c>
      <c r="Z9" s="125" t="s">
        <v>7</v>
      </c>
      <c r="AA9" s="125" t="s">
        <v>7</v>
      </c>
      <c r="AB9" s="125" t="s">
        <v>7</v>
      </c>
      <c r="AC9" t="s">
        <v>9871</v>
      </c>
      <c r="AD9" s="125" t="s">
        <v>1847</v>
      </c>
      <c r="AE9" s="125" t="s">
        <v>35</v>
      </c>
      <c r="AF9" s="125" t="s">
        <v>35</v>
      </c>
      <c r="AG9" s="125" t="s">
        <v>1847</v>
      </c>
      <c r="AH9" s="117" t="s">
        <v>7</v>
      </c>
      <c r="AI9" s="125" t="s">
        <v>1849</v>
      </c>
    </row>
    <row r="10" spans="1:35">
      <c r="A10" s="123" t="s">
        <v>89</v>
      </c>
      <c r="B10" s="124" t="s">
        <v>98</v>
      </c>
      <c r="C10" s="123" t="s">
        <v>99</v>
      </c>
      <c r="D10" s="86" t="s">
        <v>87</v>
      </c>
      <c r="E10" s="86" t="s">
        <v>100</v>
      </c>
      <c r="F10" t="s">
        <v>1855</v>
      </c>
      <c r="G10" s="123" t="s">
        <v>3</v>
      </c>
      <c r="H10" s="126">
        <v>32525</v>
      </c>
      <c r="I10" s="125" t="s">
        <v>5</v>
      </c>
      <c r="J10" s="125" t="s">
        <v>1074</v>
      </c>
      <c r="K10" s="125" t="s">
        <v>1265</v>
      </c>
      <c r="L10" s="125" t="s">
        <v>1848</v>
      </c>
      <c r="M10" s="125" t="s">
        <v>1959</v>
      </c>
      <c r="N10" s="125">
        <v>0</v>
      </c>
      <c r="O10" s="146">
        <v>0</v>
      </c>
      <c r="P10" s="125">
        <v>0</v>
      </c>
      <c r="Q10" s="146">
        <v>0</v>
      </c>
      <c r="R10" t="s">
        <v>9843</v>
      </c>
      <c r="S10" s="125" t="s">
        <v>7</v>
      </c>
      <c r="T10" s="125" t="s">
        <v>1212</v>
      </c>
      <c r="U10" s="125" t="s">
        <v>36</v>
      </c>
      <c r="V10" t="s">
        <v>9843</v>
      </c>
      <c r="W10" s="125" t="s">
        <v>35</v>
      </c>
      <c r="X10" s="125" t="s">
        <v>1079</v>
      </c>
      <c r="Y10" s="125" t="s">
        <v>1080</v>
      </c>
      <c r="Z10" t="s">
        <v>1097</v>
      </c>
      <c r="AA10" s="125" t="s">
        <v>7</v>
      </c>
      <c r="AB10" s="125" t="s">
        <v>7</v>
      </c>
      <c r="AC10" s="117" t="s">
        <v>9872</v>
      </c>
      <c r="AD10" s="125" t="s">
        <v>1163</v>
      </c>
      <c r="AE10" s="125" t="s">
        <v>35</v>
      </c>
      <c r="AF10" s="125" t="s">
        <v>35</v>
      </c>
      <c r="AG10" s="125" t="s">
        <v>1163</v>
      </c>
      <c r="AH10" s="117" t="s">
        <v>35</v>
      </c>
      <c r="AI10" s="125" t="s">
        <v>1849</v>
      </c>
    </row>
    <row r="11" spans="1:35">
      <c r="A11" s="123" t="s">
        <v>90</v>
      </c>
      <c r="B11" s="124" t="s">
        <v>101</v>
      </c>
      <c r="C11" s="123" t="s">
        <v>102</v>
      </c>
      <c r="D11" s="86" t="s">
        <v>87</v>
      </c>
      <c r="E11" s="86" t="s">
        <v>103</v>
      </c>
      <c r="F11" s="125" t="s">
        <v>76</v>
      </c>
      <c r="G11" s="123" t="s">
        <v>3</v>
      </c>
      <c r="H11" s="126">
        <v>34009</v>
      </c>
      <c r="I11" s="125" t="s">
        <v>1850</v>
      </c>
      <c r="J11" s="125" t="s">
        <v>48</v>
      </c>
      <c r="K11" s="125" t="s">
        <v>1957</v>
      </c>
      <c r="L11" s="125">
        <v>0</v>
      </c>
      <c r="M11" s="125" t="s">
        <v>1960</v>
      </c>
      <c r="N11" s="125">
        <v>0</v>
      </c>
      <c r="O11" s="146">
        <v>0</v>
      </c>
      <c r="P11" s="125">
        <v>0</v>
      </c>
      <c r="Q11" s="146">
        <v>0</v>
      </c>
      <c r="R11" t="s">
        <v>9843</v>
      </c>
      <c r="S11" s="125" t="s">
        <v>9848</v>
      </c>
      <c r="T11" s="125" t="s">
        <v>1638</v>
      </c>
      <c r="U11" s="125" t="s">
        <v>6</v>
      </c>
      <c r="V11" s="125" t="s">
        <v>35</v>
      </c>
      <c r="W11" s="125" t="s">
        <v>35</v>
      </c>
      <c r="X11" s="125" t="s">
        <v>35</v>
      </c>
      <c r="Y11" s="125" t="s">
        <v>35</v>
      </c>
      <c r="Z11" s="125" t="s">
        <v>35</v>
      </c>
      <c r="AA11" s="125" t="s">
        <v>35</v>
      </c>
      <c r="AB11" s="125" t="s">
        <v>35</v>
      </c>
      <c r="AC11" s="125" t="s">
        <v>35</v>
      </c>
      <c r="AD11" s="125" t="s">
        <v>35</v>
      </c>
      <c r="AE11" s="125" t="s">
        <v>35</v>
      </c>
      <c r="AF11" s="125" t="s">
        <v>35</v>
      </c>
      <c r="AG11" s="125" t="s">
        <v>35</v>
      </c>
      <c r="AH11" s="125" t="s">
        <v>35</v>
      </c>
      <c r="AI11" s="125" t="s">
        <v>35</v>
      </c>
    </row>
    <row r="12" spans="1:35">
      <c r="A12" s="123" t="s">
        <v>91</v>
      </c>
      <c r="B12" s="124" t="s">
        <v>104</v>
      </c>
      <c r="C12" s="123" t="s">
        <v>96</v>
      </c>
      <c r="D12" s="86" t="s">
        <v>87</v>
      </c>
      <c r="E12" s="86" t="s">
        <v>105</v>
      </c>
      <c r="F12" t="s">
        <v>1855</v>
      </c>
      <c r="G12" s="123" t="s">
        <v>3</v>
      </c>
      <c r="H12" s="126">
        <v>32784</v>
      </c>
      <c r="I12" s="125" t="s">
        <v>4</v>
      </c>
      <c r="J12" s="125" t="s">
        <v>1074</v>
      </c>
      <c r="K12" s="125" t="s">
        <v>1143</v>
      </c>
      <c r="L12" s="125">
        <v>0</v>
      </c>
      <c r="M12" s="125" t="s">
        <v>1851</v>
      </c>
      <c r="N12" s="125" t="s">
        <v>1962</v>
      </c>
      <c r="O12" s="146">
        <v>0</v>
      </c>
      <c r="P12" s="125">
        <v>0</v>
      </c>
      <c r="Q12" s="146">
        <v>0</v>
      </c>
      <c r="R12" t="s">
        <v>9843</v>
      </c>
      <c r="S12" s="125" t="s">
        <v>7</v>
      </c>
      <c r="T12" s="125" t="s">
        <v>1150</v>
      </c>
      <c r="U12" s="125" t="s">
        <v>36</v>
      </c>
      <c r="V12" t="s">
        <v>9843</v>
      </c>
      <c r="W12" s="125" t="s">
        <v>35</v>
      </c>
      <c r="X12" s="125" t="s">
        <v>7</v>
      </c>
      <c r="Y12" s="125" t="s">
        <v>9</v>
      </c>
      <c r="Z12" s="125" t="s">
        <v>7</v>
      </c>
      <c r="AA12" s="125" t="s">
        <v>7</v>
      </c>
      <c r="AB12" s="125" t="s">
        <v>7</v>
      </c>
      <c r="AC12" t="s">
        <v>9870</v>
      </c>
      <c r="AD12" s="125" t="s">
        <v>10</v>
      </c>
      <c r="AE12" s="125" t="s">
        <v>35</v>
      </c>
      <c r="AF12" s="125" t="s">
        <v>35</v>
      </c>
      <c r="AG12" s="125" t="s">
        <v>10</v>
      </c>
      <c r="AH12" s="117" t="s">
        <v>7</v>
      </c>
      <c r="AI12" s="125" t="s">
        <v>1849</v>
      </c>
    </row>
    <row r="13" spans="1:35">
      <c r="A13" s="123" t="s">
        <v>92</v>
      </c>
      <c r="B13" s="124" t="s">
        <v>106</v>
      </c>
      <c r="C13" s="123" t="s">
        <v>107</v>
      </c>
      <c r="D13" s="86" t="s">
        <v>87</v>
      </c>
      <c r="E13" s="86" t="s">
        <v>108</v>
      </c>
      <c r="F13" t="s">
        <v>1855</v>
      </c>
      <c r="G13" s="123" t="s">
        <v>3</v>
      </c>
      <c r="H13" s="126">
        <v>26584</v>
      </c>
      <c r="I13" s="125" t="s">
        <v>1093</v>
      </c>
      <c r="J13" s="125" t="s">
        <v>1101</v>
      </c>
      <c r="K13" s="125" t="s">
        <v>1852</v>
      </c>
      <c r="L13" s="125">
        <v>0</v>
      </c>
      <c r="M13" s="125" t="s">
        <v>1853</v>
      </c>
      <c r="N13" s="125">
        <v>0</v>
      </c>
      <c r="O13" s="146">
        <v>0</v>
      </c>
      <c r="P13" s="125">
        <v>0</v>
      </c>
      <c r="Q13" s="146">
        <v>0</v>
      </c>
      <c r="R13" t="s">
        <v>9843</v>
      </c>
      <c r="S13" s="125" t="s">
        <v>7</v>
      </c>
      <c r="T13" s="125" t="s">
        <v>1212</v>
      </c>
      <c r="U13" s="125" t="s">
        <v>36</v>
      </c>
      <c r="V13" t="s">
        <v>9843</v>
      </c>
      <c r="W13" s="125" t="s">
        <v>35</v>
      </c>
      <c r="X13" s="125" t="s">
        <v>7</v>
      </c>
      <c r="Y13" s="125" t="s">
        <v>9</v>
      </c>
      <c r="Z13" s="125" t="s">
        <v>7</v>
      </c>
      <c r="AA13" s="125" t="s">
        <v>7</v>
      </c>
      <c r="AB13" s="125" t="s">
        <v>7</v>
      </c>
      <c r="AC13" s="117" t="s">
        <v>9872</v>
      </c>
      <c r="AD13" s="125" t="s">
        <v>9</v>
      </c>
      <c r="AE13" s="125" t="s">
        <v>35</v>
      </c>
      <c r="AF13" s="125" t="s">
        <v>35</v>
      </c>
      <c r="AG13" s="125" t="s">
        <v>9</v>
      </c>
      <c r="AH13" s="117" t="s">
        <v>35</v>
      </c>
      <c r="AI13" s="125" t="s">
        <v>1849</v>
      </c>
    </row>
    <row r="14" spans="1:35">
      <c r="A14" s="123" t="s">
        <v>93</v>
      </c>
      <c r="B14" s="124" t="s">
        <v>109</v>
      </c>
      <c r="C14" s="123" t="s">
        <v>102</v>
      </c>
      <c r="D14" s="86" t="s">
        <v>87</v>
      </c>
      <c r="E14" s="86" t="s">
        <v>110</v>
      </c>
      <c r="F14" t="s">
        <v>1855</v>
      </c>
      <c r="G14" s="123" t="s">
        <v>3</v>
      </c>
      <c r="H14" s="126">
        <v>29853</v>
      </c>
      <c r="I14" s="125" t="s">
        <v>5</v>
      </c>
      <c r="J14" s="125" t="s">
        <v>48</v>
      </c>
      <c r="K14" s="125" t="s">
        <v>1958</v>
      </c>
      <c r="L14" s="125">
        <v>0</v>
      </c>
      <c r="M14" s="125" t="s">
        <v>1961</v>
      </c>
      <c r="N14" s="125">
        <v>0</v>
      </c>
      <c r="O14" s="146">
        <v>0</v>
      </c>
      <c r="P14" s="125">
        <v>0</v>
      </c>
      <c r="Q14" s="146">
        <v>0</v>
      </c>
      <c r="R14" s="125" t="s">
        <v>9845</v>
      </c>
      <c r="S14" s="125" t="s">
        <v>7</v>
      </c>
      <c r="T14" s="125" t="s">
        <v>1229</v>
      </c>
      <c r="U14" s="125" t="s">
        <v>36</v>
      </c>
      <c r="V14" s="125" t="s">
        <v>9845</v>
      </c>
      <c r="W14" s="125" t="s">
        <v>35</v>
      </c>
      <c r="X14" s="125" t="s">
        <v>1854</v>
      </c>
      <c r="Y14" s="125" t="s">
        <v>1100</v>
      </c>
      <c r="Z14" t="s">
        <v>1097</v>
      </c>
      <c r="AA14" s="125" t="s">
        <v>7</v>
      </c>
      <c r="AB14" s="125" t="s">
        <v>7</v>
      </c>
      <c r="AC14" s="117" t="s">
        <v>9872</v>
      </c>
      <c r="AD14" s="125" t="s">
        <v>1099</v>
      </c>
      <c r="AE14" s="125" t="s">
        <v>1963</v>
      </c>
      <c r="AF14" s="125" t="s">
        <v>35</v>
      </c>
      <c r="AG14" s="125" t="s">
        <v>9876</v>
      </c>
      <c r="AH14" s="117" t="s">
        <v>35</v>
      </c>
      <c r="AI14" s="125" t="s">
        <v>1849</v>
      </c>
    </row>
    <row r="15" spans="1:35">
      <c r="A15" s="123" t="s">
        <v>94</v>
      </c>
      <c r="B15" s="124" t="s">
        <v>101</v>
      </c>
      <c r="C15" s="123" t="s">
        <v>96</v>
      </c>
      <c r="D15" s="86" t="s">
        <v>87</v>
      </c>
      <c r="E15" s="86" t="s">
        <v>111</v>
      </c>
      <c r="F15" t="s">
        <v>1855</v>
      </c>
      <c r="G15" s="123" t="s">
        <v>3</v>
      </c>
      <c r="H15" s="126">
        <v>33615</v>
      </c>
      <c r="I15" s="125" t="s">
        <v>4</v>
      </c>
      <c r="J15" s="125" t="s">
        <v>41</v>
      </c>
      <c r="K15" s="125" t="s">
        <v>1856</v>
      </c>
      <c r="L15" s="125" t="s">
        <v>1857</v>
      </c>
      <c r="M15" s="125" t="s">
        <v>1858</v>
      </c>
      <c r="N15" s="125">
        <v>0</v>
      </c>
      <c r="O15" s="146">
        <v>0</v>
      </c>
      <c r="P15" s="125">
        <v>0</v>
      </c>
      <c r="Q15" s="146">
        <v>0</v>
      </c>
      <c r="R15" t="s">
        <v>9843</v>
      </c>
      <c r="S15" s="125" t="s">
        <v>1136</v>
      </c>
      <c r="T15" s="125" t="s">
        <v>1098</v>
      </c>
      <c r="U15" s="125" t="s">
        <v>36</v>
      </c>
      <c r="V15" t="s">
        <v>9843</v>
      </c>
      <c r="W15" s="125" t="s">
        <v>1136</v>
      </c>
      <c r="X15" s="125" t="s">
        <v>7</v>
      </c>
      <c r="Y15" s="125" t="s">
        <v>9</v>
      </c>
      <c r="Z15" s="125" t="s">
        <v>7</v>
      </c>
      <c r="AA15" s="125" t="s">
        <v>7</v>
      </c>
      <c r="AB15" s="125" t="s">
        <v>7</v>
      </c>
      <c r="AC15" t="s">
        <v>9871</v>
      </c>
      <c r="AD15" s="125" t="s">
        <v>1847</v>
      </c>
      <c r="AE15" s="125" t="s">
        <v>35</v>
      </c>
      <c r="AF15" s="125" t="s">
        <v>1279</v>
      </c>
      <c r="AG15" s="125" t="s">
        <v>1859</v>
      </c>
      <c r="AH15" s="117" t="s">
        <v>35</v>
      </c>
      <c r="AI15" s="125" t="s">
        <v>1849</v>
      </c>
    </row>
    <row r="16" spans="1:35">
      <c r="A16" t="s">
        <v>112</v>
      </c>
      <c r="B16" s="6">
        <v>42864</v>
      </c>
      <c r="C16" t="s">
        <v>476</v>
      </c>
      <c r="D16" t="s">
        <v>120</v>
      </c>
      <c r="E16" s="4" t="s">
        <v>475</v>
      </c>
      <c r="F16" t="s">
        <v>1855</v>
      </c>
      <c r="G16" t="s">
        <v>3</v>
      </c>
      <c r="H16" s="6">
        <v>31815</v>
      </c>
      <c r="I16" t="s">
        <v>5</v>
      </c>
      <c r="J16" t="s">
        <v>1101</v>
      </c>
      <c r="K16" t="s">
        <v>1159</v>
      </c>
      <c r="L16" s="135">
        <v>0</v>
      </c>
      <c r="M16" s="156" t="s">
        <v>1160</v>
      </c>
      <c r="N16" s="135">
        <v>0</v>
      </c>
      <c r="O16" s="144">
        <v>0</v>
      </c>
      <c r="P16" s="135">
        <v>0</v>
      </c>
      <c r="Q16" s="144">
        <v>0</v>
      </c>
      <c r="R16" t="s">
        <v>9843</v>
      </c>
      <c r="S16" t="s">
        <v>7</v>
      </c>
      <c r="T16" s="117" t="s">
        <v>1111</v>
      </c>
      <c r="U16" t="s">
        <v>51</v>
      </c>
      <c r="V16" t="s">
        <v>52</v>
      </c>
      <c r="W16" t="s">
        <v>35</v>
      </c>
      <c r="X16" t="s">
        <v>35</v>
      </c>
      <c r="Y16" t="s">
        <v>35</v>
      </c>
      <c r="Z16" t="s">
        <v>35</v>
      </c>
      <c r="AA16" t="s">
        <v>35</v>
      </c>
      <c r="AB16" t="s">
        <v>35</v>
      </c>
      <c r="AC16" s="1" t="s">
        <v>35</v>
      </c>
      <c r="AD16" t="s">
        <v>35</v>
      </c>
      <c r="AE16" t="s">
        <v>7</v>
      </c>
      <c r="AF16" t="s">
        <v>35</v>
      </c>
      <c r="AG16" t="s">
        <v>35</v>
      </c>
      <c r="AH16" s="117" t="s">
        <v>35</v>
      </c>
      <c r="AI16" t="s">
        <v>35</v>
      </c>
    </row>
    <row r="17" spans="1:35">
      <c r="A17" t="s">
        <v>113</v>
      </c>
      <c r="B17" s="6">
        <v>42871</v>
      </c>
      <c r="C17" s="86" t="s">
        <v>477</v>
      </c>
      <c r="D17" t="s">
        <v>120</v>
      </c>
      <c r="E17" s="4" t="s">
        <v>478</v>
      </c>
      <c r="F17" t="s">
        <v>1085</v>
      </c>
      <c r="G17" t="s">
        <v>3</v>
      </c>
      <c r="H17" s="6">
        <v>30746</v>
      </c>
      <c r="I17" t="s">
        <v>4</v>
      </c>
      <c r="J17" t="s">
        <v>41</v>
      </c>
      <c r="K17" t="s">
        <v>1161</v>
      </c>
      <c r="L17" s="135" t="s">
        <v>1268</v>
      </c>
      <c r="M17" s="135">
        <v>0</v>
      </c>
      <c r="N17" s="135">
        <v>0</v>
      </c>
      <c r="O17" s="144">
        <v>0</v>
      </c>
      <c r="P17" s="135">
        <v>0</v>
      </c>
      <c r="Q17" s="144">
        <v>0</v>
      </c>
      <c r="R17" t="s">
        <v>9846</v>
      </c>
      <c r="S17" t="s">
        <v>7</v>
      </c>
      <c r="T17" s="117" t="s">
        <v>9767</v>
      </c>
      <c r="U17" t="s">
        <v>36</v>
      </c>
      <c r="V17" t="s">
        <v>9846</v>
      </c>
      <c r="W17" t="s">
        <v>35</v>
      </c>
      <c r="X17" t="s">
        <v>7</v>
      </c>
      <c r="Y17" t="s">
        <v>9</v>
      </c>
      <c r="Z17" t="s">
        <v>1097</v>
      </c>
      <c r="AA17" t="s">
        <v>7</v>
      </c>
      <c r="AB17" t="s">
        <v>7</v>
      </c>
      <c r="AC17" s="117" t="s">
        <v>9872</v>
      </c>
      <c r="AD17" t="s">
        <v>1164</v>
      </c>
      <c r="AE17" t="s">
        <v>79</v>
      </c>
      <c r="AF17" t="s">
        <v>35</v>
      </c>
      <c r="AG17" t="s">
        <v>1165</v>
      </c>
      <c r="AH17" s="117" t="s">
        <v>35</v>
      </c>
      <c r="AI17" s="125" t="s">
        <v>1849</v>
      </c>
    </row>
    <row r="18" spans="1:35">
      <c r="A18" t="s">
        <v>113</v>
      </c>
      <c r="B18" s="6">
        <v>42871</v>
      </c>
      <c r="C18" t="s">
        <v>477</v>
      </c>
      <c r="D18" t="s">
        <v>120</v>
      </c>
      <c r="E18" s="4" t="s">
        <v>479</v>
      </c>
      <c r="F18" t="s">
        <v>1085</v>
      </c>
      <c r="G18" t="s">
        <v>3</v>
      </c>
      <c r="H18" s="6">
        <v>32255</v>
      </c>
      <c r="I18" t="s">
        <v>4</v>
      </c>
      <c r="J18" t="s">
        <v>48</v>
      </c>
      <c r="K18" t="s">
        <v>1161</v>
      </c>
      <c r="L18" s="135" t="s">
        <v>1268</v>
      </c>
      <c r="M18" s="135">
        <v>0</v>
      </c>
      <c r="N18" s="135">
        <v>0</v>
      </c>
      <c r="O18" s="144">
        <v>0</v>
      </c>
      <c r="P18" s="135">
        <v>0</v>
      </c>
      <c r="Q18" s="144">
        <v>0</v>
      </c>
      <c r="R18" t="s">
        <v>9846</v>
      </c>
      <c r="S18" t="s">
        <v>7</v>
      </c>
      <c r="T18" s="117" t="s">
        <v>9767</v>
      </c>
      <c r="U18" t="s">
        <v>36</v>
      </c>
      <c r="V18" t="s">
        <v>9846</v>
      </c>
      <c r="W18" t="s">
        <v>35</v>
      </c>
      <c r="X18" t="s">
        <v>7</v>
      </c>
      <c r="Y18" t="s">
        <v>9</v>
      </c>
      <c r="Z18" t="s">
        <v>7</v>
      </c>
      <c r="AA18" t="s">
        <v>7</v>
      </c>
      <c r="AB18" t="s">
        <v>7</v>
      </c>
      <c r="AC18" s="117" t="s">
        <v>7</v>
      </c>
      <c r="AD18" t="s">
        <v>9</v>
      </c>
      <c r="AE18" t="s">
        <v>1162</v>
      </c>
      <c r="AF18" t="s">
        <v>35</v>
      </c>
      <c r="AG18" t="s">
        <v>1166</v>
      </c>
      <c r="AH18" s="117" t="s">
        <v>35</v>
      </c>
      <c r="AI18" s="125" t="s">
        <v>1849</v>
      </c>
    </row>
    <row r="19" spans="1:35">
      <c r="A19" t="s">
        <v>113</v>
      </c>
      <c r="B19" s="6">
        <v>42871</v>
      </c>
      <c r="C19" t="s">
        <v>477</v>
      </c>
      <c r="D19" t="s">
        <v>120</v>
      </c>
      <c r="E19" s="4" t="s">
        <v>480</v>
      </c>
      <c r="F19" t="s">
        <v>1085</v>
      </c>
      <c r="G19" t="s">
        <v>3</v>
      </c>
      <c r="H19" s="6">
        <v>34325</v>
      </c>
      <c r="I19" t="s">
        <v>4</v>
      </c>
      <c r="J19" t="s">
        <v>41</v>
      </c>
      <c r="K19" t="s">
        <v>1161</v>
      </c>
      <c r="L19" s="135" t="s">
        <v>1268</v>
      </c>
      <c r="M19" s="135">
        <v>0</v>
      </c>
      <c r="N19" s="135">
        <v>0</v>
      </c>
      <c r="O19" s="144">
        <v>0</v>
      </c>
      <c r="P19" s="135">
        <v>0</v>
      </c>
      <c r="Q19" s="144">
        <v>0</v>
      </c>
      <c r="R19" t="s">
        <v>9846</v>
      </c>
      <c r="S19" t="s">
        <v>7</v>
      </c>
      <c r="T19" s="117" t="s">
        <v>9767</v>
      </c>
      <c r="U19" t="s">
        <v>36</v>
      </c>
      <c r="V19" t="s">
        <v>9846</v>
      </c>
      <c r="W19" t="s">
        <v>35</v>
      </c>
      <c r="X19" t="s">
        <v>7</v>
      </c>
      <c r="Y19" t="s">
        <v>9</v>
      </c>
      <c r="Z19" t="s">
        <v>7</v>
      </c>
      <c r="AA19" t="s">
        <v>7</v>
      </c>
      <c r="AB19" t="s">
        <v>7</v>
      </c>
      <c r="AC19" s="117" t="s">
        <v>7</v>
      </c>
      <c r="AD19" t="s">
        <v>9</v>
      </c>
      <c r="AE19" t="s">
        <v>1162</v>
      </c>
      <c r="AF19" t="s">
        <v>35</v>
      </c>
      <c r="AG19" t="s">
        <v>1166</v>
      </c>
      <c r="AH19" s="117" t="s">
        <v>35</v>
      </c>
      <c r="AI19" s="125" t="s">
        <v>1849</v>
      </c>
    </row>
    <row r="20" spans="1:35">
      <c r="A20" t="s">
        <v>114</v>
      </c>
      <c r="B20" s="6">
        <v>43069</v>
      </c>
      <c r="C20" t="s">
        <v>476</v>
      </c>
      <c r="D20" t="s">
        <v>120</v>
      </c>
      <c r="E20" s="4" t="s">
        <v>481</v>
      </c>
      <c r="F20" t="s">
        <v>1855</v>
      </c>
      <c r="G20" t="s">
        <v>3</v>
      </c>
      <c r="H20" s="6">
        <v>34118</v>
      </c>
      <c r="I20" t="s">
        <v>1093</v>
      </c>
      <c r="J20" t="s">
        <v>48</v>
      </c>
      <c r="K20" t="s">
        <v>9791</v>
      </c>
      <c r="L20" s="156" t="s">
        <v>9768</v>
      </c>
      <c r="M20" s="135" t="s">
        <v>1167</v>
      </c>
      <c r="N20" s="135">
        <v>0</v>
      </c>
      <c r="O20" s="144">
        <v>0</v>
      </c>
      <c r="P20" s="135">
        <v>0</v>
      </c>
      <c r="Q20" s="144">
        <v>0</v>
      </c>
      <c r="R20" t="s">
        <v>9843</v>
      </c>
      <c r="S20" t="s">
        <v>7</v>
      </c>
      <c r="T20" s="117" t="s">
        <v>1527</v>
      </c>
      <c r="U20" t="s">
        <v>36</v>
      </c>
      <c r="V20" t="s">
        <v>9843</v>
      </c>
      <c r="W20" t="s">
        <v>35</v>
      </c>
      <c r="X20" t="s">
        <v>7</v>
      </c>
      <c r="Y20" t="s">
        <v>9</v>
      </c>
      <c r="Z20" t="s">
        <v>7</v>
      </c>
      <c r="AA20" t="s">
        <v>7</v>
      </c>
      <c r="AB20" t="s">
        <v>7</v>
      </c>
      <c r="AC20" t="s">
        <v>9871</v>
      </c>
      <c r="AD20" t="s">
        <v>1162</v>
      </c>
      <c r="AE20" t="s">
        <v>35</v>
      </c>
      <c r="AF20" t="s">
        <v>35</v>
      </c>
      <c r="AG20" t="s">
        <v>1162</v>
      </c>
      <c r="AH20" t="s">
        <v>9851</v>
      </c>
      <c r="AI20" s="117" t="s">
        <v>35</v>
      </c>
    </row>
    <row r="21" spans="1:35">
      <c r="A21" t="s">
        <v>115</v>
      </c>
      <c r="B21" s="6">
        <v>42958</v>
      </c>
      <c r="C21" t="s">
        <v>476</v>
      </c>
      <c r="D21" t="s">
        <v>120</v>
      </c>
      <c r="E21" s="4" t="s">
        <v>482</v>
      </c>
      <c r="F21" t="s">
        <v>1855</v>
      </c>
      <c r="G21" t="s">
        <v>3</v>
      </c>
      <c r="H21" s="6">
        <v>33993</v>
      </c>
      <c r="I21" t="s">
        <v>4</v>
      </c>
      <c r="J21" t="s">
        <v>41</v>
      </c>
      <c r="K21" t="s">
        <v>1168</v>
      </c>
      <c r="L21" s="156" t="s">
        <v>9769</v>
      </c>
      <c r="M21" s="135">
        <v>0</v>
      </c>
      <c r="N21" s="135">
        <v>0</v>
      </c>
      <c r="O21" s="144">
        <v>0</v>
      </c>
      <c r="P21" s="135">
        <v>0</v>
      </c>
      <c r="Q21" s="144">
        <v>0</v>
      </c>
      <c r="R21" t="s">
        <v>9843</v>
      </c>
      <c r="S21" t="s">
        <v>7</v>
      </c>
      <c r="T21" s="117" t="s">
        <v>9771</v>
      </c>
      <c r="U21" t="s">
        <v>78</v>
      </c>
      <c r="V21" t="s">
        <v>9843</v>
      </c>
      <c r="W21" t="s">
        <v>35</v>
      </c>
      <c r="X21" t="s">
        <v>7</v>
      </c>
      <c r="Y21" t="s">
        <v>9</v>
      </c>
      <c r="Z21" t="s">
        <v>7</v>
      </c>
      <c r="AA21" t="s">
        <v>7</v>
      </c>
      <c r="AB21" t="s">
        <v>7</v>
      </c>
      <c r="AC21" s="117" t="s">
        <v>7</v>
      </c>
      <c r="AD21" t="s">
        <v>9</v>
      </c>
      <c r="AE21" t="s">
        <v>35</v>
      </c>
      <c r="AF21" t="s">
        <v>35</v>
      </c>
      <c r="AG21" t="s">
        <v>9</v>
      </c>
      <c r="AH21" s="117" t="s">
        <v>35</v>
      </c>
      <c r="AI21" s="125" t="s">
        <v>1849</v>
      </c>
    </row>
    <row r="22" spans="1:35">
      <c r="A22" t="s">
        <v>115</v>
      </c>
      <c r="B22" s="6">
        <v>42958</v>
      </c>
      <c r="C22" t="s">
        <v>476</v>
      </c>
      <c r="D22" t="s">
        <v>120</v>
      </c>
      <c r="E22" s="4" t="s">
        <v>483</v>
      </c>
      <c r="F22" t="s">
        <v>1855</v>
      </c>
      <c r="G22" t="s">
        <v>3</v>
      </c>
      <c r="H22" s="6">
        <v>34396</v>
      </c>
      <c r="I22" t="s">
        <v>4</v>
      </c>
      <c r="J22" t="s">
        <v>41</v>
      </c>
      <c r="K22" t="s">
        <v>1169</v>
      </c>
      <c r="L22" s="156" t="s">
        <v>9770</v>
      </c>
      <c r="M22" s="135">
        <v>0</v>
      </c>
      <c r="N22" s="135">
        <v>0</v>
      </c>
      <c r="O22" s="144">
        <v>0</v>
      </c>
      <c r="P22" s="135">
        <v>0</v>
      </c>
      <c r="Q22" s="144">
        <v>0</v>
      </c>
      <c r="R22" t="s">
        <v>9843</v>
      </c>
      <c r="S22" t="s">
        <v>7</v>
      </c>
      <c r="T22" s="117" t="s">
        <v>1122</v>
      </c>
      <c r="U22" t="s">
        <v>36</v>
      </c>
      <c r="V22" t="s">
        <v>9843</v>
      </c>
      <c r="W22" t="s">
        <v>35</v>
      </c>
      <c r="X22" t="s">
        <v>7</v>
      </c>
      <c r="Y22" t="s">
        <v>9</v>
      </c>
      <c r="Z22" t="s">
        <v>7</v>
      </c>
      <c r="AA22" t="s">
        <v>7</v>
      </c>
      <c r="AB22" t="s">
        <v>7</v>
      </c>
      <c r="AC22" s="117" t="s">
        <v>7</v>
      </c>
      <c r="AD22" t="s">
        <v>9</v>
      </c>
      <c r="AE22" t="s">
        <v>35</v>
      </c>
      <c r="AF22" t="s">
        <v>35</v>
      </c>
      <c r="AG22" t="s">
        <v>9</v>
      </c>
      <c r="AH22" s="117" t="s">
        <v>35</v>
      </c>
      <c r="AI22" s="125" t="s">
        <v>1849</v>
      </c>
    </row>
    <row r="23" spans="1:35">
      <c r="A23" s="117" t="s">
        <v>116</v>
      </c>
      <c r="B23" s="6">
        <v>42930</v>
      </c>
      <c r="C23" t="s">
        <v>476</v>
      </c>
      <c r="D23" t="s">
        <v>120</v>
      </c>
      <c r="E23" s="4" t="s">
        <v>484</v>
      </c>
      <c r="F23" t="s">
        <v>1855</v>
      </c>
      <c r="G23" t="s">
        <v>3</v>
      </c>
      <c r="H23" s="6">
        <v>32988</v>
      </c>
      <c r="I23" t="s">
        <v>5</v>
      </c>
      <c r="J23" t="s">
        <v>1101</v>
      </c>
      <c r="K23" t="s">
        <v>1170</v>
      </c>
      <c r="L23" s="135">
        <v>0</v>
      </c>
      <c r="M23" s="135">
        <v>0</v>
      </c>
      <c r="N23" s="135" t="s">
        <v>1171</v>
      </c>
      <c r="O23" s="144">
        <v>0</v>
      </c>
      <c r="P23" s="135">
        <v>0</v>
      </c>
      <c r="Q23" s="144">
        <v>0</v>
      </c>
      <c r="R23" t="s">
        <v>9843</v>
      </c>
      <c r="S23" t="s">
        <v>7</v>
      </c>
      <c r="T23" s="117" t="s">
        <v>1082</v>
      </c>
      <c r="U23" t="s">
        <v>36</v>
      </c>
      <c r="V23" t="s">
        <v>9843</v>
      </c>
      <c r="W23" t="s">
        <v>35</v>
      </c>
      <c r="X23" s="125" t="s">
        <v>1854</v>
      </c>
      <c r="Y23" t="s">
        <v>1100</v>
      </c>
      <c r="Z23" t="s">
        <v>1097</v>
      </c>
      <c r="AA23" t="s">
        <v>7</v>
      </c>
      <c r="AB23" t="s">
        <v>7</v>
      </c>
      <c r="AC23" s="117" t="s">
        <v>9872</v>
      </c>
      <c r="AD23" t="s">
        <v>1099</v>
      </c>
      <c r="AE23" t="s">
        <v>35</v>
      </c>
      <c r="AF23" t="s">
        <v>35</v>
      </c>
      <c r="AG23" t="s">
        <v>1099</v>
      </c>
      <c r="AH23" s="117" t="s">
        <v>35</v>
      </c>
      <c r="AI23" s="125" t="s">
        <v>1849</v>
      </c>
    </row>
    <row r="24" spans="1:35">
      <c r="A24" t="s">
        <v>117</v>
      </c>
      <c r="B24" s="6">
        <v>42934</v>
      </c>
      <c r="C24" t="s">
        <v>476</v>
      </c>
      <c r="D24" t="s">
        <v>120</v>
      </c>
      <c r="E24" s="4" t="s">
        <v>485</v>
      </c>
      <c r="F24" t="s">
        <v>1855</v>
      </c>
      <c r="G24" t="s">
        <v>3</v>
      </c>
      <c r="H24" s="6">
        <v>34292</v>
      </c>
      <c r="I24" t="s">
        <v>4</v>
      </c>
      <c r="J24" t="s">
        <v>77</v>
      </c>
      <c r="K24" t="s">
        <v>1094</v>
      </c>
      <c r="L24" s="135" t="s">
        <v>9881</v>
      </c>
      <c r="M24" s="135" t="s">
        <v>9882</v>
      </c>
      <c r="N24" s="135" t="s">
        <v>9883</v>
      </c>
      <c r="O24" s="144">
        <v>0</v>
      </c>
      <c r="P24" s="135">
        <v>0</v>
      </c>
      <c r="Q24" s="144">
        <v>0</v>
      </c>
      <c r="R24" t="s">
        <v>9843</v>
      </c>
      <c r="S24" t="s">
        <v>7</v>
      </c>
      <c r="T24" s="117" t="s">
        <v>80</v>
      </c>
      <c r="U24" t="s">
        <v>6</v>
      </c>
      <c r="V24" t="s">
        <v>35</v>
      </c>
      <c r="W24" t="s">
        <v>35</v>
      </c>
      <c r="X24" t="s">
        <v>35</v>
      </c>
      <c r="Y24" t="s">
        <v>35</v>
      </c>
      <c r="Z24" t="s">
        <v>35</v>
      </c>
      <c r="AA24" t="s">
        <v>35</v>
      </c>
      <c r="AB24" t="s">
        <v>35</v>
      </c>
      <c r="AC24" t="s">
        <v>35</v>
      </c>
      <c r="AD24" t="s">
        <v>35</v>
      </c>
      <c r="AE24" t="s">
        <v>35</v>
      </c>
      <c r="AF24" t="s">
        <v>35</v>
      </c>
      <c r="AG24" t="s">
        <v>35</v>
      </c>
      <c r="AH24" s="117" t="s">
        <v>35</v>
      </c>
      <c r="AI24" t="s">
        <v>35</v>
      </c>
    </row>
    <row r="25" spans="1:35">
      <c r="A25" t="s">
        <v>118</v>
      </c>
      <c r="B25" s="6">
        <v>42765</v>
      </c>
      <c r="C25" t="s">
        <v>476</v>
      </c>
      <c r="D25" t="s">
        <v>120</v>
      </c>
      <c r="E25" s="4" t="s">
        <v>486</v>
      </c>
      <c r="F25" t="s">
        <v>1855</v>
      </c>
      <c r="G25" t="s">
        <v>3</v>
      </c>
      <c r="H25" s="6">
        <v>32782</v>
      </c>
      <c r="I25" t="s">
        <v>5</v>
      </c>
      <c r="J25" t="s">
        <v>1074</v>
      </c>
      <c r="K25" t="s">
        <v>2093</v>
      </c>
      <c r="L25" s="135" t="s">
        <v>1269</v>
      </c>
      <c r="M25" s="156" t="s">
        <v>2094</v>
      </c>
      <c r="N25" s="135" t="s">
        <v>1172</v>
      </c>
      <c r="O25" s="144">
        <v>0</v>
      </c>
      <c r="P25" s="135">
        <v>0</v>
      </c>
      <c r="Q25" s="144">
        <v>0</v>
      </c>
      <c r="R25" t="s">
        <v>9843</v>
      </c>
      <c r="S25" t="s">
        <v>7</v>
      </c>
      <c r="T25" s="117" t="s">
        <v>1173</v>
      </c>
      <c r="U25" t="s">
        <v>36</v>
      </c>
      <c r="V25" t="s">
        <v>9843</v>
      </c>
      <c r="W25" t="s">
        <v>35</v>
      </c>
      <c r="X25" s="125" t="s">
        <v>1854</v>
      </c>
      <c r="Y25" t="s">
        <v>1100</v>
      </c>
      <c r="Z25" t="s">
        <v>1097</v>
      </c>
      <c r="AA25" t="s">
        <v>7</v>
      </c>
      <c r="AB25" t="s">
        <v>7</v>
      </c>
      <c r="AC25" s="117" t="s">
        <v>9872</v>
      </c>
      <c r="AD25" t="s">
        <v>1099</v>
      </c>
      <c r="AE25" t="s">
        <v>35</v>
      </c>
      <c r="AF25" t="s">
        <v>35</v>
      </c>
      <c r="AG25" t="s">
        <v>1099</v>
      </c>
      <c r="AH25" s="117" t="s">
        <v>35</v>
      </c>
      <c r="AI25" s="125" t="s">
        <v>1849</v>
      </c>
    </row>
    <row r="26" spans="1:35">
      <c r="A26" t="s">
        <v>119</v>
      </c>
      <c r="B26" s="6">
        <v>43069</v>
      </c>
      <c r="C26" t="s">
        <v>476</v>
      </c>
      <c r="D26" t="s">
        <v>120</v>
      </c>
      <c r="E26" s="4" t="s">
        <v>487</v>
      </c>
      <c r="F26" t="s">
        <v>1855</v>
      </c>
      <c r="G26" t="s">
        <v>3</v>
      </c>
      <c r="H26" s="6">
        <v>35694</v>
      </c>
      <c r="I26" t="s">
        <v>4</v>
      </c>
      <c r="J26" t="s">
        <v>48</v>
      </c>
      <c r="K26" t="s">
        <v>1263</v>
      </c>
      <c r="L26" s="135" t="s">
        <v>1174</v>
      </c>
      <c r="M26" s="135" t="s">
        <v>1175</v>
      </c>
      <c r="N26" s="135">
        <v>0</v>
      </c>
      <c r="O26" s="144">
        <v>0</v>
      </c>
      <c r="P26" s="135">
        <v>0</v>
      </c>
      <c r="Q26" s="144">
        <v>0</v>
      </c>
      <c r="R26" t="s">
        <v>9843</v>
      </c>
      <c r="S26" t="s">
        <v>7</v>
      </c>
      <c r="T26" s="117" t="s">
        <v>1082</v>
      </c>
      <c r="U26" t="s">
        <v>36</v>
      </c>
      <c r="V26" t="s">
        <v>9843</v>
      </c>
      <c r="W26" t="s">
        <v>35</v>
      </c>
      <c r="X26" t="s">
        <v>7</v>
      </c>
      <c r="Y26" t="s">
        <v>9</v>
      </c>
      <c r="Z26" t="s">
        <v>7</v>
      </c>
      <c r="AA26" t="s">
        <v>7</v>
      </c>
      <c r="AB26" t="s">
        <v>7</v>
      </c>
      <c r="AC26" s="117" t="s">
        <v>7</v>
      </c>
      <c r="AD26" t="s">
        <v>9</v>
      </c>
      <c r="AE26" t="s">
        <v>35</v>
      </c>
      <c r="AF26" t="s">
        <v>35</v>
      </c>
      <c r="AG26" t="s">
        <v>9</v>
      </c>
      <c r="AH26" s="117" t="s">
        <v>35</v>
      </c>
      <c r="AI26" s="125" t="s">
        <v>1849</v>
      </c>
    </row>
    <row r="27" spans="1:35">
      <c r="A27" t="s">
        <v>474</v>
      </c>
      <c r="B27" s="6">
        <v>42807</v>
      </c>
      <c r="C27" t="s">
        <v>476</v>
      </c>
      <c r="D27" t="s">
        <v>120</v>
      </c>
      <c r="E27" s="4" t="s">
        <v>488</v>
      </c>
      <c r="F27" t="s">
        <v>1855</v>
      </c>
      <c r="G27" t="s">
        <v>3</v>
      </c>
      <c r="H27" s="6">
        <v>30612</v>
      </c>
      <c r="I27" t="s">
        <v>4</v>
      </c>
      <c r="J27" t="s">
        <v>1074</v>
      </c>
      <c r="K27" t="s">
        <v>1176</v>
      </c>
      <c r="L27" s="135">
        <v>0</v>
      </c>
      <c r="M27" s="135" t="s">
        <v>1177</v>
      </c>
      <c r="N27" s="135">
        <v>0</v>
      </c>
      <c r="O27" s="144">
        <v>0</v>
      </c>
      <c r="P27" s="135">
        <v>0</v>
      </c>
      <c r="Q27" s="144">
        <v>0</v>
      </c>
      <c r="R27" t="s">
        <v>9846</v>
      </c>
      <c r="S27" t="s">
        <v>7</v>
      </c>
      <c r="T27" s="117" t="s">
        <v>80</v>
      </c>
      <c r="U27" t="s">
        <v>6</v>
      </c>
      <c r="V27" t="s">
        <v>35</v>
      </c>
      <c r="W27" t="s">
        <v>35</v>
      </c>
      <c r="X27" t="s">
        <v>35</v>
      </c>
      <c r="Y27" t="s">
        <v>35</v>
      </c>
      <c r="Z27" t="s">
        <v>35</v>
      </c>
      <c r="AA27" t="s">
        <v>35</v>
      </c>
      <c r="AB27" t="s">
        <v>35</v>
      </c>
      <c r="AC27" t="s">
        <v>35</v>
      </c>
      <c r="AD27" t="s">
        <v>35</v>
      </c>
      <c r="AE27" t="s">
        <v>35</v>
      </c>
      <c r="AF27" t="s">
        <v>35</v>
      </c>
      <c r="AG27" t="s">
        <v>35</v>
      </c>
      <c r="AH27" s="117" t="s">
        <v>35</v>
      </c>
      <c r="AI27" t="s">
        <v>35</v>
      </c>
    </row>
    <row r="28" spans="1:35">
      <c r="A28" t="s">
        <v>121</v>
      </c>
      <c r="B28" s="2" t="s">
        <v>489</v>
      </c>
      <c r="C28" t="s">
        <v>490</v>
      </c>
      <c r="D28" t="s">
        <v>131</v>
      </c>
      <c r="E28" s="4" t="s">
        <v>491</v>
      </c>
      <c r="F28" t="s">
        <v>1598</v>
      </c>
      <c r="G28" t="s">
        <v>3</v>
      </c>
      <c r="H28" s="6">
        <v>34329</v>
      </c>
      <c r="I28" t="s">
        <v>5</v>
      </c>
      <c r="J28" t="s">
        <v>1101</v>
      </c>
      <c r="K28" t="s">
        <v>1282</v>
      </c>
      <c r="L28" s="135" t="s">
        <v>1283</v>
      </c>
      <c r="M28" s="135" t="s">
        <v>1284</v>
      </c>
      <c r="N28" s="135">
        <v>0</v>
      </c>
      <c r="O28" s="144">
        <v>0</v>
      </c>
      <c r="P28" s="135">
        <v>0</v>
      </c>
      <c r="Q28" s="144">
        <v>0</v>
      </c>
      <c r="R28" t="s">
        <v>9843</v>
      </c>
      <c r="S28" t="s">
        <v>7</v>
      </c>
      <c r="T28" t="s">
        <v>1150</v>
      </c>
      <c r="U28" t="s">
        <v>36</v>
      </c>
      <c r="V28" t="s">
        <v>9843</v>
      </c>
      <c r="W28" t="s">
        <v>35</v>
      </c>
      <c r="X28" t="s">
        <v>7</v>
      </c>
      <c r="Y28" t="s">
        <v>9</v>
      </c>
      <c r="Z28" t="s">
        <v>7</v>
      </c>
      <c r="AA28" t="s">
        <v>7</v>
      </c>
      <c r="AB28" t="s">
        <v>7</v>
      </c>
      <c r="AC28" s="117" t="s">
        <v>7</v>
      </c>
      <c r="AD28" t="s">
        <v>9</v>
      </c>
      <c r="AE28" t="s">
        <v>35</v>
      </c>
      <c r="AF28" t="s">
        <v>35</v>
      </c>
      <c r="AG28" t="s">
        <v>9</v>
      </c>
      <c r="AH28" s="117" t="s">
        <v>35</v>
      </c>
      <c r="AI28" s="125" t="s">
        <v>1849</v>
      </c>
    </row>
    <row r="29" spans="1:35">
      <c r="A29" t="s">
        <v>122</v>
      </c>
      <c r="B29" s="2" t="s">
        <v>492</v>
      </c>
      <c r="C29" t="s">
        <v>490</v>
      </c>
      <c r="D29" t="s">
        <v>131</v>
      </c>
      <c r="E29" s="4" t="s">
        <v>493</v>
      </c>
      <c r="F29" t="s">
        <v>1855</v>
      </c>
      <c r="G29" t="s">
        <v>3</v>
      </c>
      <c r="H29" s="6">
        <v>35234</v>
      </c>
      <c r="I29" t="s">
        <v>5</v>
      </c>
      <c r="J29" t="s">
        <v>48</v>
      </c>
      <c r="K29" t="s">
        <v>1285</v>
      </c>
      <c r="L29" s="135">
        <v>0</v>
      </c>
      <c r="M29" s="135" t="s">
        <v>1287</v>
      </c>
      <c r="N29" s="135" t="s">
        <v>1286</v>
      </c>
      <c r="O29" s="144">
        <v>0</v>
      </c>
      <c r="P29" s="135">
        <v>0</v>
      </c>
      <c r="Q29" s="144">
        <v>0</v>
      </c>
      <c r="R29" t="s">
        <v>9843</v>
      </c>
      <c r="S29" t="s">
        <v>7</v>
      </c>
      <c r="T29" t="s">
        <v>9796</v>
      </c>
      <c r="U29" t="s">
        <v>36</v>
      </c>
      <c r="V29" t="s">
        <v>9843</v>
      </c>
      <c r="W29" t="s">
        <v>35</v>
      </c>
      <c r="X29" t="s">
        <v>7</v>
      </c>
      <c r="Y29" t="s">
        <v>9</v>
      </c>
      <c r="Z29" t="s">
        <v>7</v>
      </c>
      <c r="AA29" t="s">
        <v>7</v>
      </c>
      <c r="AB29" t="s">
        <v>7</v>
      </c>
      <c r="AC29" t="s">
        <v>9871</v>
      </c>
      <c r="AD29" t="s">
        <v>1185</v>
      </c>
      <c r="AE29" t="s">
        <v>35</v>
      </c>
      <c r="AF29" t="s">
        <v>35</v>
      </c>
      <c r="AG29" t="s">
        <v>1185</v>
      </c>
      <c r="AH29" s="117" t="s">
        <v>7</v>
      </c>
      <c r="AI29" s="125" t="s">
        <v>1849</v>
      </c>
    </row>
    <row r="30" spans="1:35">
      <c r="A30" t="s">
        <v>123</v>
      </c>
      <c r="B30" s="2" t="s">
        <v>494</v>
      </c>
      <c r="C30" t="s">
        <v>495</v>
      </c>
      <c r="D30" t="s">
        <v>131</v>
      </c>
      <c r="E30" s="4" t="s">
        <v>496</v>
      </c>
      <c r="F30" t="s">
        <v>1855</v>
      </c>
      <c r="G30" t="s">
        <v>3</v>
      </c>
      <c r="H30" s="6">
        <v>32339</v>
      </c>
      <c r="I30" t="s">
        <v>5</v>
      </c>
      <c r="J30" t="s">
        <v>41</v>
      </c>
      <c r="K30" t="s">
        <v>1289</v>
      </c>
      <c r="L30" s="135" t="s">
        <v>1288</v>
      </c>
      <c r="M30" s="135">
        <v>0</v>
      </c>
      <c r="N30" s="135">
        <v>0</v>
      </c>
      <c r="O30" s="144">
        <v>0</v>
      </c>
      <c r="P30" s="135">
        <v>0</v>
      </c>
      <c r="Q30" s="144">
        <v>0</v>
      </c>
      <c r="R30" t="s">
        <v>9843</v>
      </c>
      <c r="S30" t="s">
        <v>7</v>
      </c>
      <c r="T30" t="s">
        <v>72</v>
      </c>
      <c r="U30" t="s">
        <v>36</v>
      </c>
      <c r="V30" t="s">
        <v>9843</v>
      </c>
      <c r="W30" t="s">
        <v>35</v>
      </c>
      <c r="X30" t="s">
        <v>1104</v>
      </c>
      <c r="Y30" t="s">
        <v>1156</v>
      </c>
      <c r="Z30" t="s">
        <v>1097</v>
      </c>
      <c r="AA30" s="117" t="s">
        <v>1111</v>
      </c>
      <c r="AB30" t="s">
        <v>7</v>
      </c>
      <c r="AC30" s="117" t="s">
        <v>7</v>
      </c>
      <c r="AD30" t="s">
        <v>1156</v>
      </c>
      <c r="AE30" t="s">
        <v>35</v>
      </c>
      <c r="AF30" t="s">
        <v>35</v>
      </c>
      <c r="AG30" t="s">
        <v>1156</v>
      </c>
      <c r="AH30" s="117" t="s">
        <v>35</v>
      </c>
      <c r="AI30" s="125" t="s">
        <v>1849</v>
      </c>
    </row>
    <row r="31" spans="1:35">
      <c r="A31" t="s">
        <v>123</v>
      </c>
      <c r="B31" s="2" t="s">
        <v>494</v>
      </c>
      <c r="C31" t="s">
        <v>495</v>
      </c>
      <c r="D31" t="s">
        <v>131</v>
      </c>
      <c r="E31" s="4" t="s">
        <v>497</v>
      </c>
      <c r="F31" t="s">
        <v>1855</v>
      </c>
      <c r="G31" t="s">
        <v>3</v>
      </c>
      <c r="H31" s="6">
        <v>31328</v>
      </c>
      <c r="I31" t="s">
        <v>5</v>
      </c>
      <c r="J31" t="s">
        <v>77</v>
      </c>
      <c r="K31" t="s">
        <v>1289</v>
      </c>
      <c r="L31" s="135" t="s">
        <v>1288</v>
      </c>
      <c r="M31" s="135">
        <v>0</v>
      </c>
      <c r="N31" s="135">
        <v>0</v>
      </c>
      <c r="O31" s="144">
        <v>0</v>
      </c>
      <c r="P31" s="135">
        <v>0</v>
      </c>
      <c r="Q31" s="144">
        <v>0</v>
      </c>
      <c r="R31" t="s">
        <v>9843</v>
      </c>
      <c r="S31" t="s">
        <v>7</v>
      </c>
      <c r="T31" t="s">
        <v>80</v>
      </c>
      <c r="U31" t="s">
        <v>36</v>
      </c>
      <c r="V31" t="s">
        <v>9843</v>
      </c>
      <c r="W31" t="s">
        <v>35</v>
      </c>
      <c r="X31" t="s">
        <v>1104</v>
      </c>
      <c r="Y31" t="s">
        <v>1156</v>
      </c>
      <c r="Z31" t="s">
        <v>7</v>
      </c>
      <c r="AA31" t="s">
        <v>7</v>
      </c>
      <c r="AB31" t="s">
        <v>7</v>
      </c>
      <c r="AC31" s="117" t="s">
        <v>7</v>
      </c>
      <c r="AD31" t="s">
        <v>1156</v>
      </c>
      <c r="AE31" t="s">
        <v>35</v>
      </c>
      <c r="AF31" t="s">
        <v>35</v>
      </c>
      <c r="AG31" t="s">
        <v>1156</v>
      </c>
      <c r="AH31" s="117" t="s">
        <v>35</v>
      </c>
      <c r="AI31" s="125" t="s">
        <v>1849</v>
      </c>
    </row>
    <row r="32" spans="1:35">
      <c r="A32" t="s">
        <v>124</v>
      </c>
      <c r="B32" s="2" t="s">
        <v>498</v>
      </c>
      <c r="C32" t="s">
        <v>499</v>
      </c>
      <c r="D32" t="s">
        <v>131</v>
      </c>
      <c r="E32" s="4" t="s">
        <v>500</v>
      </c>
      <c r="F32" t="s">
        <v>76</v>
      </c>
      <c r="G32" t="s">
        <v>3</v>
      </c>
      <c r="H32" s="6">
        <v>30801</v>
      </c>
      <c r="I32" t="s">
        <v>5</v>
      </c>
      <c r="J32" t="s">
        <v>48</v>
      </c>
      <c r="K32" t="s">
        <v>1290</v>
      </c>
      <c r="L32" s="135" t="s">
        <v>1291</v>
      </c>
      <c r="M32" s="135" t="s">
        <v>1293</v>
      </c>
      <c r="N32" s="135" t="s">
        <v>1292</v>
      </c>
      <c r="O32" s="144">
        <v>0</v>
      </c>
      <c r="P32" s="135">
        <v>0</v>
      </c>
      <c r="Q32" s="144">
        <v>0</v>
      </c>
      <c r="R32" t="s">
        <v>9843</v>
      </c>
      <c r="S32" t="s">
        <v>7</v>
      </c>
      <c r="T32" t="s">
        <v>1281</v>
      </c>
      <c r="U32" t="s">
        <v>36</v>
      </c>
      <c r="V32" t="s">
        <v>9843</v>
      </c>
      <c r="W32" t="s">
        <v>35</v>
      </c>
      <c r="X32" t="s">
        <v>1214</v>
      </c>
      <c r="Y32" t="s">
        <v>1100</v>
      </c>
      <c r="Z32" t="s">
        <v>7</v>
      </c>
      <c r="AA32" s="117" t="s">
        <v>1111</v>
      </c>
      <c r="AB32" t="s">
        <v>7</v>
      </c>
      <c r="AC32" s="117" t="s">
        <v>7</v>
      </c>
      <c r="AD32" t="s">
        <v>9</v>
      </c>
      <c r="AE32" t="s">
        <v>35</v>
      </c>
      <c r="AF32" t="s">
        <v>35</v>
      </c>
      <c r="AG32" t="s">
        <v>9</v>
      </c>
      <c r="AH32" s="117" t="s">
        <v>35</v>
      </c>
      <c r="AI32" s="125" t="s">
        <v>1849</v>
      </c>
    </row>
    <row r="33" spans="1:35">
      <c r="A33" t="s">
        <v>125</v>
      </c>
      <c r="B33" s="2" t="s">
        <v>501</v>
      </c>
      <c r="C33" t="s">
        <v>495</v>
      </c>
      <c r="D33" t="s">
        <v>131</v>
      </c>
      <c r="E33" s="4" t="s">
        <v>502</v>
      </c>
      <c r="F33" t="s">
        <v>1855</v>
      </c>
      <c r="G33" t="s">
        <v>3</v>
      </c>
      <c r="H33" s="6">
        <v>31129</v>
      </c>
      <c r="I33" t="s">
        <v>5</v>
      </c>
      <c r="J33" t="s">
        <v>1101</v>
      </c>
      <c r="K33" t="s">
        <v>1294</v>
      </c>
      <c r="L33" s="135" t="s">
        <v>1295</v>
      </c>
      <c r="M33" s="135">
        <v>0</v>
      </c>
      <c r="N33" s="135" t="s">
        <v>1296</v>
      </c>
      <c r="O33" s="144">
        <v>0</v>
      </c>
      <c r="P33" s="135">
        <v>0</v>
      </c>
      <c r="Q33" s="144">
        <v>0</v>
      </c>
      <c r="R33" t="s">
        <v>9843</v>
      </c>
      <c r="S33" t="s">
        <v>7</v>
      </c>
      <c r="T33" t="s">
        <v>1132</v>
      </c>
      <c r="U33" t="s">
        <v>36</v>
      </c>
      <c r="V33" t="s">
        <v>9843</v>
      </c>
      <c r="W33" t="s">
        <v>35</v>
      </c>
      <c r="X33" t="s">
        <v>7</v>
      </c>
      <c r="Y33" t="s">
        <v>9</v>
      </c>
      <c r="Z33" t="s">
        <v>7</v>
      </c>
      <c r="AA33" t="s">
        <v>7</v>
      </c>
      <c r="AB33" t="s">
        <v>7</v>
      </c>
      <c r="AC33" s="117" t="s">
        <v>7</v>
      </c>
      <c r="AD33" t="s">
        <v>9</v>
      </c>
      <c r="AE33" t="s">
        <v>35</v>
      </c>
      <c r="AF33" t="s">
        <v>35</v>
      </c>
      <c r="AG33" t="s">
        <v>9</v>
      </c>
      <c r="AH33" s="117" t="s">
        <v>35</v>
      </c>
      <c r="AI33" s="125" t="s">
        <v>1849</v>
      </c>
    </row>
    <row r="34" spans="1:35">
      <c r="A34" t="s">
        <v>126</v>
      </c>
      <c r="B34" s="2" t="s">
        <v>503</v>
      </c>
      <c r="C34" t="s">
        <v>490</v>
      </c>
      <c r="D34" t="s">
        <v>131</v>
      </c>
      <c r="E34" s="4" t="s">
        <v>504</v>
      </c>
      <c r="F34" t="s">
        <v>1855</v>
      </c>
      <c r="G34" t="s">
        <v>3</v>
      </c>
      <c r="H34" s="6">
        <v>35499</v>
      </c>
      <c r="I34" t="s">
        <v>4</v>
      </c>
      <c r="J34" t="s">
        <v>1101</v>
      </c>
      <c r="K34" t="s">
        <v>1297</v>
      </c>
      <c r="L34" s="135" t="s">
        <v>1298</v>
      </c>
      <c r="M34" s="135" t="s">
        <v>1299</v>
      </c>
      <c r="N34" s="135">
        <v>0</v>
      </c>
      <c r="O34" s="144">
        <v>0</v>
      </c>
      <c r="P34" s="135">
        <v>0</v>
      </c>
      <c r="Q34" s="144" t="s">
        <v>10087</v>
      </c>
      <c r="R34" t="s">
        <v>9843</v>
      </c>
      <c r="S34" t="s">
        <v>7</v>
      </c>
      <c r="T34" t="s">
        <v>72</v>
      </c>
      <c r="U34" t="s">
        <v>36</v>
      </c>
      <c r="V34" t="s">
        <v>9843</v>
      </c>
      <c r="W34" t="s">
        <v>35</v>
      </c>
      <c r="X34" t="s">
        <v>7</v>
      </c>
      <c r="Y34" t="s">
        <v>9</v>
      </c>
      <c r="Z34" t="s">
        <v>7</v>
      </c>
      <c r="AA34" t="s">
        <v>7</v>
      </c>
      <c r="AB34" t="s">
        <v>7</v>
      </c>
      <c r="AC34" s="117" t="s">
        <v>7</v>
      </c>
      <c r="AD34" t="s">
        <v>9</v>
      </c>
      <c r="AE34" t="s">
        <v>35</v>
      </c>
      <c r="AF34" t="s">
        <v>35</v>
      </c>
      <c r="AG34" t="s">
        <v>9</v>
      </c>
      <c r="AH34" s="117" t="s">
        <v>35</v>
      </c>
      <c r="AI34" s="125" t="s">
        <v>1849</v>
      </c>
    </row>
    <row r="35" spans="1:35">
      <c r="A35" t="s">
        <v>127</v>
      </c>
      <c r="B35" s="2" t="s">
        <v>505</v>
      </c>
      <c r="C35" t="s">
        <v>495</v>
      </c>
      <c r="D35" t="s">
        <v>131</v>
      </c>
      <c r="E35" s="4" t="s">
        <v>506</v>
      </c>
      <c r="F35" t="s">
        <v>1855</v>
      </c>
      <c r="G35" t="s">
        <v>515</v>
      </c>
      <c r="H35" s="6">
        <v>35584</v>
      </c>
      <c r="I35" t="s">
        <v>5</v>
      </c>
      <c r="J35" t="s">
        <v>48</v>
      </c>
      <c r="K35" t="s">
        <v>1300</v>
      </c>
      <c r="L35" s="135" t="s">
        <v>1302</v>
      </c>
      <c r="M35" s="135" t="s">
        <v>1301</v>
      </c>
      <c r="N35" s="135">
        <v>0</v>
      </c>
      <c r="O35" s="144">
        <v>0</v>
      </c>
      <c r="P35" s="135">
        <v>0</v>
      </c>
      <c r="Q35" s="144">
        <v>0</v>
      </c>
      <c r="R35" t="s">
        <v>9843</v>
      </c>
      <c r="S35" t="s">
        <v>7</v>
      </c>
      <c r="T35" t="s">
        <v>1303</v>
      </c>
      <c r="U35" t="s">
        <v>36</v>
      </c>
      <c r="V35" t="s">
        <v>9843</v>
      </c>
      <c r="W35" t="s">
        <v>35</v>
      </c>
      <c r="X35" t="s">
        <v>7</v>
      </c>
      <c r="Y35" t="s">
        <v>9</v>
      </c>
      <c r="Z35" t="s">
        <v>7</v>
      </c>
      <c r="AA35" t="s">
        <v>7</v>
      </c>
      <c r="AB35" t="s">
        <v>1937</v>
      </c>
      <c r="AC35" t="s">
        <v>9871</v>
      </c>
      <c r="AD35" t="s">
        <v>1197</v>
      </c>
      <c r="AE35" t="s">
        <v>35</v>
      </c>
      <c r="AF35" t="s">
        <v>35</v>
      </c>
      <c r="AG35" t="s">
        <v>1197</v>
      </c>
      <c r="AH35" s="117" t="s">
        <v>7</v>
      </c>
      <c r="AI35" s="125" t="s">
        <v>1849</v>
      </c>
    </row>
    <row r="36" spans="1:35">
      <c r="A36" t="s">
        <v>129</v>
      </c>
      <c r="B36" s="2" t="s">
        <v>508</v>
      </c>
      <c r="C36" t="s">
        <v>495</v>
      </c>
      <c r="D36" t="s">
        <v>131</v>
      </c>
      <c r="E36" s="4" t="s">
        <v>509</v>
      </c>
      <c r="F36" t="s">
        <v>1855</v>
      </c>
      <c r="G36" t="s">
        <v>3</v>
      </c>
      <c r="H36" s="6">
        <v>29927</v>
      </c>
      <c r="I36" t="s">
        <v>5</v>
      </c>
      <c r="J36" t="s">
        <v>48</v>
      </c>
      <c r="K36" t="s">
        <v>1305</v>
      </c>
      <c r="L36" s="135">
        <v>0</v>
      </c>
      <c r="M36" s="135" t="s">
        <v>1304</v>
      </c>
      <c r="N36" s="135">
        <v>0</v>
      </c>
      <c r="O36" s="144">
        <v>0</v>
      </c>
      <c r="P36" s="135">
        <v>0</v>
      </c>
      <c r="Q36" s="144">
        <v>0</v>
      </c>
      <c r="R36" t="s">
        <v>9843</v>
      </c>
      <c r="S36" t="s">
        <v>7</v>
      </c>
      <c r="T36" t="s">
        <v>80</v>
      </c>
      <c r="U36" t="s">
        <v>36</v>
      </c>
      <c r="V36" t="s">
        <v>9843</v>
      </c>
      <c r="W36" t="s">
        <v>35</v>
      </c>
      <c r="X36" t="s">
        <v>7</v>
      </c>
      <c r="Y36" t="s">
        <v>9</v>
      </c>
      <c r="Z36" t="s">
        <v>1097</v>
      </c>
      <c r="AA36" t="s">
        <v>7</v>
      </c>
      <c r="AB36" t="s">
        <v>7</v>
      </c>
      <c r="AC36" s="117" t="s">
        <v>9872</v>
      </c>
      <c r="AD36" t="s">
        <v>1100</v>
      </c>
      <c r="AE36" t="s">
        <v>35</v>
      </c>
      <c r="AF36" t="s">
        <v>35</v>
      </c>
      <c r="AG36" t="s">
        <v>1100</v>
      </c>
      <c r="AH36" s="117" t="s">
        <v>35</v>
      </c>
      <c r="AI36" s="125" t="s">
        <v>1849</v>
      </c>
    </row>
    <row r="37" spans="1:35">
      <c r="A37" t="s">
        <v>130</v>
      </c>
      <c r="B37" s="2" t="s">
        <v>510</v>
      </c>
      <c r="C37" t="s">
        <v>490</v>
      </c>
      <c r="D37" t="s">
        <v>131</v>
      </c>
      <c r="E37" s="4" t="s">
        <v>511</v>
      </c>
      <c r="F37" t="s">
        <v>1855</v>
      </c>
      <c r="G37" t="s">
        <v>515</v>
      </c>
      <c r="H37" s="6">
        <v>35336</v>
      </c>
      <c r="I37" t="s">
        <v>5</v>
      </c>
      <c r="J37" t="s">
        <v>48</v>
      </c>
      <c r="K37" t="s">
        <v>1306</v>
      </c>
      <c r="L37" s="135">
        <v>0</v>
      </c>
      <c r="M37" s="135" t="s">
        <v>9884</v>
      </c>
      <c r="N37" s="135">
        <v>0</v>
      </c>
      <c r="O37" s="144">
        <v>0</v>
      </c>
      <c r="P37" s="135">
        <v>0</v>
      </c>
      <c r="Q37" s="144">
        <v>0</v>
      </c>
      <c r="R37" t="s">
        <v>9843</v>
      </c>
      <c r="S37" t="s">
        <v>7</v>
      </c>
      <c r="T37" t="s">
        <v>1111</v>
      </c>
      <c r="U37" t="s">
        <v>36</v>
      </c>
      <c r="V37" t="s">
        <v>9843</v>
      </c>
      <c r="W37" t="s">
        <v>35</v>
      </c>
      <c r="X37" t="s">
        <v>7</v>
      </c>
      <c r="Y37" t="s">
        <v>9</v>
      </c>
      <c r="Z37" t="s">
        <v>7</v>
      </c>
      <c r="AA37" t="s">
        <v>7</v>
      </c>
      <c r="AB37" t="s">
        <v>1937</v>
      </c>
      <c r="AC37" t="s">
        <v>9871</v>
      </c>
      <c r="AD37" t="s">
        <v>1197</v>
      </c>
      <c r="AE37" t="s">
        <v>35</v>
      </c>
      <c r="AF37" t="s">
        <v>35</v>
      </c>
      <c r="AG37" t="s">
        <v>1197</v>
      </c>
      <c r="AH37" t="s">
        <v>9851</v>
      </c>
      <c r="AI37" s="117" t="s">
        <v>35</v>
      </c>
    </row>
    <row r="38" spans="1:35">
      <c r="A38" t="s">
        <v>512</v>
      </c>
      <c r="B38" s="2" t="s">
        <v>513</v>
      </c>
      <c r="C38" t="s">
        <v>490</v>
      </c>
      <c r="D38" t="s">
        <v>131</v>
      </c>
      <c r="E38" s="4" t="s">
        <v>514</v>
      </c>
      <c r="F38" t="s">
        <v>1855</v>
      </c>
      <c r="G38" t="s">
        <v>3</v>
      </c>
      <c r="H38" s="6">
        <v>29819</v>
      </c>
      <c r="I38" t="s">
        <v>5</v>
      </c>
      <c r="J38" t="s">
        <v>1101</v>
      </c>
      <c r="K38" t="s">
        <v>1307</v>
      </c>
      <c r="L38" s="135">
        <v>0</v>
      </c>
      <c r="M38" s="135" t="s">
        <v>1308</v>
      </c>
      <c r="N38" s="135" t="s">
        <v>1309</v>
      </c>
      <c r="O38" s="144">
        <v>0</v>
      </c>
      <c r="P38" s="135">
        <v>0</v>
      </c>
      <c r="Q38" s="144">
        <v>0</v>
      </c>
      <c r="R38" t="s">
        <v>9843</v>
      </c>
      <c r="S38" t="s">
        <v>7</v>
      </c>
      <c r="T38" t="s">
        <v>1137</v>
      </c>
      <c r="U38" t="s">
        <v>36</v>
      </c>
      <c r="V38" t="s">
        <v>9843</v>
      </c>
      <c r="W38" t="s">
        <v>35</v>
      </c>
      <c r="X38" t="s">
        <v>9864</v>
      </c>
      <c r="Y38" t="s">
        <v>1100</v>
      </c>
      <c r="Z38" t="s">
        <v>1097</v>
      </c>
      <c r="AA38" t="s">
        <v>7</v>
      </c>
      <c r="AB38" t="s">
        <v>7</v>
      </c>
      <c r="AC38" s="117" t="s">
        <v>9872</v>
      </c>
      <c r="AD38" t="s">
        <v>1099</v>
      </c>
      <c r="AE38" t="s">
        <v>35</v>
      </c>
      <c r="AF38" t="s">
        <v>35</v>
      </c>
      <c r="AG38" t="s">
        <v>1099</v>
      </c>
      <c r="AH38" s="117" t="s">
        <v>35</v>
      </c>
      <c r="AI38" s="125" t="s">
        <v>1849</v>
      </c>
    </row>
    <row r="39" spans="1:35">
      <c r="A39" s="117" t="s">
        <v>132</v>
      </c>
      <c r="B39" s="118" t="s">
        <v>489</v>
      </c>
      <c r="C39" s="117" t="s">
        <v>516</v>
      </c>
      <c r="D39" s="117" t="s">
        <v>140</v>
      </c>
      <c r="E39" s="119" t="s">
        <v>517</v>
      </c>
      <c r="F39" t="s">
        <v>1115</v>
      </c>
      <c r="G39" s="117" t="s">
        <v>515</v>
      </c>
      <c r="H39" s="120" t="s">
        <v>48</v>
      </c>
      <c r="I39" s="117" t="s">
        <v>1419</v>
      </c>
      <c r="J39" s="117" t="s">
        <v>41</v>
      </c>
      <c r="K39" s="117" t="s">
        <v>1107</v>
      </c>
      <c r="L39" s="156" t="s">
        <v>9885</v>
      </c>
      <c r="M39" s="156" t="s">
        <v>9886</v>
      </c>
      <c r="N39" s="156">
        <v>0</v>
      </c>
      <c r="O39" s="145">
        <v>0</v>
      </c>
      <c r="P39" s="156">
        <v>0</v>
      </c>
      <c r="Q39" s="145">
        <v>0</v>
      </c>
      <c r="R39" t="s">
        <v>9843</v>
      </c>
      <c r="S39" s="117" t="s">
        <v>7</v>
      </c>
      <c r="T39" s="117" t="s">
        <v>1275</v>
      </c>
      <c r="U39" s="117" t="s">
        <v>6</v>
      </c>
      <c r="V39" s="117" t="s">
        <v>35</v>
      </c>
      <c r="W39" s="117" t="s">
        <v>35</v>
      </c>
      <c r="X39" s="117" t="s">
        <v>35</v>
      </c>
      <c r="Y39" s="117" t="s">
        <v>35</v>
      </c>
      <c r="Z39" s="117" t="s">
        <v>35</v>
      </c>
      <c r="AA39" s="117" t="s">
        <v>35</v>
      </c>
      <c r="AB39" s="117" t="s">
        <v>35</v>
      </c>
      <c r="AC39" s="117" t="s">
        <v>35</v>
      </c>
      <c r="AD39" s="117" t="s">
        <v>35</v>
      </c>
      <c r="AE39" s="117" t="s">
        <v>35</v>
      </c>
      <c r="AF39" s="117" t="s">
        <v>35</v>
      </c>
      <c r="AG39" s="117" t="s">
        <v>35</v>
      </c>
      <c r="AH39" s="117" t="s">
        <v>35</v>
      </c>
      <c r="AI39" s="117" t="s">
        <v>35</v>
      </c>
    </row>
    <row r="40" spans="1:35">
      <c r="A40" t="s">
        <v>133</v>
      </c>
      <c r="B40" s="2" t="s">
        <v>518</v>
      </c>
      <c r="C40" t="s">
        <v>516</v>
      </c>
      <c r="D40" t="s">
        <v>140</v>
      </c>
      <c r="E40" s="4" t="s">
        <v>519</v>
      </c>
      <c r="F40" t="s">
        <v>1855</v>
      </c>
      <c r="G40" t="s">
        <v>3</v>
      </c>
      <c r="H40" s="6">
        <v>33304</v>
      </c>
      <c r="I40" t="s">
        <v>5</v>
      </c>
      <c r="J40" t="s">
        <v>48</v>
      </c>
      <c r="K40" t="s">
        <v>1108</v>
      </c>
      <c r="L40" s="135" t="s">
        <v>1109</v>
      </c>
      <c r="M40" s="135" t="s">
        <v>1110</v>
      </c>
      <c r="N40" s="135">
        <v>0</v>
      </c>
      <c r="O40" s="144">
        <v>0</v>
      </c>
      <c r="P40" s="135">
        <v>0</v>
      </c>
      <c r="Q40" s="144">
        <v>0</v>
      </c>
      <c r="R40" t="s">
        <v>9843</v>
      </c>
      <c r="S40" t="s">
        <v>7</v>
      </c>
      <c r="T40" s="117" t="s">
        <v>9798</v>
      </c>
      <c r="U40" t="s">
        <v>36</v>
      </c>
      <c r="V40" t="s">
        <v>9843</v>
      </c>
      <c r="W40" t="s">
        <v>35</v>
      </c>
      <c r="X40" t="s">
        <v>7</v>
      </c>
      <c r="Y40" t="s">
        <v>9</v>
      </c>
      <c r="Z40" t="s">
        <v>7</v>
      </c>
      <c r="AA40" t="s">
        <v>7</v>
      </c>
      <c r="AB40" t="s">
        <v>7</v>
      </c>
      <c r="AC40" t="s">
        <v>9870</v>
      </c>
      <c r="AD40" t="s">
        <v>10</v>
      </c>
      <c r="AE40" t="s">
        <v>35</v>
      </c>
      <c r="AF40" t="s">
        <v>35</v>
      </c>
      <c r="AG40" t="s">
        <v>10</v>
      </c>
      <c r="AH40" s="117" t="s">
        <v>7</v>
      </c>
      <c r="AI40" t="s">
        <v>37</v>
      </c>
    </row>
    <row r="41" spans="1:35">
      <c r="A41" t="s">
        <v>133</v>
      </c>
      <c r="B41" s="2" t="s">
        <v>518</v>
      </c>
      <c r="C41" t="s">
        <v>516</v>
      </c>
      <c r="D41" t="s">
        <v>140</v>
      </c>
      <c r="E41" s="4" t="s">
        <v>520</v>
      </c>
      <c r="F41" t="s">
        <v>1855</v>
      </c>
      <c r="G41" t="s">
        <v>3</v>
      </c>
      <c r="H41" s="6">
        <v>33968</v>
      </c>
      <c r="I41" t="s">
        <v>5</v>
      </c>
      <c r="J41" t="s">
        <v>48</v>
      </c>
      <c r="K41" t="s">
        <v>1108</v>
      </c>
      <c r="L41" s="135" t="s">
        <v>1109</v>
      </c>
      <c r="M41" s="135" t="s">
        <v>1110</v>
      </c>
      <c r="N41" s="135">
        <v>0</v>
      </c>
      <c r="O41" s="144">
        <v>0</v>
      </c>
      <c r="P41" s="135">
        <v>0</v>
      </c>
      <c r="Q41" s="144">
        <v>0</v>
      </c>
      <c r="R41" t="s">
        <v>9843</v>
      </c>
      <c r="S41" t="s">
        <v>7</v>
      </c>
      <c r="T41" s="117" t="s">
        <v>9798</v>
      </c>
      <c r="U41" t="s">
        <v>36</v>
      </c>
      <c r="V41" t="s">
        <v>9843</v>
      </c>
      <c r="W41" t="s">
        <v>35</v>
      </c>
      <c r="X41" t="s">
        <v>7</v>
      </c>
      <c r="Y41" t="s">
        <v>9</v>
      </c>
      <c r="Z41" t="s">
        <v>7</v>
      </c>
      <c r="AA41" t="s">
        <v>7</v>
      </c>
      <c r="AB41" t="s">
        <v>7</v>
      </c>
      <c r="AC41" t="s">
        <v>9870</v>
      </c>
      <c r="AD41" t="s">
        <v>10</v>
      </c>
      <c r="AE41" t="s">
        <v>35</v>
      </c>
      <c r="AF41" t="s">
        <v>35</v>
      </c>
      <c r="AG41" t="s">
        <v>10</v>
      </c>
      <c r="AH41" s="117" t="s">
        <v>7</v>
      </c>
      <c r="AI41" t="s">
        <v>37</v>
      </c>
    </row>
    <row r="42" spans="1:35">
      <c r="A42" t="s">
        <v>134</v>
      </c>
      <c r="B42" s="2" t="s">
        <v>521</v>
      </c>
      <c r="C42" t="s">
        <v>516</v>
      </c>
      <c r="D42" t="s">
        <v>140</v>
      </c>
      <c r="E42" s="4" t="s">
        <v>522</v>
      </c>
      <c r="F42" t="s">
        <v>76</v>
      </c>
      <c r="G42" t="s">
        <v>3</v>
      </c>
      <c r="H42" s="6">
        <v>30599</v>
      </c>
      <c r="I42" t="s">
        <v>4</v>
      </c>
      <c r="J42" t="s">
        <v>18</v>
      </c>
      <c r="K42" t="s">
        <v>1112</v>
      </c>
      <c r="L42" s="135">
        <v>0</v>
      </c>
      <c r="M42" s="135" t="s">
        <v>1113</v>
      </c>
      <c r="N42" s="135">
        <v>0</v>
      </c>
      <c r="O42" s="144">
        <v>0</v>
      </c>
      <c r="P42" s="135">
        <v>0</v>
      </c>
      <c r="Q42" s="144">
        <v>0</v>
      </c>
      <c r="R42" t="s">
        <v>9843</v>
      </c>
      <c r="S42" t="s">
        <v>7</v>
      </c>
      <c r="T42" s="117" t="s">
        <v>9799</v>
      </c>
      <c r="U42" t="s">
        <v>36</v>
      </c>
      <c r="V42" t="s">
        <v>9843</v>
      </c>
      <c r="W42" t="s">
        <v>35</v>
      </c>
      <c r="X42" t="s">
        <v>7</v>
      </c>
      <c r="Y42" t="s">
        <v>9</v>
      </c>
      <c r="Z42" t="s">
        <v>7</v>
      </c>
      <c r="AA42" t="s">
        <v>7</v>
      </c>
      <c r="AB42" t="s">
        <v>7</v>
      </c>
      <c r="AC42" t="s">
        <v>9870</v>
      </c>
      <c r="AD42" t="s">
        <v>10</v>
      </c>
      <c r="AE42" t="s">
        <v>35</v>
      </c>
      <c r="AF42" t="s">
        <v>35</v>
      </c>
      <c r="AG42" t="s">
        <v>10</v>
      </c>
      <c r="AH42" s="117" t="s">
        <v>7</v>
      </c>
      <c r="AI42" s="117" t="s">
        <v>1114</v>
      </c>
    </row>
    <row r="43" spans="1:35">
      <c r="A43" t="s">
        <v>135</v>
      </c>
      <c r="B43" s="2" t="s">
        <v>523</v>
      </c>
      <c r="C43" t="s">
        <v>516</v>
      </c>
      <c r="D43" t="s">
        <v>140</v>
      </c>
      <c r="E43" s="4" t="s">
        <v>524</v>
      </c>
      <c r="F43" t="s">
        <v>1115</v>
      </c>
      <c r="G43" t="s">
        <v>3</v>
      </c>
      <c r="H43" s="6">
        <v>32699</v>
      </c>
      <c r="I43" t="s">
        <v>4</v>
      </c>
      <c r="J43" t="s">
        <v>48</v>
      </c>
      <c r="K43" t="s">
        <v>1116</v>
      </c>
      <c r="L43" s="135" t="s">
        <v>1119</v>
      </c>
      <c r="M43" s="135" t="s">
        <v>1118</v>
      </c>
      <c r="N43" s="135" t="s">
        <v>1117</v>
      </c>
      <c r="O43" s="144">
        <v>0</v>
      </c>
      <c r="P43" s="135">
        <v>0</v>
      </c>
      <c r="Q43" s="144">
        <v>0</v>
      </c>
      <c r="R43" t="s">
        <v>9843</v>
      </c>
      <c r="S43" t="s">
        <v>7</v>
      </c>
      <c r="T43" s="117" t="s">
        <v>9800</v>
      </c>
      <c r="U43" t="s">
        <v>6</v>
      </c>
      <c r="V43" t="s">
        <v>35</v>
      </c>
      <c r="W43" t="s">
        <v>35</v>
      </c>
      <c r="X43" t="s">
        <v>35</v>
      </c>
      <c r="Y43" t="s">
        <v>35</v>
      </c>
      <c r="Z43" t="s">
        <v>35</v>
      </c>
      <c r="AA43" t="s">
        <v>35</v>
      </c>
      <c r="AB43" t="s">
        <v>35</v>
      </c>
      <c r="AC43" t="s">
        <v>35</v>
      </c>
      <c r="AD43" t="s">
        <v>35</v>
      </c>
      <c r="AE43" t="s">
        <v>35</v>
      </c>
      <c r="AF43" t="s">
        <v>35</v>
      </c>
      <c r="AG43" t="s">
        <v>35</v>
      </c>
      <c r="AH43" t="s">
        <v>35</v>
      </c>
      <c r="AI43" t="s">
        <v>35</v>
      </c>
    </row>
    <row r="44" spans="1:35">
      <c r="A44" t="s">
        <v>136</v>
      </c>
      <c r="B44" s="2" t="s">
        <v>525</v>
      </c>
      <c r="C44" t="s">
        <v>526</v>
      </c>
      <c r="D44" t="s">
        <v>140</v>
      </c>
      <c r="E44" s="4" t="s">
        <v>527</v>
      </c>
      <c r="F44" t="s">
        <v>1855</v>
      </c>
      <c r="G44" t="s">
        <v>3</v>
      </c>
      <c r="H44" s="6">
        <v>31478</v>
      </c>
      <c r="I44" t="s">
        <v>5</v>
      </c>
      <c r="J44" t="s">
        <v>48</v>
      </c>
      <c r="K44" t="s">
        <v>1120</v>
      </c>
      <c r="L44" s="135">
        <v>0</v>
      </c>
      <c r="M44" s="135" t="s">
        <v>1121</v>
      </c>
      <c r="N44" s="135">
        <v>0</v>
      </c>
      <c r="O44" s="144">
        <v>0</v>
      </c>
      <c r="P44" s="135">
        <v>0</v>
      </c>
      <c r="Q44" s="144">
        <v>0</v>
      </c>
      <c r="R44" t="s">
        <v>9843</v>
      </c>
      <c r="S44" t="s">
        <v>7</v>
      </c>
      <c r="T44" s="117" t="s">
        <v>1122</v>
      </c>
      <c r="U44" t="s">
        <v>51</v>
      </c>
      <c r="V44" t="s">
        <v>52</v>
      </c>
      <c r="W44" t="s">
        <v>35</v>
      </c>
      <c r="X44" t="s">
        <v>35</v>
      </c>
      <c r="Y44" t="s">
        <v>35</v>
      </c>
      <c r="Z44" t="s">
        <v>35</v>
      </c>
      <c r="AA44" t="s">
        <v>35</v>
      </c>
      <c r="AB44" t="s">
        <v>35</v>
      </c>
      <c r="AC44" s="1" t="s">
        <v>35</v>
      </c>
      <c r="AD44" t="s">
        <v>35</v>
      </c>
      <c r="AE44" t="s">
        <v>7</v>
      </c>
      <c r="AF44" t="s">
        <v>35</v>
      </c>
      <c r="AG44" t="s">
        <v>35</v>
      </c>
      <c r="AH44" t="s">
        <v>35</v>
      </c>
      <c r="AI44" t="s">
        <v>35</v>
      </c>
    </row>
    <row r="45" spans="1:35">
      <c r="A45" t="s">
        <v>137</v>
      </c>
      <c r="B45" s="2" t="s">
        <v>528</v>
      </c>
      <c r="C45" t="s">
        <v>516</v>
      </c>
      <c r="D45" t="s">
        <v>140</v>
      </c>
      <c r="E45" s="4" t="s">
        <v>529</v>
      </c>
      <c r="F45" t="s">
        <v>1855</v>
      </c>
      <c r="G45" t="s">
        <v>3</v>
      </c>
      <c r="H45" s="6">
        <v>31904</v>
      </c>
      <c r="I45" t="s">
        <v>5</v>
      </c>
      <c r="J45" t="s">
        <v>48</v>
      </c>
      <c r="K45" t="s">
        <v>1123</v>
      </c>
      <c r="L45" s="135" t="s">
        <v>1126</v>
      </c>
      <c r="M45" s="135" t="s">
        <v>1125</v>
      </c>
      <c r="N45" s="135" t="s">
        <v>1124</v>
      </c>
      <c r="O45" s="144">
        <v>0</v>
      </c>
      <c r="P45" s="135">
        <v>0</v>
      </c>
      <c r="Q45" s="144">
        <v>0</v>
      </c>
      <c r="R45" t="s">
        <v>9843</v>
      </c>
      <c r="S45" t="s">
        <v>7</v>
      </c>
      <c r="T45" s="117" t="s">
        <v>9796</v>
      </c>
      <c r="U45" t="s">
        <v>36</v>
      </c>
      <c r="V45" t="s">
        <v>9843</v>
      </c>
      <c r="W45" t="s">
        <v>35</v>
      </c>
      <c r="X45" t="s">
        <v>7</v>
      </c>
      <c r="Y45" t="s">
        <v>9</v>
      </c>
      <c r="Z45" t="s">
        <v>7</v>
      </c>
      <c r="AA45" t="s">
        <v>7</v>
      </c>
      <c r="AB45" t="s">
        <v>7</v>
      </c>
      <c r="AC45" t="s">
        <v>9870</v>
      </c>
      <c r="AD45" t="s">
        <v>10</v>
      </c>
      <c r="AE45" t="s">
        <v>35</v>
      </c>
      <c r="AF45" t="s">
        <v>35</v>
      </c>
      <c r="AG45" t="s">
        <v>10</v>
      </c>
      <c r="AH45" s="117" t="s">
        <v>7</v>
      </c>
      <c r="AI45" s="117" t="s">
        <v>1114</v>
      </c>
    </row>
    <row r="46" spans="1:35">
      <c r="A46" t="s">
        <v>138</v>
      </c>
      <c r="B46" s="2" t="s">
        <v>530</v>
      </c>
      <c r="C46" t="s">
        <v>516</v>
      </c>
      <c r="D46" t="s">
        <v>140</v>
      </c>
      <c r="E46" s="4" t="s">
        <v>532</v>
      </c>
      <c r="F46" t="s">
        <v>1855</v>
      </c>
      <c r="G46" t="s">
        <v>515</v>
      </c>
      <c r="H46" s="6">
        <v>34053</v>
      </c>
      <c r="I46" t="s">
        <v>5</v>
      </c>
      <c r="J46" t="s">
        <v>48</v>
      </c>
      <c r="K46" s="116" t="s">
        <v>1128</v>
      </c>
      <c r="L46" s="135">
        <v>0</v>
      </c>
      <c r="M46" s="135" t="s">
        <v>9887</v>
      </c>
      <c r="N46" s="135">
        <v>0</v>
      </c>
      <c r="O46" s="144">
        <v>0</v>
      </c>
      <c r="P46" s="135">
        <v>0</v>
      </c>
      <c r="Q46" s="144">
        <v>0</v>
      </c>
      <c r="R46" t="s">
        <v>9843</v>
      </c>
      <c r="S46" t="s">
        <v>7</v>
      </c>
      <c r="T46" s="117" t="s">
        <v>1460</v>
      </c>
      <c r="U46" t="s">
        <v>51</v>
      </c>
      <c r="V46" t="s">
        <v>52</v>
      </c>
      <c r="W46" t="s">
        <v>35</v>
      </c>
      <c r="X46" t="s">
        <v>35</v>
      </c>
      <c r="Y46" t="s">
        <v>35</v>
      </c>
      <c r="Z46" t="s">
        <v>35</v>
      </c>
      <c r="AA46" t="s">
        <v>35</v>
      </c>
      <c r="AB46" t="s">
        <v>35</v>
      </c>
      <c r="AC46" s="1" t="s">
        <v>35</v>
      </c>
      <c r="AD46" t="s">
        <v>35</v>
      </c>
      <c r="AE46" t="s">
        <v>7</v>
      </c>
      <c r="AF46" t="s">
        <v>35</v>
      </c>
      <c r="AG46" t="s">
        <v>35</v>
      </c>
      <c r="AH46" t="s">
        <v>35</v>
      </c>
      <c r="AI46" t="s">
        <v>35</v>
      </c>
    </row>
    <row r="47" spans="1:35">
      <c r="A47" t="s">
        <v>138</v>
      </c>
      <c r="B47" s="2" t="s">
        <v>530</v>
      </c>
      <c r="C47" t="s">
        <v>516</v>
      </c>
      <c r="D47" t="s">
        <v>140</v>
      </c>
      <c r="E47" s="4" t="s">
        <v>533</v>
      </c>
      <c r="F47" t="s">
        <v>1855</v>
      </c>
      <c r="G47" t="s">
        <v>515</v>
      </c>
      <c r="H47" s="6">
        <v>32836</v>
      </c>
      <c r="I47" t="s">
        <v>5</v>
      </c>
      <c r="J47" t="s">
        <v>48</v>
      </c>
      <c r="K47" t="s">
        <v>1127</v>
      </c>
      <c r="L47" s="135">
        <v>0</v>
      </c>
      <c r="M47" s="135" t="s">
        <v>9887</v>
      </c>
      <c r="N47" s="135">
        <v>0</v>
      </c>
      <c r="O47" s="144">
        <v>0</v>
      </c>
      <c r="P47" s="135">
        <v>0</v>
      </c>
      <c r="Q47" s="144">
        <v>0</v>
      </c>
      <c r="R47" t="s">
        <v>9843</v>
      </c>
      <c r="S47" t="s">
        <v>7</v>
      </c>
      <c r="T47" s="117" t="s">
        <v>1460</v>
      </c>
      <c r="U47" t="s">
        <v>51</v>
      </c>
      <c r="V47" t="s">
        <v>52</v>
      </c>
      <c r="W47" t="s">
        <v>35</v>
      </c>
      <c r="X47" t="s">
        <v>35</v>
      </c>
      <c r="Y47" t="s">
        <v>35</v>
      </c>
      <c r="Z47" t="s">
        <v>35</v>
      </c>
      <c r="AA47" t="s">
        <v>35</v>
      </c>
      <c r="AB47" t="s">
        <v>35</v>
      </c>
      <c r="AC47" s="1" t="s">
        <v>35</v>
      </c>
      <c r="AD47" t="s">
        <v>35</v>
      </c>
      <c r="AE47" t="s">
        <v>7</v>
      </c>
      <c r="AF47" t="s">
        <v>35</v>
      </c>
      <c r="AG47" t="s">
        <v>35</v>
      </c>
      <c r="AH47" t="s">
        <v>35</v>
      </c>
      <c r="AI47" t="s">
        <v>35</v>
      </c>
    </row>
    <row r="48" spans="1:35">
      <c r="A48" t="s">
        <v>139</v>
      </c>
      <c r="B48" s="2" t="s">
        <v>534</v>
      </c>
      <c r="C48" t="s">
        <v>526</v>
      </c>
      <c r="D48" t="s">
        <v>140</v>
      </c>
      <c r="E48" s="4" t="s">
        <v>535</v>
      </c>
      <c r="F48" t="s">
        <v>76</v>
      </c>
      <c r="G48" t="s">
        <v>3</v>
      </c>
      <c r="H48" s="6">
        <v>31336</v>
      </c>
      <c r="I48" t="s">
        <v>4</v>
      </c>
      <c r="J48" t="s">
        <v>48</v>
      </c>
      <c r="K48" t="s">
        <v>9797</v>
      </c>
      <c r="L48" s="156" t="s">
        <v>9888</v>
      </c>
      <c r="M48" s="135" t="s">
        <v>1129</v>
      </c>
      <c r="N48" s="135">
        <v>0</v>
      </c>
      <c r="O48" s="144">
        <v>0</v>
      </c>
      <c r="P48" s="135">
        <v>0</v>
      </c>
      <c r="Q48" s="145" t="s">
        <v>10080</v>
      </c>
      <c r="R48" t="s">
        <v>9843</v>
      </c>
      <c r="S48" t="s">
        <v>1740</v>
      </c>
      <c r="T48" s="117" t="s">
        <v>9801</v>
      </c>
      <c r="U48" t="s">
        <v>36</v>
      </c>
      <c r="V48" t="s">
        <v>9843</v>
      </c>
      <c r="W48" t="s">
        <v>1740</v>
      </c>
      <c r="X48" t="s">
        <v>7</v>
      </c>
      <c r="Y48" t="s">
        <v>9</v>
      </c>
      <c r="Z48" t="s">
        <v>1097</v>
      </c>
      <c r="AA48" s="117" t="s">
        <v>1111</v>
      </c>
      <c r="AB48" t="s">
        <v>7</v>
      </c>
      <c r="AC48" s="117" t="s">
        <v>9872</v>
      </c>
      <c r="AD48" t="s">
        <v>9</v>
      </c>
      <c r="AE48" t="s">
        <v>35</v>
      </c>
      <c r="AF48" t="s">
        <v>1279</v>
      </c>
      <c r="AG48" s="117" t="s">
        <v>1080</v>
      </c>
      <c r="AH48" s="117" t="s">
        <v>35</v>
      </c>
      <c r="AI48" s="125" t="s">
        <v>1849</v>
      </c>
    </row>
    <row r="49" spans="1:35">
      <c r="A49" t="s">
        <v>141</v>
      </c>
      <c r="B49" s="2" t="s">
        <v>536</v>
      </c>
      <c r="C49" t="s">
        <v>537</v>
      </c>
      <c r="D49" t="s">
        <v>155</v>
      </c>
      <c r="E49" s="4" t="s">
        <v>538</v>
      </c>
      <c r="F49" t="s">
        <v>1855</v>
      </c>
      <c r="G49" t="s">
        <v>3</v>
      </c>
      <c r="H49" s="6">
        <v>34568</v>
      </c>
      <c r="I49" t="s">
        <v>5</v>
      </c>
      <c r="J49" t="s">
        <v>1101</v>
      </c>
      <c r="K49" t="s">
        <v>1186</v>
      </c>
      <c r="L49" s="135" t="s">
        <v>1743</v>
      </c>
      <c r="M49" s="135">
        <v>0</v>
      </c>
      <c r="N49" s="135" t="s">
        <v>1744</v>
      </c>
      <c r="O49" s="144">
        <v>0</v>
      </c>
      <c r="P49" s="135">
        <v>0</v>
      </c>
      <c r="Q49" s="144">
        <v>0</v>
      </c>
      <c r="R49" t="s">
        <v>9843</v>
      </c>
      <c r="S49" t="s">
        <v>7</v>
      </c>
      <c r="T49" t="s">
        <v>1599</v>
      </c>
      <c r="U49" t="s">
        <v>36</v>
      </c>
      <c r="V49" t="s">
        <v>9843</v>
      </c>
      <c r="W49" t="s">
        <v>35</v>
      </c>
      <c r="X49" t="s">
        <v>7</v>
      </c>
      <c r="Y49" t="s">
        <v>9</v>
      </c>
      <c r="Z49" t="s">
        <v>7</v>
      </c>
      <c r="AA49" t="s">
        <v>7</v>
      </c>
      <c r="AB49" t="s">
        <v>7</v>
      </c>
      <c r="AC49" t="s">
        <v>9870</v>
      </c>
      <c r="AD49" t="s">
        <v>10</v>
      </c>
      <c r="AE49" t="s">
        <v>35</v>
      </c>
      <c r="AF49" t="s">
        <v>35</v>
      </c>
      <c r="AG49" t="s">
        <v>10</v>
      </c>
      <c r="AH49" t="s">
        <v>9851</v>
      </c>
      <c r="AI49" s="117" t="s">
        <v>35</v>
      </c>
    </row>
    <row r="50" spans="1:35">
      <c r="A50" t="s">
        <v>142</v>
      </c>
      <c r="B50" s="2" t="s">
        <v>539</v>
      </c>
      <c r="C50" t="s">
        <v>540</v>
      </c>
      <c r="D50" t="s">
        <v>155</v>
      </c>
      <c r="E50" s="4" t="s">
        <v>541</v>
      </c>
      <c r="F50" t="s">
        <v>76</v>
      </c>
      <c r="G50" t="s">
        <v>3</v>
      </c>
      <c r="H50" s="6">
        <v>30218</v>
      </c>
      <c r="I50" t="s">
        <v>4</v>
      </c>
      <c r="J50" t="s">
        <v>1745</v>
      </c>
      <c r="K50" t="s">
        <v>1186</v>
      </c>
      <c r="L50" s="135">
        <v>0</v>
      </c>
      <c r="M50" s="135" t="s">
        <v>1746</v>
      </c>
      <c r="N50" s="135">
        <v>0</v>
      </c>
      <c r="O50" s="144">
        <v>0</v>
      </c>
      <c r="P50" s="135">
        <v>0</v>
      </c>
      <c r="Q50" s="144">
        <v>0</v>
      </c>
      <c r="R50" t="s">
        <v>9843</v>
      </c>
      <c r="S50" t="s">
        <v>7</v>
      </c>
      <c r="T50" t="s">
        <v>1132</v>
      </c>
      <c r="U50" t="s">
        <v>36</v>
      </c>
      <c r="V50" t="s">
        <v>9843</v>
      </c>
      <c r="W50" t="s">
        <v>35</v>
      </c>
      <c r="X50" t="s">
        <v>1747</v>
      </c>
      <c r="Y50" t="s">
        <v>1163</v>
      </c>
      <c r="Z50" t="s">
        <v>7</v>
      </c>
      <c r="AA50" t="s">
        <v>7</v>
      </c>
      <c r="AB50" t="s">
        <v>7</v>
      </c>
      <c r="AC50" s="117" t="s">
        <v>7</v>
      </c>
      <c r="AD50" t="s">
        <v>1163</v>
      </c>
      <c r="AE50" t="s">
        <v>35</v>
      </c>
      <c r="AF50" t="s">
        <v>35</v>
      </c>
      <c r="AG50" t="s">
        <v>1163</v>
      </c>
      <c r="AH50" s="117" t="s">
        <v>35</v>
      </c>
      <c r="AI50" s="125" t="s">
        <v>1849</v>
      </c>
    </row>
    <row r="51" spans="1:35">
      <c r="A51" t="s">
        <v>143</v>
      </c>
      <c r="B51" s="2" t="s">
        <v>542</v>
      </c>
      <c r="C51" t="s">
        <v>540</v>
      </c>
      <c r="D51" t="s">
        <v>155</v>
      </c>
      <c r="E51" s="4" t="s">
        <v>543</v>
      </c>
      <c r="F51" t="s">
        <v>1855</v>
      </c>
      <c r="G51" t="s">
        <v>3</v>
      </c>
      <c r="H51" s="6">
        <v>35522</v>
      </c>
      <c r="I51" t="s">
        <v>5</v>
      </c>
      <c r="J51" t="s">
        <v>48</v>
      </c>
      <c r="K51" t="s">
        <v>1660</v>
      </c>
      <c r="L51" s="135" t="s">
        <v>1748</v>
      </c>
      <c r="M51" s="135">
        <v>0</v>
      </c>
      <c r="N51" s="135">
        <v>0</v>
      </c>
      <c r="O51" s="145" t="s">
        <v>9889</v>
      </c>
      <c r="P51" s="135">
        <v>0</v>
      </c>
      <c r="Q51" s="144">
        <v>0</v>
      </c>
      <c r="R51" t="s">
        <v>9843</v>
      </c>
      <c r="S51" t="s">
        <v>7</v>
      </c>
      <c r="T51" t="s">
        <v>1749</v>
      </c>
      <c r="U51" t="s">
        <v>36</v>
      </c>
      <c r="V51" t="s">
        <v>9843</v>
      </c>
      <c r="W51" t="s">
        <v>35</v>
      </c>
      <c r="X51" t="s">
        <v>7</v>
      </c>
      <c r="Y51" t="s">
        <v>9</v>
      </c>
      <c r="Z51" t="s">
        <v>7</v>
      </c>
      <c r="AA51" t="s">
        <v>7</v>
      </c>
      <c r="AB51" t="s">
        <v>7</v>
      </c>
      <c r="AC51" s="117" t="s">
        <v>7</v>
      </c>
      <c r="AD51" t="s">
        <v>9</v>
      </c>
      <c r="AE51" t="s">
        <v>35</v>
      </c>
      <c r="AF51" t="s">
        <v>35</v>
      </c>
      <c r="AG51" t="s">
        <v>9</v>
      </c>
      <c r="AH51" s="117" t="s">
        <v>35</v>
      </c>
      <c r="AI51" s="125" t="s">
        <v>1849</v>
      </c>
    </row>
    <row r="52" spans="1:35">
      <c r="A52" t="s">
        <v>144</v>
      </c>
      <c r="B52" s="2" t="s">
        <v>544</v>
      </c>
      <c r="C52" t="s">
        <v>537</v>
      </c>
      <c r="D52" t="s">
        <v>155</v>
      </c>
      <c r="E52" s="4" t="s">
        <v>545</v>
      </c>
      <c r="F52" t="s">
        <v>1855</v>
      </c>
      <c r="G52" t="s">
        <v>3</v>
      </c>
      <c r="H52" s="6">
        <v>35969</v>
      </c>
      <c r="I52" t="s">
        <v>5</v>
      </c>
      <c r="J52" t="s">
        <v>48</v>
      </c>
      <c r="K52" t="s">
        <v>1750</v>
      </c>
      <c r="L52" s="135">
        <v>0</v>
      </c>
      <c r="M52" s="135" t="s">
        <v>1751</v>
      </c>
      <c r="N52" s="135" t="s">
        <v>1752</v>
      </c>
      <c r="O52" s="144">
        <v>0</v>
      </c>
      <c r="P52" s="135">
        <v>0</v>
      </c>
      <c r="Q52" s="144">
        <v>0</v>
      </c>
      <c r="R52" t="s">
        <v>9843</v>
      </c>
      <c r="S52" t="s">
        <v>7</v>
      </c>
      <c r="T52" t="s">
        <v>1229</v>
      </c>
      <c r="U52" t="s">
        <v>36</v>
      </c>
      <c r="V52" t="s">
        <v>9843</v>
      </c>
      <c r="W52" t="s">
        <v>35</v>
      </c>
      <c r="X52" t="s">
        <v>7</v>
      </c>
      <c r="Y52" t="s">
        <v>9</v>
      </c>
      <c r="Z52" t="s">
        <v>7</v>
      </c>
      <c r="AA52" t="s">
        <v>7</v>
      </c>
      <c r="AB52" t="s">
        <v>7</v>
      </c>
      <c r="AC52" t="s">
        <v>9870</v>
      </c>
      <c r="AD52" t="s">
        <v>10</v>
      </c>
      <c r="AE52" t="s">
        <v>35</v>
      </c>
      <c r="AF52" t="s">
        <v>35</v>
      </c>
      <c r="AG52" t="s">
        <v>10</v>
      </c>
      <c r="AH52" t="s">
        <v>9851</v>
      </c>
      <c r="AI52" s="117" t="s">
        <v>35</v>
      </c>
    </row>
    <row r="53" spans="1:35">
      <c r="A53" t="s">
        <v>145</v>
      </c>
      <c r="B53" s="2" t="s">
        <v>546</v>
      </c>
      <c r="C53" t="s">
        <v>540</v>
      </c>
      <c r="D53" t="s">
        <v>155</v>
      </c>
      <c r="E53" s="4" t="s">
        <v>547</v>
      </c>
      <c r="F53" t="s">
        <v>1855</v>
      </c>
      <c r="G53" t="s">
        <v>3</v>
      </c>
      <c r="H53" s="6">
        <v>35679</v>
      </c>
      <c r="I53" t="s">
        <v>5</v>
      </c>
      <c r="J53" t="s">
        <v>1101</v>
      </c>
      <c r="K53" t="s">
        <v>1220</v>
      </c>
      <c r="L53" s="135" t="s">
        <v>1754</v>
      </c>
      <c r="M53" s="135" t="s">
        <v>1753</v>
      </c>
      <c r="N53" s="135">
        <v>0</v>
      </c>
      <c r="O53" s="144">
        <v>0</v>
      </c>
      <c r="P53" s="135">
        <v>0</v>
      </c>
      <c r="Q53" s="144">
        <v>0</v>
      </c>
      <c r="R53" t="s">
        <v>9843</v>
      </c>
      <c r="S53" t="s">
        <v>7</v>
      </c>
      <c r="T53" t="s">
        <v>1755</v>
      </c>
      <c r="U53" t="s">
        <v>36</v>
      </c>
      <c r="V53" t="s">
        <v>9843</v>
      </c>
      <c r="W53" t="s">
        <v>35</v>
      </c>
      <c r="X53" t="s">
        <v>7</v>
      </c>
      <c r="Y53" t="s">
        <v>9</v>
      </c>
      <c r="Z53" t="s">
        <v>7</v>
      </c>
      <c r="AA53" t="s">
        <v>7</v>
      </c>
      <c r="AB53" t="s">
        <v>7</v>
      </c>
      <c r="AC53" s="117" t="s">
        <v>7</v>
      </c>
      <c r="AD53" t="s">
        <v>9</v>
      </c>
      <c r="AE53" t="s">
        <v>35</v>
      </c>
      <c r="AF53" t="s">
        <v>35</v>
      </c>
      <c r="AG53" t="s">
        <v>9</v>
      </c>
      <c r="AH53" s="117" t="s">
        <v>35</v>
      </c>
      <c r="AI53" s="117" t="s">
        <v>1114</v>
      </c>
    </row>
    <row r="54" spans="1:35">
      <c r="A54" t="s">
        <v>146</v>
      </c>
      <c r="B54" s="2" t="s">
        <v>548</v>
      </c>
      <c r="C54" t="s">
        <v>540</v>
      </c>
      <c r="D54" t="s">
        <v>155</v>
      </c>
      <c r="E54" s="4" t="s">
        <v>549</v>
      </c>
      <c r="F54" t="s">
        <v>1855</v>
      </c>
      <c r="G54" t="s">
        <v>515</v>
      </c>
      <c r="H54" s="6">
        <v>35920</v>
      </c>
      <c r="I54" t="s">
        <v>5</v>
      </c>
      <c r="J54" t="s">
        <v>48</v>
      </c>
      <c r="K54" t="s">
        <v>1756</v>
      </c>
      <c r="L54" s="135" t="s">
        <v>9890</v>
      </c>
      <c r="M54" s="135" t="s">
        <v>9891</v>
      </c>
      <c r="N54" s="135" t="s">
        <v>9892</v>
      </c>
      <c r="O54" s="144">
        <v>0</v>
      </c>
      <c r="P54" s="135">
        <v>0</v>
      </c>
      <c r="Q54" s="144">
        <v>0</v>
      </c>
      <c r="R54" t="s">
        <v>9843</v>
      </c>
      <c r="S54" t="s">
        <v>7</v>
      </c>
      <c r="T54" t="s">
        <v>1759</v>
      </c>
      <c r="U54" t="s">
        <v>36</v>
      </c>
      <c r="V54" t="s">
        <v>9843</v>
      </c>
      <c r="W54" t="s">
        <v>35</v>
      </c>
      <c r="X54" t="s">
        <v>7</v>
      </c>
      <c r="Y54" t="s">
        <v>9</v>
      </c>
      <c r="Z54" t="s">
        <v>7</v>
      </c>
      <c r="AA54" t="s">
        <v>7</v>
      </c>
      <c r="AB54" t="s">
        <v>1937</v>
      </c>
      <c r="AC54" t="s">
        <v>9871</v>
      </c>
      <c r="AD54" t="s">
        <v>1758</v>
      </c>
      <c r="AE54" t="s">
        <v>35</v>
      </c>
      <c r="AF54" t="s">
        <v>35</v>
      </c>
      <c r="AG54" t="s">
        <v>1758</v>
      </c>
      <c r="AH54" t="s">
        <v>9851</v>
      </c>
      <c r="AI54" s="117" t="s">
        <v>35</v>
      </c>
    </row>
    <row r="55" spans="1:35">
      <c r="A55" t="s">
        <v>146</v>
      </c>
      <c r="B55" s="2" t="s">
        <v>548</v>
      </c>
      <c r="C55" t="s">
        <v>540</v>
      </c>
      <c r="D55" t="s">
        <v>155</v>
      </c>
      <c r="E55" s="4" t="s">
        <v>550</v>
      </c>
      <c r="F55" t="s">
        <v>1855</v>
      </c>
      <c r="G55" t="s">
        <v>515</v>
      </c>
      <c r="H55" s="6">
        <v>32002</v>
      </c>
      <c r="I55" t="s">
        <v>4</v>
      </c>
      <c r="J55" t="s">
        <v>48</v>
      </c>
      <c r="K55" t="s">
        <v>1757</v>
      </c>
      <c r="L55" s="135">
        <v>0</v>
      </c>
      <c r="M55" s="135">
        <v>0</v>
      </c>
      <c r="N55" s="135">
        <v>0</v>
      </c>
      <c r="O55" s="144">
        <v>0</v>
      </c>
      <c r="P55" s="135">
        <v>0</v>
      </c>
      <c r="Q55" s="144">
        <v>0</v>
      </c>
      <c r="R55" t="s">
        <v>9843</v>
      </c>
      <c r="S55" t="s">
        <v>7</v>
      </c>
      <c r="T55" t="s">
        <v>1098</v>
      </c>
      <c r="U55" t="s">
        <v>6</v>
      </c>
      <c r="V55" t="s">
        <v>35</v>
      </c>
      <c r="W55" t="s">
        <v>35</v>
      </c>
      <c r="X55" t="s">
        <v>35</v>
      </c>
      <c r="Y55" t="s">
        <v>35</v>
      </c>
      <c r="Z55" t="s">
        <v>35</v>
      </c>
      <c r="AA55" t="s">
        <v>35</v>
      </c>
      <c r="AB55" t="s">
        <v>35</v>
      </c>
      <c r="AC55" t="s">
        <v>35</v>
      </c>
      <c r="AD55" t="s">
        <v>35</v>
      </c>
      <c r="AE55" t="s">
        <v>35</v>
      </c>
      <c r="AF55" t="s">
        <v>35</v>
      </c>
      <c r="AG55" t="s">
        <v>35</v>
      </c>
      <c r="AH55" t="s">
        <v>35</v>
      </c>
      <c r="AI55" t="s">
        <v>35</v>
      </c>
    </row>
    <row r="56" spans="1:35">
      <c r="A56" t="s">
        <v>147</v>
      </c>
      <c r="B56" s="2" t="s">
        <v>539</v>
      </c>
      <c r="C56" t="s">
        <v>551</v>
      </c>
      <c r="D56" t="s">
        <v>155</v>
      </c>
      <c r="E56" s="4" t="s">
        <v>552</v>
      </c>
      <c r="F56" t="s">
        <v>1855</v>
      </c>
      <c r="G56" t="s">
        <v>3</v>
      </c>
      <c r="H56" s="6">
        <v>35263</v>
      </c>
      <c r="I56" t="s">
        <v>4</v>
      </c>
      <c r="J56" t="s">
        <v>48</v>
      </c>
      <c r="K56" t="s">
        <v>1071</v>
      </c>
      <c r="L56" s="135" t="s">
        <v>1760</v>
      </c>
      <c r="M56" s="135">
        <v>0</v>
      </c>
      <c r="N56" s="135">
        <v>0</v>
      </c>
      <c r="O56" s="144">
        <v>0</v>
      </c>
      <c r="P56" s="135">
        <v>0</v>
      </c>
      <c r="Q56" s="144">
        <v>0</v>
      </c>
      <c r="R56" t="s">
        <v>9843</v>
      </c>
      <c r="S56" t="s">
        <v>7</v>
      </c>
      <c r="T56" t="s">
        <v>80</v>
      </c>
      <c r="U56" t="s">
        <v>36</v>
      </c>
      <c r="V56" t="s">
        <v>9843</v>
      </c>
      <c r="W56" t="s">
        <v>35</v>
      </c>
      <c r="X56" t="s">
        <v>1104</v>
      </c>
      <c r="Y56" t="s">
        <v>1080</v>
      </c>
      <c r="Z56" t="s">
        <v>7</v>
      </c>
      <c r="AA56" t="s">
        <v>7</v>
      </c>
      <c r="AB56" t="s">
        <v>7</v>
      </c>
      <c r="AC56" s="117" t="s">
        <v>7</v>
      </c>
      <c r="AD56" t="s">
        <v>1080</v>
      </c>
      <c r="AE56" t="s">
        <v>35</v>
      </c>
      <c r="AF56" t="s">
        <v>35</v>
      </c>
      <c r="AG56" t="s">
        <v>1080</v>
      </c>
      <c r="AH56" s="117" t="s">
        <v>35</v>
      </c>
      <c r="AI56" s="125" t="s">
        <v>1849</v>
      </c>
    </row>
    <row r="57" spans="1:35">
      <c r="A57" t="s">
        <v>147</v>
      </c>
      <c r="B57" s="2" t="s">
        <v>539</v>
      </c>
      <c r="C57" t="s">
        <v>551</v>
      </c>
      <c r="D57" t="s">
        <v>155</v>
      </c>
      <c r="E57" s="4" t="s">
        <v>553</v>
      </c>
      <c r="F57" t="s">
        <v>1855</v>
      </c>
      <c r="G57" t="s">
        <v>3</v>
      </c>
      <c r="H57" s="6">
        <v>34828</v>
      </c>
      <c r="I57" t="s">
        <v>4</v>
      </c>
      <c r="J57" t="s">
        <v>48</v>
      </c>
      <c r="K57" t="s">
        <v>1071</v>
      </c>
      <c r="L57" s="135" t="s">
        <v>1760</v>
      </c>
      <c r="M57" s="135">
        <v>0</v>
      </c>
      <c r="N57" s="135">
        <v>0</v>
      </c>
      <c r="O57" s="144">
        <v>0</v>
      </c>
      <c r="P57" s="135">
        <v>0</v>
      </c>
      <c r="Q57" s="144">
        <v>0</v>
      </c>
      <c r="R57" t="s">
        <v>9843</v>
      </c>
      <c r="S57" t="s">
        <v>7</v>
      </c>
      <c r="T57" t="s">
        <v>1229</v>
      </c>
      <c r="U57" t="s">
        <v>36</v>
      </c>
      <c r="V57" t="s">
        <v>9843</v>
      </c>
      <c r="W57" t="s">
        <v>35</v>
      </c>
      <c r="X57" t="s">
        <v>1104</v>
      </c>
      <c r="Y57" t="s">
        <v>1080</v>
      </c>
      <c r="Z57" t="s">
        <v>7</v>
      </c>
      <c r="AA57" t="s">
        <v>7</v>
      </c>
      <c r="AB57" t="s">
        <v>7</v>
      </c>
      <c r="AC57" s="117" t="s">
        <v>7</v>
      </c>
      <c r="AD57" t="s">
        <v>1080</v>
      </c>
      <c r="AE57" t="s">
        <v>35</v>
      </c>
      <c r="AF57" t="s">
        <v>35</v>
      </c>
      <c r="AG57" t="s">
        <v>1080</v>
      </c>
      <c r="AH57" s="117" t="s">
        <v>35</v>
      </c>
      <c r="AI57" s="125" t="s">
        <v>1849</v>
      </c>
    </row>
    <row r="58" spans="1:35">
      <c r="A58" t="s">
        <v>148</v>
      </c>
      <c r="B58" s="2" t="s">
        <v>554</v>
      </c>
      <c r="C58" t="s">
        <v>540</v>
      </c>
      <c r="D58" t="s">
        <v>155</v>
      </c>
      <c r="E58" s="4" t="s">
        <v>555</v>
      </c>
      <c r="F58" t="s">
        <v>76</v>
      </c>
      <c r="G58" t="s">
        <v>3</v>
      </c>
      <c r="H58" s="6">
        <v>33769</v>
      </c>
      <c r="I58" t="s">
        <v>1093</v>
      </c>
      <c r="J58" t="s">
        <v>18</v>
      </c>
      <c r="K58" t="s">
        <v>1761</v>
      </c>
      <c r="L58" s="135">
        <v>0</v>
      </c>
      <c r="M58" s="135">
        <v>0</v>
      </c>
      <c r="N58" s="135" t="s">
        <v>1762</v>
      </c>
      <c r="O58" s="144">
        <v>0</v>
      </c>
      <c r="P58" s="135">
        <v>0</v>
      </c>
      <c r="Q58" s="144">
        <v>0</v>
      </c>
      <c r="R58" t="s">
        <v>9843</v>
      </c>
      <c r="S58" t="s">
        <v>1273</v>
      </c>
      <c r="T58" t="s">
        <v>1132</v>
      </c>
      <c r="U58" t="s">
        <v>78</v>
      </c>
      <c r="V58" t="s">
        <v>9843</v>
      </c>
      <c r="W58" t="s">
        <v>7</v>
      </c>
      <c r="X58" t="s">
        <v>1104</v>
      </c>
      <c r="Y58" t="s">
        <v>1166</v>
      </c>
      <c r="Z58" t="s">
        <v>1097</v>
      </c>
      <c r="AA58" s="117" t="s">
        <v>7</v>
      </c>
      <c r="AB58" s="117" t="s">
        <v>9795</v>
      </c>
      <c r="AC58" s="117" t="s">
        <v>9872</v>
      </c>
      <c r="AD58" t="s">
        <v>1763</v>
      </c>
      <c r="AE58" t="s">
        <v>35</v>
      </c>
      <c r="AF58" t="s">
        <v>35</v>
      </c>
      <c r="AG58" t="s">
        <v>1763</v>
      </c>
      <c r="AH58" s="117" t="s">
        <v>35</v>
      </c>
      <c r="AI58" s="125" t="s">
        <v>1849</v>
      </c>
    </row>
    <row r="59" spans="1:35">
      <c r="A59" t="s">
        <v>149</v>
      </c>
      <c r="B59" s="2" t="s">
        <v>556</v>
      </c>
      <c r="C59" t="s">
        <v>540</v>
      </c>
      <c r="D59" t="s">
        <v>155</v>
      </c>
      <c r="E59" s="4" t="s">
        <v>557</v>
      </c>
      <c r="F59" t="s">
        <v>1855</v>
      </c>
      <c r="G59" t="s">
        <v>3</v>
      </c>
      <c r="H59" s="6">
        <v>35526</v>
      </c>
      <c r="I59" t="s">
        <v>1093</v>
      </c>
      <c r="J59" t="s">
        <v>48</v>
      </c>
      <c r="K59" t="s">
        <v>1120</v>
      </c>
      <c r="L59" s="135">
        <v>0</v>
      </c>
      <c r="M59" s="135" t="s">
        <v>9893</v>
      </c>
      <c r="N59" s="135">
        <v>0</v>
      </c>
      <c r="O59" s="144">
        <v>0</v>
      </c>
      <c r="P59" s="135">
        <v>0</v>
      </c>
      <c r="Q59" s="144">
        <v>0</v>
      </c>
      <c r="R59" t="s">
        <v>9843</v>
      </c>
      <c r="S59" t="s">
        <v>7</v>
      </c>
      <c r="T59" t="s">
        <v>9802</v>
      </c>
      <c r="U59" t="s">
        <v>51</v>
      </c>
      <c r="V59" t="s">
        <v>52</v>
      </c>
      <c r="W59" t="s">
        <v>35</v>
      </c>
      <c r="X59" t="s">
        <v>35</v>
      </c>
      <c r="Y59" t="s">
        <v>35</v>
      </c>
      <c r="Z59" t="s">
        <v>35</v>
      </c>
      <c r="AA59" t="s">
        <v>35</v>
      </c>
      <c r="AB59" t="s">
        <v>35</v>
      </c>
      <c r="AC59" t="s">
        <v>35</v>
      </c>
      <c r="AD59" t="s">
        <v>35</v>
      </c>
      <c r="AE59" t="s">
        <v>7</v>
      </c>
      <c r="AF59" t="s">
        <v>35</v>
      </c>
      <c r="AG59" t="s">
        <v>35</v>
      </c>
      <c r="AH59" t="s">
        <v>35</v>
      </c>
      <c r="AI59" t="s">
        <v>35</v>
      </c>
    </row>
    <row r="60" spans="1:35">
      <c r="A60" t="s">
        <v>150</v>
      </c>
      <c r="B60" s="2" t="s">
        <v>558</v>
      </c>
      <c r="C60" t="s">
        <v>540</v>
      </c>
      <c r="D60" t="s">
        <v>155</v>
      </c>
      <c r="E60" s="4" t="s">
        <v>559</v>
      </c>
      <c r="F60" t="s">
        <v>1855</v>
      </c>
      <c r="G60" t="s">
        <v>3</v>
      </c>
      <c r="H60" s="6">
        <v>29354</v>
      </c>
      <c r="I60" t="s">
        <v>5</v>
      </c>
      <c r="J60" t="s">
        <v>48</v>
      </c>
      <c r="K60" t="s">
        <v>9786</v>
      </c>
      <c r="L60" s="135" t="s">
        <v>1765</v>
      </c>
      <c r="M60" s="135">
        <v>0</v>
      </c>
      <c r="N60" s="135">
        <v>0</v>
      </c>
      <c r="O60" s="144">
        <v>0</v>
      </c>
      <c r="P60" s="135">
        <v>0</v>
      </c>
      <c r="Q60" s="144">
        <v>0</v>
      </c>
      <c r="R60" t="s">
        <v>9843</v>
      </c>
      <c r="S60" t="s">
        <v>7</v>
      </c>
      <c r="T60" t="s">
        <v>1082</v>
      </c>
      <c r="U60" t="s">
        <v>36</v>
      </c>
      <c r="V60" t="s">
        <v>9843</v>
      </c>
      <c r="W60" t="s">
        <v>35</v>
      </c>
      <c r="X60" t="s">
        <v>7</v>
      </c>
      <c r="Y60" t="s">
        <v>9</v>
      </c>
      <c r="Z60" t="s">
        <v>1097</v>
      </c>
      <c r="AA60" t="s">
        <v>7</v>
      </c>
      <c r="AB60" t="s">
        <v>7</v>
      </c>
      <c r="AC60" s="117" t="s">
        <v>9872</v>
      </c>
      <c r="AD60" t="s">
        <v>1100</v>
      </c>
      <c r="AE60" t="s">
        <v>35</v>
      </c>
      <c r="AF60" t="s">
        <v>35</v>
      </c>
      <c r="AG60" t="s">
        <v>1100</v>
      </c>
      <c r="AH60" s="117" t="s">
        <v>35</v>
      </c>
      <c r="AI60" s="125" t="s">
        <v>1849</v>
      </c>
    </row>
    <row r="61" spans="1:35">
      <c r="A61" t="s">
        <v>150</v>
      </c>
      <c r="B61" s="2" t="s">
        <v>558</v>
      </c>
      <c r="C61" t="s">
        <v>540</v>
      </c>
      <c r="D61" t="s">
        <v>155</v>
      </c>
      <c r="E61" s="4" t="s">
        <v>560</v>
      </c>
      <c r="F61" t="s">
        <v>1855</v>
      </c>
      <c r="G61" t="s">
        <v>3</v>
      </c>
      <c r="H61" s="6">
        <v>31515</v>
      </c>
      <c r="I61" t="s">
        <v>5</v>
      </c>
      <c r="J61" t="s">
        <v>48</v>
      </c>
      <c r="K61" t="s">
        <v>1213</v>
      </c>
      <c r="L61" s="135" t="s">
        <v>1766</v>
      </c>
      <c r="M61" s="135">
        <v>0</v>
      </c>
      <c r="N61" s="135" t="s">
        <v>1764</v>
      </c>
      <c r="O61" s="144">
        <v>0</v>
      </c>
      <c r="P61" s="135">
        <v>0</v>
      </c>
      <c r="Q61" s="144">
        <v>0</v>
      </c>
      <c r="R61" t="s">
        <v>9843</v>
      </c>
      <c r="S61" t="s">
        <v>7</v>
      </c>
      <c r="T61" t="s">
        <v>1082</v>
      </c>
      <c r="U61" t="s">
        <v>36</v>
      </c>
      <c r="V61" t="s">
        <v>9843</v>
      </c>
      <c r="W61" t="s">
        <v>35</v>
      </c>
      <c r="X61" t="s">
        <v>7</v>
      </c>
      <c r="Y61" t="s">
        <v>9</v>
      </c>
      <c r="Z61" t="s">
        <v>1097</v>
      </c>
      <c r="AA61" t="s">
        <v>7</v>
      </c>
      <c r="AB61" t="s">
        <v>7</v>
      </c>
      <c r="AC61" s="117" t="s">
        <v>9872</v>
      </c>
      <c r="AD61" t="s">
        <v>1080</v>
      </c>
      <c r="AE61" t="s">
        <v>35</v>
      </c>
      <c r="AF61" t="s">
        <v>35</v>
      </c>
      <c r="AG61" t="s">
        <v>1080</v>
      </c>
      <c r="AH61" s="117" t="s">
        <v>35</v>
      </c>
      <c r="AI61" s="125" t="s">
        <v>1849</v>
      </c>
    </row>
    <row r="62" spans="1:35">
      <c r="A62" t="s">
        <v>151</v>
      </c>
      <c r="B62" s="2" t="s">
        <v>505</v>
      </c>
      <c r="C62" t="s">
        <v>551</v>
      </c>
      <c r="D62" t="s">
        <v>155</v>
      </c>
      <c r="E62" s="4" t="s">
        <v>561</v>
      </c>
      <c r="F62" t="s">
        <v>1855</v>
      </c>
      <c r="G62" t="s">
        <v>3</v>
      </c>
      <c r="H62" s="6">
        <v>32079</v>
      </c>
      <c r="I62" t="s">
        <v>4</v>
      </c>
      <c r="J62" t="s">
        <v>48</v>
      </c>
      <c r="K62" t="s">
        <v>1767</v>
      </c>
      <c r="L62" s="135" t="s">
        <v>1769</v>
      </c>
      <c r="M62" s="135" t="s">
        <v>1770</v>
      </c>
      <c r="N62" s="135">
        <v>0</v>
      </c>
      <c r="O62" s="144">
        <v>0</v>
      </c>
      <c r="P62" s="135">
        <v>0</v>
      </c>
      <c r="Q62" s="144" t="s">
        <v>1768</v>
      </c>
      <c r="R62" t="s">
        <v>9843</v>
      </c>
      <c r="S62" t="s">
        <v>7</v>
      </c>
      <c r="T62" t="s">
        <v>1666</v>
      </c>
      <c r="U62" t="s">
        <v>36</v>
      </c>
      <c r="V62" t="s">
        <v>9843</v>
      </c>
      <c r="W62" t="s">
        <v>35</v>
      </c>
      <c r="X62" t="s">
        <v>7</v>
      </c>
      <c r="Y62" t="s">
        <v>9</v>
      </c>
      <c r="Z62" t="s">
        <v>1097</v>
      </c>
      <c r="AA62" t="s">
        <v>7</v>
      </c>
      <c r="AB62" t="s">
        <v>7</v>
      </c>
      <c r="AC62" s="117" t="s">
        <v>9872</v>
      </c>
      <c r="AD62" t="s">
        <v>1080</v>
      </c>
      <c r="AE62" t="s">
        <v>35</v>
      </c>
      <c r="AF62" t="s">
        <v>35</v>
      </c>
      <c r="AG62" t="s">
        <v>1080</v>
      </c>
      <c r="AH62" s="117" t="s">
        <v>35</v>
      </c>
      <c r="AI62" s="125" t="s">
        <v>1849</v>
      </c>
    </row>
    <row r="63" spans="1:35">
      <c r="A63" t="s">
        <v>152</v>
      </c>
      <c r="B63" s="2" t="s">
        <v>558</v>
      </c>
      <c r="C63" t="s">
        <v>540</v>
      </c>
      <c r="D63" t="s">
        <v>155</v>
      </c>
      <c r="E63" s="4" t="s">
        <v>562</v>
      </c>
      <c r="F63" t="s">
        <v>1855</v>
      </c>
      <c r="G63" t="s">
        <v>3</v>
      </c>
      <c r="H63" s="6">
        <v>32855</v>
      </c>
      <c r="I63" t="s">
        <v>4</v>
      </c>
      <c r="J63" t="s">
        <v>41</v>
      </c>
      <c r="K63" t="s">
        <v>1186</v>
      </c>
      <c r="L63" s="135">
        <v>0</v>
      </c>
      <c r="M63" s="135">
        <v>0</v>
      </c>
      <c r="N63" s="135" t="s">
        <v>9894</v>
      </c>
      <c r="O63" s="144">
        <v>0</v>
      </c>
      <c r="P63" s="135">
        <v>0</v>
      </c>
      <c r="Q63" s="144">
        <v>0</v>
      </c>
      <c r="R63" t="s">
        <v>9843</v>
      </c>
      <c r="S63" t="s">
        <v>7</v>
      </c>
      <c r="T63" t="s">
        <v>1106</v>
      </c>
      <c r="U63" t="s">
        <v>36</v>
      </c>
      <c r="V63" t="s">
        <v>9843</v>
      </c>
      <c r="W63" t="s">
        <v>35</v>
      </c>
      <c r="X63" t="s">
        <v>7</v>
      </c>
      <c r="Y63" t="s">
        <v>9</v>
      </c>
      <c r="Z63" t="s">
        <v>7</v>
      </c>
      <c r="AA63" t="s">
        <v>7</v>
      </c>
      <c r="AB63" t="s">
        <v>7</v>
      </c>
      <c r="AC63" t="s">
        <v>9870</v>
      </c>
      <c r="AD63" t="s">
        <v>10</v>
      </c>
      <c r="AE63" t="s">
        <v>35</v>
      </c>
      <c r="AF63" t="s">
        <v>35</v>
      </c>
      <c r="AG63" t="s">
        <v>10</v>
      </c>
      <c r="AH63" t="s">
        <v>9851</v>
      </c>
      <c r="AI63" s="117" t="s">
        <v>35</v>
      </c>
    </row>
    <row r="64" spans="1:35">
      <c r="A64" t="s">
        <v>153</v>
      </c>
      <c r="B64" s="2" t="s">
        <v>563</v>
      </c>
      <c r="C64" t="s">
        <v>564</v>
      </c>
      <c r="D64" t="s">
        <v>155</v>
      </c>
      <c r="E64" s="4" t="s">
        <v>565</v>
      </c>
      <c r="F64" t="s">
        <v>76</v>
      </c>
      <c r="G64" t="s">
        <v>3</v>
      </c>
      <c r="H64" s="6">
        <v>28439</v>
      </c>
      <c r="I64" t="s">
        <v>4</v>
      </c>
      <c r="J64" t="s">
        <v>48</v>
      </c>
      <c r="K64" t="s">
        <v>1186</v>
      </c>
      <c r="L64" s="135" t="s">
        <v>1772</v>
      </c>
      <c r="M64" s="135">
        <v>0</v>
      </c>
      <c r="N64" s="135">
        <v>0</v>
      </c>
      <c r="O64" s="144" t="s">
        <v>9954</v>
      </c>
      <c r="P64" s="135">
        <v>0</v>
      </c>
      <c r="Q64" s="144" t="s">
        <v>1771</v>
      </c>
      <c r="R64" t="s">
        <v>9843</v>
      </c>
      <c r="S64" t="s">
        <v>7</v>
      </c>
      <c r="T64" t="s">
        <v>1414</v>
      </c>
      <c r="U64" t="s">
        <v>36</v>
      </c>
      <c r="V64" t="s">
        <v>9843</v>
      </c>
      <c r="W64" t="s">
        <v>35</v>
      </c>
      <c r="X64" t="s">
        <v>7</v>
      </c>
      <c r="Y64" t="s">
        <v>9</v>
      </c>
      <c r="Z64" t="s">
        <v>1097</v>
      </c>
      <c r="AA64" t="s">
        <v>7</v>
      </c>
      <c r="AB64" t="s">
        <v>7</v>
      </c>
      <c r="AC64" s="117" t="s">
        <v>9872</v>
      </c>
      <c r="AD64" s="117" t="s">
        <v>1164</v>
      </c>
      <c r="AE64" t="s">
        <v>35</v>
      </c>
      <c r="AF64" t="s">
        <v>35</v>
      </c>
      <c r="AG64" s="117" t="s">
        <v>1164</v>
      </c>
      <c r="AH64" s="117" t="s">
        <v>35</v>
      </c>
      <c r="AI64" s="125" t="s">
        <v>1849</v>
      </c>
    </row>
    <row r="65" spans="1:35">
      <c r="A65" t="s">
        <v>154</v>
      </c>
      <c r="B65" s="6" t="s">
        <v>566</v>
      </c>
      <c r="C65" t="s">
        <v>537</v>
      </c>
      <c r="D65" t="s">
        <v>155</v>
      </c>
      <c r="E65" s="4" t="s">
        <v>567</v>
      </c>
      <c r="F65" t="s">
        <v>1855</v>
      </c>
      <c r="G65" t="s">
        <v>3</v>
      </c>
      <c r="H65" s="6">
        <v>31837</v>
      </c>
      <c r="I65" t="s">
        <v>4</v>
      </c>
      <c r="J65" t="s">
        <v>41</v>
      </c>
      <c r="K65" t="s">
        <v>1773</v>
      </c>
      <c r="L65" s="135" t="s">
        <v>1774</v>
      </c>
      <c r="M65" s="135">
        <v>0</v>
      </c>
      <c r="N65" s="135">
        <v>0</v>
      </c>
      <c r="O65" s="144">
        <v>0</v>
      </c>
      <c r="P65" s="135">
        <v>0</v>
      </c>
      <c r="Q65" s="144">
        <v>0</v>
      </c>
      <c r="R65" t="s">
        <v>9843</v>
      </c>
      <c r="S65" t="s">
        <v>1272</v>
      </c>
      <c r="T65" t="s">
        <v>1392</v>
      </c>
      <c r="U65" t="s">
        <v>51</v>
      </c>
      <c r="V65" t="s">
        <v>52</v>
      </c>
      <c r="W65" t="s">
        <v>7</v>
      </c>
      <c r="X65" t="s">
        <v>35</v>
      </c>
      <c r="Y65" t="s">
        <v>35</v>
      </c>
      <c r="Z65" t="s">
        <v>35</v>
      </c>
      <c r="AA65" t="s">
        <v>35</v>
      </c>
      <c r="AB65" t="s">
        <v>35</v>
      </c>
      <c r="AC65" t="s">
        <v>35</v>
      </c>
      <c r="AD65" t="s">
        <v>35</v>
      </c>
      <c r="AE65" t="s">
        <v>7</v>
      </c>
      <c r="AF65" t="s">
        <v>35</v>
      </c>
      <c r="AG65" t="s">
        <v>35</v>
      </c>
      <c r="AH65" t="s">
        <v>35</v>
      </c>
      <c r="AI65" t="s">
        <v>35</v>
      </c>
    </row>
    <row r="66" spans="1:35">
      <c r="A66" t="s">
        <v>156</v>
      </c>
      <c r="B66" s="2" t="s">
        <v>568</v>
      </c>
      <c r="C66" t="s">
        <v>569</v>
      </c>
      <c r="D66" t="s">
        <v>166</v>
      </c>
      <c r="E66" s="4" t="s">
        <v>570</v>
      </c>
      <c r="F66" t="s">
        <v>1855</v>
      </c>
      <c r="G66" t="s">
        <v>3</v>
      </c>
      <c r="H66" s="6">
        <v>31416</v>
      </c>
      <c r="I66" t="s">
        <v>5</v>
      </c>
      <c r="J66" t="s">
        <v>48</v>
      </c>
      <c r="K66" t="s">
        <v>1346</v>
      </c>
      <c r="L66" s="135" t="s">
        <v>1348</v>
      </c>
      <c r="M66" s="135" t="s">
        <v>1347</v>
      </c>
      <c r="N66" s="135" t="s">
        <v>1349</v>
      </c>
      <c r="O66" s="144">
        <v>0</v>
      </c>
      <c r="P66" s="135">
        <v>0</v>
      </c>
      <c r="Q66" s="144">
        <v>0</v>
      </c>
      <c r="R66" t="s">
        <v>9843</v>
      </c>
      <c r="S66" t="s">
        <v>7</v>
      </c>
      <c r="T66" s="117" t="s">
        <v>1137</v>
      </c>
      <c r="U66" t="s">
        <v>36</v>
      </c>
      <c r="V66" t="s">
        <v>9843</v>
      </c>
      <c r="W66" t="s">
        <v>35</v>
      </c>
      <c r="X66" t="s">
        <v>1350</v>
      </c>
      <c r="Y66" t="s">
        <v>8</v>
      </c>
      <c r="Z66" t="s">
        <v>1097</v>
      </c>
      <c r="AA66" t="s">
        <v>7</v>
      </c>
      <c r="AB66" t="s">
        <v>7</v>
      </c>
      <c r="AC66" s="117" t="s">
        <v>9872</v>
      </c>
      <c r="AD66" t="s">
        <v>1156</v>
      </c>
      <c r="AE66" t="s">
        <v>35</v>
      </c>
      <c r="AF66" t="s">
        <v>35</v>
      </c>
      <c r="AG66" t="s">
        <v>1156</v>
      </c>
      <c r="AH66" s="117" t="s">
        <v>35</v>
      </c>
      <c r="AI66" s="125" t="s">
        <v>1849</v>
      </c>
    </row>
    <row r="67" spans="1:35">
      <c r="A67" t="s">
        <v>157</v>
      </c>
      <c r="B67" s="2" t="s">
        <v>104</v>
      </c>
      <c r="C67" t="s">
        <v>571</v>
      </c>
      <c r="D67" t="s">
        <v>166</v>
      </c>
      <c r="E67" s="4" t="s">
        <v>572</v>
      </c>
      <c r="F67" t="s">
        <v>1855</v>
      </c>
      <c r="G67" t="s">
        <v>3</v>
      </c>
      <c r="H67" s="6">
        <v>32801</v>
      </c>
      <c r="I67" t="s">
        <v>5</v>
      </c>
      <c r="J67" t="s">
        <v>1074</v>
      </c>
      <c r="K67" t="s">
        <v>1351</v>
      </c>
      <c r="L67" s="135">
        <v>0</v>
      </c>
      <c r="M67" s="135" t="s">
        <v>1352</v>
      </c>
      <c r="N67" s="135">
        <v>0</v>
      </c>
      <c r="O67" s="144">
        <v>0</v>
      </c>
      <c r="P67" s="135">
        <v>0</v>
      </c>
      <c r="Q67" s="144">
        <v>0</v>
      </c>
      <c r="R67" t="s">
        <v>9846</v>
      </c>
      <c r="S67" t="s">
        <v>7</v>
      </c>
      <c r="T67" s="117" t="s">
        <v>9804</v>
      </c>
      <c r="U67" t="s">
        <v>78</v>
      </c>
      <c r="V67" t="s">
        <v>9843</v>
      </c>
      <c r="W67" t="s">
        <v>35</v>
      </c>
      <c r="X67" s="125" t="s">
        <v>1079</v>
      </c>
      <c r="Y67" t="s">
        <v>1166</v>
      </c>
      <c r="Z67" t="s">
        <v>7</v>
      </c>
      <c r="AA67" t="s">
        <v>7</v>
      </c>
      <c r="AB67" t="s">
        <v>7</v>
      </c>
      <c r="AC67" s="117" t="s">
        <v>7</v>
      </c>
      <c r="AD67" t="s">
        <v>1166</v>
      </c>
      <c r="AE67" t="s">
        <v>35</v>
      </c>
      <c r="AF67" t="s">
        <v>35</v>
      </c>
      <c r="AG67" t="s">
        <v>1166</v>
      </c>
      <c r="AH67" t="s">
        <v>35</v>
      </c>
      <c r="AI67" s="125" t="s">
        <v>1849</v>
      </c>
    </row>
    <row r="68" spans="1:35">
      <c r="A68" t="s">
        <v>158</v>
      </c>
      <c r="B68" s="2" t="s">
        <v>39</v>
      </c>
      <c r="C68" t="s">
        <v>571</v>
      </c>
      <c r="D68" t="s">
        <v>166</v>
      </c>
      <c r="E68" s="4" t="s">
        <v>573</v>
      </c>
      <c r="F68" t="s">
        <v>1855</v>
      </c>
      <c r="G68" t="s">
        <v>3</v>
      </c>
      <c r="H68" s="6">
        <v>34042</v>
      </c>
      <c r="I68" t="s">
        <v>4</v>
      </c>
      <c r="J68" t="s">
        <v>1074</v>
      </c>
      <c r="K68" t="s">
        <v>1071</v>
      </c>
      <c r="L68" s="135" t="s">
        <v>1353</v>
      </c>
      <c r="M68" s="135">
        <v>0</v>
      </c>
      <c r="N68" s="135">
        <v>0</v>
      </c>
      <c r="O68" s="144">
        <v>0</v>
      </c>
      <c r="P68" s="135">
        <v>0</v>
      </c>
      <c r="Q68" s="144">
        <v>0</v>
      </c>
      <c r="R68" t="s">
        <v>9843</v>
      </c>
      <c r="S68" t="s">
        <v>7</v>
      </c>
      <c r="T68" s="117" t="s">
        <v>9805</v>
      </c>
      <c r="U68" t="s">
        <v>36</v>
      </c>
      <c r="V68" t="s">
        <v>9843</v>
      </c>
      <c r="W68" t="s">
        <v>35</v>
      </c>
      <c r="X68" t="s">
        <v>1354</v>
      </c>
      <c r="Y68" t="s">
        <v>9</v>
      </c>
      <c r="Z68" t="s">
        <v>7</v>
      </c>
      <c r="AA68" t="s">
        <v>7</v>
      </c>
      <c r="AB68" t="s">
        <v>7</v>
      </c>
      <c r="AC68" t="s">
        <v>9870</v>
      </c>
      <c r="AD68" t="s">
        <v>10</v>
      </c>
      <c r="AE68" t="s">
        <v>35</v>
      </c>
      <c r="AF68" t="s">
        <v>35</v>
      </c>
      <c r="AG68" t="s">
        <v>10</v>
      </c>
      <c r="AH68" s="117" t="s">
        <v>7</v>
      </c>
      <c r="AI68" t="s">
        <v>37</v>
      </c>
    </row>
    <row r="69" spans="1:35">
      <c r="A69" t="s">
        <v>158</v>
      </c>
      <c r="B69" s="2" t="s">
        <v>39</v>
      </c>
      <c r="C69" t="s">
        <v>571</v>
      </c>
      <c r="D69" t="s">
        <v>166</v>
      </c>
      <c r="E69" s="4" t="s">
        <v>574</v>
      </c>
      <c r="F69" t="s">
        <v>1855</v>
      </c>
      <c r="G69" t="s">
        <v>3</v>
      </c>
      <c r="H69" s="6">
        <v>32828</v>
      </c>
      <c r="I69" t="s">
        <v>4</v>
      </c>
      <c r="J69" t="s">
        <v>41</v>
      </c>
      <c r="K69" t="s">
        <v>1071</v>
      </c>
      <c r="L69" s="135" t="s">
        <v>1353</v>
      </c>
      <c r="M69" s="135">
        <v>0</v>
      </c>
      <c r="N69" s="135">
        <v>0</v>
      </c>
      <c r="O69" s="144">
        <v>0</v>
      </c>
      <c r="P69" s="135">
        <v>0</v>
      </c>
      <c r="Q69" s="144">
        <v>0</v>
      </c>
      <c r="R69" t="s">
        <v>9843</v>
      </c>
      <c r="S69" t="s">
        <v>7</v>
      </c>
      <c r="T69" s="117" t="s">
        <v>9805</v>
      </c>
      <c r="U69" t="s">
        <v>36</v>
      </c>
      <c r="V69" t="s">
        <v>9843</v>
      </c>
      <c r="W69" t="s">
        <v>35</v>
      </c>
      <c r="X69" t="s">
        <v>1354</v>
      </c>
      <c r="Y69" t="s">
        <v>9</v>
      </c>
      <c r="Z69" t="s">
        <v>7</v>
      </c>
      <c r="AA69" t="s">
        <v>7</v>
      </c>
      <c r="AB69" t="s">
        <v>7</v>
      </c>
      <c r="AC69" t="s">
        <v>9870</v>
      </c>
      <c r="AD69" t="s">
        <v>10</v>
      </c>
      <c r="AE69" t="s">
        <v>35</v>
      </c>
      <c r="AF69" t="s">
        <v>35</v>
      </c>
      <c r="AG69" t="s">
        <v>10</v>
      </c>
      <c r="AH69" s="117" t="s">
        <v>7</v>
      </c>
      <c r="AI69" t="s">
        <v>37</v>
      </c>
    </row>
    <row r="70" spans="1:35">
      <c r="A70" t="s">
        <v>159</v>
      </c>
      <c r="B70" s="2" t="s">
        <v>575</v>
      </c>
      <c r="C70" t="s">
        <v>576</v>
      </c>
      <c r="D70" t="s">
        <v>166</v>
      </c>
      <c r="E70" s="4" t="s">
        <v>577</v>
      </c>
      <c r="F70" t="s">
        <v>1855</v>
      </c>
      <c r="G70" t="s">
        <v>3</v>
      </c>
      <c r="H70" s="6">
        <v>30725</v>
      </c>
      <c r="I70" t="s">
        <v>1093</v>
      </c>
      <c r="J70" t="s">
        <v>48</v>
      </c>
      <c r="K70" t="s">
        <v>1186</v>
      </c>
      <c r="L70" s="135">
        <v>0</v>
      </c>
      <c r="M70" s="135">
        <v>0</v>
      </c>
      <c r="N70" s="135">
        <v>0</v>
      </c>
      <c r="O70" s="144">
        <v>0</v>
      </c>
      <c r="P70" s="135">
        <v>0</v>
      </c>
      <c r="Q70" s="144">
        <v>0</v>
      </c>
      <c r="R70" t="s">
        <v>9846</v>
      </c>
      <c r="S70" t="s">
        <v>7</v>
      </c>
      <c r="T70" s="117" t="s">
        <v>1527</v>
      </c>
      <c r="U70" t="s">
        <v>6</v>
      </c>
      <c r="V70" t="s">
        <v>35</v>
      </c>
      <c r="W70" t="s">
        <v>35</v>
      </c>
      <c r="X70" t="s">
        <v>35</v>
      </c>
      <c r="Y70" t="s">
        <v>35</v>
      </c>
      <c r="Z70" t="s">
        <v>35</v>
      </c>
      <c r="AA70" t="s">
        <v>35</v>
      </c>
      <c r="AB70" t="s">
        <v>35</v>
      </c>
      <c r="AC70" t="s">
        <v>35</v>
      </c>
      <c r="AD70" t="s">
        <v>35</v>
      </c>
      <c r="AE70" t="s">
        <v>35</v>
      </c>
      <c r="AF70" t="s">
        <v>35</v>
      </c>
      <c r="AG70" t="s">
        <v>35</v>
      </c>
      <c r="AH70" t="s">
        <v>35</v>
      </c>
      <c r="AI70" t="s">
        <v>35</v>
      </c>
    </row>
    <row r="71" spans="1:35">
      <c r="A71" t="s">
        <v>159</v>
      </c>
      <c r="B71" s="2" t="s">
        <v>575</v>
      </c>
      <c r="C71" t="s">
        <v>576</v>
      </c>
      <c r="D71" t="s">
        <v>166</v>
      </c>
      <c r="E71" s="4" t="s">
        <v>578</v>
      </c>
      <c r="F71" t="s">
        <v>1855</v>
      </c>
      <c r="G71" t="s">
        <v>3</v>
      </c>
      <c r="H71" s="6">
        <v>22780</v>
      </c>
      <c r="I71" t="s">
        <v>4</v>
      </c>
      <c r="J71" t="s">
        <v>48</v>
      </c>
      <c r="K71" t="s">
        <v>9803</v>
      </c>
      <c r="L71" s="135">
        <v>0</v>
      </c>
      <c r="M71" s="135" t="s">
        <v>1355</v>
      </c>
      <c r="N71" s="135">
        <v>0</v>
      </c>
      <c r="O71" s="144">
        <v>0</v>
      </c>
      <c r="P71" s="135">
        <v>0</v>
      </c>
      <c r="Q71" s="144">
        <v>0</v>
      </c>
      <c r="R71" t="s">
        <v>9846</v>
      </c>
      <c r="S71" t="s">
        <v>7</v>
      </c>
      <c r="T71" s="117" t="s">
        <v>9806</v>
      </c>
      <c r="U71" t="s">
        <v>78</v>
      </c>
      <c r="V71" t="s">
        <v>9843</v>
      </c>
      <c r="W71" t="s">
        <v>35</v>
      </c>
      <c r="X71" t="s">
        <v>1350</v>
      </c>
      <c r="Y71" t="s">
        <v>1356</v>
      </c>
      <c r="Z71" t="s">
        <v>7</v>
      </c>
      <c r="AA71" t="s">
        <v>7</v>
      </c>
      <c r="AB71" t="s">
        <v>9869</v>
      </c>
      <c r="AC71" s="117" t="s">
        <v>7</v>
      </c>
      <c r="AD71" t="s">
        <v>1357</v>
      </c>
      <c r="AE71" t="s">
        <v>35</v>
      </c>
      <c r="AF71" t="s">
        <v>35</v>
      </c>
      <c r="AG71" t="s">
        <v>1357</v>
      </c>
      <c r="AH71" s="117" t="s">
        <v>35</v>
      </c>
      <c r="AI71" s="125" t="s">
        <v>1849</v>
      </c>
    </row>
    <row r="72" spans="1:35">
      <c r="A72" t="s">
        <v>160</v>
      </c>
      <c r="B72" s="2" t="s">
        <v>579</v>
      </c>
      <c r="C72" t="s">
        <v>571</v>
      </c>
      <c r="D72" t="s">
        <v>166</v>
      </c>
      <c r="E72" s="4" t="s">
        <v>580</v>
      </c>
      <c r="F72" t="s">
        <v>1855</v>
      </c>
      <c r="G72" t="s">
        <v>3</v>
      </c>
      <c r="H72" s="6">
        <v>33778</v>
      </c>
      <c r="I72" t="s">
        <v>5</v>
      </c>
      <c r="J72" t="s">
        <v>48</v>
      </c>
      <c r="K72" t="s">
        <v>1186</v>
      </c>
      <c r="L72" s="135" t="s">
        <v>1358</v>
      </c>
      <c r="M72" s="135" t="s">
        <v>1359</v>
      </c>
      <c r="N72" s="135">
        <v>0</v>
      </c>
      <c r="O72" s="144">
        <v>0</v>
      </c>
      <c r="P72" s="135">
        <v>0</v>
      </c>
      <c r="Q72" s="144">
        <v>0</v>
      </c>
      <c r="R72" t="s">
        <v>9843</v>
      </c>
      <c r="S72" t="s">
        <v>7</v>
      </c>
      <c r="T72" s="117" t="s">
        <v>1173</v>
      </c>
      <c r="U72" t="s">
        <v>36</v>
      </c>
      <c r="V72" t="s">
        <v>9843</v>
      </c>
      <c r="W72" t="s">
        <v>35</v>
      </c>
      <c r="X72" t="s">
        <v>1747</v>
      </c>
      <c r="Y72" t="s">
        <v>1163</v>
      </c>
      <c r="Z72" t="s">
        <v>7</v>
      </c>
      <c r="AA72" t="s">
        <v>7</v>
      </c>
      <c r="AB72" t="s">
        <v>7</v>
      </c>
      <c r="AC72" s="117" t="s">
        <v>9872</v>
      </c>
      <c r="AD72" t="s">
        <v>1163</v>
      </c>
      <c r="AE72" t="s">
        <v>35</v>
      </c>
      <c r="AF72" t="s">
        <v>35</v>
      </c>
      <c r="AG72" t="s">
        <v>1163</v>
      </c>
      <c r="AH72" s="117" t="s">
        <v>35</v>
      </c>
      <c r="AI72" s="125" t="s">
        <v>1849</v>
      </c>
    </row>
    <row r="73" spans="1:35">
      <c r="A73" t="s">
        <v>161</v>
      </c>
      <c r="B73" s="2" t="s">
        <v>581</v>
      </c>
      <c r="C73" t="s">
        <v>582</v>
      </c>
      <c r="D73" t="s">
        <v>166</v>
      </c>
      <c r="E73" s="4" t="s">
        <v>583</v>
      </c>
      <c r="F73" t="s">
        <v>76</v>
      </c>
      <c r="G73" t="s">
        <v>3</v>
      </c>
      <c r="H73" s="6">
        <v>29627</v>
      </c>
      <c r="I73" t="s">
        <v>5</v>
      </c>
      <c r="J73" t="s">
        <v>41</v>
      </c>
      <c r="K73" t="s">
        <v>1186</v>
      </c>
      <c r="L73" s="135" t="s">
        <v>1360</v>
      </c>
      <c r="M73" s="135" t="s">
        <v>1361</v>
      </c>
      <c r="N73" s="135" t="s">
        <v>1362</v>
      </c>
      <c r="O73" s="144">
        <v>0</v>
      </c>
      <c r="P73" s="135">
        <v>0</v>
      </c>
      <c r="Q73" s="144">
        <v>0</v>
      </c>
      <c r="R73" t="s">
        <v>9843</v>
      </c>
      <c r="S73" t="s">
        <v>7</v>
      </c>
      <c r="T73" s="117" t="s">
        <v>9807</v>
      </c>
      <c r="U73" t="s">
        <v>36</v>
      </c>
      <c r="V73" t="s">
        <v>9843</v>
      </c>
      <c r="W73" t="s">
        <v>35</v>
      </c>
      <c r="X73" s="125" t="s">
        <v>1079</v>
      </c>
      <c r="Y73" t="s">
        <v>1156</v>
      </c>
      <c r="Z73" t="s">
        <v>7</v>
      </c>
      <c r="AA73" t="s">
        <v>7</v>
      </c>
      <c r="AB73" t="s">
        <v>7</v>
      </c>
      <c r="AC73" s="117" t="s">
        <v>7</v>
      </c>
      <c r="AD73" t="s">
        <v>1156</v>
      </c>
      <c r="AE73" t="s">
        <v>35</v>
      </c>
      <c r="AF73" t="s">
        <v>35</v>
      </c>
      <c r="AG73" t="s">
        <v>1156</v>
      </c>
      <c r="AH73" s="117" t="s">
        <v>35</v>
      </c>
      <c r="AI73" s="125" t="s">
        <v>1849</v>
      </c>
    </row>
    <row r="74" spans="1:35">
      <c r="A74" t="s">
        <v>162</v>
      </c>
      <c r="B74" s="2" t="s">
        <v>584</v>
      </c>
      <c r="C74" t="s">
        <v>569</v>
      </c>
      <c r="D74" t="s">
        <v>166</v>
      </c>
      <c r="E74" s="4" t="s">
        <v>585</v>
      </c>
      <c r="F74" t="s">
        <v>1855</v>
      </c>
      <c r="G74" t="s">
        <v>3</v>
      </c>
      <c r="H74" s="6">
        <v>35247</v>
      </c>
      <c r="I74" t="s">
        <v>5</v>
      </c>
      <c r="J74" t="s">
        <v>77</v>
      </c>
      <c r="K74" t="s">
        <v>1363</v>
      </c>
      <c r="L74" s="135" t="s">
        <v>1364</v>
      </c>
      <c r="M74" s="135">
        <v>0</v>
      </c>
      <c r="N74" s="135" t="s">
        <v>1365</v>
      </c>
      <c r="O74" s="144">
        <v>0</v>
      </c>
      <c r="P74" s="135">
        <v>0</v>
      </c>
      <c r="Q74" s="144">
        <v>0</v>
      </c>
      <c r="R74" t="s">
        <v>9843</v>
      </c>
      <c r="S74" t="s">
        <v>7</v>
      </c>
      <c r="T74" s="117" t="s">
        <v>9808</v>
      </c>
      <c r="U74" t="s">
        <v>36</v>
      </c>
      <c r="V74" t="s">
        <v>9843</v>
      </c>
      <c r="W74" t="s">
        <v>35</v>
      </c>
      <c r="X74" t="s">
        <v>7</v>
      </c>
      <c r="Y74" t="s">
        <v>9</v>
      </c>
      <c r="Z74" t="s">
        <v>7</v>
      </c>
      <c r="AA74" t="s">
        <v>7</v>
      </c>
      <c r="AB74" s="117" t="s">
        <v>9868</v>
      </c>
      <c r="AC74" s="117" t="s">
        <v>7</v>
      </c>
      <c r="AD74" t="s">
        <v>1100</v>
      </c>
      <c r="AE74" t="s">
        <v>35</v>
      </c>
      <c r="AF74" t="s">
        <v>35</v>
      </c>
      <c r="AG74" t="s">
        <v>1100</v>
      </c>
      <c r="AH74" s="117" t="s">
        <v>35</v>
      </c>
      <c r="AI74" s="125" t="s">
        <v>1849</v>
      </c>
    </row>
    <row r="75" spans="1:35">
      <c r="A75" t="s">
        <v>162</v>
      </c>
      <c r="B75" s="2" t="s">
        <v>584</v>
      </c>
      <c r="C75" t="s">
        <v>569</v>
      </c>
      <c r="D75" t="s">
        <v>166</v>
      </c>
      <c r="E75" s="4" t="s">
        <v>586</v>
      </c>
      <c r="F75" t="s">
        <v>1855</v>
      </c>
      <c r="G75" t="s">
        <v>515</v>
      </c>
      <c r="H75" s="6">
        <v>33792</v>
      </c>
      <c r="I75" t="s">
        <v>5</v>
      </c>
      <c r="J75" t="s">
        <v>1101</v>
      </c>
      <c r="K75" t="s">
        <v>1363</v>
      </c>
      <c r="L75" s="135" t="s">
        <v>1364</v>
      </c>
      <c r="M75" s="135">
        <v>0</v>
      </c>
      <c r="N75" s="135" t="s">
        <v>1365</v>
      </c>
      <c r="O75" s="144">
        <v>0</v>
      </c>
      <c r="P75" s="135">
        <v>0</v>
      </c>
      <c r="Q75" s="144">
        <v>0</v>
      </c>
      <c r="R75" t="s">
        <v>9843</v>
      </c>
      <c r="S75" t="s">
        <v>7</v>
      </c>
      <c r="T75" s="117" t="s">
        <v>9808</v>
      </c>
      <c r="U75" t="s">
        <v>36</v>
      </c>
      <c r="V75" t="s">
        <v>9843</v>
      </c>
      <c r="W75" t="s">
        <v>35</v>
      </c>
      <c r="X75" t="s">
        <v>1366</v>
      </c>
      <c r="Y75" t="s">
        <v>1080</v>
      </c>
      <c r="Z75" t="s">
        <v>1097</v>
      </c>
      <c r="AA75" t="s">
        <v>7</v>
      </c>
      <c r="AB75" s="117" t="s">
        <v>9868</v>
      </c>
      <c r="AC75" s="117" t="s">
        <v>9872</v>
      </c>
      <c r="AD75" t="s">
        <v>1367</v>
      </c>
      <c r="AE75" t="s">
        <v>35</v>
      </c>
      <c r="AF75" t="s">
        <v>35</v>
      </c>
      <c r="AG75" t="s">
        <v>1367</v>
      </c>
      <c r="AH75" s="117" t="s">
        <v>35</v>
      </c>
      <c r="AI75" s="125" t="s">
        <v>1849</v>
      </c>
    </row>
    <row r="76" spans="1:35">
      <c r="A76" t="s">
        <v>163</v>
      </c>
      <c r="B76" s="2" t="s">
        <v>587</v>
      </c>
      <c r="C76" t="s">
        <v>571</v>
      </c>
      <c r="D76" t="s">
        <v>166</v>
      </c>
      <c r="E76" s="4" t="s">
        <v>588</v>
      </c>
      <c r="F76" t="s">
        <v>1855</v>
      </c>
      <c r="G76" t="s">
        <v>3</v>
      </c>
      <c r="H76" s="6">
        <v>33014</v>
      </c>
      <c r="I76" t="s">
        <v>1093</v>
      </c>
      <c r="J76" t="s">
        <v>1101</v>
      </c>
      <c r="K76" t="s">
        <v>1369</v>
      </c>
      <c r="L76" s="135">
        <v>0</v>
      </c>
      <c r="M76" s="135" t="s">
        <v>1368</v>
      </c>
      <c r="N76" s="135">
        <v>0</v>
      </c>
      <c r="O76" s="144">
        <v>0</v>
      </c>
      <c r="P76" s="135">
        <v>0</v>
      </c>
      <c r="Q76" s="144">
        <v>0</v>
      </c>
      <c r="R76" t="s">
        <v>9843</v>
      </c>
      <c r="S76" t="s">
        <v>7</v>
      </c>
      <c r="T76" s="117" t="s">
        <v>1370</v>
      </c>
      <c r="U76" s="117" t="s">
        <v>36</v>
      </c>
      <c r="V76" t="s">
        <v>9843</v>
      </c>
      <c r="W76" s="117" t="s">
        <v>35</v>
      </c>
      <c r="X76" s="117" t="s">
        <v>9859</v>
      </c>
      <c r="Y76" t="s">
        <v>1215</v>
      </c>
      <c r="Z76" t="s">
        <v>7</v>
      </c>
      <c r="AA76" t="s">
        <v>7</v>
      </c>
      <c r="AB76" t="s">
        <v>7</v>
      </c>
      <c r="AC76" s="117" t="s">
        <v>9872</v>
      </c>
      <c r="AD76" t="s">
        <v>1215</v>
      </c>
      <c r="AE76" t="s">
        <v>35</v>
      </c>
      <c r="AF76" t="s">
        <v>35</v>
      </c>
      <c r="AG76" t="s">
        <v>1215</v>
      </c>
      <c r="AH76" s="117" t="s">
        <v>35</v>
      </c>
      <c r="AI76" s="125" t="s">
        <v>1849</v>
      </c>
    </row>
    <row r="77" spans="1:35">
      <c r="A77" t="s">
        <v>164</v>
      </c>
      <c r="B77" s="2" t="s">
        <v>589</v>
      </c>
      <c r="C77" t="s">
        <v>569</v>
      </c>
      <c r="D77" t="s">
        <v>166</v>
      </c>
      <c r="E77" s="4" t="s">
        <v>590</v>
      </c>
      <c r="F77" t="s">
        <v>1855</v>
      </c>
      <c r="G77" t="s">
        <v>515</v>
      </c>
      <c r="H77" s="6">
        <v>31178</v>
      </c>
      <c r="I77" t="s">
        <v>5</v>
      </c>
      <c r="J77" t="s">
        <v>1074</v>
      </c>
      <c r="K77" t="s">
        <v>1371</v>
      </c>
      <c r="L77" s="135" t="s">
        <v>1372</v>
      </c>
      <c r="M77" s="135" t="s">
        <v>1373</v>
      </c>
      <c r="N77" s="135">
        <v>0</v>
      </c>
      <c r="O77" s="144">
        <v>0</v>
      </c>
      <c r="P77" s="135">
        <v>0</v>
      </c>
      <c r="Q77" s="144">
        <v>0</v>
      </c>
      <c r="R77" t="s">
        <v>9843</v>
      </c>
      <c r="S77" t="s">
        <v>7</v>
      </c>
      <c r="T77" s="117" t="s">
        <v>80</v>
      </c>
      <c r="U77" t="s">
        <v>36</v>
      </c>
      <c r="V77" t="s">
        <v>9843</v>
      </c>
      <c r="W77" t="s">
        <v>35</v>
      </c>
      <c r="X77" t="s">
        <v>7</v>
      </c>
      <c r="Y77" t="s">
        <v>9</v>
      </c>
      <c r="Z77" t="s">
        <v>7</v>
      </c>
      <c r="AA77" t="s">
        <v>7</v>
      </c>
      <c r="AB77" t="s">
        <v>7</v>
      </c>
      <c r="AC77" s="117" t="s">
        <v>7</v>
      </c>
      <c r="AD77" t="s">
        <v>9</v>
      </c>
      <c r="AE77" t="s">
        <v>35</v>
      </c>
      <c r="AF77" t="s">
        <v>35</v>
      </c>
      <c r="AG77" t="s">
        <v>9</v>
      </c>
      <c r="AH77" s="117" t="s">
        <v>35</v>
      </c>
      <c r="AI77" s="125" t="s">
        <v>1849</v>
      </c>
    </row>
    <row r="78" spans="1:35">
      <c r="A78" t="s">
        <v>165</v>
      </c>
      <c r="B78" s="2" t="s">
        <v>29</v>
      </c>
      <c r="C78" t="s">
        <v>569</v>
      </c>
      <c r="D78" t="s">
        <v>166</v>
      </c>
      <c r="E78" s="4" t="s">
        <v>591</v>
      </c>
      <c r="F78" t="s">
        <v>1855</v>
      </c>
      <c r="G78" t="s">
        <v>3</v>
      </c>
      <c r="H78" s="6">
        <v>35947</v>
      </c>
      <c r="I78" t="s">
        <v>4</v>
      </c>
      <c r="J78" t="s">
        <v>1101</v>
      </c>
      <c r="K78" t="s">
        <v>1374</v>
      </c>
      <c r="L78" s="135" t="s">
        <v>1376</v>
      </c>
      <c r="M78" s="135" t="s">
        <v>1375</v>
      </c>
      <c r="N78" s="135">
        <v>0</v>
      </c>
      <c r="O78" s="144">
        <v>0</v>
      </c>
      <c r="P78" s="135">
        <v>0</v>
      </c>
      <c r="Q78" s="144">
        <v>0</v>
      </c>
      <c r="R78" t="s">
        <v>9843</v>
      </c>
      <c r="S78" t="s">
        <v>7</v>
      </c>
      <c r="T78" s="117" t="s">
        <v>1150</v>
      </c>
      <c r="U78" t="s">
        <v>36</v>
      </c>
      <c r="V78" t="s">
        <v>9843</v>
      </c>
      <c r="W78" t="s">
        <v>35</v>
      </c>
      <c r="X78" t="s">
        <v>1350</v>
      </c>
      <c r="Y78" t="s">
        <v>1377</v>
      </c>
      <c r="Z78" t="s">
        <v>7</v>
      </c>
      <c r="AA78" t="s">
        <v>1677</v>
      </c>
      <c r="AB78" t="s">
        <v>7</v>
      </c>
      <c r="AC78" s="117" t="s">
        <v>7</v>
      </c>
      <c r="AD78" t="s">
        <v>9</v>
      </c>
      <c r="AE78" t="s">
        <v>35</v>
      </c>
      <c r="AF78" t="s">
        <v>35</v>
      </c>
      <c r="AG78" t="s">
        <v>9</v>
      </c>
      <c r="AH78" s="117" t="s">
        <v>35</v>
      </c>
      <c r="AI78" s="125" t="s">
        <v>1849</v>
      </c>
    </row>
    <row r="79" spans="1:35">
      <c r="A79" t="s">
        <v>167</v>
      </c>
      <c r="B79" s="2" t="s">
        <v>592</v>
      </c>
      <c r="C79" t="s">
        <v>593</v>
      </c>
      <c r="D79" t="s">
        <v>173</v>
      </c>
      <c r="E79" s="4" t="s">
        <v>594</v>
      </c>
      <c r="F79" t="s">
        <v>1855</v>
      </c>
      <c r="G79" t="s">
        <v>515</v>
      </c>
      <c r="H79" s="6">
        <v>31363</v>
      </c>
      <c r="I79" t="s">
        <v>4</v>
      </c>
      <c r="J79" t="s">
        <v>41</v>
      </c>
      <c r="K79" t="s">
        <v>1072</v>
      </c>
      <c r="L79" s="135">
        <v>0</v>
      </c>
      <c r="M79" s="135" t="s">
        <v>1073</v>
      </c>
      <c r="N79" s="135">
        <v>0</v>
      </c>
      <c r="O79" s="144">
        <v>0</v>
      </c>
      <c r="P79" s="135">
        <v>0</v>
      </c>
      <c r="Q79" s="144">
        <v>0</v>
      </c>
      <c r="R79" t="s">
        <v>9843</v>
      </c>
      <c r="S79" t="s">
        <v>7</v>
      </c>
      <c r="T79" s="117" t="s">
        <v>80</v>
      </c>
      <c r="U79" t="s">
        <v>51</v>
      </c>
      <c r="V79" t="s">
        <v>52</v>
      </c>
      <c r="W79" t="s">
        <v>35</v>
      </c>
      <c r="X79" t="s">
        <v>35</v>
      </c>
      <c r="Y79" t="s">
        <v>35</v>
      </c>
      <c r="Z79" t="s">
        <v>35</v>
      </c>
      <c r="AA79" t="s">
        <v>35</v>
      </c>
      <c r="AB79" t="s">
        <v>35</v>
      </c>
      <c r="AC79" s="1" t="s">
        <v>35</v>
      </c>
      <c r="AD79" t="s">
        <v>35</v>
      </c>
      <c r="AE79" t="s">
        <v>7</v>
      </c>
      <c r="AF79" t="s">
        <v>35</v>
      </c>
      <c r="AG79" t="s">
        <v>35</v>
      </c>
      <c r="AH79" t="s">
        <v>35</v>
      </c>
      <c r="AI79" t="s">
        <v>35</v>
      </c>
    </row>
    <row r="80" spans="1:35">
      <c r="A80" t="s">
        <v>168</v>
      </c>
      <c r="B80" s="2" t="s">
        <v>595</v>
      </c>
      <c r="C80" t="s">
        <v>593</v>
      </c>
      <c r="D80" t="s">
        <v>173</v>
      </c>
      <c r="E80" s="4" t="s">
        <v>596</v>
      </c>
      <c r="F80" t="s">
        <v>1855</v>
      </c>
      <c r="G80" t="s">
        <v>3</v>
      </c>
      <c r="H80" s="6">
        <v>29831</v>
      </c>
      <c r="I80" t="s">
        <v>5</v>
      </c>
      <c r="J80" t="s">
        <v>1074</v>
      </c>
      <c r="K80" t="s">
        <v>1076</v>
      </c>
      <c r="L80" s="135">
        <v>0</v>
      </c>
      <c r="M80" s="135" t="s">
        <v>1075</v>
      </c>
      <c r="N80" s="135">
        <v>0</v>
      </c>
      <c r="O80" s="144">
        <v>0</v>
      </c>
      <c r="P80" s="135">
        <v>0</v>
      </c>
      <c r="Q80" s="144">
        <v>0</v>
      </c>
      <c r="R80" t="s">
        <v>9843</v>
      </c>
      <c r="S80" t="s">
        <v>7</v>
      </c>
      <c r="T80" s="117" t="s">
        <v>1527</v>
      </c>
      <c r="U80" t="s">
        <v>36</v>
      </c>
      <c r="V80" t="s">
        <v>9843</v>
      </c>
      <c r="W80" t="s">
        <v>35</v>
      </c>
      <c r="X80" t="s">
        <v>1280</v>
      </c>
      <c r="Y80" t="s">
        <v>1077</v>
      </c>
      <c r="Z80" t="s">
        <v>7</v>
      </c>
      <c r="AA80" t="s">
        <v>7</v>
      </c>
      <c r="AB80" t="s">
        <v>7</v>
      </c>
      <c r="AC80" s="117" t="s">
        <v>7</v>
      </c>
      <c r="AD80" t="s">
        <v>1077</v>
      </c>
      <c r="AE80" t="s">
        <v>35</v>
      </c>
      <c r="AF80" t="s">
        <v>35</v>
      </c>
      <c r="AG80" t="s">
        <v>1077</v>
      </c>
      <c r="AH80" s="117" t="s">
        <v>35</v>
      </c>
      <c r="AI80" s="125" t="s">
        <v>1849</v>
      </c>
    </row>
    <row r="81" spans="1:35">
      <c r="A81" t="s">
        <v>169</v>
      </c>
      <c r="B81" s="2" t="s">
        <v>597</v>
      </c>
      <c r="C81" t="s">
        <v>598</v>
      </c>
      <c r="D81" t="s">
        <v>173</v>
      </c>
      <c r="E81" s="4" t="s">
        <v>599</v>
      </c>
      <c r="F81" t="s">
        <v>1855</v>
      </c>
      <c r="G81" t="s">
        <v>3</v>
      </c>
      <c r="H81" s="6">
        <v>32372</v>
      </c>
      <c r="I81" t="s">
        <v>4</v>
      </c>
      <c r="J81" t="s">
        <v>1074</v>
      </c>
      <c r="K81" t="s">
        <v>1078</v>
      </c>
      <c r="L81" s="135" t="s">
        <v>9895</v>
      </c>
      <c r="M81" s="135" t="s">
        <v>9896</v>
      </c>
      <c r="N81" s="135" t="s">
        <v>9897</v>
      </c>
      <c r="O81" s="144">
        <v>0</v>
      </c>
      <c r="P81" s="135">
        <v>0</v>
      </c>
      <c r="Q81" s="144">
        <v>0</v>
      </c>
      <c r="R81" t="s">
        <v>9843</v>
      </c>
      <c r="S81" t="s">
        <v>1271</v>
      </c>
      <c r="T81" s="117" t="s">
        <v>1666</v>
      </c>
      <c r="U81" t="s">
        <v>78</v>
      </c>
      <c r="V81" t="s">
        <v>9843</v>
      </c>
      <c r="W81" t="s">
        <v>7</v>
      </c>
      <c r="X81" t="s">
        <v>1079</v>
      </c>
      <c r="Y81" t="s">
        <v>1080</v>
      </c>
      <c r="Z81" t="s">
        <v>1097</v>
      </c>
      <c r="AA81" t="s">
        <v>7</v>
      </c>
      <c r="AB81" t="s">
        <v>1937</v>
      </c>
      <c r="AC81" s="117" t="s">
        <v>9872</v>
      </c>
      <c r="AD81" s="117" t="s">
        <v>1081</v>
      </c>
      <c r="AE81" t="s">
        <v>35</v>
      </c>
      <c r="AF81" t="s">
        <v>35</v>
      </c>
      <c r="AG81" s="117" t="s">
        <v>1081</v>
      </c>
      <c r="AH81" s="117" t="s">
        <v>35</v>
      </c>
      <c r="AI81" s="125" t="s">
        <v>1849</v>
      </c>
    </row>
    <row r="82" spans="1:35">
      <c r="A82" t="s">
        <v>170</v>
      </c>
      <c r="B82" s="2" t="s">
        <v>600</v>
      </c>
      <c r="C82" t="s">
        <v>593</v>
      </c>
      <c r="D82" t="s">
        <v>173</v>
      </c>
      <c r="E82" s="4" t="s">
        <v>601</v>
      </c>
      <c r="F82" t="s">
        <v>1855</v>
      </c>
      <c r="G82" t="s">
        <v>3</v>
      </c>
      <c r="H82" s="6">
        <v>34694</v>
      </c>
      <c r="I82" t="s">
        <v>4</v>
      </c>
      <c r="J82" t="s">
        <v>48</v>
      </c>
      <c r="K82" t="s">
        <v>1084</v>
      </c>
      <c r="L82" s="135">
        <v>0</v>
      </c>
      <c r="M82" s="135" t="s">
        <v>1083</v>
      </c>
      <c r="N82" s="135">
        <v>0</v>
      </c>
      <c r="O82" s="144">
        <v>0</v>
      </c>
      <c r="P82" s="135">
        <v>0</v>
      </c>
      <c r="Q82" s="144">
        <v>0</v>
      </c>
      <c r="R82" t="s">
        <v>9843</v>
      </c>
      <c r="S82" t="s">
        <v>7</v>
      </c>
      <c r="T82" s="117" t="s">
        <v>9809</v>
      </c>
      <c r="U82" t="s">
        <v>51</v>
      </c>
      <c r="V82" t="s">
        <v>52</v>
      </c>
      <c r="W82" t="s">
        <v>35</v>
      </c>
      <c r="X82" t="s">
        <v>35</v>
      </c>
      <c r="Y82" t="s">
        <v>35</v>
      </c>
      <c r="Z82" t="s">
        <v>35</v>
      </c>
      <c r="AA82" t="s">
        <v>35</v>
      </c>
      <c r="AB82" t="s">
        <v>35</v>
      </c>
      <c r="AC82" s="1" t="s">
        <v>35</v>
      </c>
      <c r="AD82" t="s">
        <v>35</v>
      </c>
      <c r="AE82" t="s">
        <v>7</v>
      </c>
      <c r="AF82" t="s">
        <v>35</v>
      </c>
      <c r="AG82" t="s">
        <v>35</v>
      </c>
      <c r="AH82" t="s">
        <v>35</v>
      </c>
      <c r="AI82" t="s">
        <v>35</v>
      </c>
    </row>
    <row r="83" spans="1:35">
      <c r="A83" t="s">
        <v>171</v>
      </c>
      <c r="B83" s="2" t="s">
        <v>602</v>
      </c>
      <c r="C83" t="s">
        <v>603</v>
      </c>
      <c r="D83" t="s">
        <v>173</v>
      </c>
      <c r="E83" s="4" t="s">
        <v>604</v>
      </c>
      <c r="F83" t="s">
        <v>1085</v>
      </c>
      <c r="G83" t="s">
        <v>3</v>
      </c>
      <c r="H83" s="6">
        <v>35376</v>
      </c>
      <c r="I83" t="s">
        <v>5</v>
      </c>
      <c r="J83" t="s">
        <v>41</v>
      </c>
      <c r="K83" t="s">
        <v>1086</v>
      </c>
      <c r="L83" s="135">
        <v>0</v>
      </c>
      <c r="M83" s="135" t="s">
        <v>1087</v>
      </c>
      <c r="N83" s="135">
        <v>0</v>
      </c>
      <c r="O83" s="144">
        <v>0</v>
      </c>
      <c r="P83" s="135">
        <v>0</v>
      </c>
      <c r="Q83" s="144">
        <v>0</v>
      </c>
      <c r="R83" t="s">
        <v>9843</v>
      </c>
      <c r="S83" t="s">
        <v>1088</v>
      </c>
      <c r="T83" s="117" t="s">
        <v>1106</v>
      </c>
      <c r="U83" t="s">
        <v>51</v>
      </c>
      <c r="V83" t="s">
        <v>52</v>
      </c>
      <c r="W83" t="s">
        <v>1089</v>
      </c>
      <c r="X83" t="s">
        <v>35</v>
      </c>
      <c r="Y83" t="s">
        <v>35</v>
      </c>
      <c r="Z83" t="s">
        <v>35</v>
      </c>
      <c r="AA83" t="s">
        <v>35</v>
      </c>
      <c r="AB83" t="s">
        <v>35</v>
      </c>
      <c r="AC83" s="1" t="s">
        <v>35</v>
      </c>
      <c r="AD83" t="s">
        <v>35</v>
      </c>
      <c r="AE83" t="s">
        <v>7</v>
      </c>
      <c r="AF83" s="117" t="s">
        <v>9810</v>
      </c>
      <c r="AG83" s="117" t="s">
        <v>9810</v>
      </c>
      <c r="AH83" t="s">
        <v>9851</v>
      </c>
      <c r="AI83" s="117" t="s">
        <v>35</v>
      </c>
    </row>
    <row r="84" spans="1:35">
      <c r="A84" t="s">
        <v>172</v>
      </c>
      <c r="B84" s="2" t="s">
        <v>608</v>
      </c>
      <c r="C84" t="s">
        <v>593</v>
      </c>
      <c r="D84" t="s">
        <v>173</v>
      </c>
      <c r="E84" s="4" t="s">
        <v>609</v>
      </c>
      <c r="F84" t="s">
        <v>1855</v>
      </c>
      <c r="G84" t="s">
        <v>3</v>
      </c>
      <c r="H84" s="6">
        <v>32904</v>
      </c>
      <c r="I84" t="s">
        <v>5</v>
      </c>
      <c r="J84" t="s">
        <v>1101</v>
      </c>
      <c r="K84" t="s">
        <v>1103</v>
      </c>
      <c r="L84" s="135" t="s">
        <v>1102</v>
      </c>
      <c r="M84" s="135">
        <v>0</v>
      </c>
      <c r="N84" s="135">
        <v>0</v>
      </c>
      <c r="O84" s="144">
        <v>0</v>
      </c>
      <c r="P84" s="135">
        <v>0</v>
      </c>
      <c r="Q84" s="144">
        <v>0</v>
      </c>
      <c r="R84" t="s">
        <v>9843</v>
      </c>
      <c r="S84" t="s">
        <v>7</v>
      </c>
      <c r="T84" s="117" t="s">
        <v>9811</v>
      </c>
      <c r="U84" t="s">
        <v>36</v>
      </c>
      <c r="V84" t="s">
        <v>9843</v>
      </c>
      <c r="W84" t="s">
        <v>35</v>
      </c>
      <c r="X84" t="s">
        <v>1104</v>
      </c>
      <c r="Y84" t="s">
        <v>8</v>
      </c>
      <c r="Z84" t="s">
        <v>1097</v>
      </c>
      <c r="AA84" t="s">
        <v>7</v>
      </c>
      <c r="AB84" t="s">
        <v>7</v>
      </c>
      <c r="AC84" s="117" t="s">
        <v>9872</v>
      </c>
      <c r="AD84" t="s">
        <v>1105</v>
      </c>
      <c r="AE84" t="s">
        <v>35</v>
      </c>
      <c r="AF84" t="s">
        <v>35</v>
      </c>
      <c r="AG84" t="s">
        <v>1105</v>
      </c>
      <c r="AH84" s="117" t="s">
        <v>35</v>
      </c>
      <c r="AI84" s="125" t="s">
        <v>1849</v>
      </c>
    </row>
    <row r="85" spans="1:35">
      <c r="A85" s="117" t="s">
        <v>1091</v>
      </c>
      <c r="B85" s="6">
        <v>42849</v>
      </c>
      <c r="C85" t="s">
        <v>607</v>
      </c>
      <c r="D85" t="s">
        <v>173</v>
      </c>
      <c r="E85" t="s">
        <v>1092</v>
      </c>
      <c r="F85" t="s">
        <v>1855</v>
      </c>
      <c r="G85" t="s">
        <v>3</v>
      </c>
      <c r="H85" s="6">
        <v>34241</v>
      </c>
      <c r="I85" t="s">
        <v>1093</v>
      </c>
      <c r="J85" t="s">
        <v>48</v>
      </c>
      <c r="K85" t="s">
        <v>1094</v>
      </c>
      <c r="L85" s="135" t="s">
        <v>1096</v>
      </c>
      <c r="M85" s="135" t="s">
        <v>1095</v>
      </c>
      <c r="N85" s="135">
        <v>0</v>
      </c>
      <c r="O85" s="144">
        <v>0</v>
      </c>
      <c r="P85" s="135">
        <v>0</v>
      </c>
      <c r="Q85" s="144">
        <v>0</v>
      </c>
      <c r="R85" t="s">
        <v>9843</v>
      </c>
      <c r="S85" t="s">
        <v>7</v>
      </c>
      <c r="T85" s="117" t="s">
        <v>1098</v>
      </c>
      <c r="U85" t="s">
        <v>36</v>
      </c>
      <c r="V85" t="s">
        <v>9843</v>
      </c>
      <c r="W85" t="s">
        <v>35</v>
      </c>
      <c r="X85" t="s">
        <v>1079</v>
      </c>
      <c r="Y85" t="s">
        <v>1100</v>
      </c>
      <c r="Z85" t="s">
        <v>1097</v>
      </c>
      <c r="AA85" t="s">
        <v>7</v>
      </c>
      <c r="AB85" t="s">
        <v>7</v>
      </c>
      <c r="AC85" s="117" t="s">
        <v>7</v>
      </c>
      <c r="AD85" t="s">
        <v>1099</v>
      </c>
      <c r="AE85" t="s">
        <v>35</v>
      </c>
      <c r="AF85" t="s">
        <v>35</v>
      </c>
      <c r="AG85" t="s">
        <v>1099</v>
      </c>
      <c r="AH85" s="117" t="s">
        <v>35</v>
      </c>
      <c r="AI85" s="125" t="s">
        <v>1849</v>
      </c>
    </row>
    <row r="86" spans="1:35">
      <c r="A86" t="s">
        <v>1310</v>
      </c>
      <c r="B86" s="2" t="s">
        <v>579</v>
      </c>
      <c r="C86" t="s">
        <v>607</v>
      </c>
      <c r="D86" t="s">
        <v>173</v>
      </c>
      <c r="E86" t="s">
        <v>1312</v>
      </c>
      <c r="F86" t="s">
        <v>1311</v>
      </c>
      <c r="G86" t="s">
        <v>515</v>
      </c>
      <c r="H86" s="122">
        <v>27765</v>
      </c>
      <c r="I86" t="s">
        <v>1093</v>
      </c>
      <c r="J86" t="s">
        <v>1074</v>
      </c>
      <c r="K86" t="s">
        <v>1315</v>
      </c>
      <c r="L86" s="135">
        <v>0</v>
      </c>
      <c r="M86" s="135" t="s">
        <v>1314</v>
      </c>
      <c r="N86" s="135">
        <v>0</v>
      </c>
      <c r="O86" s="144">
        <v>0</v>
      </c>
      <c r="P86" s="135">
        <v>0</v>
      </c>
      <c r="Q86" s="144">
        <v>0</v>
      </c>
      <c r="R86" t="s">
        <v>9846</v>
      </c>
      <c r="S86" t="s">
        <v>7</v>
      </c>
      <c r="T86" s="117" t="s">
        <v>9812</v>
      </c>
      <c r="U86" t="s">
        <v>78</v>
      </c>
      <c r="V86" t="s">
        <v>9843</v>
      </c>
      <c r="W86" t="s">
        <v>35</v>
      </c>
      <c r="X86" t="s">
        <v>1079</v>
      </c>
      <c r="Y86" t="s">
        <v>1164</v>
      </c>
      <c r="Z86" t="s">
        <v>7</v>
      </c>
      <c r="AA86" s="117" t="s">
        <v>1111</v>
      </c>
      <c r="AB86" t="s">
        <v>9869</v>
      </c>
      <c r="AC86" s="117" t="s">
        <v>7</v>
      </c>
      <c r="AD86" s="117" t="s">
        <v>1316</v>
      </c>
      <c r="AE86" t="s">
        <v>35</v>
      </c>
      <c r="AF86" t="s">
        <v>35</v>
      </c>
      <c r="AG86" s="117" t="s">
        <v>1316</v>
      </c>
      <c r="AH86" s="117" t="s">
        <v>35</v>
      </c>
      <c r="AI86" s="125" t="s">
        <v>1849</v>
      </c>
    </row>
    <row r="87" spans="1:35">
      <c r="A87" t="s">
        <v>1310</v>
      </c>
      <c r="B87" s="2" t="s">
        <v>579</v>
      </c>
      <c r="C87" t="s">
        <v>607</v>
      </c>
      <c r="D87" t="s">
        <v>173</v>
      </c>
      <c r="E87" t="s">
        <v>1313</v>
      </c>
      <c r="F87" t="s">
        <v>1311</v>
      </c>
      <c r="G87" t="s">
        <v>3</v>
      </c>
      <c r="H87" s="122">
        <v>27590</v>
      </c>
      <c r="I87" t="s">
        <v>1093</v>
      </c>
      <c r="J87" t="s">
        <v>1101</v>
      </c>
      <c r="K87" t="s">
        <v>1315</v>
      </c>
      <c r="L87" s="135">
        <v>0</v>
      </c>
      <c r="M87" s="135" t="s">
        <v>1314</v>
      </c>
      <c r="N87" s="135">
        <v>0</v>
      </c>
      <c r="O87" s="144">
        <v>0</v>
      </c>
      <c r="P87" s="135">
        <v>0</v>
      </c>
      <c r="Q87" s="144">
        <v>0</v>
      </c>
      <c r="R87" t="s">
        <v>9846</v>
      </c>
      <c r="S87" t="s">
        <v>7</v>
      </c>
      <c r="T87" s="117" t="s">
        <v>9813</v>
      </c>
      <c r="U87" t="s">
        <v>78</v>
      </c>
      <c r="V87" t="s">
        <v>9843</v>
      </c>
      <c r="W87" t="s">
        <v>35</v>
      </c>
      <c r="X87" t="s">
        <v>1079</v>
      </c>
      <c r="Y87" t="s">
        <v>1164</v>
      </c>
      <c r="Z87" t="s">
        <v>7</v>
      </c>
      <c r="AA87" s="117" t="s">
        <v>1111</v>
      </c>
      <c r="AB87" t="s">
        <v>9869</v>
      </c>
      <c r="AC87" s="117" t="s">
        <v>7</v>
      </c>
      <c r="AD87" s="117" t="s">
        <v>1318</v>
      </c>
      <c r="AE87" t="s">
        <v>35</v>
      </c>
      <c r="AF87" t="s">
        <v>35</v>
      </c>
      <c r="AG87" s="117" t="s">
        <v>1318</v>
      </c>
      <c r="AH87" s="117" t="s">
        <v>35</v>
      </c>
      <c r="AI87" s="125" t="s">
        <v>1849</v>
      </c>
    </row>
    <row r="88" spans="1:35">
      <c r="A88" s="125" t="s">
        <v>174</v>
      </c>
      <c r="B88" s="126">
        <v>42913</v>
      </c>
      <c r="C88" s="127" t="s">
        <v>610</v>
      </c>
      <c r="D88" s="125" t="s">
        <v>185</v>
      </c>
      <c r="E88" s="127" t="s">
        <v>1898</v>
      </c>
      <c r="F88" t="s">
        <v>1855</v>
      </c>
      <c r="G88" s="125" t="s">
        <v>3</v>
      </c>
      <c r="H88" s="126">
        <v>34342</v>
      </c>
      <c r="I88" s="125" t="s">
        <v>4</v>
      </c>
      <c r="J88" s="125" t="s">
        <v>48</v>
      </c>
      <c r="K88" s="125" t="s">
        <v>1342</v>
      </c>
      <c r="L88" s="125" t="s">
        <v>2010</v>
      </c>
      <c r="M88" s="125" t="s">
        <v>2011</v>
      </c>
      <c r="N88" s="125">
        <v>0</v>
      </c>
      <c r="O88" s="146">
        <v>0</v>
      </c>
      <c r="P88" s="125">
        <v>0</v>
      </c>
      <c r="Q88" s="146">
        <v>0</v>
      </c>
      <c r="R88" t="s">
        <v>9846</v>
      </c>
      <c r="S88" s="125" t="s">
        <v>7</v>
      </c>
      <c r="T88" s="125" t="s">
        <v>2021</v>
      </c>
      <c r="U88" s="125" t="s">
        <v>36</v>
      </c>
      <c r="V88" t="s">
        <v>9846</v>
      </c>
      <c r="W88" s="125" t="s">
        <v>35</v>
      </c>
      <c r="X88" s="125" t="s">
        <v>7</v>
      </c>
      <c r="Y88" s="125" t="s">
        <v>9</v>
      </c>
      <c r="Z88" s="125" t="s">
        <v>7</v>
      </c>
      <c r="AA88" s="125" t="s">
        <v>7</v>
      </c>
      <c r="AB88" s="125" t="s">
        <v>7</v>
      </c>
      <c r="AC88" s="117" t="s">
        <v>7</v>
      </c>
      <c r="AD88" s="125" t="s">
        <v>9</v>
      </c>
      <c r="AE88" s="125" t="s">
        <v>1162</v>
      </c>
      <c r="AF88" s="125" t="s">
        <v>35</v>
      </c>
      <c r="AG88" s="125" t="s">
        <v>1166</v>
      </c>
      <c r="AH88" s="117" t="s">
        <v>35</v>
      </c>
      <c r="AI88" s="125" t="s">
        <v>1849</v>
      </c>
    </row>
    <row r="89" spans="1:35">
      <c r="A89" s="125" t="s">
        <v>174</v>
      </c>
      <c r="B89" s="126">
        <v>42913</v>
      </c>
      <c r="C89" s="127" t="s">
        <v>610</v>
      </c>
      <c r="D89" s="125" t="s">
        <v>185</v>
      </c>
      <c r="E89" s="127" t="s">
        <v>1899</v>
      </c>
      <c r="F89" t="s">
        <v>1855</v>
      </c>
      <c r="G89" s="125" t="s">
        <v>3</v>
      </c>
      <c r="H89" s="126">
        <v>35563</v>
      </c>
      <c r="I89" s="125" t="s">
        <v>4</v>
      </c>
      <c r="J89" s="125" t="s">
        <v>48</v>
      </c>
      <c r="K89" s="125" t="s">
        <v>1998</v>
      </c>
      <c r="L89" s="125" t="s">
        <v>2010</v>
      </c>
      <c r="M89" s="125" t="s">
        <v>2011</v>
      </c>
      <c r="N89" s="125">
        <v>0</v>
      </c>
      <c r="O89" s="146">
        <v>0</v>
      </c>
      <c r="P89" s="125">
        <v>0</v>
      </c>
      <c r="Q89" s="146">
        <v>0</v>
      </c>
      <c r="R89" t="s">
        <v>9846</v>
      </c>
      <c r="S89" s="125" t="s">
        <v>7</v>
      </c>
      <c r="T89" s="125" t="s">
        <v>1229</v>
      </c>
      <c r="U89" s="125" t="s">
        <v>36</v>
      </c>
      <c r="V89" t="s">
        <v>9846</v>
      </c>
      <c r="W89" s="125" t="s">
        <v>35</v>
      </c>
      <c r="X89" s="125" t="s">
        <v>7</v>
      </c>
      <c r="Y89" s="125" t="s">
        <v>9</v>
      </c>
      <c r="Z89" s="125" t="s">
        <v>7</v>
      </c>
      <c r="AA89" s="125" t="s">
        <v>7</v>
      </c>
      <c r="AB89" s="125" t="s">
        <v>7</v>
      </c>
      <c r="AC89" s="117" t="s">
        <v>7</v>
      </c>
      <c r="AD89" s="125" t="s">
        <v>9</v>
      </c>
      <c r="AE89" s="125" t="s">
        <v>1162</v>
      </c>
      <c r="AF89" s="125" t="s">
        <v>35</v>
      </c>
      <c r="AG89" s="125" t="s">
        <v>1166</v>
      </c>
      <c r="AH89" s="117" t="s">
        <v>35</v>
      </c>
      <c r="AI89" s="125" t="s">
        <v>1849</v>
      </c>
    </row>
    <row r="90" spans="1:35">
      <c r="A90" s="125" t="s">
        <v>175</v>
      </c>
      <c r="B90" s="126">
        <v>42878</v>
      </c>
      <c r="C90" s="127" t="s">
        <v>610</v>
      </c>
      <c r="D90" s="125" t="s">
        <v>185</v>
      </c>
      <c r="E90" s="127" t="s">
        <v>611</v>
      </c>
      <c r="F90" t="s">
        <v>1855</v>
      </c>
      <c r="G90" s="125" t="s">
        <v>3</v>
      </c>
      <c r="H90" s="126">
        <v>28902</v>
      </c>
      <c r="I90" s="125" t="s">
        <v>1093</v>
      </c>
      <c r="J90" s="125" t="s">
        <v>1101</v>
      </c>
      <c r="K90" s="125" t="s">
        <v>1999</v>
      </c>
      <c r="L90" s="125" t="s">
        <v>2009</v>
      </c>
      <c r="M90" s="125" t="s">
        <v>2012</v>
      </c>
      <c r="N90" s="125" t="s">
        <v>2017</v>
      </c>
      <c r="O90" s="146">
        <v>0</v>
      </c>
      <c r="P90" s="125">
        <v>0</v>
      </c>
      <c r="Q90" s="146">
        <v>0</v>
      </c>
      <c r="R90" t="s">
        <v>9843</v>
      </c>
      <c r="S90" s="125" t="s">
        <v>7</v>
      </c>
      <c r="T90" s="125" t="s">
        <v>2022</v>
      </c>
      <c r="U90" s="125" t="s">
        <v>36</v>
      </c>
      <c r="V90" t="s">
        <v>9843</v>
      </c>
      <c r="W90" s="125" t="s">
        <v>35</v>
      </c>
      <c r="X90" s="125" t="s">
        <v>7</v>
      </c>
      <c r="Y90" s="125" t="s">
        <v>9</v>
      </c>
      <c r="Z90" t="s">
        <v>1097</v>
      </c>
      <c r="AA90" s="125" t="s">
        <v>7</v>
      </c>
      <c r="AB90" s="125" t="s">
        <v>7</v>
      </c>
      <c r="AC90" s="117" t="s">
        <v>9872</v>
      </c>
      <c r="AD90" s="125" t="s">
        <v>1100</v>
      </c>
      <c r="AE90" s="125" t="s">
        <v>35</v>
      </c>
      <c r="AF90" s="125" t="s">
        <v>35</v>
      </c>
      <c r="AG90" s="125" t="s">
        <v>1100</v>
      </c>
      <c r="AH90" s="117" t="s">
        <v>35</v>
      </c>
      <c r="AI90" s="125" t="s">
        <v>1849</v>
      </c>
    </row>
    <row r="91" spans="1:35">
      <c r="A91" s="125" t="s">
        <v>176</v>
      </c>
      <c r="B91" s="126">
        <v>43017</v>
      </c>
      <c r="C91" s="127" t="s">
        <v>898</v>
      </c>
      <c r="D91" s="125" t="s">
        <v>185</v>
      </c>
      <c r="E91" s="127" t="s">
        <v>1900</v>
      </c>
      <c r="F91" s="125" t="s">
        <v>1901</v>
      </c>
      <c r="G91" s="125" t="s">
        <v>515</v>
      </c>
      <c r="H91" s="129">
        <v>25190</v>
      </c>
      <c r="I91" s="125" t="s">
        <v>4</v>
      </c>
      <c r="J91" s="125" t="s">
        <v>41</v>
      </c>
      <c r="K91" s="125" t="s">
        <v>1902</v>
      </c>
      <c r="L91" s="125" t="s">
        <v>2008</v>
      </c>
      <c r="M91" s="125">
        <v>0</v>
      </c>
      <c r="N91" s="125" t="s">
        <v>10077</v>
      </c>
      <c r="O91" s="146">
        <v>0</v>
      </c>
      <c r="P91" s="125">
        <v>0</v>
      </c>
      <c r="Q91" s="146">
        <v>0</v>
      </c>
      <c r="R91" t="s">
        <v>9846</v>
      </c>
      <c r="S91" s="125" t="s">
        <v>7</v>
      </c>
      <c r="T91" s="125" t="s">
        <v>2023</v>
      </c>
      <c r="U91" s="125" t="s">
        <v>1903</v>
      </c>
      <c r="V91" t="s">
        <v>9843</v>
      </c>
      <c r="W91" s="125" t="s">
        <v>35</v>
      </c>
      <c r="X91" s="125" t="s">
        <v>7</v>
      </c>
      <c r="Y91" s="125" t="s">
        <v>9</v>
      </c>
      <c r="Z91" s="125" t="s">
        <v>7</v>
      </c>
      <c r="AA91" s="125" t="s">
        <v>7</v>
      </c>
      <c r="AB91" s="117" t="s">
        <v>9868</v>
      </c>
      <c r="AC91" t="s">
        <v>9870</v>
      </c>
      <c r="AD91" s="125" t="s">
        <v>1182</v>
      </c>
      <c r="AE91" s="125" t="s">
        <v>35</v>
      </c>
      <c r="AF91" s="125" t="s">
        <v>35</v>
      </c>
      <c r="AG91" s="125" t="s">
        <v>1182</v>
      </c>
      <c r="AH91" t="s">
        <v>9851</v>
      </c>
      <c r="AI91" s="117" t="s">
        <v>35</v>
      </c>
    </row>
    <row r="92" spans="1:35">
      <c r="A92" s="125" t="s">
        <v>176</v>
      </c>
      <c r="B92" s="126">
        <v>43017</v>
      </c>
      <c r="C92" s="127" t="s">
        <v>898</v>
      </c>
      <c r="D92" s="125" t="s">
        <v>185</v>
      </c>
      <c r="E92" s="127" t="s">
        <v>1904</v>
      </c>
      <c r="F92" s="125" t="s">
        <v>1901</v>
      </c>
      <c r="G92" s="125" t="s">
        <v>3</v>
      </c>
      <c r="H92" s="141" t="s">
        <v>9831</v>
      </c>
      <c r="I92" s="132" t="s">
        <v>4</v>
      </c>
      <c r="J92" s="132" t="s">
        <v>48</v>
      </c>
      <c r="K92" s="125" t="s">
        <v>1186</v>
      </c>
      <c r="L92" s="125" t="s">
        <v>2008</v>
      </c>
      <c r="M92" s="125">
        <v>0</v>
      </c>
      <c r="N92" s="125" t="s">
        <v>10077</v>
      </c>
      <c r="O92" s="146">
        <v>0</v>
      </c>
      <c r="P92" s="125">
        <v>0</v>
      </c>
      <c r="Q92" s="146">
        <v>0</v>
      </c>
      <c r="R92" t="s">
        <v>9846</v>
      </c>
      <c r="S92" s="125" t="s">
        <v>7</v>
      </c>
      <c r="T92" s="125" t="s">
        <v>1122</v>
      </c>
      <c r="U92" s="125" t="s">
        <v>51</v>
      </c>
      <c r="V92" t="s">
        <v>52</v>
      </c>
      <c r="W92" s="125" t="s">
        <v>35</v>
      </c>
      <c r="X92" s="125" t="s">
        <v>35</v>
      </c>
      <c r="Y92" s="125" t="s">
        <v>35</v>
      </c>
      <c r="Z92" s="125" t="s">
        <v>35</v>
      </c>
      <c r="AA92" s="125" t="s">
        <v>35</v>
      </c>
      <c r="AB92" s="125" t="s">
        <v>35</v>
      </c>
      <c r="AC92" s="125" t="s">
        <v>35</v>
      </c>
      <c r="AD92" s="125" t="s">
        <v>35</v>
      </c>
      <c r="AE92" t="s">
        <v>7</v>
      </c>
      <c r="AF92" s="125" t="s">
        <v>35</v>
      </c>
      <c r="AG92" s="125" t="s">
        <v>35</v>
      </c>
      <c r="AH92" s="125" t="s">
        <v>35</v>
      </c>
      <c r="AI92" s="125" t="s">
        <v>35</v>
      </c>
    </row>
    <row r="93" spans="1:35">
      <c r="A93" s="125" t="s">
        <v>177</v>
      </c>
      <c r="B93" s="126">
        <v>43040</v>
      </c>
      <c r="C93" s="127" t="s">
        <v>610</v>
      </c>
      <c r="D93" s="125" t="s">
        <v>185</v>
      </c>
      <c r="E93" s="127" t="s">
        <v>616</v>
      </c>
      <c r="F93" t="s">
        <v>1855</v>
      </c>
      <c r="G93" s="125" t="s">
        <v>3</v>
      </c>
      <c r="H93" s="129">
        <v>35018</v>
      </c>
      <c r="I93" s="125" t="s">
        <v>5</v>
      </c>
      <c r="J93" s="125" t="s">
        <v>18</v>
      </c>
      <c r="K93" s="125" t="s">
        <v>2000</v>
      </c>
      <c r="L93" s="132" t="s">
        <v>10064</v>
      </c>
      <c r="M93" s="132" t="s">
        <v>10065</v>
      </c>
      <c r="N93" s="132" t="s">
        <v>10066</v>
      </c>
      <c r="O93" s="146">
        <v>0</v>
      </c>
      <c r="P93" s="125">
        <v>0</v>
      </c>
      <c r="Q93" s="146">
        <v>0</v>
      </c>
      <c r="R93" t="s">
        <v>9843</v>
      </c>
      <c r="S93" s="125" t="s">
        <v>7</v>
      </c>
      <c r="T93" s="125" t="s">
        <v>1392</v>
      </c>
      <c r="U93" s="125" t="s">
        <v>6</v>
      </c>
      <c r="V93" s="123" t="s">
        <v>35</v>
      </c>
      <c r="W93" s="123" t="s">
        <v>35</v>
      </c>
      <c r="X93" s="123" t="s">
        <v>35</v>
      </c>
      <c r="Y93" s="123" t="s">
        <v>35</v>
      </c>
      <c r="Z93" s="123" t="s">
        <v>35</v>
      </c>
      <c r="AA93" s="123" t="s">
        <v>35</v>
      </c>
      <c r="AB93" s="123" t="s">
        <v>35</v>
      </c>
      <c r="AC93" s="123" t="s">
        <v>35</v>
      </c>
      <c r="AD93" s="123" t="s">
        <v>35</v>
      </c>
      <c r="AE93" s="125" t="s">
        <v>35</v>
      </c>
      <c r="AF93" s="123" t="s">
        <v>35</v>
      </c>
      <c r="AG93" s="123" t="s">
        <v>35</v>
      </c>
      <c r="AH93" s="123" t="s">
        <v>35</v>
      </c>
      <c r="AI93" s="123" t="s">
        <v>35</v>
      </c>
    </row>
    <row r="94" spans="1:35">
      <c r="A94" s="125" t="s">
        <v>178</v>
      </c>
      <c r="B94" s="126">
        <v>42801</v>
      </c>
      <c r="C94" s="127" t="s">
        <v>614</v>
      </c>
      <c r="D94" s="125" t="s">
        <v>185</v>
      </c>
      <c r="E94" s="127" t="s">
        <v>617</v>
      </c>
      <c r="F94" t="s">
        <v>1855</v>
      </c>
      <c r="G94" s="125" t="s">
        <v>3</v>
      </c>
      <c r="H94" s="129">
        <v>35359</v>
      </c>
      <c r="I94" s="125" t="s">
        <v>1093</v>
      </c>
      <c r="J94" s="125" t="s">
        <v>1101</v>
      </c>
      <c r="K94" s="125" t="s">
        <v>1220</v>
      </c>
      <c r="L94" s="125" t="s">
        <v>9898</v>
      </c>
      <c r="M94" s="125" t="s">
        <v>9899</v>
      </c>
      <c r="N94" s="125">
        <v>0</v>
      </c>
      <c r="O94" s="146">
        <v>0</v>
      </c>
      <c r="P94" s="125">
        <v>0</v>
      </c>
      <c r="Q94" s="146">
        <v>0</v>
      </c>
      <c r="R94" t="s">
        <v>9843</v>
      </c>
      <c r="S94" s="125" t="s">
        <v>7</v>
      </c>
      <c r="T94" s="125" t="s">
        <v>2024</v>
      </c>
      <c r="U94" s="125" t="s">
        <v>36</v>
      </c>
      <c r="V94" t="s">
        <v>9843</v>
      </c>
      <c r="W94" s="125" t="s">
        <v>35</v>
      </c>
      <c r="X94" s="125" t="s">
        <v>7</v>
      </c>
      <c r="Y94" s="125" t="s">
        <v>9</v>
      </c>
      <c r="Z94" s="125" t="s">
        <v>7</v>
      </c>
      <c r="AA94" s="125" t="s">
        <v>7</v>
      </c>
      <c r="AB94" s="125" t="s">
        <v>7</v>
      </c>
      <c r="AC94" s="117" t="s">
        <v>7</v>
      </c>
      <c r="AD94" s="125" t="s">
        <v>9</v>
      </c>
      <c r="AE94" s="125" t="s">
        <v>35</v>
      </c>
      <c r="AF94" s="125" t="s">
        <v>35</v>
      </c>
      <c r="AG94" s="125" t="s">
        <v>9</v>
      </c>
      <c r="AH94" s="117" t="s">
        <v>35</v>
      </c>
      <c r="AI94" s="125" t="s">
        <v>1849</v>
      </c>
    </row>
    <row r="95" spans="1:35">
      <c r="A95" s="125" t="s">
        <v>179</v>
      </c>
      <c r="B95" s="131">
        <v>42907</v>
      </c>
      <c r="C95" s="127" t="s">
        <v>614</v>
      </c>
      <c r="D95" s="125" t="s">
        <v>185</v>
      </c>
      <c r="E95" s="127" t="s">
        <v>618</v>
      </c>
      <c r="F95" s="125" t="s">
        <v>76</v>
      </c>
      <c r="G95" s="125" t="s">
        <v>3</v>
      </c>
      <c r="H95" s="126">
        <v>34355</v>
      </c>
      <c r="I95" s="125" t="s">
        <v>5</v>
      </c>
      <c r="J95" s="125" t="s">
        <v>48</v>
      </c>
      <c r="K95" s="125" t="s">
        <v>1906</v>
      </c>
      <c r="L95" s="125" t="s">
        <v>2007</v>
      </c>
      <c r="M95" s="130" t="s">
        <v>2013</v>
      </c>
      <c r="N95" s="125" t="s">
        <v>2018</v>
      </c>
      <c r="O95" s="146">
        <v>0</v>
      </c>
      <c r="P95" s="125">
        <v>0</v>
      </c>
      <c r="Q95" s="146">
        <v>0</v>
      </c>
      <c r="R95" t="s">
        <v>9846</v>
      </c>
      <c r="S95" s="125" t="s">
        <v>9849</v>
      </c>
      <c r="T95" s="125" t="s">
        <v>1106</v>
      </c>
      <c r="U95" s="125" t="s">
        <v>78</v>
      </c>
      <c r="V95" t="s">
        <v>9843</v>
      </c>
      <c r="W95" s="125" t="s">
        <v>9853</v>
      </c>
      <c r="X95" s="125" t="s">
        <v>1280</v>
      </c>
      <c r="Y95" s="125" t="s">
        <v>1080</v>
      </c>
      <c r="Z95" t="s">
        <v>1097</v>
      </c>
      <c r="AA95" s="117" t="s">
        <v>1111</v>
      </c>
      <c r="AB95" s="125" t="s">
        <v>7</v>
      </c>
      <c r="AC95" s="117" t="s">
        <v>7</v>
      </c>
      <c r="AD95" s="132" t="s">
        <v>1907</v>
      </c>
      <c r="AE95" s="125" t="s">
        <v>35</v>
      </c>
      <c r="AF95" s="132" t="s">
        <v>9873</v>
      </c>
      <c r="AG95" s="132" t="s">
        <v>1908</v>
      </c>
      <c r="AH95" s="117" t="s">
        <v>35</v>
      </c>
      <c r="AI95" s="125" t="s">
        <v>1849</v>
      </c>
    </row>
    <row r="96" spans="1:35">
      <c r="A96" s="125" t="s">
        <v>180</v>
      </c>
      <c r="B96" s="126">
        <v>42800</v>
      </c>
      <c r="C96" s="127" t="s">
        <v>614</v>
      </c>
      <c r="D96" s="125" t="s">
        <v>185</v>
      </c>
      <c r="E96" s="127" t="s">
        <v>1909</v>
      </c>
      <c r="F96" t="s">
        <v>1855</v>
      </c>
      <c r="G96" s="125" t="s">
        <v>3</v>
      </c>
      <c r="H96" s="129">
        <v>34301</v>
      </c>
      <c r="I96" s="125" t="s">
        <v>1093</v>
      </c>
      <c r="J96" s="125" t="s">
        <v>1101</v>
      </c>
      <c r="K96" s="125" t="s">
        <v>1910</v>
      </c>
      <c r="L96" s="125" t="s">
        <v>2006</v>
      </c>
      <c r="M96" s="125" t="s">
        <v>2014</v>
      </c>
      <c r="N96" s="125" t="s">
        <v>2019</v>
      </c>
      <c r="O96" s="146">
        <v>0</v>
      </c>
      <c r="P96" s="125">
        <v>0</v>
      </c>
      <c r="Q96" s="146" t="s">
        <v>10081</v>
      </c>
      <c r="R96" t="s">
        <v>9843</v>
      </c>
      <c r="S96" s="125" t="s">
        <v>7</v>
      </c>
      <c r="T96" s="125" t="s">
        <v>2025</v>
      </c>
      <c r="U96" s="125" t="s">
        <v>36</v>
      </c>
      <c r="V96" t="s">
        <v>9843</v>
      </c>
      <c r="W96" s="125" t="s">
        <v>35</v>
      </c>
      <c r="X96" s="125" t="s">
        <v>7</v>
      </c>
      <c r="Y96" s="125" t="s">
        <v>9</v>
      </c>
      <c r="Z96" t="s">
        <v>1097</v>
      </c>
      <c r="AA96" s="125" t="s">
        <v>7</v>
      </c>
      <c r="AB96" s="125" t="s">
        <v>7</v>
      </c>
      <c r="AC96" s="117" t="s">
        <v>9872</v>
      </c>
      <c r="AD96" s="125" t="s">
        <v>1080</v>
      </c>
      <c r="AE96" s="125" t="s">
        <v>35</v>
      </c>
      <c r="AF96" s="125" t="s">
        <v>35</v>
      </c>
      <c r="AG96" s="125" t="s">
        <v>1080</v>
      </c>
      <c r="AH96" s="117" t="s">
        <v>35</v>
      </c>
      <c r="AI96" s="125" t="s">
        <v>1849</v>
      </c>
    </row>
    <row r="97" spans="1:35">
      <c r="A97" s="125" t="s">
        <v>181</v>
      </c>
      <c r="B97" s="126">
        <v>42769</v>
      </c>
      <c r="C97" s="127" t="s">
        <v>614</v>
      </c>
      <c r="D97" s="125" t="s">
        <v>185</v>
      </c>
      <c r="E97" s="127" t="s">
        <v>620</v>
      </c>
      <c r="F97" t="s">
        <v>1855</v>
      </c>
      <c r="G97" s="125" t="s">
        <v>3</v>
      </c>
      <c r="H97" s="126">
        <v>35082</v>
      </c>
      <c r="I97" s="125" t="s">
        <v>5</v>
      </c>
      <c r="J97" s="125" t="s">
        <v>48</v>
      </c>
      <c r="K97" s="125" t="s">
        <v>1911</v>
      </c>
      <c r="L97" s="125">
        <v>0</v>
      </c>
      <c r="M97" s="125">
        <v>0</v>
      </c>
      <c r="N97" s="125" t="s">
        <v>2020</v>
      </c>
      <c r="O97" s="146">
        <v>0</v>
      </c>
      <c r="P97" s="125">
        <v>0</v>
      </c>
      <c r="Q97" s="146">
        <v>0</v>
      </c>
      <c r="R97" t="s">
        <v>9843</v>
      </c>
      <c r="S97" s="125" t="s">
        <v>7</v>
      </c>
      <c r="T97" s="125" t="s">
        <v>2026</v>
      </c>
      <c r="U97" s="125" t="s">
        <v>36</v>
      </c>
      <c r="V97" t="s">
        <v>9843</v>
      </c>
      <c r="W97" s="125" t="s">
        <v>35</v>
      </c>
      <c r="X97" s="125" t="s">
        <v>9862</v>
      </c>
      <c r="Y97" s="125" t="s">
        <v>1215</v>
      </c>
      <c r="Z97" s="125" t="s">
        <v>7</v>
      </c>
      <c r="AA97" s="117" t="s">
        <v>1111</v>
      </c>
      <c r="AB97" s="125" t="s">
        <v>7</v>
      </c>
      <c r="AC97" s="117" t="s">
        <v>7</v>
      </c>
      <c r="AD97" s="125" t="s">
        <v>9</v>
      </c>
      <c r="AE97" s="125" t="s">
        <v>35</v>
      </c>
      <c r="AF97" s="125" t="s">
        <v>35</v>
      </c>
      <c r="AG97" s="125" t="s">
        <v>9</v>
      </c>
      <c r="AH97" s="117" t="s">
        <v>35</v>
      </c>
      <c r="AI97" s="125" t="s">
        <v>1849</v>
      </c>
    </row>
    <row r="98" spans="1:35">
      <c r="A98" s="125" t="s">
        <v>183</v>
      </c>
      <c r="B98" s="126">
        <v>42758</v>
      </c>
      <c r="C98" s="127" t="s">
        <v>614</v>
      </c>
      <c r="D98" s="125" t="s">
        <v>185</v>
      </c>
      <c r="E98" s="127" t="s">
        <v>622</v>
      </c>
      <c r="F98" t="s">
        <v>1855</v>
      </c>
      <c r="G98" s="125" t="s">
        <v>3</v>
      </c>
      <c r="H98" s="126">
        <v>33875</v>
      </c>
      <c r="I98" s="125" t="s">
        <v>5</v>
      </c>
      <c r="J98" s="125" t="s">
        <v>48</v>
      </c>
      <c r="K98" s="125" t="s">
        <v>1820</v>
      </c>
      <c r="L98" s="125" t="s">
        <v>2005</v>
      </c>
      <c r="M98" s="125">
        <v>0</v>
      </c>
      <c r="N98" s="125">
        <v>0</v>
      </c>
      <c r="O98" s="146">
        <v>0</v>
      </c>
      <c r="P98" s="125">
        <v>0</v>
      </c>
      <c r="Q98" s="146">
        <v>0</v>
      </c>
      <c r="R98" t="s">
        <v>9843</v>
      </c>
      <c r="S98" s="125" t="s">
        <v>7</v>
      </c>
      <c r="T98" s="125" t="s">
        <v>1440</v>
      </c>
      <c r="U98" s="125" t="s">
        <v>36</v>
      </c>
      <c r="V98" t="s">
        <v>9843</v>
      </c>
      <c r="W98" s="125" t="s">
        <v>35</v>
      </c>
      <c r="X98" s="125" t="s">
        <v>9862</v>
      </c>
      <c r="Y98" s="125" t="s">
        <v>1215</v>
      </c>
      <c r="Z98" s="125" t="s">
        <v>7</v>
      </c>
      <c r="AA98" s="125" t="s">
        <v>7</v>
      </c>
      <c r="AB98" s="125" t="s">
        <v>7</v>
      </c>
      <c r="AC98" s="117" t="s">
        <v>7</v>
      </c>
      <c r="AD98" s="125" t="s">
        <v>1215</v>
      </c>
      <c r="AE98" s="125" t="s">
        <v>35</v>
      </c>
      <c r="AF98" s="125" t="s">
        <v>35</v>
      </c>
      <c r="AG98" s="125" t="s">
        <v>1215</v>
      </c>
      <c r="AH98" s="117" t="s">
        <v>35</v>
      </c>
      <c r="AI98" s="125" t="s">
        <v>1849</v>
      </c>
    </row>
    <row r="99" spans="1:35">
      <c r="A99" s="125" t="s">
        <v>184</v>
      </c>
      <c r="B99" s="126">
        <v>43013</v>
      </c>
      <c r="C99" s="127" t="s">
        <v>610</v>
      </c>
      <c r="D99" s="125" t="s">
        <v>185</v>
      </c>
      <c r="E99" s="127" t="s">
        <v>624</v>
      </c>
      <c r="F99" t="s">
        <v>1855</v>
      </c>
      <c r="G99" s="125" t="s">
        <v>3</v>
      </c>
      <c r="H99" s="126">
        <v>34746</v>
      </c>
      <c r="I99" s="125" t="s">
        <v>5</v>
      </c>
      <c r="J99" s="125" t="s">
        <v>48</v>
      </c>
      <c r="K99" s="125" t="s">
        <v>1186</v>
      </c>
      <c r="L99" s="125" t="s">
        <v>2004</v>
      </c>
      <c r="M99" s="125" t="s">
        <v>2015</v>
      </c>
      <c r="N99" s="125">
        <v>0</v>
      </c>
      <c r="O99" s="146">
        <v>0</v>
      </c>
      <c r="P99" s="125">
        <v>0</v>
      </c>
      <c r="Q99" s="146">
        <v>0</v>
      </c>
      <c r="R99" t="s">
        <v>9843</v>
      </c>
      <c r="S99" s="125" t="s">
        <v>7</v>
      </c>
      <c r="T99" s="125" t="s">
        <v>2027</v>
      </c>
      <c r="U99" s="125" t="s">
        <v>36</v>
      </c>
      <c r="V99" t="s">
        <v>9843</v>
      </c>
      <c r="W99" s="125" t="s">
        <v>35</v>
      </c>
      <c r="X99" s="125" t="s">
        <v>7</v>
      </c>
      <c r="Y99" s="125" t="s">
        <v>9</v>
      </c>
      <c r="Z99" s="125" t="s">
        <v>7</v>
      </c>
      <c r="AA99" s="125" t="s">
        <v>7</v>
      </c>
      <c r="AB99" s="125" t="s">
        <v>7</v>
      </c>
      <c r="AC99" s="117" t="s">
        <v>9872</v>
      </c>
      <c r="AD99" s="125" t="s">
        <v>9</v>
      </c>
      <c r="AE99" s="125" t="s">
        <v>35</v>
      </c>
      <c r="AF99" s="125" t="s">
        <v>35</v>
      </c>
      <c r="AG99" s="125" t="s">
        <v>9</v>
      </c>
      <c r="AH99" s="117" t="s">
        <v>35</v>
      </c>
      <c r="AI99" s="125" t="s">
        <v>1849</v>
      </c>
    </row>
    <row r="100" spans="1:35">
      <c r="A100" s="125" t="s">
        <v>1912</v>
      </c>
      <c r="B100" s="126">
        <v>42958</v>
      </c>
      <c r="C100" s="127" t="s">
        <v>610</v>
      </c>
      <c r="D100" s="125" t="s">
        <v>185</v>
      </c>
      <c r="E100" s="127" t="s">
        <v>1913</v>
      </c>
      <c r="F100" t="s">
        <v>1855</v>
      </c>
      <c r="G100" s="125" t="s">
        <v>3</v>
      </c>
      <c r="H100" s="126">
        <v>30548</v>
      </c>
      <c r="I100" s="125" t="s">
        <v>4</v>
      </c>
      <c r="J100" s="125" t="s">
        <v>41</v>
      </c>
      <c r="K100" s="125" t="s">
        <v>2001</v>
      </c>
      <c r="L100" s="125">
        <v>0</v>
      </c>
      <c r="M100" s="125" t="s">
        <v>2016</v>
      </c>
      <c r="N100" s="125">
        <v>0</v>
      </c>
      <c r="O100" s="146">
        <v>0</v>
      </c>
      <c r="P100" s="125">
        <v>0</v>
      </c>
      <c r="Q100" s="146">
        <v>0</v>
      </c>
      <c r="R100" t="s">
        <v>9846</v>
      </c>
      <c r="S100" s="125" t="s">
        <v>7</v>
      </c>
      <c r="T100" s="125" t="s">
        <v>2028</v>
      </c>
      <c r="U100" s="125" t="s">
        <v>36</v>
      </c>
      <c r="V100" t="s">
        <v>9846</v>
      </c>
      <c r="W100" s="125" t="s">
        <v>35</v>
      </c>
      <c r="X100" s="125" t="s">
        <v>7</v>
      </c>
      <c r="Y100" s="125" t="s">
        <v>9</v>
      </c>
      <c r="Z100" s="125" t="s">
        <v>7</v>
      </c>
      <c r="AA100" s="125" t="s">
        <v>7</v>
      </c>
      <c r="AB100" s="125" t="s">
        <v>7</v>
      </c>
      <c r="AC100" s="117" t="s">
        <v>7</v>
      </c>
      <c r="AD100" s="125" t="s">
        <v>9</v>
      </c>
      <c r="AE100" s="125" t="s">
        <v>1162</v>
      </c>
      <c r="AF100" s="125" t="s">
        <v>35</v>
      </c>
      <c r="AG100" s="125" t="s">
        <v>1166</v>
      </c>
      <c r="AH100" s="117" t="s">
        <v>35</v>
      </c>
      <c r="AI100" s="125" t="s">
        <v>1849</v>
      </c>
    </row>
    <row r="101" spans="1:35">
      <c r="A101" s="125" t="s">
        <v>1912</v>
      </c>
      <c r="B101" s="126">
        <v>42958</v>
      </c>
      <c r="C101" s="127" t="s">
        <v>610</v>
      </c>
      <c r="D101" s="125" t="s">
        <v>185</v>
      </c>
      <c r="E101" s="127" t="s">
        <v>1914</v>
      </c>
      <c r="F101" t="s">
        <v>1855</v>
      </c>
      <c r="G101" s="125" t="s">
        <v>3</v>
      </c>
      <c r="H101" s="126">
        <v>32577</v>
      </c>
      <c r="I101" s="125" t="s">
        <v>1093</v>
      </c>
      <c r="J101" s="125" t="s">
        <v>1101</v>
      </c>
      <c r="K101" s="125" t="s">
        <v>2002</v>
      </c>
      <c r="L101" s="125">
        <v>0</v>
      </c>
      <c r="M101" s="125" t="s">
        <v>2016</v>
      </c>
      <c r="N101" s="125">
        <v>0</v>
      </c>
      <c r="O101" s="146">
        <v>0</v>
      </c>
      <c r="P101" s="125">
        <v>0</v>
      </c>
      <c r="Q101" s="146">
        <v>0</v>
      </c>
      <c r="R101" t="s">
        <v>9846</v>
      </c>
      <c r="S101" s="125" t="s">
        <v>7</v>
      </c>
      <c r="T101" s="125" t="s">
        <v>2029</v>
      </c>
      <c r="U101" s="125" t="s">
        <v>36</v>
      </c>
      <c r="V101" t="s">
        <v>9846</v>
      </c>
      <c r="W101" s="125" t="s">
        <v>35</v>
      </c>
      <c r="X101" s="125" t="s">
        <v>7</v>
      </c>
      <c r="Y101" s="125" t="s">
        <v>9</v>
      </c>
      <c r="Z101" s="125" t="s">
        <v>7</v>
      </c>
      <c r="AA101" s="125" t="s">
        <v>7</v>
      </c>
      <c r="AB101" s="125" t="s">
        <v>7</v>
      </c>
      <c r="AC101" s="117" t="s">
        <v>7</v>
      </c>
      <c r="AD101" s="125" t="s">
        <v>9</v>
      </c>
      <c r="AE101" s="125" t="s">
        <v>1162</v>
      </c>
      <c r="AF101" s="125" t="s">
        <v>35</v>
      </c>
      <c r="AG101" s="125" t="s">
        <v>1166</v>
      </c>
      <c r="AH101" s="117" t="s">
        <v>35</v>
      </c>
      <c r="AI101" s="125" t="s">
        <v>1849</v>
      </c>
    </row>
    <row r="102" spans="1:35">
      <c r="A102" s="125" t="s">
        <v>1912</v>
      </c>
      <c r="B102" s="126">
        <v>42958</v>
      </c>
      <c r="C102" s="127" t="s">
        <v>610</v>
      </c>
      <c r="D102" s="125" t="s">
        <v>185</v>
      </c>
      <c r="E102" s="127" t="s">
        <v>1915</v>
      </c>
      <c r="F102" t="s">
        <v>1855</v>
      </c>
      <c r="G102" s="125" t="s">
        <v>3</v>
      </c>
      <c r="H102" s="126">
        <v>30891</v>
      </c>
      <c r="I102" s="125" t="s">
        <v>1093</v>
      </c>
      <c r="J102" s="125" t="s">
        <v>1101</v>
      </c>
      <c r="K102" s="125" t="s">
        <v>2003</v>
      </c>
      <c r="L102" s="125">
        <v>0</v>
      </c>
      <c r="M102" s="125" t="s">
        <v>2016</v>
      </c>
      <c r="N102" s="125">
        <v>0</v>
      </c>
      <c r="O102" s="146">
        <v>0</v>
      </c>
      <c r="P102" s="125">
        <v>0</v>
      </c>
      <c r="Q102" s="146">
        <v>0</v>
      </c>
      <c r="R102" t="s">
        <v>9846</v>
      </c>
      <c r="S102" s="125" t="s">
        <v>7</v>
      </c>
      <c r="T102" s="125" t="s">
        <v>2028</v>
      </c>
      <c r="U102" s="125" t="s">
        <v>36</v>
      </c>
      <c r="V102" t="s">
        <v>9846</v>
      </c>
      <c r="W102" s="125" t="s">
        <v>35</v>
      </c>
      <c r="X102" s="125" t="s">
        <v>7</v>
      </c>
      <c r="Y102" s="125" t="s">
        <v>9</v>
      </c>
      <c r="Z102" s="125" t="s">
        <v>7</v>
      </c>
      <c r="AA102" s="125" t="s">
        <v>7</v>
      </c>
      <c r="AB102" s="125" t="s">
        <v>7</v>
      </c>
      <c r="AC102" s="117" t="s">
        <v>7</v>
      </c>
      <c r="AD102" s="125" t="s">
        <v>9</v>
      </c>
      <c r="AE102" s="125" t="s">
        <v>1162</v>
      </c>
      <c r="AF102" s="125" t="s">
        <v>35</v>
      </c>
      <c r="AG102" s="125" t="s">
        <v>1166</v>
      </c>
      <c r="AH102" s="117" t="s">
        <v>35</v>
      </c>
      <c r="AI102" s="125" t="s">
        <v>1849</v>
      </c>
    </row>
    <row r="103" spans="1:35">
      <c r="A103" t="s">
        <v>186</v>
      </c>
      <c r="B103" s="2" t="s">
        <v>625</v>
      </c>
      <c r="C103" t="s">
        <v>626</v>
      </c>
      <c r="D103" t="s">
        <v>198</v>
      </c>
      <c r="E103" s="4" t="s">
        <v>627</v>
      </c>
      <c r="F103" t="s">
        <v>1855</v>
      </c>
      <c r="G103" t="s">
        <v>3</v>
      </c>
      <c r="H103" s="6">
        <v>32791</v>
      </c>
      <c r="I103" t="s">
        <v>1093</v>
      </c>
      <c r="J103" t="s">
        <v>48</v>
      </c>
      <c r="K103" t="s">
        <v>1186</v>
      </c>
      <c r="L103" s="135" t="s">
        <v>1588</v>
      </c>
      <c r="M103" s="135" t="s">
        <v>1087</v>
      </c>
      <c r="N103" s="135" t="s">
        <v>1589</v>
      </c>
      <c r="O103" s="144">
        <v>0</v>
      </c>
      <c r="P103" s="135">
        <v>0</v>
      </c>
      <c r="Q103" s="144">
        <v>0</v>
      </c>
      <c r="R103" t="s">
        <v>9843</v>
      </c>
      <c r="S103" t="s">
        <v>7</v>
      </c>
      <c r="T103" t="s">
        <v>1150</v>
      </c>
      <c r="U103" t="s">
        <v>36</v>
      </c>
      <c r="V103" t="s">
        <v>9843</v>
      </c>
      <c r="W103" t="s">
        <v>35</v>
      </c>
      <c r="X103" t="s">
        <v>1643</v>
      </c>
      <c r="Y103" t="s">
        <v>1100</v>
      </c>
      <c r="Z103" t="s">
        <v>1097</v>
      </c>
      <c r="AA103" t="s">
        <v>7</v>
      </c>
      <c r="AB103" t="s">
        <v>7</v>
      </c>
      <c r="AC103" s="117" t="s">
        <v>9872</v>
      </c>
      <c r="AD103" t="s">
        <v>1099</v>
      </c>
      <c r="AE103" t="s">
        <v>35</v>
      </c>
      <c r="AF103" t="s">
        <v>35</v>
      </c>
      <c r="AG103" t="s">
        <v>1099</v>
      </c>
      <c r="AH103" s="117" t="s">
        <v>35</v>
      </c>
      <c r="AI103" s="125" t="s">
        <v>1849</v>
      </c>
    </row>
    <row r="104" spans="1:35">
      <c r="A104" t="s">
        <v>187</v>
      </c>
      <c r="B104" s="2" t="s">
        <v>628</v>
      </c>
      <c r="C104" t="s">
        <v>626</v>
      </c>
      <c r="D104" t="s">
        <v>198</v>
      </c>
      <c r="E104" s="4" t="s">
        <v>629</v>
      </c>
      <c r="F104" t="s">
        <v>1855</v>
      </c>
      <c r="G104" t="s">
        <v>3</v>
      </c>
      <c r="H104" s="6">
        <v>36023</v>
      </c>
      <c r="I104" t="s">
        <v>5</v>
      </c>
      <c r="J104" t="s">
        <v>1101</v>
      </c>
      <c r="K104" t="s">
        <v>1186</v>
      </c>
      <c r="L104" s="135">
        <v>0</v>
      </c>
      <c r="M104" s="135">
        <v>0</v>
      </c>
      <c r="N104" s="135">
        <v>0</v>
      </c>
      <c r="O104" s="144">
        <v>0</v>
      </c>
      <c r="P104" s="135">
        <v>0</v>
      </c>
      <c r="Q104" s="144">
        <v>0</v>
      </c>
      <c r="R104" t="s">
        <v>9843</v>
      </c>
      <c r="S104" t="s">
        <v>7</v>
      </c>
      <c r="T104" t="s">
        <v>1122</v>
      </c>
      <c r="U104" t="s">
        <v>6</v>
      </c>
      <c r="V104" t="s">
        <v>35</v>
      </c>
      <c r="W104" t="s">
        <v>35</v>
      </c>
      <c r="X104" t="s">
        <v>35</v>
      </c>
      <c r="Y104" t="s">
        <v>35</v>
      </c>
      <c r="Z104" t="s">
        <v>35</v>
      </c>
      <c r="AA104" t="s">
        <v>35</v>
      </c>
      <c r="AB104" t="s">
        <v>35</v>
      </c>
      <c r="AC104" t="s">
        <v>35</v>
      </c>
      <c r="AD104" t="s">
        <v>35</v>
      </c>
      <c r="AE104" t="s">
        <v>35</v>
      </c>
      <c r="AF104" t="s">
        <v>35</v>
      </c>
      <c r="AG104" t="s">
        <v>35</v>
      </c>
      <c r="AH104" t="s">
        <v>35</v>
      </c>
      <c r="AI104" t="s">
        <v>35</v>
      </c>
    </row>
    <row r="105" spans="1:35">
      <c r="A105" t="s">
        <v>187</v>
      </c>
      <c r="B105" s="2" t="s">
        <v>628</v>
      </c>
      <c r="C105" t="s">
        <v>626</v>
      </c>
      <c r="D105" t="s">
        <v>198</v>
      </c>
      <c r="E105" s="4" t="s">
        <v>630</v>
      </c>
      <c r="F105" t="s">
        <v>1855</v>
      </c>
      <c r="G105" t="s">
        <v>515</v>
      </c>
      <c r="H105" s="6">
        <v>29881</v>
      </c>
      <c r="I105" t="s">
        <v>4</v>
      </c>
      <c r="J105" t="s">
        <v>41</v>
      </c>
      <c r="K105" t="s">
        <v>1590</v>
      </c>
      <c r="L105" s="135">
        <v>0</v>
      </c>
      <c r="M105" s="135">
        <v>0</v>
      </c>
      <c r="N105" s="135" t="s">
        <v>9900</v>
      </c>
      <c r="O105" s="144">
        <v>0</v>
      </c>
      <c r="P105" s="135">
        <v>0</v>
      </c>
      <c r="Q105" s="144">
        <v>0</v>
      </c>
      <c r="R105" t="s">
        <v>9843</v>
      </c>
      <c r="S105" t="s">
        <v>7</v>
      </c>
      <c r="T105" t="s">
        <v>1591</v>
      </c>
      <c r="U105" t="s">
        <v>36</v>
      </c>
      <c r="V105" t="s">
        <v>9843</v>
      </c>
      <c r="W105" t="s">
        <v>35</v>
      </c>
      <c r="X105" t="s">
        <v>7</v>
      </c>
      <c r="Y105" t="s">
        <v>9</v>
      </c>
      <c r="Z105" t="s">
        <v>7</v>
      </c>
      <c r="AA105" t="s">
        <v>7</v>
      </c>
      <c r="AB105" t="s">
        <v>7</v>
      </c>
      <c r="AC105" s="117" t="s">
        <v>7</v>
      </c>
      <c r="AD105" t="s">
        <v>9</v>
      </c>
      <c r="AE105" t="s">
        <v>35</v>
      </c>
      <c r="AF105" t="s">
        <v>35</v>
      </c>
      <c r="AG105" t="s">
        <v>9</v>
      </c>
      <c r="AH105" s="117" t="s">
        <v>35</v>
      </c>
      <c r="AI105" s="125" t="s">
        <v>1849</v>
      </c>
    </row>
    <row r="106" spans="1:35">
      <c r="A106" t="s">
        <v>188</v>
      </c>
      <c r="B106" s="2" t="s">
        <v>631</v>
      </c>
      <c r="C106" t="s">
        <v>632</v>
      </c>
      <c r="D106" t="s">
        <v>198</v>
      </c>
      <c r="E106" s="4" t="s">
        <v>633</v>
      </c>
      <c r="F106" t="s">
        <v>1855</v>
      </c>
      <c r="G106" t="s">
        <v>3</v>
      </c>
      <c r="H106" s="6">
        <v>35339</v>
      </c>
      <c r="I106" t="s">
        <v>18</v>
      </c>
      <c r="J106" t="s">
        <v>48</v>
      </c>
      <c r="K106" t="s">
        <v>1592</v>
      </c>
      <c r="L106" s="135">
        <v>0</v>
      </c>
      <c r="M106" s="135" t="s">
        <v>9901</v>
      </c>
      <c r="N106" s="135" t="s">
        <v>9902</v>
      </c>
      <c r="O106" s="144">
        <v>0</v>
      </c>
      <c r="P106" s="135">
        <v>0</v>
      </c>
      <c r="Q106" s="144">
        <v>0</v>
      </c>
      <c r="R106" t="s">
        <v>9843</v>
      </c>
      <c r="S106" t="s">
        <v>7</v>
      </c>
      <c r="T106" t="s">
        <v>1277</v>
      </c>
      <c r="U106" t="s">
        <v>36</v>
      </c>
      <c r="V106" t="s">
        <v>9843</v>
      </c>
      <c r="W106" t="s">
        <v>35</v>
      </c>
      <c r="X106" t="s">
        <v>7</v>
      </c>
      <c r="Y106" t="s">
        <v>9</v>
      </c>
      <c r="Z106" t="s">
        <v>7</v>
      </c>
      <c r="AA106" t="s">
        <v>7</v>
      </c>
      <c r="AB106" t="s">
        <v>7</v>
      </c>
      <c r="AC106" t="s">
        <v>9870</v>
      </c>
      <c r="AD106" t="s">
        <v>10</v>
      </c>
      <c r="AE106" t="s">
        <v>35</v>
      </c>
      <c r="AF106" t="s">
        <v>35</v>
      </c>
      <c r="AG106" t="s">
        <v>10</v>
      </c>
      <c r="AH106" t="s">
        <v>9851</v>
      </c>
      <c r="AI106" s="117" t="s">
        <v>35</v>
      </c>
    </row>
    <row r="107" spans="1:35">
      <c r="A107" t="s">
        <v>189</v>
      </c>
      <c r="B107" s="2" t="s">
        <v>634</v>
      </c>
      <c r="C107" t="s">
        <v>632</v>
      </c>
      <c r="D107" t="s">
        <v>198</v>
      </c>
      <c r="E107" s="4" t="s">
        <v>635</v>
      </c>
      <c r="F107" t="s">
        <v>1855</v>
      </c>
      <c r="G107" t="s">
        <v>3</v>
      </c>
      <c r="H107" s="6">
        <v>34777</v>
      </c>
      <c r="I107" t="s">
        <v>5</v>
      </c>
      <c r="J107" t="s">
        <v>48</v>
      </c>
      <c r="K107" t="s">
        <v>1593</v>
      </c>
      <c r="L107" s="135">
        <v>0</v>
      </c>
      <c r="M107" s="135" t="s">
        <v>10058</v>
      </c>
      <c r="N107" s="135">
        <v>0</v>
      </c>
      <c r="O107" s="144">
        <v>0</v>
      </c>
      <c r="P107" s="135">
        <v>0</v>
      </c>
      <c r="Q107" s="144">
        <v>0</v>
      </c>
      <c r="R107" t="s">
        <v>9843</v>
      </c>
      <c r="S107" t="s">
        <v>7</v>
      </c>
      <c r="T107" t="s">
        <v>1098</v>
      </c>
      <c r="U107" t="s">
        <v>36</v>
      </c>
      <c r="V107" t="s">
        <v>9843</v>
      </c>
      <c r="W107" t="s">
        <v>35</v>
      </c>
      <c r="X107" t="s">
        <v>7</v>
      </c>
      <c r="Y107" t="s">
        <v>9</v>
      </c>
      <c r="Z107" t="s">
        <v>1097</v>
      </c>
      <c r="AA107" t="s">
        <v>7</v>
      </c>
      <c r="AB107" t="s">
        <v>7</v>
      </c>
      <c r="AC107" s="117" t="s">
        <v>9872</v>
      </c>
      <c r="AD107" t="s">
        <v>1100</v>
      </c>
      <c r="AE107" t="s">
        <v>35</v>
      </c>
      <c r="AF107" t="s">
        <v>35</v>
      </c>
      <c r="AG107" t="s">
        <v>1100</v>
      </c>
      <c r="AH107" s="117" t="s">
        <v>35</v>
      </c>
      <c r="AI107" s="125" t="s">
        <v>1849</v>
      </c>
    </row>
    <row r="108" spans="1:35">
      <c r="A108" t="s">
        <v>189</v>
      </c>
      <c r="B108" s="2" t="s">
        <v>634</v>
      </c>
      <c r="C108" t="s">
        <v>632</v>
      </c>
      <c r="D108" t="s">
        <v>198</v>
      </c>
      <c r="E108" s="4" t="s">
        <v>636</v>
      </c>
      <c r="F108" t="s">
        <v>1855</v>
      </c>
      <c r="G108" t="s">
        <v>3</v>
      </c>
      <c r="H108" s="6">
        <v>35908</v>
      </c>
      <c r="I108" t="s">
        <v>4</v>
      </c>
      <c r="J108" t="s">
        <v>48</v>
      </c>
      <c r="K108" t="s">
        <v>1594</v>
      </c>
      <c r="L108" s="135">
        <v>0</v>
      </c>
      <c r="M108" s="135">
        <v>0</v>
      </c>
      <c r="N108" s="135">
        <v>0</v>
      </c>
      <c r="O108" s="144">
        <v>0</v>
      </c>
      <c r="P108" s="135">
        <v>0</v>
      </c>
      <c r="Q108" s="144">
        <v>0</v>
      </c>
      <c r="R108" t="s">
        <v>9843</v>
      </c>
      <c r="S108" t="s">
        <v>7</v>
      </c>
      <c r="T108" t="s">
        <v>1098</v>
      </c>
      <c r="U108" t="s">
        <v>36</v>
      </c>
      <c r="V108" t="s">
        <v>9843</v>
      </c>
      <c r="W108" t="s">
        <v>35</v>
      </c>
      <c r="X108" t="s">
        <v>7</v>
      </c>
      <c r="Y108" t="s">
        <v>9</v>
      </c>
      <c r="Z108" t="s">
        <v>7</v>
      </c>
      <c r="AA108" t="s">
        <v>7</v>
      </c>
      <c r="AB108" t="s">
        <v>7</v>
      </c>
      <c r="AC108" t="s">
        <v>9870</v>
      </c>
      <c r="AD108" t="s">
        <v>10</v>
      </c>
      <c r="AE108" t="s">
        <v>35</v>
      </c>
      <c r="AF108" t="s">
        <v>35</v>
      </c>
      <c r="AG108" t="s">
        <v>10</v>
      </c>
      <c r="AH108" t="s">
        <v>9851</v>
      </c>
      <c r="AI108" s="117" t="s">
        <v>35</v>
      </c>
    </row>
    <row r="109" spans="1:35">
      <c r="A109" t="s">
        <v>190</v>
      </c>
      <c r="B109" s="2" t="s">
        <v>46</v>
      </c>
      <c r="C109" t="s">
        <v>626</v>
      </c>
      <c r="D109" t="s">
        <v>198</v>
      </c>
      <c r="E109" s="4" t="s">
        <v>637</v>
      </c>
      <c r="F109" t="s">
        <v>1855</v>
      </c>
      <c r="G109" t="s">
        <v>3</v>
      </c>
      <c r="H109" s="6">
        <v>35549</v>
      </c>
      <c r="I109" t="s">
        <v>5</v>
      </c>
      <c r="J109" t="s">
        <v>1101</v>
      </c>
      <c r="K109" t="s">
        <v>1595</v>
      </c>
      <c r="L109" s="135" t="s">
        <v>9903</v>
      </c>
      <c r="M109" s="135" t="s">
        <v>9904</v>
      </c>
      <c r="N109" s="135">
        <v>0</v>
      </c>
      <c r="O109" s="144">
        <v>0</v>
      </c>
      <c r="P109" s="135">
        <v>0</v>
      </c>
      <c r="Q109" s="144">
        <v>0</v>
      </c>
      <c r="R109" t="s">
        <v>9843</v>
      </c>
      <c r="S109" t="s">
        <v>7</v>
      </c>
      <c r="T109" t="s">
        <v>1497</v>
      </c>
      <c r="U109" t="s">
        <v>36</v>
      </c>
      <c r="V109" t="s">
        <v>9843</v>
      </c>
      <c r="W109" t="s">
        <v>35</v>
      </c>
      <c r="X109" t="s">
        <v>7</v>
      </c>
      <c r="Y109" t="s">
        <v>9</v>
      </c>
      <c r="Z109" t="s">
        <v>1097</v>
      </c>
      <c r="AA109" t="s">
        <v>1244</v>
      </c>
      <c r="AB109" t="s">
        <v>7</v>
      </c>
      <c r="AC109" s="117" t="s">
        <v>9872</v>
      </c>
      <c r="AD109" t="s">
        <v>9</v>
      </c>
      <c r="AE109" t="s">
        <v>35</v>
      </c>
      <c r="AF109" t="s">
        <v>35</v>
      </c>
      <c r="AG109" t="s">
        <v>9</v>
      </c>
      <c r="AH109" s="117" t="s">
        <v>35</v>
      </c>
      <c r="AI109" s="125" t="s">
        <v>1849</v>
      </c>
    </row>
    <row r="110" spans="1:35">
      <c r="A110" t="s">
        <v>191</v>
      </c>
      <c r="B110" s="2" t="s">
        <v>638</v>
      </c>
      <c r="C110" t="s">
        <v>632</v>
      </c>
      <c r="D110" t="s">
        <v>198</v>
      </c>
      <c r="E110" s="4" t="s">
        <v>639</v>
      </c>
      <c r="F110" t="s">
        <v>1855</v>
      </c>
      <c r="G110" t="s">
        <v>3</v>
      </c>
      <c r="H110" s="6">
        <v>36071</v>
      </c>
      <c r="I110" t="s">
        <v>5</v>
      </c>
      <c r="J110" t="s">
        <v>48</v>
      </c>
      <c r="K110" t="s">
        <v>1596</v>
      </c>
      <c r="L110" s="135" t="s">
        <v>9905</v>
      </c>
      <c r="M110" s="135" t="s">
        <v>9906</v>
      </c>
      <c r="N110" s="135">
        <v>0</v>
      </c>
      <c r="O110" s="144">
        <v>0</v>
      </c>
      <c r="P110" s="135">
        <v>0</v>
      </c>
      <c r="Q110" s="144">
        <v>0</v>
      </c>
      <c r="R110" t="s">
        <v>9843</v>
      </c>
      <c r="S110" t="s">
        <v>7</v>
      </c>
      <c r="T110" t="s">
        <v>1106</v>
      </c>
      <c r="U110" t="s">
        <v>36</v>
      </c>
      <c r="V110" t="s">
        <v>9843</v>
      </c>
      <c r="W110" t="s">
        <v>35</v>
      </c>
      <c r="X110" t="s">
        <v>7</v>
      </c>
      <c r="Y110" t="s">
        <v>9</v>
      </c>
      <c r="Z110" t="s">
        <v>7</v>
      </c>
      <c r="AA110" t="s">
        <v>7</v>
      </c>
      <c r="AB110" t="s">
        <v>7</v>
      </c>
      <c r="AC110" t="s">
        <v>9871</v>
      </c>
      <c r="AD110" t="s">
        <v>1185</v>
      </c>
      <c r="AE110" t="s">
        <v>35</v>
      </c>
      <c r="AF110" t="s">
        <v>35</v>
      </c>
      <c r="AG110" t="s">
        <v>1185</v>
      </c>
      <c r="AH110" t="s">
        <v>9851</v>
      </c>
      <c r="AI110" s="117" t="s">
        <v>35</v>
      </c>
    </row>
    <row r="111" spans="1:35">
      <c r="A111" t="s">
        <v>192</v>
      </c>
      <c r="B111" s="2" t="s">
        <v>640</v>
      </c>
      <c r="C111" t="s">
        <v>632</v>
      </c>
      <c r="D111" t="s">
        <v>198</v>
      </c>
      <c r="E111" s="4" t="s">
        <v>641</v>
      </c>
      <c r="F111" t="s">
        <v>1855</v>
      </c>
      <c r="G111" t="s">
        <v>3</v>
      </c>
      <c r="H111" s="6">
        <v>35041</v>
      </c>
      <c r="I111" t="s">
        <v>1093</v>
      </c>
      <c r="J111" t="s">
        <v>48</v>
      </c>
      <c r="K111" t="s">
        <v>1231</v>
      </c>
      <c r="L111" s="135" t="s">
        <v>9907</v>
      </c>
      <c r="M111" s="135" t="s">
        <v>1189</v>
      </c>
      <c r="N111" s="135" t="s">
        <v>9908</v>
      </c>
      <c r="O111" s="144">
        <v>0</v>
      </c>
      <c r="P111" s="135">
        <v>0</v>
      </c>
      <c r="Q111" s="144">
        <v>0</v>
      </c>
      <c r="R111" t="s">
        <v>9843</v>
      </c>
      <c r="S111" t="s">
        <v>7</v>
      </c>
      <c r="T111" t="s">
        <v>1597</v>
      </c>
      <c r="U111" t="s">
        <v>36</v>
      </c>
      <c r="V111" t="s">
        <v>9843</v>
      </c>
      <c r="W111" t="s">
        <v>35</v>
      </c>
      <c r="X111" t="s">
        <v>7</v>
      </c>
      <c r="Y111" t="s">
        <v>9</v>
      </c>
      <c r="Z111" t="s">
        <v>7</v>
      </c>
      <c r="AA111" t="s">
        <v>7</v>
      </c>
      <c r="AB111" t="s">
        <v>7</v>
      </c>
      <c r="AC111" s="117" t="s">
        <v>7</v>
      </c>
      <c r="AD111" t="s">
        <v>9</v>
      </c>
      <c r="AE111" t="s">
        <v>35</v>
      </c>
      <c r="AF111" t="s">
        <v>35</v>
      </c>
      <c r="AG111" t="s">
        <v>9</v>
      </c>
      <c r="AH111" s="117" t="s">
        <v>35</v>
      </c>
      <c r="AI111" s="125" t="s">
        <v>1849</v>
      </c>
    </row>
    <row r="112" spans="1:35">
      <c r="A112" t="s">
        <v>193</v>
      </c>
      <c r="B112" s="2" t="s">
        <v>642</v>
      </c>
      <c r="C112" t="s">
        <v>632</v>
      </c>
      <c r="D112" t="s">
        <v>198</v>
      </c>
      <c r="E112" s="4" t="s">
        <v>643</v>
      </c>
      <c r="F112" t="s">
        <v>1598</v>
      </c>
      <c r="G112" t="s">
        <v>3</v>
      </c>
      <c r="H112" s="6">
        <v>32274</v>
      </c>
      <c r="I112" t="s">
        <v>4</v>
      </c>
      <c r="J112" t="s">
        <v>48</v>
      </c>
      <c r="K112" t="s">
        <v>1186</v>
      </c>
      <c r="L112" s="135" t="s">
        <v>9909</v>
      </c>
      <c r="M112" s="135" t="s">
        <v>9910</v>
      </c>
      <c r="N112" s="135" t="s">
        <v>9911</v>
      </c>
      <c r="O112" s="144">
        <v>0</v>
      </c>
      <c r="P112" s="135">
        <v>0</v>
      </c>
      <c r="Q112" s="144">
        <v>0</v>
      </c>
      <c r="R112" t="s">
        <v>9843</v>
      </c>
      <c r="S112" t="s">
        <v>7</v>
      </c>
      <c r="T112" t="s">
        <v>1098</v>
      </c>
      <c r="U112" t="s">
        <v>36</v>
      </c>
      <c r="V112" t="s">
        <v>9843</v>
      </c>
      <c r="W112" t="s">
        <v>35</v>
      </c>
      <c r="X112" t="s">
        <v>7</v>
      </c>
      <c r="Y112" t="s">
        <v>9</v>
      </c>
      <c r="Z112" t="s">
        <v>7</v>
      </c>
      <c r="AA112" t="s">
        <v>7</v>
      </c>
      <c r="AB112" t="s">
        <v>7</v>
      </c>
      <c r="AC112" t="s">
        <v>9871</v>
      </c>
      <c r="AD112" t="s">
        <v>1185</v>
      </c>
      <c r="AE112" t="s">
        <v>35</v>
      </c>
      <c r="AF112" t="s">
        <v>35</v>
      </c>
      <c r="AG112" t="s">
        <v>1185</v>
      </c>
      <c r="AH112" t="s">
        <v>9851</v>
      </c>
      <c r="AI112" s="117" t="s">
        <v>35</v>
      </c>
    </row>
    <row r="113" spans="1:35">
      <c r="A113" t="s">
        <v>194</v>
      </c>
      <c r="B113" s="2" t="s">
        <v>644</v>
      </c>
      <c r="C113" t="s">
        <v>626</v>
      </c>
      <c r="D113" t="s">
        <v>198</v>
      </c>
      <c r="E113" s="4" t="s">
        <v>645</v>
      </c>
      <c r="F113" t="s">
        <v>1855</v>
      </c>
      <c r="G113" t="s">
        <v>3</v>
      </c>
      <c r="H113" s="6">
        <v>35621</v>
      </c>
      <c r="I113" t="s">
        <v>4</v>
      </c>
      <c r="J113" t="s">
        <v>48</v>
      </c>
      <c r="K113" t="s">
        <v>1070</v>
      </c>
      <c r="L113" s="135" t="s">
        <v>9912</v>
      </c>
      <c r="M113" s="135" t="s">
        <v>9913</v>
      </c>
      <c r="N113" s="135">
        <v>0</v>
      </c>
      <c r="O113" s="144">
        <v>0</v>
      </c>
      <c r="P113" s="135">
        <v>0</v>
      </c>
      <c r="Q113" s="144">
        <v>0</v>
      </c>
      <c r="R113" t="s">
        <v>9843</v>
      </c>
      <c r="S113" t="s">
        <v>7</v>
      </c>
      <c r="T113" t="s">
        <v>1599</v>
      </c>
      <c r="U113" t="s">
        <v>36</v>
      </c>
      <c r="V113" t="s">
        <v>9843</v>
      </c>
      <c r="W113" t="s">
        <v>35</v>
      </c>
      <c r="X113" t="s">
        <v>7</v>
      </c>
      <c r="Y113" t="s">
        <v>9</v>
      </c>
      <c r="Z113" t="s">
        <v>7</v>
      </c>
      <c r="AA113" t="s">
        <v>7</v>
      </c>
      <c r="AB113" t="s">
        <v>7</v>
      </c>
      <c r="AC113" t="s">
        <v>9871</v>
      </c>
      <c r="AD113" t="s">
        <v>1185</v>
      </c>
      <c r="AE113" t="s">
        <v>35</v>
      </c>
      <c r="AF113" t="s">
        <v>35</v>
      </c>
      <c r="AG113" t="s">
        <v>1185</v>
      </c>
      <c r="AH113" s="117" t="s">
        <v>7</v>
      </c>
      <c r="AI113" s="117" t="s">
        <v>1114</v>
      </c>
    </row>
    <row r="114" spans="1:35">
      <c r="A114" t="s">
        <v>194</v>
      </c>
      <c r="B114" s="2" t="s">
        <v>644</v>
      </c>
      <c r="C114" t="s">
        <v>626</v>
      </c>
      <c r="D114" t="s">
        <v>198</v>
      </c>
      <c r="E114" s="4" t="s">
        <v>646</v>
      </c>
      <c r="F114" t="s">
        <v>1855</v>
      </c>
      <c r="G114" t="s">
        <v>3</v>
      </c>
      <c r="H114" s="6">
        <v>35631</v>
      </c>
      <c r="I114" t="s">
        <v>4</v>
      </c>
      <c r="J114" t="s">
        <v>48</v>
      </c>
      <c r="K114" t="s">
        <v>1070</v>
      </c>
      <c r="L114" s="135" t="s">
        <v>9912</v>
      </c>
      <c r="M114" s="135" t="s">
        <v>9913</v>
      </c>
      <c r="N114" s="135">
        <v>0</v>
      </c>
      <c r="O114" s="144">
        <v>0</v>
      </c>
      <c r="P114" s="135">
        <v>0</v>
      </c>
      <c r="Q114" s="144">
        <v>0</v>
      </c>
      <c r="R114" t="s">
        <v>9843</v>
      </c>
      <c r="S114" t="s">
        <v>7</v>
      </c>
      <c r="T114" t="s">
        <v>1599</v>
      </c>
      <c r="U114" t="s">
        <v>36</v>
      </c>
      <c r="V114" t="s">
        <v>9843</v>
      </c>
      <c r="W114" t="s">
        <v>35</v>
      </c>
      <c r="X114" t="s">
        <v>7</v>
      </c>
      <c r="Y114" t="s">
        <v>9</v>
      </c>
      <c r="Z114" t="s">
        <v>7</v>
      </c>
      <c r="AA114" t="s">
        <v>7</v>
      </c>
      <c r="AB114" t="s">
        <v>7</v>
      </c>
      <c r="AC114" t="s">
        <v>9871</v>
      </c>
      <c r="AD114" t="s">
        <v>1185</v>
      </c>
      <c r="AE114" t="s">
        <v>35</v>
      </c>
      <c r="AF114" t="s">
        <v>35</v>
      </c>
      <c r="AG114" t="s">
        <v>1185</v>
      </c>
      <c r="AH114" s="117" t="s">
        <v>7</v>
      </c>
      <c r="AI114" s="117" t="s">
        <v>1114</v>
      </c>
    </row>
    <row r="115" spans="1:35">
      <c r="A115" t="s">
        <v>195</v>
      </c>
      <c r="B115" s="2" t="s">
        <v>109</v>
      </c>
      <c r="C115" t="s">
        <v>626</v>
      </c>
      <c r="D115" t="s">
        <v>198</v>
      </c>
      <c r="E115" s="4" t="s">
        <v>647</v>
      </c>
      <c r="F115" t="s">
        <v>1855</v>
      </c>
      <c r="G115" t="s">
        <v>3</v>
      </c>
      <c r="H115" s="6">
        <v>29790</v>
      </c>
      <c r="I115" t="s">
        <v>4</v>
      </c>
      <c r="J115" t="s">
        <v>48</v>
      </c>
      <c r="K115" t="s">
        <v>1148</v>
      </c>
      <c r="L115" s="135" t="s">
        <v>1601</v>
      </c>
      <c r="M115" s="135" t="s">
        <v>1600</v>
      </c>
      <c r="N115" s="135">
        <v>0</v>
      </c>
      <c r="O115" s="144">
        <v>0</v>
      </c>
      <c r="P115" s="135">
        <v>0</v>
      </c>
      <c r="Q115" s="144">
        <v>0</v>
      </c>
      <c r="R115" t="s">
        <v>9843</v>
      </c>
      <c r="S115" t="s">
        <v>7</v>
      </c>
      <c r="T115" t="s">
        <v>1173</v>
      </c>
      <c r="U115" t="s">
        <v>36</v>
      </c>
      <c r="V115" t="s">
        <v>9843</v>
      </c>
      <c r="W115" t="s">
        <v>35</v>
      </c>
      <c r="X115" t="s">
        <v>7</v>
      </c>
      <c r="Y115" t="s">
        <v>9</v>
      </c>
      <c r="Z115" t="s">
        <v>1097</v>
      </c>
      <c r="AA115" t="s">
        <v>7</v>
      </c>
      <c r="AB115" t="s">
        <v>7</v>
      </c>
      <c r="AC115" s="117" t="s">
        <v>9872</v>
      </c>
      <c r="AD115" t="s">
        <v>1100</v>
      </c>
      <c r="AE115" t="s">
        <v>35</v>
      </c>
      <c r="AF115" t="s">
        <v>35</v>
      </c>
      <c r="AG115" t="s">
        <v>1100</v>
      </c>
      <c r="AH115" s="117" t="s">
        <v>35</v>
      </c>
      <c r="AI115" s="125" t="s">
        <v>1849</v>
      </c>
    </row>
    <row r="116" spans="1:35">
      <c r="A116" t="s">
        <v>196</v>
      </c>
      <c r="B116" s="2" t="s">
        <v>642</v>
      </c>
      <c r="C116" t="s">
        <v>632</v>
      </c>
      <c r="D116" t="s">
        <v>198</v>
      </c>
      <c r="E116" s="4" t="s">
        <v>648</v>
      </c>
      <c r="F116" t="s">
        <v>76</v>
      </c>
      <c r="G116" t="s">
        <v>3</v>
      </c>
      <c r="H116" s="6">
        <v>32178</v>
      </c>
      <c r="I116" t="s">
        <v>1093</v>
      </c>
      <c r="J116" t="s">
        <v>1101</v>
      </c>
      <c r="K116" t="s">
        <v>1602</v>
      </c>
      <c r="L116" s="135" t="s">
        <v>10054</v>
      </c>
      <c r="M116" s="135">
        <v>0</v>
      </c>
      <c r="N116" s="135" t="s">
        <v>9914</v>
      </c>
      <c r="O116" s="144">
        <v>0</v>
      </c>
      <c r="P116" s="135">
        <v>0</v>
      </c>
      <c r="Q116" s="144">
        <v>0</v>
      </c>
      <c r="R116" t="s">
        <v>9843</v>
      </c>
      <c r="S116" t="s">
        <v>7</v>
      </c>
      <c r="T116" t="s">
        <v>1414</v>
      </c>
      <c r="U116" t="s">
        <v>36</v>
      </c>
      <c r="V116" t="s">
        <v>9843</v>
      </c>
      <c r="W116" t="s">
        <v>35</v>
      </c>
      <c r="X116" t="s">
        <v>1104</v>
      </c>
      <c r="Y116" t="s">
        <v>1080</v>
      </c>
      <c r="Z116" t="s">
        <v>1097</v>
      </c>
      <c r="AA116" t="s">
        <v>7</v>
      </c>
      <c r="AB116" t="s">
        <v>7</v>
      </c>
      <c r="AC116" s="117" t="s">
        <v>9872</v>
      </c>
      <c r="AD116" t="s">
        <v>1163</v>
      </c>
      <c r="AE116" t="s">
        <v>35</v>
      </c>
      <c r="AF116" t="s">
        <v>35</v>
      </c>
      <c r="AG116" t="s">
        <v>1163</v>
      </c>
      <c r="AH116" s="117" t="s">
        <v>35</v>
      </c>
      <c r="AI116" s="125" t="s">
        <v>1849</v>
      </c>
    </row>
    <row r="117" spans="1:35">
      <c r="A117" t="s">
        <v>197</v>
      </c>
      <c r="B117" s="2" t="s">
        <v>649</v>
      </c>
      <c r="C117" t="s">
        <v>632</v>
      </c>
      <c r="D117" t="s">
        <v>198</v>
      </c>
      <c r="E117" s="4" t="s">
        <v>650</v>
      </c>
      <c r="F117" t="s">
        <v>1855</v>
      </c>
      <c r="G117" t="s">
        <v>3</v>
      </c>
      <c r="H117" s="6">
        <v>33948</v>
      </c>
      <c r="I117" t="s">
        <v>5</v>
      </c>
      <c r="J117" t="s">
        <v>1101</v>
      </c>
      <c r="K117" t="s">
        <v>1603</v>
      </c>
      <c r="L117" s="135" t="s">
        <v>9915</v>
      </c>
      <c r="M117" s="135" t="s">
        <v>9916</v>
      </c>
      <c r="N117" s="135" t="s">
        <v>9917</v>
      </c>
      <c r="O117" s="144">
        <v>0</v>
      </c>
      <c r="P117" s="135">
        <v>0</v>
      </c>
      <c r="Q117" s="144">
        <v>0</v>
      </c>
      <c r="R117" t="s">
        <v>9843</v>
      </c>
      <c r="S117" t="s">
        <v>7</v>
      </c>
      <c r="T117" t="s">
        <v>1277</v>
      </c>
      <c r="U117" t="s">
        <v>36</v>
      </c>
      <c r="V117" t="s">
        <v>9843</v>
      </c>
      <c r="W117" t="s">
        <v>35</v>
      </c>
      <c r="X117" t="s">
        <v>7</v>
      </c>
      <c r="Y117" t="s">
        <v>9</v>
      </c>
      <c r="Z117" t="s">
        <v>7</v>
      </c>
      <c r="AA117" t="s">
        <v>7</v>
      </c>
      <c r="AB117" t="s">
        <v>7</v>
      </c>
      <c r="AC117" s="117" t="s">
        <v>7</v>
      </c>
      <c r="AD117" t="s">
        <v>1549</v>
      </c>
      <c r="AE117" t="s">
        <v>35</v>
      </c>
      <c r="AF117" t="s">
        <v>35</v>
      </c>
      <c r="AG117" t="s">
        <v>1549</v>
      </c>
      <c r="AH117" s="117" t="s">
        <v>35</v>
      </c>
      <c r="AI117" s="125" t="s">
        <v>1849</v>
      </c>
    </row>
    <row r="118" spans="1:35">
      <c r="A118" t="s">
        <v>199</v>
      </c>
      <c r="B118" s="2" t="s">
        <v>651</v>
      </c>
      <c r="C118" t="s">
        <v>652</v>
      </c>
      <c r="D118" t="s">
        <v>214</v>
      </c>
      <c r="E118" s="4" t="s">
        <v>653</v>
      </c>
      <c r="F118" t="s">
        <v>1855</v>
      </c>
      <c r="G118" t="s">
        <v>3</v>
      </c>
      <c r="H118" s="6">
        <v>34849</v>
      </c>
      <c r="I118" t="s">
        <v>5</v>
      </c>
      <c r="J118" t="s">
        <v>41</v>
      </c>
      <c r="K118" t="s">
        <v>1120</v>
      </c>
      <c r="L118" s="135" t="s">
        <v>1704</v>
      </c>
      <c r="M118" s="135" t="s">
        <v>1705</v>
      </c>
      <c r="N118" s="135">
        <v>0</v>
      </c>
      <c r="O118" s="144">
        <v>0</v>
      </c>
      <c r="P118" s="135">
        <v>0</v>
      </c>
      <c r="Q118" s="144">
        <v>0</v>
      </c>
      <c r="R118" t="s">
        <v>9843</v>
      </c>
      <c r="S118" t="s">
        <v>7</v>
      </c>
      <c r="T118" t="s">
        <v>1106</v>
      </c>
      <c r="U118" t="s">
        <v>36</v>
      </c>
      <c r="V118" t="s">
        <v>9843</v>
      </c>
      <c r="W118" t="s">
        <v>35</v>
      </c>
      <c r="X118" t="s">
        <v>7</v>
      </c>
      <c r="Y118" t="s">
        <v>9</v>
      </c>
      <c r="Z118" t="s">
        <v>7</v>
      </c>
      <c r="AA118" t="s">
        <v>7</v>
      </c>
      <c r="AB118" t="s">
        <v>7</v>
      </c>
      <c r="AC118" t="s">
        <v>9870</v>
      </c>
      <c r="AD118" t="s">
        <v>10</v>
      </c>
      <c r="AE118" t="s">
        <v>35</v>
      </c>
      <c r="AF118" t="s">
        <v>35</v>
      </c>
      <c r="AG118" t="s">
        <v>10</v>
      </c>
      <c r="AH118" s="117" t="s">
        <v>7</v>
      </c>
      <c r="AI118" t="s">
        <v>37</v>
      </c>
    </row>
    <row r="119" spans="1:35">
      <c r="A119" t="s">
        <v>201</v>
      </c>
      <c r="B119" s="2" t="s">
        <v>544</v>
      </c>
      <c r="C119" t="s">
        <v>656</v>
      </c>
      <c r="D119" t="s">
        <v>214</v>
      </c>
      <c r="E119" s="4" t="s">
        <v>657</v>
      </c>
      <c r="F119" s="134" t="s">
        <v>1864</v>
      </c>
      <c r="G119" t="s">
        <v>3</v>
      </c>
      <c r="H119" s="6">
        <v>34420</v>
      </c>
      <c r="I119" t="s">
        <v>4</v>
      </c>
      <c r="J119" t="s">
        <v>18</v>
      </c>
      <c r="K119" t="s">
        <v>1709</v>
      </c>
      <c r="L119" s="135" t="s">
        <v>1707</v>
      </c>
      <c r="M119" s="135" t="s">
        <v>1706</v>
      </c>
      <c r="N119" s="135" t="s">
        <v>1708</v>
      </c>
      <c r="O119" s="144">
        <v>0</v>
      </c>
      <c r="P119" s="135">
        <v>0</v>
      </c>
      <c r="Q119" s="144">
        <v>0</v>
      </c>
      <c r="R119" t="s">
        <v>9846</v>
      </c>
      <c r="S119" t="s">
        <v>7</v>
      </c>
      <c r="T119" t="s">
        <v>1098</v>
      </c>
      <c r="U119" t="s">
        <v>78</v>
      </c>
      <c r="V119" t="s">
        <v>9843</v>
      </c>
      <c r="W119" t="s">
        <v>35</v>
      </c>
      <c r="X119" t="s">
        <v>7</v>
      </c>
      <c r="Y119" t="s">
        <v>9</v>
      </c>
      <c r="Z119" t="s">
        <v>7</v>
      </c>
      <c r="AA119" t="s">
        <v>7</v>
      </c>
      <c r="AB119" t="s">
        <v>7</v>
      </c>
      <c r="AC119" t="s">
        <v>9871</v>
      </c>
      <c r="AD119" t="s">
        <v>1185</v>
      </c>
      <c r="AE119" t="s">
        <v>35</v>
      </c>
      <c r="AF119" t="s">
        <v>35</v>
      </c>
      <c r="AG119" t="s">
        <v>1185</v>
      </c>
      <c r="AH119" s="117" t="s">
        <v>7</v>
      </c>
      <c r="AI119" s="125" t="s">
        <v>1849</v>
      </c>
    </row>
    <row r="120" spans="1:35">
      <c r="A120" t="s">
        <v>201</v>
      </c>
      <c r="B120" s="2" t="s">
        <v>544</v>
      </c>
      <c r="C120" t="s">
        <v>656</v>
      </c>
      <c r="D120" t="s">
        <v>214</v>
      </c>
      <c r="E120" s="4" t="s">
        <v>658</v>
      </c>
      <c r="F120" s="134" t="s">
        <v>1864</v>
      </c>
      <c r="G120" t="s">
        <v>3</v>
      </c>
      <c r="H120" s="6">
        <v>31639</v>
      </c>
      <c r="I120" t="s">
        <v>1093</v>
      </c>
      <c r="J120" t="s">
        <v>1101</v>
      </c>
      <c r="K120" t="s">
        <v>1709</v>
      </c>
      <c r="L120" s="135" t="s">
        <v>1707</v>
      </c>
      <c r="M120" s="135" t="s">
        <v>1706</v>
      </c>
      <c r="N120" s="135" t="s">
        <v>1708</v>
      </c>
      <c r="O120" s="144">
        <v>0</v>
      </c>
      <c r="P120" s="135">
        <v>0</v>
      </c>
      <c r="Q120" s="144">
        <v>0</v>
      </c>
      <c r="R120" t="s">
        <v>9846</v>
      </c>
      <c r="S120" t="s">
        <v>7</v>
      </c>
      <c r="T120" t="s">
        <v>1281</v>
      </c>
      <c r="U120" t="s">
        <v>78</v>
      </c>
      <c r="V120" t="s">
        <v>9843</v>
      </c>
      <c r="W120" t="s">
        <v>35</v>
      </c>
      <c r="X120" t="s">
        <v>7</v>
      </c>
      <c r="Y120" t="s">
        <v>9</v>
      </c>
      <c r="Z120" t="s">
        <v>1097</v>
      </c>
      <c r="AA120" s="117" t="s">
        <v>1111</v>
      </c>
      <c r="AB120" t="s">
        <v>7</v>
      </c>
      <c r="AC120" s="117" t="s">
        <v>9872</v>
      </c>
      <c r="AD120" t="s">
        <v>9</v>
      </c>
      <c r="AE120" t="s">
        <v>35</v>
      </c>
      <c r="AF120" t="s">
        <v>35</v>
      </c>
      <c r="AG120" t="s">
        <v>9</v>
      </c>
      <c r="AH120" s="117" t="s">
        <v>35</v>
      </c>
      <c r="AI120" s="125" t="s">
        <v>1849</v>
      </c>
    </row>
    <row r="121" spans="1:35">
      <c r="A121" t="s">
        <v>202</v>
      </c>
      <c r="B121" s="2" t="s">
        <v>651</v>
      </c>
      <c r="C121" t="s">
        <v>656</v>
      </c>
      <c r="D121" t="s">
        <v>214</v>
      </c>
      <c r="E121" s="4" t="s">
        <v>659</v>
      </c>
      <c r="F121" t="s">
        <v>1855</v>
      </c>
      <c r="G121" t="s">
        <v>3</v>
      </c>
      <c r="H121" s="6">
        <v>34944</v>
      </c>
      <c r="I121" t="s">
        <v>5</v>
      </c>
      <c r="J121" t="s">
        <v>1101</v>
      </c>
      <c r="K121" t="s">
        <v>1186</v>
      </c>
      <c r="L121" s="135" t="s">
        <v>1711</v>
      </c>
      <c r="M121" s="135" t="s">
        <v>1710</v>
      </c>
      <c r="N121" s="135" t="s">
        <v>1712</v>
      </c>
      <c r="O121" s="144">
        <v>0</v>
      </c>
      <c r="P121" s="135">
        <v>0</v>
      </c>
      <c r="Q121" s="144">
        <v>0</v>
      </c>
      <c r="R121" t="s">
        <v>9843</v>
      </c>
      <c r="S121" t="s">
        <v>7</v>
      </c>
      <c r="T121" t="s">
        <v>80</v>
      </c>
      <c r="U121" t="s">
        <v>36</v>
      </c>
      <c r="V121" t="s">
        <v>9843</v>
      </c>
      <c r="W121" t="s">
        <v>35</v>
      </c>
      <c r="X121" t="s">
        <v>7</v>
      </c>
      <c r="Y121" t="s">
        <v>9</v>
      </c>
      <c r="Z121" t="s">
        <v>7</v>
      </c>
      <c r="AA121" t="s">
        <v>7</v>
      </c>
      <c r="AB121" t="s">
        <v>1937</v>
      </c>
      <c r="AC121" t="s">
        <v>9871</v>
      </c>
      <c r="AD121" t="s">
        <v>1197</v>
      </c>
      <c r="AE121" t="s">
        <v>35</v>
      </c>
      <c r="AF121" t="s">
        <v>35</v>
      </c>
      <c r="AG121" t="s">
        <v>1197</v>
      </c>
      <c r="AH121" s="117" t="s">
        <v>7</v>
      </c>
      <c r="AI121" s="125" t="s">
        <v>1849</v>
      </c>
    </row>
    <row r="122" spans="1:35">
      <c r="A122" t="s">
        <v>203</v>
      </c>
      <c r="B122" s="2" t="s">
        <v>523</v>
      </c>
      <c r="C122" t="s">
        <v>652</v>
      </c>
      <c r="D122" t="s">
        <v>214</v>
      </c>
      <c r="E122" s="4" t="s">
        <v>660</v>
      </c>
      <c r="F122" t="s">
        <v>1855</v>
      </c>
      <c r="G122" t="s">
        <v>3</v>
      </c>
      <c r="H122" s="6">
        <v>33584</v>
      </c>
      <c r="I122" t="s">
        <v>1093</v>
      </c>
      <c r="J122" t="s">
        <v>1101</v>
      </c>
      <c r="K122" t="s">
        <v>1713</v>
      </c>
      <c r="L122" s="135">
        <v>0</v>
      </c>
      <c r="M122" s="135" t="s">
        <v>1715</v>
      </c>
      <c r="N122" s="135" t="s">
        <v>1714</v>
      </c>
      <c r="O122" s="144">
        <v>0</v>
      </c>
      <c r="P122" s="135">
        <v>0</v>
      </c>
      <c r="Q122" s="144">
        <v>0</v>
      </c>
      <c r="R122" t="s">
        <v>9843</v>
      </c>
      <c r="S122" t="s">
        <v>7</v>
      </c>
      <c r="T122" t="s">
        <v>1716</v>
      </c>
      <c r="U122" t="s">
        <v>36</v>
      </c>
      <c r="V122" t="s">
        <v>9843</v>
      </c>
      <c r="W122" t="s">
        <v>35</v>
      </c>
      <c r="X122" t="s">
        <v>7</v>
      </c>
      <c r="Y122" t="s">
        <v>9</v>
      </c>
      <c r="Z122" s="117" t="s">
        <v>7</v>
      </c>
      <c r="AA122" t="s">
        <v>7</v>
      </c>
      <c r="AB122" t="s">
        <v>7</v>
      </c>
      <c r="AC122" s="117" t="s">
        <v>9872</v>
      </c>
      <c r="AD122" t="s">
        <v>9</v>
      </c>
      <c r="AE122" t="s">
        <v>35</v>
      </c>
      <c r="AF122" t="s">
        <v>35</v>
      </c>
      <c r="AG122" t="s">
        <v>9</v>
      </c>
      <c r="AH122" s="117" t="s">
        <v>35</v>
      </c>
      <c r="AI122" s="125" t="s">
        <v>1849</v>
      </c>
    </row>
    <row r="123" spans="1:35">
      <c r="A123" t="s">
        <v>204</v>
      </c>
      <c r="B123" s="2" t="s">
        <v>503</v>
      </c>
      <c r="C123" t="s">
        <v>656</v>
      </c>
      <c r="D123" t="s">
        <v>214</v>
      </c>
      <c r="E123" s="4" t="s">
        <v>661</v>
      </c>
      <c r="F123" t="s">
        <v>1855</v>
      </c>
      <c r="G123" t="s">
        <v>3</v>
      </c>
      <c r="H123" s="6">
        <v>27849</v>
      </c>
      <c r="I123" t="s">
        <v>5</v>
      </c>
      <c r="J123" t="s">
        <v>48</v>
      </c>
      <c r="K123" t="s">
        <v>1143</v>
      </c>
      <c r="L123" s="135" t="s">
        <v>1717</v>
      </c>
      <c r="M123" s="135">
        <v>0</v>
      </c>
      <c r="N123" s="135">
        <v>0</v>
      </c>
      <c r="O123" s="144">
        <v>0</v>
      </c>
      <c r="P123" s="135">
        <v>0</v>
      </c>
      <c r="Q123" s="144">
        <v>0</v>
      </c>
      <c r="R123" t="s">
        <v>9843</v>
      </c>
      <c r="S123" t="s">
        <v>7</v>
      </c>
      <c r="T123" t="s">
        <v>1082</v>
      </c>
      <c r="U123" t="s">
        <v>36</v>
      </c>
      <c r="V123" t="s">
        <v>9843</v>
      </c>
      <c r="W123" t="s">
        <v>35</v>
      </c>
      <c r="X123" t="s">
        <v>7</v>
      </c>
      <c r="Y123" t="s">
        <v>9</v>
      </c>
      <c r="Z123" t="s">
        <v>7</v>
      </c>
      <c r="AA123" t="s">
        <v>7</v>
      </c>
      <c r="AB123" t="s">
        <v>7</v>
      </c>
      <c r="AC123" t="s">
        <v>9870</v>
      </c>
      <c r="AD123" t="s">
        <v>10</v>
      </c>
      <c r="AE123" t="s">
        <v>35</v>
      </c>
      <c r="AF123" t="s">
        <v>35</v>
      </c>
      <c r="AG123" t="s">
        <v>10</v>
      </c>
      <c r="AH123" t="s">
        <v>9851</v>
      </c>
      <c r="AI123" s="117" t="s">
        <v>35</v>
      </c>
    </row>
    <row r="124" spans="1:35">
      <c r="A124" t="s">
        <v>205</v>
      </c>
      <c r="B124" s="2" t="s">
        <v>662</v>
      </c>
      <c r="C124" t="s">
        <v>656</v>
      </c>
      <c r="D124" t="s">
        <v>214</v>
      </c>
      <c r="E124" s="4" t="s">
        <v>663</v>
      </c>
      <c r="F124" t="s">
        <v>1855</v>
      </c>
      <c r="G124" t="s">
        <v>3</v>
      </c>
      <c r="H124" s="6">
        <v>32580</v>
      </c>
      <c r="I124" t="s">
        <v>4</v>
      </c>
      <c r="J124" t="s">
        <v>48</v>
      </c>
      <c r="K124" t="s">
        <v>1718</v>
      </c>
      <c r="L124" s="135">
        <v>0</v>
      </c>
      <c r="M124" s="135" t="s">
        <v>1719</v>
      </c>
      <c r="N124" s="135" t="s">
        <v>1720</v>
      </c>
      <c r="O124" s="144">
        <v>0</v>
      </c>
      <c r="P124" s="135">
        <v>0</v>
      </c>
      <c r="Q124" s="144">
        <v>0</v>
      </c>
      <c r="R124" t="s">
        <v>9843</v>
      </c>
      <c r="S124" t="s">
        <v>7</v>
      </c>
      <c r="T124" t="s">
        <v>1132</v>
      </c>
      <c r="U124" t="s">
        <v>36</v>
      </c>
      <c r="V124" t="s">
        <v>9843</v>
      </c>
      <c r="W124" t="s">
        <v>35</v>
      </c>
      <c r="X124" t="s">
        <v>7</v>
      </c>
      <c r="Y124" t="s">
        <v>9</v>
      </c>
      <c r="Z124" t="s">
        <v>1097</v>
      </c>
      <c r="AA124" t="s">
        <v>7</v>
      </c>
      <c r="AB124" t="s">
        <v>7</v>
      </c>
      <c r="AC124" s="117" t="s">
        <v>9872</v>
      </c>
      <c r="AD124" t="s">
        <v>1100</v>
      </c>
      <c r="AE124" t="s">
        <v>35</v>
      </c>
      <c r="AF124" t="s">
        <v>35</v>
      </c>
      <c r="AG124" t="s">
        <v>1100</v>
      </c>
      <c r="AH124" s="117" t="s">
        <v>35</v>
      </c>
      <c r="AI124" s="125" t="s">
        <v>1849</v>
      </c>
    </row>
    <row r="125" spans="1:35">
      <c r="A125" t="s">
        <v>206</v>
      </c>
      <c r="B125" s="2" t="s">
        <v>664</v>
      </c>
      <c r="C125" t="s">
        <v>652</v>
      </c>
      <c r="D125" t="s">
        <v>214</v>
      </c>
      <c r="E125" s="4" t="s">
        <v>665</v>
      </c>
      <c r="F125" t="s">
        <v>1855</v>
      </c>
      <c r="G125" t="s">
        <v>3</v>
      </c>
      <c r="H125" s="6">
        <v>33720</v>
      </c>
      <c r="I125" t="s">
        <v>5</v>
      </c>
      <c r="J125" t="s">
        <v>1101</v>
      </c>
      <c r="K125" t="s">
        <v>1721</v>
      </c>
      <c r="L125" s="135">
        <v>0</v>
      </c>
      <c r="M125" s="135" t="s">
        <v>9918</v>
      </c>
      <c r="N125" s="135" t="s">
        <v>9919</v>
      </c>
      <c r="O125" s="144">
        <v>0</v>
      </c>
      <c r="P125" s="135">
        <v>0</v>
      </c>
      <c r="Q125" s="144" t="s">
        <v>9920</v>
      </c>
      <c r="R125" t="s">
        <v>9843</v>
      </c>
      <c r="S125" t="s">
        <v>7</v>
      </c>
      <c r="T125" t="s">
        <v>80</v>
      </c>
      <c r="U125" t="s">
        <v>36</v>
      </c>
      <c r="V125" t="s">
        <v>9843</v>
      </c>
      <c r="W125" t="s">
        <v>35</v>
      </c>
      <c r="X125" t="s">
        <v>7</v>
      </c>
      <c r="Y125" t="s">
        <v>9</v>
      </c>
      <c r="Z125" t="s">
        <v>1097</v>
      </c>
      <c r="AA125" t="s">
        <v>7</v>
      </c>
      <c r="AB125" t="s">
        <v>7</v>
      </c>
      <c r="AC125" s="117" t="s">
        <v>9872</v>
      </c>
      <c r="AD125" t="s">
        <v>1080</v>
      </c>
      <c r="AE125" t="s">
        <v>35</v>
      </c>
      <c r="AF125" t="s">
        <v>35</v>
      </c>
      <c r="AG125" t="s">
        <v>1080</v>
      </c>
      <c r="AH125" s="117" t="s">
        <v>35</v>
      </c>
      <c r="AI125" s="125" t="s">
        <v>1849</v>
      </c>
    </row>
    <row r="126" spans="1:35">
      <c r="A126" t="s">
        <v>207</v>
      </c>
      <c r="B126" s="2" t="s">
        <v>595</v>
      </c>
      <c r="C126" t="s">
        <v>656</v>
      </c>
      <c r="D126" t="s">
        <v>214</v>
      </c>
      <c r="E126" s="4" t="s">
        <v>666</v>
      </c>
      <c r="F126" t="s">
        <v>1855</v>
      </c>
      <c r="G126" t="s">
        <v>3</v>
      </c>
      <c r="H126" s="6">
        <v>29509</v>
      </c>
      <c r="I126" t="s">
        <v>5</v>
      </c>
      <c r="J126" t="s">
        <v>1101</v>
      </c>
      <c r="K126" t="s">
        <v>1722</v>
      </c>
      <c r="L126" s="135" t="s">
        <v>1725</v>
      </c>
      <c r="M126" s="135" t="s">
        <v>1724</v>
      </c>
      <c r="N126" s="135" t="s">
        <v>1723</v>
      </c>
      <c r="O126" s="144">
        <v>0</v>
      </c>
      <c r="P126" s="135">
        <v>0</v>
      </c>
      <c r="Q126" s="144">
        <v>0</v>
      </c>
      <c r="R126" t="s">
        <v>9843</v>
      </c>
      <c r="S126" t="s">
        <v>7</v>
      </c>
      <c r="T126" t="s">
        <v>1726</v>
      </c>
      <c r="U126" t="s">
        <v>36</v>
      </c>
      <c r="V126" t="s">
        <v>9843</v>
      </c>
      <c r="W126" t="s">
        <v>35</v>
      </c>
      <c r="X126" t="s">
        <v>7</v>
      </c>
      <c r="Y126" t="s">
        <v>9</v>
      </c>
      <c r="Z126" t="s">
        <v>1097</v>
      </c>
      <c r="AA126" s="117" t="s">
        <v>1111</v>
      </c>
      <c r="AB126" t="s">
        <v>7</v>
      </c>
      <c r="AC126" s="117" t="s">
        <v>9872</v>
      </c>
      <c r="AD126" t="s">
        <v>9</v>
      </c>
      <c r="AE126" t="s">
        <v>35</v>
      </c>
      <c r="AF126" t="s">
        <v>35</v>
      </c>
      <c r="AG126" t="s">
        <v>9</v>
      </c>
      <c r="AH126" s="117" t="s">
        <v>35</v>
      </c>
      <c r="AI126" s="125" t="s">
        <v>1849</v>
      </c>
    </row>
    <row r="127" spans="1:35">
      <c r="A127" t="s">
        <v>208</v>
      </c>
      <c r="B127" s="2" t="s">
        <v>667</v>
      </c>
      <c r="C127" t="s">
        <v>656</v>
      </c>
      <c r="D127" t="s">
        <v>214</v>
      </c>
      <c r="E127" s="4" t="s">
        <v>668</v>
      </c>
      <c r="F127" t="s">
        <v>1855</v>
      </c>
      <c r="G127" t="s">
        <v>3</v>
      </c>
      <c r="H127" s="6">
        <v>34363</v>
      </c>
      <c r="I127" t="s">
        <v>1093</v>
      </c>
      <c r="J127" t="s">
        <v>1101</v>
      </c>
      <c r="K127" t="s">
        <v>1342</v>
      </c>
      <c r="L127" s="135" t="s">
        <v>1727</v>
      </c>
      <c r="M127" s="135" t="s">
        <v>1728</v>
      </c>
      <c r="N127" s="135" t="s">
        <v>10078</v>
      </c>
      <c r="O127" s="144">
        <v>0</v>
      </c>
      <c r="P127" s="135">
        <v>0</v>
      </c>
      <c r="Q127" s="144">
        <v>0</v>
      </c>
      <c r="R127" t="s">
        <v>9843</v>
      </c>
      <c r="S127" t="s">
        <v>7</v>
      </c>
      <c r="T127" t="s">
        <v>1546</v>
      </c>
      <c r="U127" t="s">
        <v>36</v>
      </c>
      <c r="V127" t="s">
        <v>9843</v>
      </c>
      <c r="W127" t="s">
        <v>35</v>
      </c>
      <c r="X127" t="s">
        <v>7</v>
      </c>
      <c r="Y127" t="s">
        <v>9</v>
      </c>
      <c r="Z127" t="s">
        <v>7</v>
      </c>
      <c r="AA127" t="s">
        <v>7</v>
      </c>
      <c r="AB127" t="s">
        <v>7</v>
      </c>
      <c r="AC127" s="117" t="s">
        <v>7</v>
      </c>
      <c r="AD127" t="s">
        <v>9</v>
      </c>
      <c r="AE127" t="s">
        <v>35</v>
      </c>
      <c r="AF127" t="s">
        <v>35</v>
      </c>
      <c r="AG127" t="s">
        <v>9</v>
      </c>
      <c r="AH127" s="117" t="s">
        <v>35</v>
      </c>
      <c r="AI127" s="125" t="s">
        <v>1849</v>
      </c>
    </row>
    <row r="128" spans="1:35">
      <c r="A128" t="s">
        <v>209</v>
      </c>
      <c r="B128" s="2" t="s">
        <v>605</v>
      </c>
      <c r="C128" t="s">
        <v>652</v>
      </c>
      <c r="D128" t="s">
        <v>214</v>
      </c>
      <c r="E128" s="4" t="s">
        <v>669</v>
      </c>
      <c r="F128" t="s">
        <v>1855</v>
      </c>
      <c r="G128" t="s">
        <v>3</v>
      </c>
      <c r="H128" s="6">
        <v>33734</v>
      </c>
      <c r="I128" t="s">
        <v>1093</v>
      </c>
      <c r="J128" t="s">
        <v>48</v>
      </c>
      <c r="K128" t="s">
        <v>1729</v>
      </c>
      <c r="L128" s="135" t="s">
        <v>1730</v>
      </c>
      <c r="M128" s="135" t="s">
        <v>1731</v>
      </c>
      <c r="N128" s="135" t="s">
        <v>1732</v>
      </c>
      <c r="O128" s="144">
        <v>0</v>
      </c>
      <c r="P128" s="135">
        <v>0</v>
      </c>
      <c r="Q128" s="144">
        <v>0</v>
      </c>
      <c r="R128" t="s">
        <v>9843</v>
      </c>
      <c r="S128" t="s">
        <v>7</v>
      </c>
      <c r="T128" t="s">
        <v>1106</v>
      </c>
      <c r="U128" t="s">
        <v>36</v>
      </c>
      <c r="V128" t="s">
        <v>9843</v>
      </c>
      <c r="W128" t="s">
        <v>35</v>
      </c>
      <c r="X128" t="s">
        <v>7</v>
      </c>
      <c r="Y128" t="s">
        <v>9</v>
      </c>
      <c r="Z128" t="s">
        <v>7</v>
      </c>
      <c r="AA128" t="s">
        <v>7</v>
      </c>
      <c r="AB128" t="s">
        <v>7</v>
      </c>
      <c r="AC128" s="117" t="s">
        <v>9872</v>
      </c>
      <c r="AD128" t="s">
        <v>9</v>
      </c>
      <c r="AE128" t="s">
        <v>35</v>
      </c>
      <c r="AF128" t="s">
        <v>35</v>
      </c>
      <c r="AG128" t="s">
        <v>9</v>
      </c>
      <c r="AH128" s="117" t="s">
        <v>35</v>
      </c>
      <c r="AI128" s="125" t="s">
        <v>1849</v>
      </c>
    </row>
    <row r="129" spans="1:35">
      <c r="A129" t="s">
        <v>210</v>
      </c>
      <c r="B129" s="2" t="s">
        <v>597</v>
      </c>
      <c r="C129" t="s">
        <v>652</v>
      </c>
      <c r="D129" t="s">
        <v>214</v>
      </c>
      <c r="E129" s="4" t="s">
        <v>670</v>
      </c>
      <c r="F129" t="s">
        <v>1855</v>
      </c>
      <c r="G129" t="s">
        <v>3</v>
      </c>
      <c r="H129" s="6">
        <v>35484</v>
      </c>
      <c r="I129" t="s">
        <v>5</v>
      </c>
      <c r="J129" t="s">
        <v>48</v>
      </c>
      <c r="K129" t="s">
        <v>1070</v>
      </c>
      <c r="L129" s="135">
        <v>0</v>
      </c>
      <c r="M129" s="135" t="s">
        <v>1733</v>
      </c>
      <c r="N129" s="135">
        <v>0</v>
      </c>
      <c r="O129" s="144">
        <v>0</v>
      </c>
      <c r="P129" s="135">
        <v>0</v>
      </c>
      <c r="Q129" s="144">
        <v>0</v>
      </c>
      <c r="R129" t="s">
        <v>9843</v>
      </c>
      <c r="S129" t="s">
        <v>7</v>
      </c>
      <c r="T129" t="s">
        <v>1106</v>
      </c>
      <c r="U129" t="s">
        <v>36</v>
      </c>
      <c r="V129" t="s">
        <v>9843</v>
      </c>
      <c r="W129" t="s">
        <v>35</v>
      </c>
      <c r="X129" t="s">
        <v>7</v>
      </c>
      <c r="Y129" t="s">
        <v>9</v>
      </c>
      <c r="Z129" t="s">
        <v>7</v>
      </c>
      <c r="AA129" t="s">
        <v>7</v>
      </c>
      <c r="AB129" t="s">
        <v>7</v>
      </c>
      <c r="AC129" t="s">
        <v>9871</v>
      </c>
      <c r="AD129" t="s">
        <v>44</v>
      </c>
      <c r="AE129" t="s">
        <v>35</v>
      </c>
      <c r="AF129" t="s">
        <v>35</v>
      </c>
      <c r="AG129" t="s">
        <v>44</v>
      </c>
      <c r="AH129" s="117" t="s">
        <v>7</v>
      </c>
      <c r="AI129" s="125" t="s">
        <v>1849</v>
      </c>
    </row>
    <row r="130" spans="1:35">
      <c r="A130" t="s">
        <v>211</v>
      </c>
      <c r="B130" s="2" t="s">
        <v>587</v>
      </c>
      <c r="C130" t="s">
        <v>656</v>
      </c>
      <c r="D130" t="s">
        <v>214</v>
      </c>
      <c r="E130" s="4" t="s">
        <v>671</v>
      </c>
      <c r="F130" t="s">
        <v>1855</v>
      </c>
      <c r="G130" t="s">
        <v>3</v>
      </c>
      <c r="H130" s="6">
        <v>34757</v>
      </c>
      <c r="I130" t="s">
        <v>5</v>
      </c>
      <c r="J130" t="s">
        <v>1101</v>
      </c>
      <c r="K130" t="s">
        <v>1734</v>
      </c>
      <c r="L130" s="135" t="s">
        <v>1735</v>
      </c>
      <c r="M130" s="135">
        <v>0</v>
      </c>
      <c r="N130" s="135">
        <v>0</v>
      </c>
      <c r="O130" s="144">
        <v>0</v>
      </c>
      <c r="P130" s="135">
        <v>0</v>
      </c>
      <c r="Q130" s="144">
        <v>0</v>
      </c>
      <c r="R130" t="s">
        <v>9843</v>
      </c>
      <c r="S130" t="s">
        <v>7</v>
      </c>
      <c r="T130" t="s">
        <v>1555</v>
      </c>
      <c r="U130" t="s">
        <v>36</v>
      </c>
      <c r="V130" t="s">
        <v>9843</v>
      </c>
      <c r="W130" t="s">
        <v>35</v>
      </c>
      <c r="X130" t="s">
        <v>7</v>
      </c>
      <c r="Y130" t="s">
        <v>9</v>
      </c>
      <c r="Z130" t="s">
        <v>7</v>
      </c>
      <c r="AA130" t="s">
        <v>7</v>
      </c>
      <c r="AB130" t="s">
        <v>7</v>
      </c>
      <c r="AC130" t="s">
        <v>9870</v>
      </c>
      <c r="AD130" t="s">
        <v>10</v>
      </c>
      <c r="AE130" t="s">
        <v>35</v>
      </c>
      <c r="AF130" t="s">
        <v>35</v>
      </c>
      <c r="AG130" t="s">
        <v>10</v>
      </c>
      <c r="AH130" t="s">
        <v>9851</v>
      </c>
      <c r="AI130" s="117" t="s">
        <v>35</v>
      </c>
    </row>
    <row r="131" spans="1:35">
      <c r="A131" t="s">
        <v>212</v>
      </c>
      <c r="B131" s="2" t="s">
        <v>638</v>
      </c>
      <c r="C131" t="s">
        <v>652</v>
      </c>
      <c r="D131" t="s">
        <v>214</v>
      </c>
      <c r="E131" s="4" t="s">
        <v>672</v>
      </c>
      <c r="F131" s="134" t="s">
        <v>1864</v>
      </c>
      <c r="G131" t="s">
        <v>3</v>
      </c>
      <c r="H131" s="6">
        <v>31363</v>
      </c>
      <c r="I131" t="s">
        <v>5</v>
      </c>
      <c r="J131" t="s">
        <v>18</v>
      </c>
      <c r="K131" t="s">
        <v>9814</v>
      </c>
      <c r="L131" s="135">
        <v>0</v>
      </c>
      <c r="M131" s="135" t="s">
        <v>1736</v>
      </c>
      <c r="N131" s="135">
        <v>0</v>
      </c>
      <c r="O131" s="144">
        <v>0</v>
      </c>
      <c r="P131" s="135">
        <v>0</v>
      </c>
      <c r="Q131" s="144">
        <v>0</v>
      </c>
      <c r="R131" t="s">
        <v>9846</v>
      </c>
      <c r="S131" t="s">
        <v>7</v>
      </c>
      <c r="T131" t="s">
        <v>1150</v>
      </c>
      <c r="U131" t="s">
        <v>78</v>
      </c>
      <c r="V131" t="s">
        <v>9843</v>
      </c>
      <c r="W131" t="s">
        <v>35</v>
      </c>
      <c r="X131" t="s">
        <v>7</v>
      </c>
      <c r="Y131" t="s">
        <v>9</v>
      </c>
      <c r="Z131" t="s">
        <v>7</v>
      </c>
      <c r="AA131" t="s">
        <v>7</v>
      </c>
      <c r="AB131" t="s">
        <v>7</v>
      </c>
      <c r="AC131" s="117" t="s">
        <v>9872</v>
      </c>
      <c r="AD131" t="s">
        <v>9</v>
      </c>
      <c r="AE131" t="s">
        <v>35</v>
      </c>
      <c r="AF131" t="s">
        <v>35</v>
      </c>
      <c r="AG131" t="s">
        <v>9</v>
      </c>
      <c r="AH131" s="117" t="s">
        <v>35</v>
      </c>
      <c r="AI131" s="125" t="s">
        <v>1849</v>
      </c>
    </row>
    <row r="132" spans="1:35">
      <c r="A132" t="s">
        <v>212</v>
      </c>
      <c r="B132" s="2" t="s">
        <v>638</v>
      </c>
      <c r="C132" t="s">
        <v>652</v>
      </c>
      <c r="D132" t="s">
        <v>214</v>
      </c>
      <c r="E132" s="4" t="s">
        <v>673</v>
      </c>
      <c r="F132" s="134" t="s">
        <v>1864</v>
      </c>
      <c r="G132" t="s">
        <v>3</v>
      </c>
      <c r="H132" s="6">
        <v>28937</v>
      </c>
      <c r="I132" t="s">
        <v>5</v>
      </c>
      <c r="J132" t="s">
        <v>1074</v>
      </c>
      <c r="K132" t="s">
        <v>9814</v>
      </c>
      <c r="L132" s="135">
        <v>0</v>
      </c>
      <c r="M132" s="135" t="s">
        <v>1736</v>
      </c>
      <c r="N132" s="135">
        <v>0</v>
      </c>
      <c r="O132" s="144">
        <v>0</v>
      </c>
      <c r="P132" s="135">
        <v>0</v>
      </c>
      <c r="Q132" s="144">
        <v>0</v>
      </c>
      <c r="R132" t="s">
        <v>9846</v>
      </c>
      <c r="S132" t="s">
        <v>7</v>
      </c>
      <c r="T132" t="s">
        <v>1428</v>
      </c>
      <c r="U132" t="s">
        <v>78</v>
      </c>
      <c r="V132" t="s">
        <v>9843</v>
      </c>
      <c r="W132" t="s">
        <v>35</v>
      </c>
      <c r="X132" t="s">
        <v>7</v>
      </c>
      <c r="Y132" t="s">
        <v>9</v>
      </c>
      <c r="Z132" t="s">
        <v>7</v>
      </c>
      <c r="AA132" t="s">
        <v>7</v>
      </c>
      <c r="AB132" t="s">
        <v>7</v>
      </c>
      <c r="AC132" t="s">
        <v>9871</v>
      </c>
      <c r="AD132" t="s">
        <v>44</v>
      </c>
      <c r="AE132" t="s">
        <v>35</v>
      </c>
      <c r="AF132" t="s">
        <v>35</v>
      </c>
      <c r="AG132" t="s">
        <v>44</v>
      </c>
      <c r="AH132" s="117" t="s">
        <v>7</v>
      </c>
      <c r="AI132" s="117" t="s">
        <v>1114</v>
      </c>
    </row>
    <row r="133" spans="1:35">
      <c r="A133" t="s">
        <v>213</v>
      </c>
      <c r="B133" s="2" t="s">
        <v>674</v>
      </c>
      <c r="C133" t="s">
        <v>656</v>
      </c>
      <c r="D133" t="s">
        <v>214</v>
      </c>
      <c r="E133" s="4" t="s">
        <v>675</v>
      </c>
      <c r="F133" t="s">
        <v>1855</v>
      </c>
      <c r="G133" t="s">
        <v>3</v>
      </c>
      <c r="H133" s="6">
        <v>35340</v>
      </c>
      <c r="I133" t="s">
        <v>5</v>
      </c>
      <c r="J133" t="s">
        <v>48</v>
      </c>
      <c r="K133" t="s">
        <v>1737</v>
      </c>
      <c r="L133" s="135" t="s">
        <v>1738</v>
      </c>
      <c r="M133" s="135">
        <v>0</v>
      </c>
      <c r="N133" s="135">
        <v>0</v>
      </c>
      <c r="O133" s="144">
        <v>0</v>
      </c>
      <c r="P133" s="135">
        <v>0</v>
      </c>
      <c r="Q133" s="144">
        <v>0</v>
      </c>
      <c r="R133" t="s">
        <v>9843</v>
      </c>
      <c r="S133" t="s">
        <v>7</v>
      </c>
      <c r="T133" t="s">
        <v>80</v>
      </c>
      <c r="U133" t="s">
        <v>36</v>
      </c>
      <c r="V133" t="s">
        <v>9843</v>
      </c>
      <c r="W133" t="s">
        <v>35</v>
      </c>
      <c r="X133" t="s">
        <v>7</v>
      </c>
      <c r="Y133" t="s">
        <v>9</v>
      </c>
      <c r="Z133" t="s">
        <v>7</v>
      </c>
      <c r="AA133" t="s">
        <v>7</v>
      </c>
      <c r="AB133" t="s">
        <v>7</v>
      </c>
      <c r="AC133" s="117" t="s">
        <v>9872</v>
      </c>
      <c r="AD133" t="s">
        <v>9</v>
      </c>
      <c r="AE133" t="s">
        <v>35</v>
      </c>
      <c r="AF133" t="s">
        <v>35</v>
      </c>
      <c r="AG133" t="s">
        <v>9</v>
      </c>
      <c r="AH133" s="117" t="s">
        <v>35</v>
      </c>
      <c r="AI133" s="125" t="s">
        <v>1849</v>
      </c>
    </row>
    <row r="134" spans="1:35">
      <c r="A134" t="s">
        <v>1583</v>
      </c>
      <c r="B134" s="6" t="s">
        <v>931</v>
      </c>
      <c r="C134" t="s">
        <v>656</v>
      </c>
      <c r="D134" t="s">
        <v>214</v>
      </c>
      <c r="E134" t="s">
        <v>1739</v>
      </c>
      <c r="F134" t="s">
        <v>1855</v>
      </c>
      <c r="G134" t="s">
        <v>3</v>
      </c>
      <c r="H134" s="6">
        <v>29833</v>
      </c>
      <c r="I134" t="s">
        <v>4</v>
      </c>
      <c r="J134" t="s">
        <v>18</v>
      </c>
      <c r="K134" t="s">
        <v>9787</v>
      </c>
      <c r="L134" s="135" t="s">
        <v>1742</v>
      </c>
      <c r="M134" s="135" t="s">
        <v>1741</v>
      </c>
      <c r="N134" s="135">
        <v>0</v>
      </c>
      <c r="O134" s="144">
        <v>0</v>
      </c>
      <c r="P134" s="135">
        <v>0</v>
      </c>
      <c r="Q134" s="144">
        <v>0</v>
      </c>
      <c r="R134" t="s">
        <v>9844</v>
      </c>
      <c r="S134" t="s">
        <v>1740</v>
      </c>
      <c r="T134" t="s">
        <v>1122</v>
      </c>
      <c r="U134" t="s">
        <v>51</v>
      </c>
      <c r="V134" t="s">
        <v>52</v>
      </c>
      <c r="W134" t="s">
        <v>1740</v>
      </c>
      <c r="X134" t="s">
        <v>35</v>
      </c>
      <c r="Y134" t="s">
        <v>35</v>
      </c>
      <c r="Z134" t="s">
        <v>35</v>
      </c>
      <c r="AA134" t="s">
        <v>35</v>
      </c>
      <c r="AB134" t="s">
        <v>35</v>
      </c>
      <c r="AC134" t="s">
        <v>35</v>
      </c>
      <c r="AD134" t="s">
        <v>35</v>
      </c>
      <c r="AE134" t="s">
        <v>7</v>
      </c>
      <c r="AF134" t="s">
        <v>1279</v>
      </c>
      <c r="AG134" t="s">
        <v>1279</v>
      </c>
      <c r="AH134" t="s">
        <v>9851</v>
      </c>
      <c r="AI134" s="117" t="s">
        <v>35</v>
      </c>
    </row>
    <row r="135" spans="1:35">
      <c r="A135" t="s">
        <v>215</v>
      </c>
      <c r="B135" s="2" t="s">
        <v>761</v>
      </c>
      <c r="C135" t="s">
        <v>769</v>
      </c>
      <c r="D135" t="s">
        <v>225</v>
      </c>
      <c r="E135" s="4" t="s">
        <v>770</v>
      </c>
      <c r="F135" t="s">
        <v>1855</v>
      </c>
      <c r="G135" t="s">
        <v>3</v>
      </c>
      <c r="H135" s="6">
        <v>30921</v>
      </c>
      <c r="I135" t="s">
        <v>4</v>
      </c>
      <c r="J135" t="s">
        <v>1074</v>
      </c>
      <c r="K135" t="s">
        <v>9772</v>
      </c>
      <c r="L135" s="135">
        <v>0</v>
      </c>
      <c r="M135" s="135">
        <v>0</v>
      </c>
      <c r="N135" s="135" t="s">
        <v>1234</v>
      </c>
      <c r="O135" s="144">
        <v>0</v>
      </c>
      <c r="P135" s="135">
        <v>0</v>
      </c>
      <c r="Q135" s="144">
        <v>0</v>
      </c>
      <c r="R135" t="s">
        <v>9843</v>
      </c>
      <c r="S135" t="s">
        <v>7</v>
      </c>
      <c r="T135" s="117" t="s">
        <v>1132</v>
      </c>
      <c r="U135" t="s">
        <v>36</v>
      </c>
      <c r="V135" t="s">
        <v>9843</v>
      </c>
      <c r="W135" t="s">
        <v>35</v>
      </c>
      <c r="X135" s="117" t="s">
        <v>9856</v>
      </c>
      <c r="Y135" t="s">
        <v>1080</v>
      </c>
      <c r="Z135" t="s">
        <v>7</v>
      </c>
      <c r="AA135" t="s">
        <v>7</v>
      </c>
      <c r="AB135" t="s">
        <v>7</v>
      </c>
      <c r="AC135" t="s">
        <v>9870</v>
      </c>
      <c r="AD135" t="s">
        <v>44</v>
      </c>
      <c r="AE135" t="s">
        <v>35</v>
      </c>
      <c r="AF135" t="s">
        <v>35</v>
      </c>
      <c r="AG135" t="s">
        <v>44</v>
      </c>
      <c r="AH135" s="117" t="s">
        <v>7</v>
      </c>
      <c r="AI135" t="s">
        <v>37</v>
      </c>
    </row>
    <row r="136" spans="1:35">
      <c r="A136" t="s">
        <v>216</v>
      </c>
      <c r="B136" s="2" t="s">
        <v>771</v>
      </c>
      <c r="C136" t="s">
        <v>772</v>
      </c>
      <c r="D136" t="s">
        <v>225</v>
      </c>
      <c r="E136" s="4" t="s">
        <v>773</v>
      </c>
      <c r="F136" t="s">
        <v>1855</v>
      </c>
      <c r="G136" t="s">
        <v>3</v>
      </c>
      <c r="H136" s="6">
        <v>32760</v>
      </c>
      <c r="I136" t="s">
        <v>1093</v>
      </c>
      <c r="J136" t="s">
        <v>1101</v>
      </c>
      <c r="K136" t="s">
        <v>9773</v>
      </c>
      <c r="L136" s="135" t="s">
        <v>1237</v>
      </c>
      <c r="M136" s="135" t="s">
        <v>1235</v>
      </c>
      <c r="N136" s="135" t="s">
        <v>1236</v>
      </c>
      <c r="O136" s="144" t="s">
        <v>1238</v>
      </c>
      <c r="P136" s="135">
        <v>0</v>
      </c>
      <c r="Q136" s="144">
        <v>0</v>
      </c>
      <c r="R136" t="s">
        <v>9846</v>
      </c>
      <c r="S136" t="s">
        <v>1271</v>
      </c>
      <c r="T136" s="117" t="s">
        <v>1173</v>
      </c>
      <c r="U136" t="s">
        <v>6</v>
      </c>
      <c r="V136" t="s">
        <v>35</v>
      </c>
      <c r="W136" t="s">
        <v>35</v>
      </c>
      <c r="X136" t="s">
        <v>35</v>
      </c>
      <c r="Y136" t="s">
        <v>35</v>
      </c>
      <c r="Z136" t="s">
        <v>35</v>
      </c>
      <c r="AA136" t="s">
        <v>35</v>
      </c>
      <c r="AB136" t="s">
        <v>35</v>
      </c>
      <c r="AC136" t="s">
        <v>35</v>
      </c>
      <c r="AD136" t="s">
        <v>35</v>
      </c>
      <c r="AE136" t="s">
        <v>35</v>
      </c>
      <c r="AF136" t="s">
        <v>35</v>
      </c>
      <c r="AG136" t="s">
        <v>35</v>
      </c>
      <c r="AH136" t="s">
        <v>35</v>
      </c>
      <c r="AI136" t="s">
        <v>35</v>
      </c>
    </row>
    <row r="137" spans="1:35">
      <c r="A137" t="s">
        <v>217</v>
      </c>
      <c r="B137" s="2" t="s">
        <v>651</v>
      </c>
      <c r="C137" t="s">
        <v>772</v>
      </c>
      <c r="D137" t="s">
        <v>225</v>
      </c>
      <c r="E137" s="4" t="s">
        <v>774</v>
      </c>
      <c r="F137" t="s">
        <v>1855</v>
      </c>
      <c r="G137" t="s">
        <v>3</v>
      </c>
      <c r="H137" s="6">
        <v>34820</v>
      </c>
      <c r="I137" t="s">
        <v>5</v>
      </c>
      <c r="J137" t="s">
        <v>48</v>
      </c>
      <c r="K137" t="s">
        <v>1239</v>
      </c>
      <c r="L137" s="135" t="s">
        <v>9921</v>
      </c>
      <c r="M137" s="135" t="s">
        <v>9922</v>
      </c>
      <c r="N137" s="135">
        <v>0</v>
      </c>
      <c r="O137" s="144">
        <v>0</v>
      </c>
      <c r="P137" s="135">
        <v>0</v>
      </c>
      <c r="Q137" s="144" t="s">
        <v>9923</v>
      </c>
      <c r="R137" t="s">
        <v>9843</v>
      </c>
      <c r="S137" t="s">
        <v>7</v>
      </c>
      <c r="T137" s="117" t="s">
        <v>1276</v>
      </c>
      <c r="U137" t="s">
        <v>36</v>
      </c>
      <c r="V137" t="s">
        <v>9843</v>
      </c>
      <c r="W137" t="s">
        <v>35</v>
      </c>
      <c r="X137" t="s">
        <v>7</v>
      </c>
      <c r="Y137" t="s">
        <v>9</v>
      </c>
      <c r="Z137" t="s">
        <v>7</v>
      </c>
      <c r="AA137" t="s">
        <v>7</v>
      </c>
      <c r="AB137" t="s">
        <v>7</v>
      </c>
      <c r="AC137" t="s">
        <v>9870</v>
      </c>
      <c r="AD137" t="s">
        <v>10</v>
      </c>
      <c r="AE137" t="s">
        <v>35</v>
      </c>
      <c r="AF137" t="s">
        <v>35</v>
      </c>
      <c r="AG137" t="s">
        <v>10</v>
      </c>
      <c r="AH137" s="117" t="s">
        <v>7</v>
      </c>
      <c r="AI137" s="125" t="s">
        <v>1849</v>
      </c>
    </row>
    <row r="138" spans="1:35">
      <c r="A138" t="s">
        <v>218</v>
      </c>
      <c r="B138" s="2" t="s">
        <v>775</v>
      </c>
      <c r="C138" t="s">
        <v>769</v>
      </c>
      <c r="D138" t="s">
        <v>225</v>
      </c>
      <c r="E138" s="4" t="s">
        <v>776</v>
      </c>
      <c r="F138" t="s">
        <v>1855</v>
      </c>
      <c r="G138" t="s">
        <v>3</v>
      </c>
      <c r="H138" s="6">
        <v>36287</v>
      </c>
      <c r="I138" t="s">
        <v>4</v>
      </c>
      <c r="J138" t="s">
        <v>48</v>
      </c>
      <c r="K138" t="s">
        <v>1240</v>
      </c>
      <c r="L138" s="135" t="s">
        <v>1241</v>
      </c>
      <c r="M138" s="135" t="s">
        <v>1242</v>
      </c>
      <c r="N138" s="135" t="s">
        <v>1243</v>
      </c>
      <c r="O138" s="144">
        <v>0</v>
      </c>
      <c r="P138" s="135">
        <v>0</v>
      </c>
      <c r="Q138" s="144">
        <v>0</v>
      </c>
      <c r="R138" t="s">
        <v>9843</v>
      </c>
      <c r="S138" t="s">
        <v>1272</v>
      </c>
      <c r="T138" s="117" t="s">
        <v>1173</v>
      </c>
      <c r="U138" t="s">
        <v>1903</v>
      </c>
      <c r="V138" t="s">
        <v>9843</v>
      </c>
      <c r="W138" t="s">
        <v>7</v>
      </c>
      <c r="X138" s="117" t="s">
        <v>9856</v>
      </c>
      <c r="Y138" t="s">
        <v>1080</v>
      </c>
      <c r="Z138" t="s">
        <v>7</v>
      </c>
      <c r="AA138" t="s">
        <v>1244</v>
      </c>
      <c r="AB138" t="s">
        <v>7</v>
      </c>
      <c r="AC138" t="s">
        <v>9870</v>
      </c>
      <c r="AD138" t="s">
        <v>10</v>
      </c>
      <c r="AE138" t="s">
        <v>35</v>
      </c>
      <c r="AF138" t="s">
        <v>35</v>
      </c>
      <c r="AG138" t="s">
        <v>10</v>
      </c>
      <c r="AH138" s="117" t="s">
        <v>7</v>
      </c>
      <c r="AI138" s="117" t="s">
        <v>1114</v>
      </c>
    </row>
    <row r="139" spans="1:35">
      <c r="A139" t="s">
        <v>219</v>
      </c>
      <c r="B139" s="2" t="s">
        <v>628</v>
      </c>
      <c r="C139" t="s">
        <v>772</v>
      </c>
      <c r="D139" t="s">
        <v>225</v>
      </c>
      <c r="E139" s="4" t="s">
        <v>777</v>
      </c>
      <c r="F139" t="s">
        <v>1855</v>
      </c>
      <c r="G139" t="s">
        <v>3</v>
      </c>
      <c r="H139" s="6">
        <v>34295</v>
      </c>
      <c r="I139" t="s">
        <v>5</v>
      </c>
      <c r="J139" t="s">
        <v>1101</v>
      </c>
      <c r="K139" t="s">
        <v>1245</v>
      </c>
      <c r="L139" s="135" t="s">
        <v>1248</v>
      </c>
      <c r="M139" s="135" t="s">
        <v>1247</v>
      </c>
      <c r="N139" s="135" t="s">
        <v>1246</v>
      </c>
      <c r="O139" s="144">
        <v>0</v>
      </c>
      <c r="P139" s="135">
        <v>0</v>
      </c>
      <c r="Q139" s="144">
        <v>0</v>
      </c>
      <c r="R139" t="s">
        <v>9843</v>
      </c>
      <c r="S139" t="s">
        <v>7</v>
      </c>
      <c r="T139" s="117" t="s">
        <v>1150</v>
      </c>
      <c r="U139" t="s">
        <v>36</v>
      </c>
      <c r="V139" t="s">
        <v>9843</v>
      </c>
      <c r="W139" t="s">
        <v>35</v>
      </c>
      <c r="X139" t="s">
        <v>7</v>
      </c>
      <c r="Y139" t="s">
        <v>9</v>
      </c>
      <c r="Z139" t="s">
        <v>1097</v>
      </c>
      <c r="AA139" t="s">
        <v>7</v>
      </c>
      <c r="AB139" t="s">
        <v>7</v>
      </c>
      <c r="AC139" s="117" t="s">
        <v>9872</v>
      </c>
      <c r="AD139" t="s">
        <v>1164</v>
      </c>
      <c r="AE139" t="s">
        <v>35</v>
      </c>
      <c r="AF139" t="s">
        <v>35</v>
      </c>
      <c r="AG139" t="s">
        <v>1164</v>
      </c>
      <c r="AH139" s="117" t="s">
        <v>35</v>
      </c>
      <c r="AI139" s="125" t="s">
        <v>1849</v>
      </c>
    </row>
    <row r="140" spans="1:35">
      <c r="A140" s="117" t="s">
        <v>220</v>
      </c>
      <c r="B140" s="118" t="s">
        <v>498</v>
      </c>
      <c r="C140" s="117" t="s">
        <v>772</v>
      </c>
      <c r="D140" s="117" t="s">
        <v>225</v>
      </c>
      <c r="E140" s="119" t="s">
        <v>1252</v>
      </c>
      <c r="F140" t="s">
        <v>1855</v>
      </c>
      <c r="G140" s="117" t="s">
        <v>3</v>
      </c>
      <c r="H140" s="120">
        <v>34985</v>
      </c>
      <c r="I140" s="117" t="s">
        <v>5</v>
      </c>
      <c r="J140" s="117" t="s">
        <v>41</v>
      </c>
      <c r="K140" s="117" t="s">
        <v>1120</v>
      </c>
      <c r="L140" s="156">
        <v>0</v>
      </c>
      <c r="M140" s="156" t="s">
        <v>1253</v>
      </c>
      <c r="N140" s="156">
        <v>0</v>
      </c>
      <c r="O140" s="145">
        <v>0</v>
      </c>
      <c r="P140" s="156">
        <v>0</v>
      </c>
      <c r="Q140" s="145">
        <v>0</v>
      </c>
      <c r="R140" t="s">
        <v>9843</v>
      </c>
      <c r="S140" t="s">
        <v>7</v>
      </c>
      <c r="T140" s="117" t="s">
        <v>80</v>
      </c>
      <c r="U140" s="117" t="s">
        <v>36</v>
      </c>
      <c r="V140" t="s">
        <v>9843</v>
      </c>
      <c r="W140" t="s">
        <v>35</v>
      </c>
      <c r="X140" t="s">
        <v>7</v>
      </c>
      <c r="Y140" t="s">
        <v>9</v>
      </c>
      <c r="Z140" t="s">
        <v>1097</v>
      </c>
      <c r="AA140" t="s">
        <v>7</v>
      </c>
      <c r="AB140" t="s">
        <v>7</v>
      </c>
      <c r="AC140" s="117" t="s">
        <v>9872</v>
      </c>
      <c r="AD140" t="s">
        <v>1164</v>
      </c>
      <c r="AE140" t="s">
        <v>35</v>
      </c>
      <c r="AF140" t="s">
        <v>35</v>
      </c>
      <c r="AG140" t="s">
        <v>1164</v>
      </c>
      <c r="AH140" s="117" t="s">
        <v>35</v>
      </c>
      <c r="AI140" s="125" t="s">
        <v>1849</v>
      </c>
    </row>
    <row r="141" spans="1:35">
      <c r="A141" t="s">
        <v>221</v>
      </c>
      <c r="B141" s="2" t="s">
        <v>778</v>
      </c>
      <c r="C141" t="s">
        <v>772</v>
      </c>
      <c r="D141" t="s">
        <v>225</v>
      </c>
      <c r="E141" s="4" t="s">
        <v>779</v>
      </c>
      <c r="F141" t="s">
        <v>1855</v>
      </c>
      <c r="G141" t="s">
        <v>3</v>
      </c>
      <c r="H141" s="6">
        <v>35006</v>
      </c>
      <c r="I141" t="s">
        <v>1093</v>
      </c>
      <c r="J141" t="s">
        <v>1101</v>
      </c>
      <c r="K141" t="s">
        <v>1249</v>
      </c>
      <c r="L141" s="135">
        <v>0</v>
      </c>
      <c r="M141" s="135" t="s">
        <v>1250</v>
      </c>
      <c r="N141" s="135">
        <v>0</v>
      </c>
      <c r="O141" s="144">
        <v>0</v>
      </c>
      <c r="P141" s="135">
        <v>0</v>
      </c>
      <c r="Q141" s="144">
        <v>0</v>
      </c>
      <c r="R141" t="s">
        <v>9843</v>
      </c>
      <c r="S141" t="s">
        <v>1273</v>
      </c>
      <c r="T141" s="117" t="s">
        <v>1132</v>
      </c>
      <c r="U141" t="s">
        <v>78</v>
      </c>
      <c r="V141" t="s">
        <v>9843</v>
      </c>
      <c r="W141" t="s">
        <v>7</v>
      </c>
      <c r="X141" t="s">
        <v>7</v>
      </c>
      <c r="Y141" t="s">
        <v>9</v>
      </c>
      <c r="Z141" t="s">
        <v>7</v>
      </c>
      <c r="AA141" t="s">
        <v>7</v>
      </c>
      <c r="AB141" t="s">
        <v>7</v>
      </c>
      <c r="AC141" t="s">
        <v>9870</v>
      </c>
      <c r="AD141" t="s">
        <v>10</v>
      </c>
      <c r="AE141" t="s">
        <v>35</v>
      </c>
      <c r="AF141" t="s">
        <v>35</v>
      </c>
      <c r="AG141" t="s">
        <v>10</v>
      </c>
      <c r="AH141" s="117" t="s">
        <v>7</v>
      </c>
      <c r="AI141" s="125" t="s">
        <v>1849</v>
      </c>
    </row>
    <row r="142" spans="1:35">
      <c r="A142" t="s">
        <v>221</v>
      </c>
      <c r="B142" s="2" t="s">
        <v>778</v>
      </c>
      <c r="C142" t="s">
        <v>772</v>
      </c>
      <c r="D142" t="s">
        <v>225</v>
      </c>
      <c r="E142" s="4" t="s">
        <v>780</v>
      </c>
      <c r="F142" t="s">
        <v>1855</v>
      </c>
      <c r="G142" t="s">
        <v>3</v>
      </c>
      <c r="H142" s="6">
        <v>33137</v>
      </c>
      <c r="I142" t="s">
        <v>4</v>
      </c>
      <c r="J142" t="s">
        <v>41</v>
      </c>
      <c r="K142" t="s">
        <v>1249</v>
      </c>
      <c r="L142" s="135">
        <v>0</v>
      </c>
      <c r="M142" s="135" t="s">
        <v>1250</v>
      </c>
      <c r="N142" s="135">
        <v>0</v>
      </c>
      <c r="O142" s="144">
        <v>0</v>
      </c>
      <c r="P142" s="135">
        <v>0</v>
      </c>
      <c r="Q142" s="144">
        <v>0</v>
      </c>
      <c r="R142" t="s">
        <v>9843</v>
      </c>
      <c r="S142" t="s">
        <v>1273</v>
      </c>
      <c r="T142" s="117" t="s">
        <v>1132</v>
      </c>
      <c r="U142" t="s">
        <v>36</v>
      </c>
      <c r="V142" t="s">
        <v>9843</v>
      </c>
      <c r="W142" t="s">
        <v>1273</v>
      </c>
      <c r="X142" t="s">
        <v>7</v>
      </c>
      <c r="Y142" t="s">
        <v>9</v>
      </c>
      <c r="Z142" t="s">
        <v>7</v>
      </c>
      <c r="AA142" t="s">
        <v>7</v>
      </c>
      <c r="AB142" t="s">
        <v>7</v>
      </c>
      <c r="AC142" t="s">
        <v>9870</v>
      </c>
      <c r="AD142" t="s">
        <v>10</v>
      </c>
      <c r="AE142" t="s">
        <v>35</v>
      </c>
      <c r="AF142" t="s">
        <v>44</v>
      </c>
      <c r="AG142" t="s">
        <v>1251</v>
      </c>
      <c r="AH142" s="117" t="s">
        <v>7</v>
      </c>
      <c r="AI142" s="125" t="s">
        <v>1849</v>
      </c>
    </row>
    <row r="143" spans="1:35">
      <c r="A143" t="s">
        <v>222</v>
      </c>
      <c r="B143" s="2" t="s">
        <v>781</v>
      </c>
      <c r="C143" t="s">
        <v>769</v>
      </c>
      <c r="D143" t="s">
        <v>225</v>
      </c>
      <c r="E143" s="4" t="s">
        <v>782</v>
      </c>
      <c r="F143" t="s">
        <v>1855</v>
      </c>
      <c r="G143" t="s">
        <v>3</v>
      </c>
      <c r="H143" s="6">
        <v>34963</v>
      </c>
      <c r="I143" t="s">
        <v>4</v>
      </c>
      <c r="J143" t="s">
        <v>41</v>
      </c>
      <c r="K143" t="s">
        <v>1254</v>
      </c>
      <c r="L143" s="135" t="s">
        <v>9924</v>
      </c>
      <c r="M143" s="135" t="s">
        <v>9955</v>
      </c>
      <c r="N143" s="135" t="s">
        <v>9956</v>
      </c>
      <c r="O143" s="144">
        <v>0</v>
      </c>
      <c r="P143" s="135">
        <v>0</v>
      </c>
      <c r="Q143" s="144">
        <v>0</v>
      </c>
      <c r="R143" t="s">
        <v>9843</v>
      </c>
      <c r="S143" t="s">
        <v>7</v>
      </c>
      <c r="T143" s="117" t="s">
        <v>9774</v>
      </c>
      <c r="U143" t="s">
        <v>36</v>
      </c>
      <c r="V143" t="s">
        <v>9843</v>
      </c>
      <c r="W143" t="s">
        <v>35</v>
      </c>
      <c r="X143" s="117" t="s">
        <v>1278</v>
      </c>
      <c r="Y143" t="s">
        <v>1080</v>
      </c>
      <c r="Z143" t="s">
        <v>7</v>
      </c>
      <c r="AA143" s="117" t="s">
        <v>1111</v>
      </c>
      <c r="AB143" t="s">
        <v>7</v>
      </c>
      <c r="AC143" t="s">
        <v>9870</v>
      </c>
      <c r="AD143" t="s">
        <v>10</v>
      </c>
      <c r="AE143" t="s">
        <v>35</v>
      </c>
      <c r="AF143" t="s">
        <v>35</v>
      </c>
      <c r="AG143" t="s">
        <v>10</v>
      </c>
      <c r="AH143" s="117" t="s">
        <v>7</v>
      </c>
      <c r="AI143" t="s">
        <v>37</v>
      </c>
    </row>
    <row r="144" spans="1:35">
      <c r="A144" t="s">
        <v>223</v>
      </c>
      <c r="B144" s="2" t="s">
        <v>688</v>
      </c>
      <c r="C144" t="s">
        <v>783</v>
      </c>
      <c r="D144" t="s">
        <v>225</v>
      </c>
      <c r="E144" s="4" t="s">
        <v>784</v>
      </c>
      <c r="F144" t="s">
        <v>1855</v>
      </c>
      <c r="G144" t="s">
        <v>3</v>
      </c>
      <c r="H144" s="6">
        <v>35867</v>
      </c>
      <c r="I144" t="s">
        <v>5</v>
      </c>
      <c r="J144" t="s">
        <v>48</v>
      </c>
      <c r="K144" t="s">
        <v>1255</v>
      </c>
      <c r="L144" s="135" t="s">
        <v>9925</v>
      </c>
      <c r="M144" s="135" t="s">
        <v>9926</v>
      </c>
      <c r="N144" s="135" t="s">
        <v>9927</v>
      </c>
      <c r="O144" s="144">
        <v>0</v>
      </c>
      <c r="P144" s="135">
        <v>0</v>
      </c>
      <c r="Q144" s="144">
        <v>0</v>
      </c>
      <c r="R144" t="s">
        <v>9843</v>
      </c>
      <c r="S144" t="s">
        <v>7</v>
      </c>
      <c r="T144" s="117" t="s">
        <v>1141</v>
      </c>
      <c r="U144" t="s">
        <v>36</v>
      </c>
      <c r="V144" t="s">
        <v>9843</v>
      </c>
      <c r="W144" t="s">
        <v>35</v>
      </c>
      <c r="X144" t="s">
        <v>7</v>
      </c>
      <c r="Y144" t="s">
        <v>9</v>
      </c>
      <c r="Z144" t="s">
        <v>7</v>
      </c>
      <c r="AA144" t="s">
        <v>7</v>
      </c>
      <c r="AB144" t="s">
        <v>7</v>
      </c>
      <c r="AC144" t="s">
        <v>9870</v>
      </c>
      <c r="AD144" t="s">
        <v>10</v>
      </c>
      <c r="AE144" t="s">
        <v>35</v>
      </c>
      <c r="AF144" t="s">
        <v>35</v>
      </c>
      <c r="AG144" t="s">
        <v>10</v>
      </c>
      <c r="AH144" s="117" t="s">
        <v>7</v>
      </c>
      <c r="AI144" s="125" t="s">
        <v>1849</v>
      </c>
    </row>
    <row r="145" spans="1:35">
      <c r="A145" s="117" t="s">
        <v>224</v>
      </c>
      <c r="B145" s="120">
        <v>42893</v>
      </c>
      <c r="C145" s="117" t="s">
        <v>772</v>
      </c>
      <c r="D145" s="117" t="s">
        <v>225</v>
      </c>
      <c r="E145" s="119" t="s">
        <v>785</v>
      </c>
      <c r="F145" t="s">
        <v>1855</v>
      </c>
      <c r="G145" s="117" t="s">
        <v>3</v>
      </c>
      <c r="H145" s="120">
        <v>30297</v>
      </c>
      <c r="I145" s="117" t="s">
        <v>1093</v>
      </c>
      <c r="J145" s="117" t="s">
        <v>48</v>
      </c>
      <c r="K145" s="117" t="s">
        <v>1256</v>
      </c>
      <c r="L145" s="156" t="s">
        <v>9928</v>
      </c>
      <c r="M145" s="156">
        <v>0</v>
      </c>
      <c r="N145" s="156">
        <v>0</v>
      </c>
      <c r="O145" s="145">
        <v>0</v>
      </c>
      <c r="P145" s="156">
        <v>0</v>
      </c>
      <c r="Q145" s="145">
        <v>0</v>
      </c>
      <c r="R145" t="s">
        <v>9843</v>
      </c>
      <c r="S145" s="117" t="s">
        <v>7</v>
      </c>
      <c r="T145" s="117" t="s">
        <v>9775</v>
      </c>
      <c r="U145" t="s">
        <v>36</v>
      </c>
      <c r="V145" t="s">
        <v>9843</v>
      </c>
      <c r="W145" t="s">
        <v>35</v>
      </c>
      <c r="X145" t="s">
        <v>7</v>
      </c>
      <c r="Y145" t="s">
        <v>9</v>
      </c>
      <c r="Z145" t="s">
        <v>7</v>
      </c>
      <c r="AA145" t="s">
        <v>7</v>
      </c>
      <c r="AB145" t="s">
        <v>7</v>
      </c>
      <c r="AC145" t="s">
        <v>9870</v>
      </c>
      <c r="AD145" t="s">
        <v>10</v>
      </c>
      <c r="AE145" t="s">
        <v>35</v>
      </c>
      <c r="AF145" t="s">
        <v>35</v>
      </c>
      <c r="AG145" t="s">
        <v>10</v>
      </c>
      <c r="AH145" s="117" t="s">
        <v>7</v>
      </c>
      <c r="AI145" s="125" t="s">
        <v>1849</v>
      </c>
    </row>
    <row r="146" spans="1:35">
      <c r="A146" t="s">
        <v>226</v>
      </c>
      <c r="B146" s="2" t="s">
        <v>676</v>
      </c>
      <c r="C146" t="s">
        <v>677</v>
      </c>
      <c r="D146" t="s">
        <v>241</v>
      </c>
      <c r="E146" s="4" t="s">
        <v>678</v>
      </c>
      <c r="F146" t="s">
        <v>1855</v>
      </c>
      <c r="G146" t="s">
        <v>515</v>
      </c>
      <c r="H146" s="6">
        <v>34880</v>
      </c>
      <c r="I146" t="s">
        <v>5</v>
      </c>
      <c r="J146" t="s">
        <v>48</v>
      </c>
      <c r="K146" t="s">
        <v>1662</v>
      </c>
      <c r="L146" s="135">
        <v>0</v>
      </c>
      <c r="M146" s="135">
        <v>0</v>
      </c>
      <c r="N146" s="135" t="s">
        <v>1663</v>
      </c>
      <c r="O146" s="144">
        <v>0</v>
      </c>
      <c r="P146" s="135">
        <v>0</v>
      </c>
      <c r="Q146" s="144">
        <v>0</v>
      </c>
      <c r="R146" t="s">
        <v>9843</v>
      </c>
      <c r="S146" t="s">
        <v>7</v>
      </c>
      <c r="T146" t="s">
        <v>1666</v>
      </c>
      <c r="U146" t="s">
        <v>36</v>
      </c>
      <c r="V146" t="s">
        <v>9843</v>
      </c>
      <c r="W146" t="s">
        <v>35</v>
      </c>
      <c r="X146" t="s">
        <v>9857</v>
      </c>
      <c r="Y146" t="s">
        <v>1664</v>
      </c>
      <c r="Z146" t="s">
        <v>1097</v>
      </c>
      <c r="AA146" t="s">
        <v>7</v>
      </c>
      <c r="AB146" t="s">
        <v>7</v>
      </c>
      <c r="AC146" s="117" t="s">
        <v>9872</v>
      </c>
      <c r="AD146" t="s">
        <v>1665</v>
      </c>
      <c r="AE146" t="s">
        <v>35</v>
      </c>
      <c r="AF146" t="s">
        <v>35</v>
      </c>
      <c r="AG146" t="s">
        <v>1665</v>
      </c>
      <c r="AH146" t="s">
        <v>35</v>
      </c>
      <c r="AI146" s="125" t="s">
        <v>1849</v>
      </c>
    </row>
    <row r="147" spans="1:35">
      <c r="A147" t="s">
        <v>227</v>
      </c>
      <c r="B147" s="2" t="s">
        <v>615</v>
      </c>
      <c r="C147" t="s">
        <v>679</v>
      </c>
      <c r="D147" t="s">
        <v>241</v>
      </c>
      <c r="E147" s="4" t="s">
        <v>680</v>
      </c>
      <c r="F147" t="s">
        <v>1855</v>
      </c>
      <c r="G147" t="s">
        <v>3</v>
      </c>
      <c r="H147" s="6">
        <v>34390</v>
      </c>
      <c r="I147" t="s">
        <v>4</v>
      </c>
      <c r="J147" t="s">
        <v>41</v>
      </c>
      <c r="K147" t="s">
        <v>1667</v>
      </c>
      <c r="L147" s="135" t="s">
        <v>1670</v>
      </c>
      <c r="M147" s="135" t="s">
        <v>1668</v>
      </c>
      <c r="N147" s="135" t="s">
        <v>1669</v>
      </c>
      <c r="O147" s="144">
        <v>0</v>
      </c>
      <c r="P147" s="135">
        <v>0</v>
      </c>
      <c r="Q147" s="144">
        <v>0</v>
      </c>
      <c r="R147" t="s">
        <v>9843</v>
      </c>
      <c r="S147" t="s">
        <v>7</v>
      </c>
      <c r="T147" t="s">
        <v>1173</v>
      </c>
      <c r="U147" t="s">
        <v>6</v>
      </c>
      <c r="V147" t="s">
        <v>35</v>
      </c>
      <c r="W147" t="s">
        <v>35</v>
      </c>
      <c r="X147" t="s">
        <v>35</v>
      </c>
      <c r="Y147" t="s">
        <v>35</v>
      </c>
      <c r="Z147" t="s">
        <v>35</v>
      </c>
      <c r="AA147" t="s">
        <v>35</v>
      </c>
      <c r="AB147" t="s">
        <v>35</v>
      </c>
      <c r="AC147" t="s">
        <v>35</v>
      </c>
      <c r="AD147" t="s">
        <v>35</v>
      </c>
      <c r="AE147" t="s">
        <v>35</v>
      </c>
      <c r="AF147" t="s">
        <v>35</v>
      </c>
      <c r="AG147" t="s">
        <v>35</v>
      </c>
      <c r="AH147" t="s">
        <v>35</v>
      </c>
      <c r="AI147" t="s">
        <v>35</v>
      </c>
    </row>
    <row r="148" spans="1:35">
      <c r="A148" t="s">
        <v>228</v>
      </c>
      <c r="B148" s="2" t="s">
        <v>681</v>
      </c>
      <c r="C148" t="s">
        <v>677</v>
      </c>
      <c r="D148" t="s">
        <v>241</v>
      </c>
      <c r="E148" s="4" t="s">
        <v>682</v>
      </c>
      <c r="F148" t="s">
        <v>1855</v>
      </c>
      <c r="G148" t="s">
        <v>3</v>
      </c>
      <c r="H148" s="6">
        <v>35651</v>
      </c>
      <c r="I148" t="s">
        <v>4</v>
      </c>
      <c r="J148" t="s">
        <v>1074</v>
      </c>
      <c r="K148" t="s">
        <v>1671</v>
      </c>
      <c r="L148" s="135" t="s">
        <v>1672</v>
      </c>
      <c r="M148" s="135">
        <v>0</v>
      </c>
      <c r="N148" s="135">
        <v>0</v>
      </c>
      <c r="O148" s="144">
        <v>0</v>
      </c>
      <c r="P148" s="135">
        <v>0</v>
      </c>
      <c r="Q148" s="144">
        <v>0</v>
      </c>
      <c r="R148" t="s">
        <v>9843</v>
      </c>
      <c r="S148" t="s">
        <v>7</v>
      </c>
      <c r="T148" t="s">
        <v>1150</v>
      </c>
      <c r="U148" t="s">
        <v>36</v>
      </c>
      <c r="V148" t="s">
        <v>9843</v>
      </c>
      <c r="W148" t="s">
        <v>35</v>
      </c>
      <c r="X148" t="s">
        <v>7</v>
      </c>
      <c r="Y148" t="s">
        <v>9</v>
      </c>
      <c r="Z148" t="s">
        <v>7</v>
      </c>
      <c r="AA148" t="s">
        <v>7</v>
      </c>
      <c r="AB148" t="s">
        <v>7</v>
      </c>
      <c r="AC148" t="s">
        <v>9870</v>
      </c>
      <c r="AD148" t="s">
        <v>10</v>
      </c>
      <c r="AE148" t="s">
        <v>35</v>
      </c>
      <c r="AF148" t="s">
        <v>35</v>
      </c>
      <c r="AG148" t="s">
        <v>10</v>
      </c>
      <c r="AH148" s="117" t="s">
        <v>7</v>
      </c>
      <c r="AI148" s="125" t="s">
        <v>1849</v>
      </c>
    </row>
    <row r="149" spans="1:35">
      <c r="A149" t="s">
        <v>229</v>
      </c>
      <c r="B149" s="2" t="s">
        <v>683</v>
      </c>
      <c r="C149" t="s">
        <v>677</v>
      </c>
      <c r="D149" t="s">
        <v>241</v>
      </c>
      <c r="E149" s="4" t="s">
        <v>684</v>
      </c>
      <c r="F149" t="s">
        <v>1085</v>
      </c>
      <c r="G149" t="s">
        <v>3</v>
      </c>
      <c r="H149" s="6">
        <v>32802</v>
      </c>
      <c r="I149" t="s">
        <v>1093</v>
      </c>
      <c r="J149" t="s">
        <v>48</v>
      </c>
      <c r="K149" t="s">
        <v>1393</v>
      </c>
      <c r="L149" s="135" t="s">
        <v>9929</v>
      </c>
      <c r="M149" s="135">
        <v>0</v>
      </c>
      <c r="N149" s="135">
        <v>0</v>
      </c>
      <c r="O149" s="144">
        <v>0</v>
      </c>
      <c r="P149" s="135">
        <v>0</v>
      </c>
      <c r="Q149" s="144">
        <v>0</v>
      </c>
      <c r="R149" t="s">
        <v>9843</v>
      </c>
      <c r="S149" t="s">
        <v>7</v>
      </c>
      <c r="T149" t="s">
        <v>1673</v>
      </c>
      <c r="U149" t="s">
        <v>36</v>
      </c>
      <c r="V149" t="s">
        <v>9843</v>
      </c>
      <c r="W149" t="s">
        <v>35</v>
      </c>
      <c r="X149" t="s">
        <v>7</v>
      </c>
      <c r="Y149" t="s">
        <v>9</v>
      </c>
      <c r="Z149" t="s">
        <v>7</v>
      </c>
      <c r="AA149" t="s">
        <v>7</v>
      </c>
      <c r="AB149" t="s">
        <v>7</v>
      </c>
      <c r="AC149" t="s">
        <v>9870</v>
      </c>
      <c r="AD149" t="s">
        <v>10</v>
      </c>
      <c r="AE149" t="s">
        <v>35</v>
      </c>
      <c r="AF149" t="s">
        <v>35</v>
      </c>
      <c r="AG149" t="s">
        <v>10</v>
      </c>
      <c r="AH149" s="117" t="s">
        <v>7</v>
      </c>
      <c r="AI149" s="125" t="s">
        <v>1849</v>
      </c>
    </row>
    <row r="150" spans="1:35">
      <c r="A150" t="s">
        <v>230</v>
      </c>
      <c r="B150" s="2" t="s">
        <v>685</v>
      </c>
      <c r="C150" t="s">
        <v>677</v>
      </c>
      <c r="D150" t="s">
        <v>241</v>
      </c>
      <c r="E150" s="4" t="s">
        <v>686</v>
      </c>
      <c r="F150" t="s">
        <v>1855</v>
      </c>
      <c r="G150" t="s">
        <v>3</v>
      </c>
      <c r="H150" s="6">
        <v>32985</v>
      </c>
      <c r="I150" t="s">
        <v>5</v>
      </c>
      <c r="J150" t="s">
        <v>77</v>
      </c>
      <c r="K150" t="s">
        <v>1432</v>
      </c>
      <c r="L150" s="135" t="s">
        <v>1674</v>
      </c>
      <c r="M150" s="135" t="s">
        <v>1675</v>
      </c>
      <c r="N150" s="135">
        <v>0</v>
      </c>
      <c r="O150" s="144">
        <v>0</v>
      </c>
      <c r="P150" s="135">
        <v>0</v>
      </c>
      <c r="Q150" s="144" t="s">
        <v>9957</v>
      </c>
      <c r="R150" t="s">
        <v>9846</v>
      </c>
      <c r="S150" t="s">
        <v>7</v>
      </c>
      <c r="T150" t="s">
        <v>1676</v>
      </c>
      <c r="U150" t="s">
        <v>78</v>
      </c>
      <c r="V150" t="s">
        <v>9843</v>
      </c>
      <c r="W150" t="s">
        <v>35</v>
      </c>
      <c r="X150" t="s">
        <v>1214</v>
      </c>
      <c r="Y150" t="s">
        <v>1100</v>
      </c>
      <c r="Z150" t="s">
        <v>7</v>
      </c>
      <c r="AA150" s="117" t="s">
        <v>1111</v>
      </c>
      <c r="AB150" t="s">
        <v>7</v>
      </c>
      <c r="AC150" t="s">
        <v>9870</v>
      </c>
      <c r="AD150" t="s">
        <v>10</v>
      </c>
      <c r="AE150" t="s">
        <v>35</v>
      </c>
      <c r="AF150" t="s">
        <v>35</v>
      </c>
      <c r="AG150" t="s">
        <v>10</v>
      </c>
      <c r="AH150" s="117" t="s">
        <v>7</v>
      </c>
      <c r="AI150" t="s">
        <v>37</v>
      </c>
    </row>
    <row r="151" spans="1:35">
      <c r="A151" t="s">
        <v>230</v>
      </c>
      <c r="B151" s="2" t="s">
        <v>685</v>
      </c>
      <c r="C151" t="s">
        <v>677</v>
      </c>
      <c r="D151" t="s">
        <v>241</v>
      </c>
      <c r="E151" s="4" t="s">
        <v>687</v>
      </c>
      <c r="F151" t="s">
        <v>1855</v>
      </c>
      <c r="G151" t="s">
        <v>3</v>
      </c>
      <c r="H151" s="6">
        <v>36055</v>
      </c>
      <c r="I151" t="s">
        <v>4</v>
      </c>
      <c r="J151" t="s">
        <v>77</v>
      </c>
      <c r="K151" t="s">
        <v>1432</v>
      </c>
      <c r="L151" s="135" t="s">
        <v>1674</v>
      </c>
      <c r="M151" s="135" t="s">
        <v>1675</v>
      </c>
      <c r="N151" s="135">
        <v>0</v>
      </c>
      <c r="O151" s="144">
        <v>0</v>
      </c>
      <c r="P151" s="135">
        <v>0</v>
      </c>
      <c r="Q151" s="144" t="s">
        <v>9957</v>
      </c>
      <c r="R151" t="s">
        <v>9846</v>
      </c>
      <c r="S151" t="s">
        <v>7</v>
      </c>
      <c r="T151" t="s">
        <v>1676</v>
      </c>
      <c r="U151" t="s">
        <v>78</v>
      </c>
      <c r="V151" t="s">
        <v>9843</v>
      </c>
      <c r="W151" t="s">
        <v>35</v>
      </c>
      <c r="X151" t="s">
        <v>1214</v>
      </c>
      <c r="Y151" t="s">
        <v>1100</v>
      </c>
      <c r="Z151" t="s">
        <v>7</v>
      </c>
      <c r="AA151" t="s">
        <v>1677</v>
      </c>
      <c r="AB151" t="s">
        <v>7</v>
      </c>
      <c r="AC151" t="s">
        <v>9870</v>
      </c>
      <c r="AD151" t="s">
        <v>10</v>
      </c>
      <c r="AE151" t="s">
        <v>35</v>
      </c>
      <c r="AF151" t="s">
        <v>35</v>
      </c>
      <c r="AG151" t="s">
        <v>10</v>
      </c>
      <c r="AH151" s="117" t="s">
        <v>7</v>
      </c>
      <c r="AI151" t="s">
        <v>37</v>
      </c>
    </row>
    <row r="152" spans="1:35">
      <c r="A152" t="s">
        <v>231</v>
      </c>
      <c r="B152" s="2" t="s">
        <v>688</v>
      </c>
      <c r="C152" t="s">
        <v>677</v>
      </c>
      <c r="D152" t="s">
        <v>241</v>
      </c>
      <c r="E152" s="4" t="s">
        <v>689</v>
      </c>
      <c r="F152" t="s">
        <v>1855</v>
      </c>
      <c r="G152" t="s">
        <v>3</v>
      </c>
      <c r="H152" s="6">
        <v>33143</v>
      </c>
      <c r="I152" t="s">
        <v>5</v>
      </c>
      <c r="J152" t="s">
        <v>1101</v>
      </c>
      <c r="K152" t="s">
        <v>1678</v>
      </c>
      <c r="L152" s="135" t="s">
        <v>1679</v>
      </c>
      <c r="M152" s="135" t="s">
        <v>1680</v>
      </c>
      <c r="N152" s="135">
        <v>0</v>
      </c>
      <c r="O152" s="144">
        <v>0</v>
      </c>
      <c r="P152" s="135">
        <v>0</v>
      </c>
      <c r="Q152" s="144">
        <v>0</v>
      </c>
      <c r="R152" t="s">
        <v>9843</v>
      </c>
      <c r="S152" t="s">
        <v>7</v>
      </c>
      <c r="T152" t="s">
        <v>1173</v>
      </c>
      <c r="U152" t="s">
        <v>51</v>
      </c>
      <c r="V152" t="s">
        <v>52</v>
      </c>
      <c r="W152" t="s">
        <v>35</v>
      </c>
      <c r="X152" t="s">
        <v>35</v>
      </c>
      <c r="Y152" t="s">
        <v>35</v>
      </c>
      <c r="Z152" t="s">
        <v>35</v>
      </c>
      <c r="AA152" t="s">
        <v>35</v>
      </c>
      <c r="AB152" t="s">
        <v>35</v>
      </c>
      <c r="AC152" t="s">
        <v>35</v>
      </c>
      <c r="AD152" t="s">
        <v>35</v>
      </c>
      <c r="AE152" t="s">
        <v>7</v>
      </c>
      <c r="AF152" t="s">
        <v>35</v>
      </c>
      <c r="AG152" t="s">
        <v>35</v>
      </c>
      <c r="AH152" t="s">
        <v>35</v>
      </c>
      <c r="AI152" t="s">
        <v>35</v>
      </c>
    </row>
    <row r="153" spans="1:35">
      <c r="A153" t="s">
        <v>232</v>
      </c>
      <c r="B153" s="2" t="s">
        <v>690</v>
      </c>
      <c r="C153" t="s">
        <v>677</v>
      </c>
      <c r="D153" t="s">
        <v>241</v>
      </c>
      <c r="E153" s="4" t="s">
        <v>691</v>
      </c>
      <c r="F153" t="s">
        <v>1855</v>
      </c>
      <c r="G153" t="s">
        <v>3</v>
      </c>
      <c r="H153" s="6">
        <v>34984</v>
      </c>
      <c r="I153" t="s">
        <v>1093</v>
      </c>
      <c r="J153" t="s">
        <v>18</v>
      </c>
      <c r="K153" t="s">
        <v>1681</v>
      </c>
      <c r="L153" s="135" t="s">
        <v>1683</v>
      </c>
      <c r="M153" s="135" t="s">
        <v>1682</v>
      </c>
      <c r="N153" s="135">
        <v>0</v>
      </c>
      <c r="O153" s="144">
        <v>0</v>
      </c>
      <c r="P153" s="135">
        <v>0</v>
      </c>
      <c r="Q153" s="144">
        <v>0</v>
      </c>
      <c r="R153" t="s">
        <v>9843</v>
      </c>
      <c r="S153" t="s">
        <v>1272</v>
      </c>
      <c r="T153" t="s">
        <v>1150</v>
      </c>
      <c r="U153" t="s">
        <v>36</v>
      </c>
      <c r="V153" t="s">
        <v>9843</v>
      </c>
      <c r="W153" t="s">
        <v>1272</v>
      </c>
      <c r="X153" t="s">
        <v>1079</v>
      </c>
      <c r="Y153" t="s">
        <v>8</v>
      </c>
      <c r="Z153" t="s">
        <v>7</v>
      </c>
      <c r="AA153" t="s">
        <v>1244</v>
      </c>
      <c r="AB153" t="s">
        <v>7</v>
      </c>
      <c r="AC153" t="s">
        <v>9871</v>
      </c>
      <c r="AD153" t="s">
        <v>1684</v>
      </c>
      <c r="AE153" t="s">
        <v>35</v>
      </c>
      <c r="AF153" t="s">
        <v>1685</v>
      </c>
      <c r="AG153" t="s">
        <v>9818</v>
      </c>
      <c r="AH153" s="117" t="s">
        <v>35</v>
      </c>
      <c r="AI153" s="125" t="s">
        <v>1849</v>
      </c>
    </row>
    <row r="154" spans="1:35">
      <c r="A154" t="s">
        <v>234</v>
      </c>
      <c r="B154" s="2" t="s">
        <v>644</v>
      </c>
      <c r="C154" t="s">
        <v>677</v>
      </c>
      <c r="D154" t="s">
        <v>241</v>
      </c>
      <c r="E154" s="4" t="s">
        <v>693</v>
      </c>
      <c r="F154" t="s">
        <v>1855</v>
      </c>
      <c r="G154" t="s">
        <v>3</v>
      </c>
      <c r="H154" s="6">
        <v>27099</v>
      </c>
      <c r="I154" t="s">
        <v>1093</v>
      </c>
      <c r="J154" t="s">
        <v>48</v>
      </c>
      <c r="K154" t="s">
        <v>1297</v>
      </c>
      <c r="L154" s="135">
        <v>0</v>
      </c>
      <c r="M154" s="135">
        <v>0</v>
      </c>
      <c r="N154" s="156" t="s">
        <v>9817</v>
      </c>
      <c r="O154" s="144">
        <v>0</v>
      </c>
      <c r="P154" s="135">
        <v>0</v>
      </c>
      <c r="Q154" s="144">
        <v>0</v>
      </c>
      <c r="R154" t="s">
        <v>9843</v>
      </c>
      <c r="S154" t="s">
        <v>7</v>
      </c>
      <c r="T154" t="s">
        <v>1546</v>
      </c>
      <c r="U154" t="s">
        <v>36</v>
      </c>
      <c r="V154" t="s">
        <v>9843</v>
      </c>
      <c r="W154" t="s">
        <v>35</v>
      </c>
      <c r="X154" t="s">
        <v>1079</v>
      </c>
      <c r="Y154" t="s">
        <v>1164</v>
      </c>
      <c r="Z154" t="s">
        <v>7</v>
      </c>
      <c r="AA154" t="s">
        <v>7</v>
      </c>
      <c r="AB154" t="s">
        <v>7</v>
      </c>
      <c r="AC154" s="117" t="s">
        <v>7</v>
      </c>
      <c r="AD154" t="s">
        <v>1164</v>
      </c>
      <c r="AE154" t="s">
        <v>35</v>
      </c>
      <c r="AF154" t="s">
        <v>35</v>
      </c>
      <c r="AG154" t="s">
        <v>1164</v>
      </c>
      <c r="AH154" s="117" t="s">
        <v>35</v>
      </c>
      <c r="AI154" s="125" t="s">
        <v>1849</v>
      </c>
    </row>
    <row r="155" spans="1:35">
      <c r="A155" t="s">
        <v>235</v>
      </c>
      <c r="B155" s="2" t="s">
        <v>523</v>
      </c>
      <c r="C155" t="s">
        <v>679</v>
      </c>
      <c r="D155" t="s">
        <v>241</v>
      </c>
      <c r="E155" s="4" t="s">
        <v>694</v>
      </c>
      <c r="F155" t="s">
        <v>1855</v>
      </c>
      <c r="G155" t="s">
        <v>3</v>
      </c>
      <c r="H155" s="6">
        <v>25664</v>
      </c>
      <c r="I155" t="s">
        <v>5</v>
      </c>
      <c r="J155" t="s">
        <v>48</v>
      </c>
      <c r="K155" t="s">
        <v>1687</v>
      </c>
      <c r="L155" s="135" t="s">
        <v>1686</v>
      </c>
      <c r="M155" s="135">
        <v>0</v>
      </c>
      <c r="N155" s="135">
        <v>0</v>
      </c>
      <c r="O155" s="144">
        <v>0</v>
      </c>
      <c r="P155" s="135">
        <v>0</v>
      </c>
      <c r="Q155" s="144">
        <v>0</v>
      </c>
      <c r="R155" t="s">
        <v>9843</v>
      </c>
      <c r="S155" t="s">
        <v>7</v>
      </c>
      <c r="T155" t="s">
        <v>1460</v>
      </c>
      <c r="U155" t="s">
        <v>51</v>
      </c>
      <c r="V155" t="s">
        <v>52</v>
      </c>
      <c r="W155" t="s">
        <v>35</v>
      </c>
      <c r="X155" t="s">
        <v>35</v>
      </c>
      <c r="Y155" t="s">
        <v>35</v>
      </c>
      <c r="Z155" t="s">
        <v>35</v>
      </c>
      <c r="AA155" t="s">
        <v>35</v>
      </c>
      <c r="AB155" t="s">
        <v>35</v>
      </c>
      <c r="AC155" t="s">
        <v>35</v>
      </c>
      <c r="AD155" t="s">
        <v>35</v>
      </c>
      <c r="AE155" t="s">
        <v>7</v>
      </c>
      <c r="AF155" t="s">
        <v>35</v>
      </c>
      <c r="AG155" t="s">
        <v>35</v>
      </c>
      <c r="AH155" t="s">
        <v>35</v>
      </c>
      <c r="AI155" t="s">
        <v>35</v>
      </c>
    </row>
    <row r="156" spans="1:35">
      <c r="A156" t="s">
        <v>236</v>
      </c>
      <c r="B156" s="6">
        <v>42922</v>
      </c>
      <c r="C156" t="s">
        <v>679</v>
      </c>
      <c r="D156" t="s">
        <v>241</v>
      </c>
      <c r="E156" s="4" t="s">
        <v>696</v>
      </c>
      <c r="F156" t="s">
        <v>1855</v>
      </c>
      <c r="G156" t="s">
        <v>3</v>
      </c>
      <c r="H156" s="6">
        <v>30314</v>
      </c>
      <c r="I156" t="s">
        <v>5</v>
      </c>
      <c r="J156" t="s">
        <v>77</v>
      </c>
      <c r="K156" t="s">
        <v>1176</v>
      </c>
      <c r="L156" s="135" t="s">
        <v>9930</v>
      </c>
      <c r="M156" s="135" t="s">
        <v>9931</v>
      </c>
      <c r="N156" s="135">
        <v>0</v>
      </c>
      <c r="O156" s="144">
        <v>0</v>
      </c>
      <c r="P156" s="135">
        <v>0</v>
      </c>
      <c r="Q156" s="144">
        <v>0</v>
      </c>
      <c r="R156" t="s">
        <v>9843</v>
      </c>
      <c r="S156" t="s">
        <v>7</v>
      </c>
      <c r="T156" t="s">
        <v>1688</v>
      </c>
      <c r="U156" t="s">
        <v>51</v>
      </c>
      <c r="V156" t="s">
        <v>52</v>
      </c>
      <c r="W156" t="s">
        <v>35</v>
      </c>
      <c r="X156" t="s">
        <v>35</v>
      </c>
      <c r="Y156" t="s">
        <v>35</v>
      </c>
      <c r="Z156" t="s">
        <v>35</v>
      </c>
      <c r="AA156" t="s">
        <v>35</v>
      </c>
      <c r="AB156" t="s">
        <v>35</v>
      </c>
      <c r="AC156" t="s">
        <v>35</v>
      </c>
      <c r="AD156" t="s">
        <v>35</v>
      </c>
      <c r="AE156" t="s">
        <v>7</v>
      </c>
      <c r="AF156" t="s">
        <v>35</v>
      </c>
      <c r="AG156" t="s">
        <v>35</v>
      </c>
      <c r="AH156" t="s">
        <v>35</v>
      </c>
      <c r="AI156" t="s">
        <v>35</v>
      </c>
    </row>
    <row r="157" spans="1:35">
      <c r="A157" t="s">
        <v>237</v>
      </c>
      <c r="B157" s="2" t="s">
        <v>623</v>
      </c>
      <c r="C157" t="s">
        <v>679</v>
      </c>
      <c r="D157" t="s">
        <v>241</v>
      </c>
      <c r="E157" s="4" t="s">
        <v>697</v>
      </c>
      <c r="F157" t="s">
        <v>1855</v>
      </c>
      <c r="G157" t="s">
        <v>3</v>
      </c>
      <c r="H157" s="6">
        <v>34627</v>
      </c>
      <c r="I157" t="s">
        <v>4</v>
      </c>
      <c r="J157" t="s">
        <v>48</v>
      </c>
      <c r="K157" t="s">
        <v>1689</v>
      </c>
      <c r="L157" s="135" t="s">
        <v>1692</v>
      </c>
      <c r="M157" s="135" t="s">
        <v>1690</v>
      </c>
      <c r="N157" s="135" t="s">
        <v>1691</v>
      </c>
      <c r="O157" s="145" t="s">
        <v>9842</v>
      </c>
      <c r="P157" s="135">
        <v>0</v>
      </c>
      <c r="Q157" s="144">
        <v>0</v>
      </c>
      <c r="R157" t="s">
        <v>9846</v>
      </c>
      <c r="S157" t="s">
        <v>7</v>
      </c>
      <c r="T157" t="s">
        <v>1693</v>
      </c>
      <c r="U157" t="s">
        <v>78</v>
      </c>
      <c r="V157" t="s">
        <v>9843</v>
      </c>
      <c r="W157" t="s">
        <v>35</v>
      </c>
      <c r="X157" t="s">
        <v>7</v>
      </c>
      <c r="Y157" t="s">
        <v>9</v>
      </c>
      <c r="Z157" t="s">
        <v>7</v>
      </c>
      <c r="AA157" t="s">
        <v>7</v>
      </c>
      <c r="AB157" s="117" t="s">
        <v>9868</v>
      </c>
      <c r="AC157" s="117" t="s">
        <v>7</v>
      </c>
      <c r="AD157" t="s">
        <v>1100</v>
      </c>
      <c r="AE157" t="s">
        <v>35</v>
      </c>
      <c r="AF157" t="s">
        <v>35</v>
      </c>
      <c r="AG157" t="s">
        <v>1100</v>
      </c>
      <c r="AH157" s="117" t="s">
        <v>35</v>
      </c>
      <c r="AI157" s="125" t="s">
        <v>1849</v>
      </c>
    </row>
    <row r="158" spans="1:35">
      <c r="A158" t="s">
        <v>238</v>
      </c>
      <c r="B158" s="2" t="s">
        <v>612</v>
      </c>
      <c r="C158" t="s">
        <v>679</v>
      </c>
      <c r="D158" t="s">
        <v>241</v>
      </c>
      <c r="E158" s="4" t="s">
        <v>698</v>
      </c>
      <c r="F158" t="s">
        <v>1855</v>
      </c>
      <c r="G158" t="s">
        <v>3</v>
      </c>
      <c r="H158" s="6">
        <v>35486</v>
      </c>
      <c r="I158" t="s">
        <v>5</v>
      </c>
      <c r="J158" t="s">
        <v>1074</v>
      </c>
      <c r="K158" t="s">
        <v>1694</v>
      </c>
      <c r="L158" s="135">
        <v>0</v>
      </c>
      <c r="M158" s="135" t="s">
        <v>9932</v>
      </c>
      <c r="N158" s="135">
        <v>0</v>
      </c>
      <c r="O158" s="144">
        <v>0</v>
      </c>
      <c r="P158" s="135">
        <v>0</v>
      </c>
      <c r="Q158" s="144">
        <v>0</v>
      </c>
      <c r="R158" t="s">
        <v>9843</v>
      </c>
      <c r="S158" t="s">
        <v>7</v>
      </c>
      <c r="T158" t="s">
        <v>1540</v>
      </c>
      <c r="U158" t="s">
        <v>51</v>
      </c>
      <c r="V158" t="s">
        <v>52</v>
      </c>
      <c r="W158" t="s">
        <v>35</v>
      </c>
      <c r="X158" t="s">
        <v>35</v>
      </c>
      <c r="Y158" t="s">
        <v>35</v>
      </c>
      <c r="Z158" t="s">
        <v>35</v>
      </c>
      <c r="AA158" t="s">
        <v>35</v>
      </c>
      <c r="AB158" t="s">
        <v>35</v>
      </c>
      <c r="AC158" t="s">
        <v>35</v>
      </c>
      <c r="AD158" t="s">
        <v>35</v>
      </c>
      <c r="AE158" t="s">
        <v>7</v>
      </c>
      <c r="AF158" t="s">
        <v>35</v>
      </c>
      <c r="AG158" t="s">
        <v>35</v>
      </c>
      <c r="AH158" t="s">
        <v>35</v>
      </c>
      <c r="AI158" t="s">
        <v>35</v>
      </c>
    </row>
    <row r="159" spans="1:35">
      <c r="A159" t="s">
        <v>239</v>
      </c>
      <c r="B159" s="2" t="s">
        <v>699</v>
      </c>
      <c r="C159" t="s">
        <v>679</v>
      </c>
      <c r="D159" t="s">
        <v>241</v>
      </c>
      <c r="E159" s="4" t="s">
        <v>700</v>
      </c>
      <c r="F159" t="s">
        <v>1855</v>
      </c>
      <c r="G159" t="s">
        <v>3</v>
      </c>
      <c r="H159" s="6">
        <v>33703</v>
      </c>
      <c r="I159" t="s">
        <v>4</v>
      </c>
      <c r="J159" t="s">
        <v>48</v>
      </c>
      <c r="K159" t="s">
        <v>1695</v>
      </c>
      <c r="L159" s="135" t="s">
        <v>1696</v>
      </c>
      <c r="M159" s="135" t="s">
        <v>1697</v>
      </c>
      <c r="N159" s="135" t="s">
        <v>1698</v>
      </c>
      <c r="O159" s="144">
        <v>0</v>
      </c>
      <c r="P159" s="135">
        <v>0</v>
      </c>
      <c r="Q159" s="144">
        <v>0</v>
      </c>
      <c r="R159" t="s">
        <v>9843</v>
      </c>
      <c r="S159" t="s">
        <v>7</v>
      </c>
      <c r="T159" t="s">
        <v>1229</v>
      </c>
      <c r="U159" t="s">
        <v>36</v>
      </c>
      <c r="V159" t="s">
        <v>9843</v>
      </c>
      <c r="W159" t="s">
        <v>35</v>
      </c>
      <c r="X159" t="s">
        <v>9794</v>
      </c>
      <c r="Y159" t="s">
        <v>1163</v>
      </c>
      <c r="Z159" t="s">
        <v>7</v>
      </c>
      <c r="AA159" t="s">
        <v>7</v>
      </c>
      <c r="AB159" t="s">
        <v>7</v>
      </c>
      <c r="AC159" s="117" t="s">
        <v>7</v>
      </c>
      <c r="AD159" t="s">
        <v>1163</v>
      </c>
      <c r="AE159" t="s">
        <v>35</v>
      </c>
      <c r="AF159" t="s">
        <v>35</v>
      </c>
      <c r="AG159" t="s">
        <v>1163</v>
      </c>
      <c r="AH159" s="117" t="s">
        <v>35</v>
      </c>
      <c r="AI159" s="125" t="s">
        <v>1849</v>
      </c>
    </row>
    <row r="160" spans="1:35">
      <c r="A160" t="s">
        <v>240</v>
      </c>
      <c r="B160" s="2" t="s">
        <v>649</v>
      </c>
      <c r="C160" t="s">
        <v>679</v>
      </c>
      <c r="D160" t="s">
        <v>241</v>
      </c>
      <c r="E160" s="4" t="s">
        <v>701</v>
      </c>
      <c r="F160" t="s">
        <v>1855</v>
      </c>
      <c r="G160" t="s">
        <v>3</v>
      </c>
      <c r="H160" s="6">
        <v>32284</v>
      </c>
      <c r="I160" t="s">
        <v>4</v>
      </c>
      <c r="J160" t="s">
        <v>41</v>
      </c>
      <c r="K160" t="s">
        <v>1699</v>
      </c>
      <c r="L160" s="135" t="s">
        <v>1701</v>
      </c>
      <c r="M160" s="135" t="s">
        <v>1700</v>
      </c>
      <c r="N160" s="135">
        <v>0</v>
      </c>
      <c r="O160" s="144">
        <v>0</v>
      </c>
      <c r="P160" s="135">
        <v>0</v>
      </c>
      <c r="Q160" s="144">
        <v>0</v>
      </c>
      <c r="R160" t="s">
        <v>9843</v>
      </c>
      <c r="S160" t="s">
        <v>7</v>
      </c>
      <c r="T160" t="s">
        <v>1702</v>
      </c>
      <c r="U160" t="s">
        <v>36</v>
      </c>
      <c r="V160" t="s">
        <v>9843</v>
      </c>
      <c r="W160" t="s">
        <v>35</v>
      </c>
      <c r="X160" t="s">
        <v>7</v>
      </c>
      <c r="Y160" t="s">
        <v>9</v>
      </c>
      <c r="Z160" t="s">
        <v>7</v>
      </c>
      <c r="AA160" t="s">
        <v>7</v>
      </c>
      <c r="AB160" s="117" t="s">
        <v>9868</v>
      </c>
      <c r="AC160" s="117" t="s">
        <v>7</v>
      </c>
      <c r="AD160" t="s">
        <v>1100</v>
      </c>
      <c r="AE160" t="s">
        <v>35</v>
      </c>
      <c r="AF160" t="s">
        <v>35</v>
      </c>
      <c r="AG160" t="s">
        <v>1100</v>
      </c>
      <c r="AH160" s="117" t="s">
        <v>35</v>
      </c>
      <c r="AI160" s="125" t="s">
        <v>1849</v>
      </c>
    </row>
    <row r="161" spans="1:35">
      <c r="A161" t="s">
        <v>1584</v>
      </c>
      <c r="B161" s="2" t="s">
        <v>1585</v>
      </c>
      <c r="C161" t="s">
        <v>679</v>
      </c>
      <c r="D161" t="s">
        <v>241</v>
      </c>
      <c r="E161" t="s">
        <v>1703</v>
      </c>
      <c r="F161" t="s">
        <v>1855</v>
      </c>
      <c r="G161" t="s">
        <v>3</v>
      </c>
      <c r="H161" s="6">
        <v>34845</v>
      </c>
      <c r="I161" t="s">
        <v>5</v>
      </c>
      <c r="J161" t="s">
        <v>48</v>
      </c>
      <c r="K161" t="s">
        <v>1385</v>
      </c>
      <c r="L161" s="135">
        <v>0</v>
      </c>
      <c r="M161" s="135" t="s">
        <v>9933</v>
      </c>
      <c r="N161" s="135">
        <v>0</v>
      </c>
      <c r="O161" s="144">
        <v>0</v>
      </c>
      <c r="P161" s="135">
        <v>0</v>
      </c>
      <c r="Q161" s="144">
        <v>0</v>
      </c>
      <c r="R161" t="s">
        <v>9843</v>
      </c>
      <c r="S161" t="s">
        <v>7</v>
      </c>
      <c r="T161" t="s">
        <v>1098</v>
      </c>
      <c r="U161" t="s">
        <v>36</v>
      </c>
      <c r="V161" t="s">
        <v>9843</v>
      </c>
      <c r="W161" t="s">
        <v>35</v>
      </c>
      <c r="X161" t="s">
        <v>7</v>
      </c>
      <c r="Y161" t="s">
        <v>9</v>
      </c>
      <c r="Z161" t="s">
        <v>7</v>
      </c>
      <c r="AA161" t="s">
        <v>7</v>
      </c>
      <c r="AB161" t="s">
        <v>7</v>
      </c>
      <c r="AC161" t="s">
        <v>9870</v>
      </c>
      <c r="AD161" t="s">
        <v>10</v>
      </c>
      <c r="AE161" t="s">
        <v>35</v>
      </c>
      <c r="AF161" t="s">
        <v>35</v>
      </c>
      <c r="AG161" t="s">
        <v>10</v>
      </c>
      <c r="AH161" t="s">
        <v>9851</v>
      </c>
      <c r="AI161" s="117" t="s">
        <v>35</v>
      </c>
    </row>
    <row r="162" spans="1:35">
      <c r="A162" t="s">
        <v>242</v>
      </c>
      <c r="B162" s="2" t="s">
        <v>702</v>
      </c>
      <c r="C162" t="s">
        <v>703</v>
      </c>
      <c r="D162" t="s">
        <v>251</v>
      </c>
      <c r="E162" s="4" t="s">
        <v>704</v>
      </c>
      <c r="F162" t="s">
        <v>1855</v>
      </c>
      <c r="G162" t="s">
        <v>3</v>
      </c>
      <c r="H162" s="6">
        <v>34999</v>
      </c>
      <c r="I162" t="s">
        <v>4</v>
      </c>
      <c r="J162" t="s">
        <v>41</v>
      </c>
      <c r="K162" t="s">
        <v>1186</v>
      </c>
      <c r="L162" s="135" t="s">
        <v>1321</v>
      </c>
      <c r="M162" s="135" t="s">
        <v>1322</v>
      </c>
      <c r="N162" s="135" t="s">
        <v>1323</v>
      </c>
      <c r="O162" s="144">
        <v>0</v>
      </c>
      <c r="P162" s="135">
        <v>0</v>
      </c>
      <c r="Q162" s="144" t="s">
        <v>9819</v>
      </c>
      <c r="R162" t="s">
        <v>9843</v>
      </c>
      <c r="S162" t="s">
        <v>1271</v>
      </c>
      <c r="T162" s="121" t="s">
        <v>9820</v>
      </c>
      <c r="U162" t="s">
        <v>36</v>
      </c>
      <c r="V162" t="s">
        <v>9843</v>
      </c>
      <c r="W162" t="s">
        <v>1271</v>
      </c>
      <c r="X162" t="s">
        <v>7</v>
      </c>
      <c r="Y162" t="s">
        <v>9</v>
      </c>
      <c r="Z162" t="s">
        <v>7</v>
      </c>
      <c r="AA162" t="s">
        <v>7</v>
      </c>
      <c r="AB162" t="s">
        <v>7</v>
      </c>
      <c r="AC162" t="s">
        <v>9871</v>
      </c>
      <c r="AD162" t="s">
        <v>1179</v>
      </c>
      <c r="AE162" t="s">
        <v>35</v>
      </c>
      <c r="AF162" t="s">
        <v>1279</v>
      </c>
      <c r="AG162" t="s">
        <v>1324</v>
      </c>
      <c r="AH162" s="117" t="s">
        <v>35</v>
      </c>
      <c r="AI162" s="125" t="s">
        <v>1849</v>
      </c>
    </row>
    <row r="163" spans="1:35">
      <c r="A163" t="s">
        <v>243</v>
      </c>
      <c r="B163" s="2" t="s">
        <v>705</v>
      </c>
      <c r="C163" t="s">
        <v>706</v>
      </c>
      <c r="D163" t="s">
        <v>251</v>
      </c>
      <c r="E163" s="4" t="s">
        <v>707</v>
      </c>
      <c r="F163" t="s">
        <v>1855</v>
      </c>
      <c r="G163" t="s">
        <v>3</v>
      </c>
      <c r="H163" s="6">
        <v>27582</v>
      </c>
      <c r="I163" t="s">
        <v>4</v>
      </c>
      <c r="J163" t="s">
        <v>77</v>
      </c>
      <c r="K163" t="s">
        <v>1325</v>
      </c>
      <c r="L163" s="135" t="s">
        <v>1327</v>
      </c>
      <c r="M163" s="135" t="s">
        <v>1326</v>
      </c>
      <c r="N163" s="135">
        <v>0</v>
      </c>
      <c r="O163" s="144">
        <v>0</v>
      </c>
      <c r="P163" s="135">
        <v>0</v>
      </c>
      <c r="Q163" s="144">
        <v>0</v>
      </c>
      <c r="R163" t="s">
        <v>9843</v>
      </c>
      <c r="S163" t="s">
        <v>7</v>
      </c>
      <c r="T163" s="117" t="s">
        <v>1098</v>
      </c>
      <c r="U163" t="s">
        <v>36</v>
      </c>
      <c r="V163" t="s">
        <v>9843</v>
      </c>
      <c r="W163" t="s">
        <v>35</v>
      </c>
      <c r="X163" t="s">
        <v>7</v>
      </c>
      <c r="Y163" t="s">
        <v>9</v>
      </c>
      <c r="Z163" t="s">
        <v>7</v>
      </c>
      <c r="AA163" t="s">
        <v>7</v>
      </c>
      <c r="AB163" t="s">
        <v>7</v>
      </c>
      <c r="AC163" t="s">
        <v>9870</v>
      </c>
      <c r="AD163" t="s">
        <v>10</v>
      </c>
      <c r="AE163" t="s">
        <v>35</v>
      </c>
      <c r="AF163" t="s">
        <v>35</v>
      </c>
      <c r="AG163" t="s">
        <v>10</v>
      </c>
      <c r="AH163" s="117" t="s">
        <v>7</v>
      </c>
      <c r="AI163" s="125" t="s">
        <v>1849</v>
      </c>
    </row>
    <row r="164" spans="1:35">
      <c r="A164" t="s">
        <v>244</v>
      </c>
      <c r="B164" s="2" t="s">
        <v>708</v>
      </c>
      <c r="C164" t="s">
        <v>709</v>
      </c>
      <c r="D164" t="s">
        <v>251</v>
      </c>
      <c r="E164" s="4" t="s">
        <v>710</v>
      </c>
      <c r="F164" t="s">
        <v>76</v>
      </c>
      <c r="G164" t="s">
        <v>3</v>
      </c>
      <c r="H164" s="6">
        <v>33554</v>
      </c>
      <c r="I164" t="s">
        <v>5</v>
      </c>
      <c r="J164" t="s">
        <v>1101</v>
      </c>
      <c r="K164" t="s">
        <v>1328</v>
      </c>
      <c r="L164" s="156" t="s">
        <v>10055</v>
      </c>
      <c r="M164" s="135" t="s">
        <v>1329</v>
      </c>
      <c r="N164" s="135">
        <v>0</v>
      </c>
      <c r="O164" s="144">
        <v>0</v>
      </c>
      <c r="P164" s="135">
        <v>0</v>
      </c>
      <c r="Q164" s="144">
        <v>0</v>
      </c>
      <c r="R164" s="125" t="s">
        <v>9845</v>
      </c>
      <c r="S164" t="s">
        <v>1956</v>
      </c>
      <c r="T164" s="117" t="s">
        <v>1173</v>
      </c>
      <c r="U164" t="s">
        <v>36</v>
      </c>
      <c r="V164" t="s">
        <v>9845</v>
      </c>
      <c r="W164" t="s">
        <v>1956</v>
      </c>
      <c r="X164" t="s">
        <v>1104</v>
      </c>
      <c r="Y164" t="s">
        <v>1163</v>
      </c>
      <c r="Z164" t="s">
        <v>1097</v>
      </c>
      <c r="AA164" t="s">
        <v>7</v>
      </c>
      <c r="AB164" t="s">
        <v>7</v>
      </c>
      <c r="AC164" s="117" t="s">
        <v>9872</v>
      </c>
      <c r="AD164" t="s">
        <v>1330</v>
      </c>
      <c r="AE164" t="s">
        <v>79</v>
      </c>
      <c r="AF164" t="s">
        <v>1331</v>
      </c>
      <c r="AG164" t="s">
        <v>1332</v>
      </c>
      <c r="AH164" s="117" t="s">
        <v>35</v>
      </c>
      <c r="AI164" s="125" t="s">
        <v>1849</v>
      </c>
    </row>
    <row r="165" spans="1:35">
      <c r="A165" t="s">
        <v>245</v>
      </c>
      <c r="B165" s="6">
        <v>42871</v>
      </c>
      <c r="C165" t="s">
        <v>703</v>
      </c>
      <c r="D165" t="s">
        <v>251</v>
      </c>
      <c r="E165" t="s">
        <v>711</v>
      </c>
      <c r="F165" t="s">
        <v>1855</v>
      </c>
      <c r="G165" t="s">
        <v>3</v>
      </c>
      <c r="H165" s="6">
        <v>35825</v>
      </c>
      <c r="I165" t="s">
        <v>4</v>
      </c>
      <c r="J165" t="s">
        <v>1101</v>
      </c>
      <c r="K165" t="s">
        <v>1127</v>
      </c>
      <c r="L165" s="135" t="s">
        <v>9934</v>
      </c>
      <c r="M165" s="135">
        <v>0</v>
      </c>
      <c r="N165" s="135">
        <v>0</v>
      </c>
      <c r="O165" s="144">
        <v>0</v>
      </c>
      <c r="P165" s="135">
        <v>0</v>
      </c>
      <c r="Q165" s="144">
        <v>0</v>
      </c>
      <c r="R165" t="s">
        <v>9843</v>
      </c>
      <c r="S165" t="s">
        <v>7</v>
      </c>
      <c r="T165" s="117" t="s">
        <v>9821</v>
      </c>
      <c r="U165" t="s">
        <v>36</v>
      </c>
      <c r="V165" t="s">
        <v>9843</v>
      </c>
      <c r="W165" t="s">
        <v>35</v>
      </c>
      <c r="X165" t="s">
        <v>7</v>
      </c>
      <c r="Y165" t="s">
        <v>9</v>
      </c>
      <c r="Z165" t="s">
        <v>7</v>
      </c>
      <c r="AA165" t="s">
        <v>7</v>
      </c>
      <c r="AB165" t="s">
        <v>7</v>
      </c>
      <c r="AC165" t="s">
        <v>9870</v>
      </c>
      <c r="AD165" t="s">
        <v>10</v>
      </c>
      <c r="AE165" t="s">
        <v>35</v>
      </c>
      <c r="AF165" t="s">
        <v>35</v>
      </c>
      <c r="AG165" t="s">
        <v>10</v>
      </c>
      <c r="AH165" s="117" t="s">
        <v>7</v>
      </c>
      <c r="AI165" s="117" t="s">
        <v>1114</v>
      </c>
    </row>
    <row r="166" spans="1:35">
      <c r="A166" t="s">
        <v>246</v>
      </c>
      <c r="B166" s="2" t="s">
        <v>712</v>
      </c>
      <c r="C166" t="s">
        <v>703</v>
      </c>
      <c r="D166" t="s">
        <v>251</v>
      </c>
      <c r="E166" s="4" t="s">
        <v>713</v>
      </c>
      <c r="F166" t="s">
        <v>1855</v>
      </c>
      <c r="G166" t="s">
        <v>3</v>
      </c>
      <c r="H166" s="6">
        <v>34854</v>
      </c>
      <c r="I166" t="s">
        <v>5</v>
      </c>
      <c r="J166" t="s">
        <v>18</v>
      </c>
      <c r="K166" t="s">
        <v>1334</v>
      </c>
      <c r="L166" s="135" t="s">
        <v>1336</v>
      </c>
      <c r="M166" s="135" t="s">
        <v>1335</v>
      </c>
      <c r="N166" s="156" t="s">
        <v>9823</v>
      </c>
      <c r="O166" s="144">
        <v>0</v>
      </c>
      <c r="P166" s="135">
        <v>0</v>
      </c>
      <c r="Q166" s="144" t="s">
        <v>9822</v>
      </c>
      <c r="R166" t="s">
        <v>9846</v>
      </c>
      <c r="S166" t="s">
        <v>7</v>
      </c>
      <c r="T166" s="117" t="s">
        <v>9821</v>
      </c>
      <c r="U166" t="s">
        <v>78</v>
      </c>
      <c r="V166" t="s">
        <v>9843</v>
      </c>
      <c r="W166" t="s">
        <v>35</v>
      </c>
      <c r="X166" t="s">
        <v>7</v>
      </c>
      <c r="Y166" t="s">
        <v>9</v>
      </c>
      <c r="Z166" t="s">
        <v>7</v>
      </c>
      <c r="AA166" t="s">
        <v>7</v>
      </c>
      <c r="AB166" t="s">
        <v>7</v>
      </c>
      <c r="AC166" t="s">
        <v>9870</v>
      </c>
      <c r="AD166" t="s">
        <v>10</v>
      </c>
      <c r="AE166" t="s">
        <v>35</v>
      </c>
      <c r="AF166" t="s">
        <v>35</v>
      </c>
      <c r="AG166" t="s">
        <v>10</v>
      </c>
      <c r="AH166" s="117" t="s">
        <v>7</v>
      </c>
      <c r="AI166" s="125" t="s">
        <v>1849</v>
      </c>
    </row>
    <row r="167" spans="1:35">
      <c r="A167" t="s">
        <v>246</v>
      </c>
      <c r="B167" s="2" t="s">
        <v>712</v>
      </c>
      <c r="C167" t="s">
        <v>703</v>
      </c>
      <c r="D167" t="s">
        <v>251</v>
      </c>
      <c r="E167" s="4" t="s">
        <v>714</v>
      </c>
      <c r="F167" t="s">
        <v>1855</v>
      </c>
      <c r="G167" t="s">
        <v>3</v>
      </c>
      <c r="H167" s="6">
        <v>33541</v>
      </c>
      <c r="I167" t="s">
        <v>5</v>
      </c>
      <c r="J167" t="s">
        <v>1074</v>
      </c>
      <c r="K167" t="s">
        <v>1334</v>
      </c>
      <c r="L167" s="135" t="s">
        <v>1336</v>
      </c>
      <c r="M167" s="135" t="s">
        <v>1335</v>
      </c>
      <c r="N167" s="156" t="s">
        <v>9823</v>
      </c>
      <c r="O167" s="144">
        <v>0</v>
      </c>
      <c r="P167" s="135">
        <v>0</v>
      </c>
      <c r="Q167" s="144" t="s">
        <v>9822</v>
      </c>
      <c r="R167" t="s">
        <v>9846</v>
      </c>
      <c r="S167" t="s">
        <v>7</v>
      </c>
      <c r="T167" s="117" t="s">
        <v>9821</v>
      </c>
      <c r="U167" t="s">
        <v>78</v>
      </c>
      <c r="V167" t="s">
        <v>9843</v>
      </c>
      <c r="W167" t="s">
        <v>35</v>
      </c>
      <c r="X167" t="s">
        <v>7</v>
      </c>
      <c r="Y167" t="s">
        <v>9</v>
      </c>
      <c r="Z167" t="s">
        <v>7</v>
      </c>
      <c r="AA167" t="s">
        <v>7</v>
      </c>
      <c r="AB167" t="s">
        <v>7</v>
      </c>
      <c r="AC167" t="s">
        <v>9870</v>
      </c>
      <c r="AD167" t="s">
        <v>10</v>
      </c>
      <c r="AE167" t="s">
        <v>35</v>
      </c>
      <c r="AF167" t="s">
        <v>35</v>
      </c>
      <c r="AG167" t="s">
        <v>10</v>
      </c>
      <c r="AH167" s="117" t="s">
        <v>7</v>
      </c>
      <c r="AI167" s="125" t="s">
        <v>1849</v>
      </c>
    </row>
    <row r="168" spans="1:35">
      <c r="A168" t="s">
        <v>247</v>
      </c>
      <c r="B168" s="2" t="s">
        <v>715</v>
      </c>
      <c r="C168" t="s">
        <v>706</v>
      </c>
      <c r="D168" t="s">
        <v>251</v>
      </c>
      <c r="E168" s="4" t="s">
        <v>716</v>
      </c>
      <c r="F168" t="s">
        <v>1855</v>
      </c>
      <c r="G168" t="s">
        <v>515</v>
      </c>
      <c r="H168" s="6">
        <v>34740</v>
      </c>
      <c r="I168" t="s">
        <v>5</v>
      </c>
      <c r="J168" t="s">
        <v>48</v>
      </c>
      <c r="K168" t="s">
        <v>1210</v>
      </c>
      <c r="L168" s="135">
        <v>0</v>
      </c>
      <c r="M168" s="135" t="s">
        <v>1337</v>
      </c>
      <c r="N168" s="135">
        <v>0</v>
      </c>
      <c r="O168" s="144">
        <v>0</v>
      </c>
      <c r="P168" s="135">
        <v>0</v>
      </c>
      <c r="Q168" s="144">
        <v>0</v>
      </c>
      <c r="R168" t="s">
        <v>9846</v>
      </c>
      <c r="S168" t="s">
        <v>7</v>
      </c>
      <c r="T168" s="117" t="s">
        <v>1975</v>
      </c>
      <c r="U168" t="s">
        <v>78</v>
      </c>
      <c r="V168" t="s">
        <v>9843</v>
      </c>
      <c r="W168" t="s">
        <v>35</v>
      </c>
      <c r="X168" t="s">
        <v>7</v>
      </c>
      <c r="Y168" t="s">
        <v>9</v>
      </c>
      <c r="Z168" t="s">
        <v>7</v>
      </c>
      <c r="AA168" t="s">
        <v>7</v>
      </c>
      <c r="AB168" t="s">
        <v>1937</v>
      </c>
      <c r="AC168" t="s">
        <v>9870</v>
      </c>
      <c r="AD168" t="s">
        <v>1182</v>
      </c>
      <c r="AE168" t="s">
        <v>35</v>
      </c>
      <c r="AF168" t="s">
        <v>35</v>
      </c>
      <c r="AG168" t="s">
        <v>1182</v>
      </c>
      <c r="AH168" s="117" t="s">
        <v>7</v>
      </c>
      <c r="AI168" s="125" t="s">
        <v>1849</v>
      </c>
    </row>
    <row r="169" spans="1:35">
      <c r="A169" t="s">
        <v>247</v>
      </c>
      <c r="B169" s="2" t="s">
        <v>715</v>
      </c>
      <c r="C169" t="s">
        <v>706</v>
      </c>
      <c r="D169" t="s">
        <v>251</v>
      </c>
      <c r="E169" s="4" t="s">
        <v>717</v>
      </c>
      <c r="F169" t="s">
        <v>1855</v>
      </c>
      <c r="G169" t="s">
        <v>3</v>
      </c>
      <c r="H169" s="6">
        <v>34143</v>
      </c>
      <c r="I169" t="s">
        <v>4</v>
      </c>
      <c r="J169" t="s">
        <v>41</v>
      </c>
      <c r="K169" t="s">
        <v>1210</v>
      </c>
      <c r="L169" s="135">
        <v>0</v>
      </c>
      <c r="M169" s="135" t="s">
        <v>1337</v>
      </c>
      <c r="N169" s="135">
        <v>0</v>
      </c>
      <c r="O169" s="144">
        <v>0</v>
      </c>
      <c r="P169" s="135">
        <v>0</v>
      </c>
      <c r="Q169" s="144">
        <v>0</v>
      </c>
      <c r="R169" t="s">
        <v>9846</v>
      </c>
      <c r="S169" t="s">
        <v>7</v>
      </c>
      <c r="T169" s="117" t="s">
        <v>1975</v>
      </c>
      <c r="U169" t="s">
        <v>78</v>
      </c>
      <c r="V169" t="s">
        <v>9843</v>
      </c>
      <c r="W169" t="s">
        <v>35</v>
      </c>
      <c r="X169" t="s">
        <v>7</v>
      </c>
      <c r="Y169" t="s">
        <v>9</v>
      </c>
      <c r="Z169" t="s">
        <v>7</v>
      </c>
      <c r="AA169" t="s">
        <v>7</v>
      </c>
      <c r="AB169" t="s">
        <v>1937</v>
      </c>
      <c r="AC169" s="117" t="s">
        <v>7</v>
      </c>
      <c r="AD169" t="s">
        <v>1100</v>
      </c>
      <c r="AE169" t="s">
        <v>35</v>
      </c>
      <c r="AF169" t="s">
        <v>35</v>
      </c>
      <c r="AG169" t="s">
        <v>1100</v>
      </c>
      <c r="AH169" s="117" t="s">
        <v>35</v>
      </c>
      <c r="AI169" s="125" t="s">
        <v>1849</v>
      </c>
    </row>
    <row r="170" spans="1:35">
      <c r="A170" t="s">
        <v>248</v>
      </c>
      <c r="B170" s="2" t="s">
        <v>546</v>
      </c>
      <c r="C170" t="s">
        <v>718</v>
      </c>
      <c r="D170" t="s">
        <v>251</v>
      </c>
      <c r="E170" s="4" t="s">
        <v>719</v>
      </c>
      <c r="F170" t="s">
        <v>1855</v>
      </c>
      <c r="G170" t="s">
        <v>3</v>
      </c>
      <c r="H170" s="6">
        <v>32978</v>
      </c>
      <c r="I170" t="s">
        <v>5</v>
      </c>
      <c r="J170" t="s">
        <v>1101</v>
      </c>
      <c r="K170" t="s">
        <v>1338</v>
      </c>
      <c r="L170" s="135" t="s">
        <v>1339</v>
      </c>
      <c r="M170" s="135">
        <v>0</v>
      </c>
      <c r="N170" s="135">
        <v>0</v>
      </c>
      <c r="O170" s="144">
        <v>0</v>
      </c>
      <c r="P170" s="135">
        <v>0</v>
      </c>
      <c r="Q170" s="144">
        <v>0</v>
      </c>
      <c r="R170" t="s">
        <v>9843</v>
      </c>
      <c r="S170" t="s">
        <v>7</v>
      </c>
      <c r="T170" s="117" t="s">
        <v>1122</v>
      </c>
      <c r="U170" t="s">
        <v>36</v>
      </c>
      <c r="V170" t="s">
        <v>9843</v>
      </c>
      <c r="W170" t="s">
        <v>35</v>
      </c>
      <c r="X170" t="s">
        <v>7</v>
      </c>
      <c r="Y170" t="s">
        <v>9</v>
      </c>
      <c r="Z170" t="s">
        <v>7</v>
      </c>
      <c r="AA170" t="s">
        <v>7</v>
      </c>
      <c r="AB170" t="s">
        <v>7</v>
      </c>
      <c r="AC170" t="s">
        <v>9870</v>
      </c>
      <c r="AD170" t="s">
        <v>10</v>
      </c>
      <c r="AE170" t="s">
        <v>35</v>
      </c>
      <c r="AF170" t="s">
        <v>35</v>
      </c>
      <c r="AG170" t="s">
        <v>10</v>
      </c>
      <c r="AH170" s="117" t="s">
        <v>7</v>
      </c>
      <c r="AI170" t="s">
        <v>37</v>
      </c>
    </row>
    <row r="171" spans="1:35">
      <c r="A171" t="s">
        <v>249</v>
      </c>
      <c r="B171" s="6" t="s">
        <v>82</v>
      </c>
      <c r="C171" t="s">
        <v>709</v>
      </c>
      <c r="D171" t="s">
        <v>251</v>
      </c>
      <c r="E171" s="4" t="s">
        <v>720</v>
      </c>
      <c r="F171" t="s">
        <v>1855</v>
      </c>
      <c r="G171" t="s">
        <v>3</v>
      </c>
      <c r="H171" s="6">
        <v>33108</v>
      </c>
      <c r="I171" t="s">
        <v>5</v>
      </c>
      <c r="J171" t="s">
        <v>48</v>
      </c>
      <c r="K171" t="s">
        <v>1340</v>
      </c>
      <c r="L171" s="135" t="s">
        <v>9935</v>
      </c>
      <c r="M171" s="135" t="s">
        <v>9936</v>
      </c>
      <c r="N171" s="135" t="s">
        <v>1840</v>
      </c>
      <c r="O171" s="144">
        <v>0</v>
      </c>
      <c r="P171" s="135">
        <v>0</v>
      </c>
      <c r="Q171" s="144">
        <v>0</v>
      </c>
      <c r="R171" t="s">
        <v>9843</v>
      </c>
      <c r="S171" t="s">
        <v>1271</v>
      </c>
      <c r="T171" s="117" t="s">
        <v>9767</v>
      </c>
      <c r="U171" t="s">
        <v>78</v>
      </c>
      <c r="V171" t="s">
        <v>9843</v>
      </c>
      <c r="W171" t="s">
        <v>7</v>
      </c>
      <c r="X171" t="s">
        <v>1280</v>
      </c>
      <c r="Y171" t="s">
        <v>1080</v>
      </c>
      <c r="Z171" t="s">
        <v>1097</v>
      </c>
      <c r="AA171" t="s">
        <v>7</v>
      </c>
      <c r="AB171" t="s">
        <v>1937</v>
      </c>
      <c r="AC171" s="117" t="s">
        <v>9872</v>
      </c>
      <c r="AD171" t="s">
        <v>1341</v>
      </c>
      <c r="AE171" t="s">
        <v>35</v>
      </c>
      <c r="AF171" t="s">
        <v>35</v>
      </c>
      <c r="AG171" t="s">
        <v>1341</v>
      </c>
      <c r="AH171" s="117" t="s">
        <v>35</v>
      </c>
      <c r="AI171" s="125" t="s">
        <v>1849</v>
      </c>
    </row>
    <row r="172" spans="1:35">
      <c r="A172" t="s">
        <v>250</v>
      </c>
      <c r="B172" s="2" t="s">
        <v>544</v>
      </c>
      <c r="C172" t="s">
        <v>706</v>
      </c>
      <c r="D172" t="s">
        <v>251</v>
      </c>
      <c r="E172" s="4" t="s">
        <v>721</v>
      </c>
      <c r="F172" t="s">
        <v>1855</v>
      </c>
      <c r="G172" t="s">
        <v>3</v>
      </c>
      <c r="H172" s="6">
        <v>34530</v>
      </c>
      <c r="I172" t="s">
        <v>5</v>
      </c>
      <c r="J172" t="s">
        <v>1101</v>
      </c>
      <c r="K172" t="s">
        <v>1342</v>
      </c>
      <c r="L172" s="135" t="s">
        <v>1343</v>
      </c>
      <c r="M172" s="135" t="s">
        <v>1344</v>
      </c>
      <c r="N172" s="135">
        <v>0</v>
      </c>
      <c r="O172" s="144">
        <v>0</v>
      </c>
      <c r="P172" s="135">
        <v>0</v>
      </c>
      <c r="Q172" s="144">
        <v>0</v>
      </c>
      <c r="R172" t="s">
        <v>9846</v>
      </c>
      <c r="S172" t="s">
        <v>7</v>
      </c>
      <c r="T172" s="117" t="s">
        <v>9824</v>
      </c>
      <c r="U172" t="s">
        <v>78</v>
      </c>
      <c r="V172" t="s">
        <v>9843</v>
      </c>
      <c r="W172" t="s">
        <v>35</v>
      </c>
      <c r="X172" t="s">
        <v>7</v>
      </c>
      <c r="Y172" t="s">
        <v>9</v>
      </c>
      <c r="Z172" t="s">
        <v>1097</v>
      </c>
      <c r="AA172" t="s">
        <v>7</v>
      </c>
      <c r="AB172" t="s">
        <v>1937</v>
      </c>
      <c r="AC172" s="117" t="s">
        <v>9872</v>
      </c>
      <c r="AD172" t="s">
        <v>1099</v>
      </c>
      <c r="AE172" t="s">
        <v>35</v>
      </c>
      <c r="AF172" t="s">
        <v>35</v>
      </c>
      <c r="AG172" t="s">
        <v>1099</v>
      </c>
      <c r="AH172" s="117" t="s">
        <v>35</v>
      </c>
      <c r="AI172" s="125" t="s">
        <v>1849</v>
      </c>
    </row>
    <row r="173" spans="1:35">
      <c r="A173" t="s">
        <v>252</v>
      </c>
      <c r="B173" s="2" t="s">
        <v>722</v>
      </c>
      <c r="C173" t="s">
        <v>723</v>
      </c>
      <c r="D173" t="s">
        <v>264</v>
      </c>
      <c r="E173" s="4" t="s">
        <v>724</v>
      </c>
      <c r="F173" t="s">
        <v>1855</v>
      </c>
      <c r="G173" t="s">
        <v>3</v>
      </c>
      <c r="H173" s="6">
        <v>33630</v>
      </c>
      <c r="I173" t="s">
        <v>1093</v>
      </c>
      <c r="J173" t="s">
        <v>48</v>
      </c>
      <c r="K173" t="s">
        <v>1186</v>
      </c>
      <c r="L173" s="135" t="s">
        <v>10082</v>
      </c>
      <c r="M173" s="135" t="s">
        <v>9937</v>
      </c>
      <c r="N173" s="156" t="s">
        <v>9938</v>
      </c>
      <c r="O173" s="144">
        <v>0</v>
      </c>
      <c r="P173" s="135">
        <v>0</v>
      </c>
      <c r="Q173" s="144" t="s">
        <v>10083</v>
      </c>
      <c r="R173" t="s">
        <v>9843</v>
      </c>
      <c r="S173" t="s">
        <v>7</v>
      </c>
      <c r="T173" t="s">
        <v>1173</v>
      </c>
      <c r="U173" t="s">
        <v>51</v>
      </c>
      <c r="V173" t="s">
        <v>52</v>
      </c>
      <c r="W173" t="s">
        <v>35</v>
      </c>
      <c r="X173" t="s">
        <v>35</v>
      </c>
      <c r="Y173" t="s">
        <v>35</v>
      </c>
      <c r="Z173" t="s">
        <v>35</v>
      </c>
      <c r="AA173" t="s">
        <v>35</v>
      </c>
      <c r="AB173" t="s">
        <v>35</v>
      </c>
      <c r="AC173" t="s">
        <v>35</v>
      </c>
      <c r="AD173" t="s">
        <v>35</v>
      </c>
      <c r="AE173" t="s">
        <v>7</v>
      </c>
      <c r="AF173" t="s">
        <v>35</v>
      </c>
      <c r="AG173" t="s">
        <v>35</v>
      </c>
      <c r="AH173" s="5" t="s">
        <v>35</v>
      </c>
      <c r="AI173" s="5" t="s">
        <v>35</v>
      </c>
    </row>
    <row r="174" spans="1:35">
      <c r="A174" t="s">
        <v>253</v>
      </c>
      <c r="B174" s="2" t="s">
        <v>725</v>
      </c>
      <c r="C174" t="s">
        <v>723</v>
      </c>
      <c r="D174" t="s">
        <v>264</v>
      </c>
      <c r="E174" s="4" t="s">
        <v>726</v>
      </c>
      <c r="F174" t="s">
        <v>1855</v>
      </c>
      <c r="G174" t="s">
        <v>3</v>
      </c>
      <c r="H174" s="6">
        <v>30038</v>
      </c>
      <c r="I174" t="s">
        <v>4</v>
      </c>
      <c r="J174" t="s">
        <v>1074</v>
      </c>
      <c r="K174" t="s">
        <v>1449</v>
      </c>
      <c r="L174" s="135">
        <v>0</v>
      </c>
      <c r="M174" s="135" t="s">
        <v>9939</v>
      </c>
      <c r="N174" s="135" t="s">
        <v>9940</v>
      </c>
      <c r="O174" s="144">
        <v>0</v>
      </c>
      <c r="P174" s="135">
        <v>0</v>
      </c>
      <c r="Q174" s="144">
        <v>0</v>
      </c>
      <c r="R174" t="s">
        <v>9843</v>
      </c>
      <c r="S174" t="s">
        <v>7</v>
      </c>
      <c r="T174" t="s">
        <v>1641</v>
      </c>
      <c r="U174" t="s">
        <v>36</v>
      </c>
      <c r="V174" t="s">
        <v>9843</v>
      </c>
      <c r="W174" t="s">
        <v>35</v>
      </c>
      <c r="X174" t="s">
        <v>7</v>
      </c>
      <c r="Y174" t="s">
        <v>9</v>
      </c>
      <c r="Z174" t="s">
        <v>7</v>
      </c>
      <c r="AA174" t="s">
        <v>7</v>
      </c>
      <c r="AB174" t="s">
        <v>7</v>
      </c>
      <c r="AC174" t="s">
        <v>9871</v>
      </c>
      <c r="AD174" t="s">
        <v>1185</v>
      </c>
      <c r="AE174" t="s">
        <v>35</v>
      </c>
      <c r="AF174" t="s">
        <v>35</v>
      </c>
      <c r="AG174" t="s">
        <v>1185</v>
      </c>
      <c r="AH174" s="117" t="s">
        <v>7</v>
      </c>
      <c r="AI174" s="125" t="s">
        <v>1849</v>
      </c>
    </row>
    <row r="175" spans="1:35">
      <c r="A175" t="s">
        <v>254</v>
      </c>
      <c r="B175" s="2" t="s">
        <v>554</v>
      </c>
      <c r="C175" t="s">
        <v>723</v>
      </c>
      <c r="D175" t="s">
        <v>264</v>
      </c>
      <c r="E175" s="4" t="s">
        <v>727</v>
      </c>
      <c r="F175" t="s">
        <v>1855</v>
      </c>
      <c r="G175" t="s">
        <v>3</v>
      </c>
      <c r="H175" s="6">
        <v>33546</v>
      </c>
      <c r="I175" t="s">
        <v>5</v>
      </c>
      <c r="J175" t="s">
        <v>48</v>
      </c>
      <c r="K175" t="s">
        <v>1642</v>
      </c>
      <c r="L175" s="135" t="s">
        <v>9941</v>
      </c>
      <c r="M175" s="135" t="s">
        <v>9942</v>
      </c>
      <c r="N175" s="135">
        <v>0</v>
      </c>
      <c r="O175" s="144">
        <v>0</v>
      </c>
      <c r="P175" s="135">
        <v>0</v>
      </c>
      <c r="Q175" s="144">
        <v>0</v>
      </c>
      <c r="R175" t="s">
        <v>9843</v>
      </c>
      <c r="S175" t="s">
        <v>7</v>
      </c>
      <c r="T175" t="s">
        <v>1281</v>
      </c>
      <c r="U175" t="s">
        <v>36</v>
      </c>
      <c r="V175" t="s">
        <v>9843</v>
      </c>
      <c r="W175" t="s">
        <v>35</v>
      </c>
      <c r="X175" t="s">
        <v>1643</v>
      </c>
      <c r="Y175" t="s">
        <v>1080</v>
      </c>
      <c r="Z175" t="s">
        <v>1097</v>
      </c>
      <c r="AA175" s="117" t="s">
        <v>1111</v>
      </c>
      <c r="AB175" s="117" t="s">
        <v>9868</v>
      </c>
      <c r="AC175" s="117" t="s">
        <v>9872</v>
      </c>
      <c r="AD175" t="s">
        <v>1163</v>
      </c>
      <c r="AE175" t="s">
        <v>35</v>
      </c>
      <c r="AF175" t="s">
        <v>35</v>
      </c>
      <c r="AG175" t="s">
        <v>1163</v>
      </c>
      <c r="AH175" s="117" t="s">
        <v>35</v>
      </c>
      <c r="AI175" s="125" t="s">
        <v>1849</v>
      </c>
    </row>
    <row r="176" spans="1:35">
      <c r="A176" t="s">
        <v>255</v>
      </c>
      <c r="B176" s="2" t="s">
        <v>539</v>
      </c>
      <c r="C176" t="s">
        <v>728</v>
      </c>
      <c r="D176" t="s">
        <v>264</v>
      </c>
      <c r="E176" s="4" t="s">
        <v>729</v>
      </c>
      <c r="F176" t="s">
        <v>1855</v>
      </c>
      <c r="G176" t="s">
        <v>3</v>
      </c>
      <c r="H176" s="6">
        <v>27854</v>
      </c>
      <c r="I176" t="s">
        <v>5</v>
      </c>
      <c r="J176" t="s">
        <v>1101</v>
      </c>
      <c r="K176" t="s">
        <v>1647</v>
      </c>
      <c r="L176" s="135" t="s">
        <v>1644</v>
      </c>
      <c r="M176" s="135" t="s">
        <v>1646</v>
      </c>
      <c r="N176" s="135" t="s">
        <v>1645</v>
      </c>
      <c r="O176" s="144">
        <v>0</v>
      </c>
      <c r="P176" s="135">
        <v>0</v>
      </c>
      <c r="Q176" s="144">
        <v>0</v>
      </c>
      <c r="R176" t="s">
        <v>9843</v>
      </c>
      <c r="S176" t="s">
        <v>7</v>
      </c>
      <c r="T176" t="s">
        <v>1648</v>
      </c>
      <c r="U176" t="s">
        <v>36</v>
      </c>
      <c r="V176" t="s">
        <v>9843</v>
      </c>
      <c r="W176" t="s">
        <v>35</v>
      </c>
      <c r="X176" t="s">
        <v>1079</v>
      </c>
      <c r="Y176" s="117" t="s">
        <v>1080</v>
      </c>
      <c r="Z176" t="s">
        <v>7</v>
      </c>
      <c r="AA176" s="117" t="s">
        <v>1111</v>
      </c>
      <c r="AB176" t="s">
        <v>7</v>
      </c>
      <c r="AC176" t="s">
        <v>9870</v>
      </c>
      <c r="AD176" t="s">
        <v>10</v>
      </c>
      <c r="AE176" t="s">
        <v>35</v>
      </c>
      <c r="AF176" t="s">
        <v>35</v>
      </c>
      <c r="AG176" t="s">
        <v>10</v>
      </c>
      <c r="AH176" s="117" t="s">
        <v>7</v>
      </c>
      <c r="AI176" t="s">
        <v>37</v>
      </c>
    </row>
    <row r="177" spans="1:35">
      <c r="A177" t="s">
        <v>256</v>
      </c>
      <c r="B177" s="2" t="s">
        <v>501</v>
      </c>
      <c r="C177" t="s">
        <v>728</v>
      </c>
      <c r="D177" t="s">
        <v>264</v>
      </c>
      <c r="E177" s="4" t="s">
        <v>730</v>
      </c>
      <c r="F177" t="s">
        <v>76</v>
      </c>
      <c r="G177" t="s">
        <v>3</v>
      </c>
      <c r="H177" s="6">
        <v>26835</v>
      </c>
      <c r="I177" t="s">
        <v>5</v>
      </c>
      <c r="J177" t="s">
        <v>1101</v>
      </c>
      <c r="K177" t="s">
        <v>9825</v>
      </c>
      <c r="L177" s="156" t="s">
        <v>1649</v>
      </c>
      <c r="M177" s="135" t="s">
        <v>9943</v>
      </c>
      <c r="N177" s="135" t="s">
        <v>9944</v>
      </c>
      <c r="O177" s="144">
        <v>0</v>
      </c>
      <c r="P177" s="135">
        <v>0</v>
      </c>
      <c r="Q177" s="144">
        <v>0</v>
      </c>
      <c r="R177" t="s">
        <v>9846</v>
      </c>
      <c r="S177" t="s">
        <v>7</v>
      </c>
      <c r="T177" t="s">
        <v>1650</v>
      </c>
      <c r="U177" t="s">
        <v>78</v>
      </c>
      <c r="V177" t="s">
        <v>9843</v>
      </c>
      <c r="W177" t="s">
        <v>35</v>
      </c>
      <c r="X177" t="s">
        <v>1652</v>
      </c>
      <c r="Y177" t="s">
        <v>1222</v>
      </c>
      <c r="Z177" t="s">
        <v>1097</v>
      </c>
      <c r="AA177" t="s">
        <v>7</v>
      </c>
      <c r="AB177" t="s">
        <v>7</v>
      </c>
      <c r="AC177" s="117" t="s">
        <v>9872</v>
      </c>
      <c r="AD177" t="s">
        <v>1653</v>
      </c>
      <c r="AE177" t="s">
        <v>35</v>
      </c>
      <c r="AF177" t="s">
        <v>35</v>
      </c>
      <c r="AG177" t="s">
        <v>1653</v>
      </c>
      <c r="AH177" s="117" t="s">
        <v>35</v>
      </c>
      <c r="AI177" s="125" t="s">
        <v>1849</v>
      </c>
    </row>
    <row r="178" spans="1:35">
      <c r="A178" t="s">
        <v>256</v>
      </c>
      <c r="B178" s="2" t="s">
        <v>501</v>
      </c>
      <c r="C178" t="s">
        <v>728</v>
      </c>
      <c r="D178" t="s">
        <v>264</v>
      </c>
      <c r="E178" s="4" t="s">
        <v>731</v>
      </c>
      <c r="F178" t="s">
        <v>76</v>
      </c>
      <c r="G178" t="s">
        <v>3</v>
      </c>
      <c r="H178" s="6">
        <v>33821</v>
      </c>
      <c r="I178" t="s">
        <v>5</v>
      </c>
      <c r="J178" t="s">
        <v>1101</v>
      </c>
      <c r="K178" t="s">
        <v>1186</v>
      </c>
      <c r="L178" s="135">
        <v>0</v>
      </c>
      <c r="M178" s="135">
        <v>0</v>
      </c>
      <c r="N178" s="135" t="s">
        <v>9945</v>
      </c>
      <c r="O178" s="144">
        <v>0</v>
      </c>
      <c r="P178" s="135">
        <v>0</v>
      </c>
      <c r="Q178" s="144">
        <v>0</v>
      </c>
      <c r="R178" t="s">
        <v>9846</v>
      </c>
      <c r="S178" t="s">
        <v>7</v>
      </c>
      <c r="T178" t="s">
        <v>1651</v>
      </c>
      <c r="U178" t="s">
        <v>78</v>
      </c>
      <c r="V178" t="s">
        <v>9843</v>
      </c>
      <c r="W178" t="s">
        <v>35</v>
      </c>
      <c r="X178" t="s">
        <v>1079</v>
      </c>
      <c r="Y178" t="s">
        <v>1080</v>
      </c>
      <c r="Z178" t="s">
        <v>7</v>
      </c>
      <c r="AA178" t="s">
        <v>7</v>
      </c>
      <c r="AB178" t="s">
        <v>7</v>
      </c>
      <c r="AC178" s="117" t="s">
        <v>7</v>
      </c>
      <c r="AD178" t="s">
        <v>1080</v>
      </c>
      <c r="AE178" t="s">
        <v>35</v>
      </c>
      <c r="AF178" t="s">
        <v>35</v>
      </c>
      <c r="AG178" t="s">
        <v>1080</v>
      </c>
      <c r="AH178" s="117" t="s">
        <v>35</v>
      </c>
      <c r="AI178" s="125" t="s">
        <v>1849</v>
      </c>
    </row>
    <row r="179" spans="1:35">
      <c r="A179" t="s">
        <v>257</v>
      </c>
      <c r="B179" s="2" t="s">
        <v>505</v>
      </c>
      <c r="C179" t="s">
        <v>723</v>
      </c>
      <c r="D179" t="s">
        <v>264</v>
      </c>
      <c r="E179" s="4" t="s">
        <v>732</v>
      </c>
      <c r="F179" t="s">
        <v>1855</v>
      </c>
      <c r="G179" t="s">
        <v>3</v>
      </c>
      <c r="H179" s="6">
        <v>34914</v>
      </c>
      <c r="I179" t="s">
        <v>4</v>
      </c>
      <c r="J179" t="s">
        <v>48</v>
      </c>
      <c r="K179" t="s">
        <v>1654</v>
      </c>
      <c r="L179" s="135" t="s">
        <v>9946</v>
      </c>
      <c r="M179" s="135" t="s">
        <v>9947</v>
      </c>
      <c r="N179" s="135">
        <v>0</v>
      </c>
      <c r="O179" s="144">
        <v>0</v>
      </c>
      <c r="P179" s="135">
        <v>0</v>
      </c>
      <c r="Q179" s="144">
        <v>0</v>
      </c>
      <c r="R179" t="s">
        <v>9843</v>
      </c>
      <c r="S179" s="125" t="s">
        <v>1136</v>
      </c>
      <c r="T179" t="s">
        <v>72</v>
      </c>
      <c r="U179" t="s">
        <v>78</v>
      </c>
      <c r="V179" t="s">
        <v>9843</v>
      </c>
      <c r="W179" t="s">
        <v>7</v>
      </c>
      <c r="X179" t="s">
        <v>1104</v>
      </c>
      <c r="Y179" t="s">
        <v>1080</v>
      </c>
      <c r="Z179" t="s">
        <v>7</v>
      </c>
      <c r="AA179" s="117" t="s">
        <v>1111</v>
      </c>
      <c r="AB179" t="s">
        <v>7</v>
      </c>
      <c r="AC179" s="117" t="s">
        <v>7</v>
      </c>
      <c r="AD179" t="s">
        <v>9</v>
      </c>
      <c r="AE179" t="s">
        <v>35</v>
      </c>
      <c r="AF179" t="s">
        <v>35</v>
      </c>
      <c r="AG179" t="s">
        <v>9</v>
      </c>
      <c r="AH179" s="117" t="s">
        <v>35</v>
      </c>
      <c r="AI179" s="125" t="s">
        <v>1849</v>
      </c>
    </row>
    <row r="180" spans="1:35">
      <c r="A180" t="s">
        <v>258</v>
      </c>
      <c r="B180" s="2" t="s">
        <v>95</v>
      </c>
      <c r="C180" t="s">
        <v>723</v>
      </c>
      <c r="D180" t="s">
        <v>264</v>
      </c>
      <c r="E180" s="4" t="s">
        <v>733</v>
      </c>
      <c r="F180" t="s">
        <v>1855</v>
      </c>
      <c r="G180" t="s">
        <v>3</v>
      </c>
      <c r="H180" s="6">
        <v>31945</v>
      </c>
      <c r="I180" t="s">
        <v>5</v>
      </c>
      <c r="J180" t="s">
        <v>1101</v>
      </c>
      <c r="K180" t="s">
        <v>1127</v>
      </c>
      <c r="L180" s="135" t="s">
        <v>9948</v>
      </c>
      <c r="M180" s="135">
        <v>0</v>
      </c>
      <c r="N180" s="135">
        <v>0</v>
      </c>
      <c r="O180" s="144">
        <v>0</v>
      </c>
      <c r="P180" s="135">
        <v>0</v>
      </c>
      <c r="Q180" s="144">
        <v>0</v>
      </c>
      <c r="R180" t="s">
        <v>9843</v>
      </c>
      <c r="S180" t="s">
        <v>7</v>
      </c>
      <c r="T180" t="s">
        <v>1233</v>
      </c>
      <c r="U180" t="s">
        <v>36</v>
      </c>
      <c r="V180" t="s">
        <v>9843</v>
      </c>
      <c r="W180" t="s">
        <v>35</v>
      </c>
      <c r="X180" t="s">
        <v>7</v>
      </c>
      <c r="Y180" t="s">
        <v>9</v>
      </c>
      <c r="Z180" t="s">
        <v>1097</v>
      </c>
      <c r="AA180" s="117" t="s">
        <v>1111</v>
      </c>
      <c r="AB180" t="s">
        <v>7</v>
      </c>
      <c r="AC180" s="117" t="s">
        <v>9872</v>
      </c>
      <c r="AD180" t="s">
        <v>9</v>
      </c>
      <c r="AE180" t="s">
        <v>35</v>
      </c>
      <c r="AF180" t="s">
        <v>35</v>
      </c>
      <c r="AG180" t="s">
        <v>9</v>
      </c>
      <c r="AH180" s="117" t="s">
        <v>35</v>
      </c>
      <c r="AI180" s="125" t="s">
        <v>1849</v>
      </c>
    </row>
    <row r="181" spans="1:35">
      <c r="A181" t="s">
        <v>259</v>
      </c>
      <c r="B181" s="2" t="s">
        <v>542</v>
      </c>
      <c r="C181" t="s">
        <v>723</v>
      </c>
      <c r="D181" t="s">
        <v>264</v>
      </c>
      <c r="E181" s="4" t="s">
        <v>734</v>
      </c>
      <c r="F181" t="s">
        <v>1855</v>
      </c>
      <c r="G181" t="s">
        <v>3</v>
      </c>
      <c r="H181" s="6">
        <v>26390</v>
      </c>
      <c r="I181" t="s">
        <v>1093</v>
      </c>
      <c r="J181" t="s">
        <v>48</v>
      </c>
      <c r="K181" t="s">
        <v>1186</v>
      </c>
      <c r="L181" s="135">
        <v>0</v>
      </c>
      <c r="M181" s="135" t="s">
        <v>9949</v>
      </c>
      <c r="N181" s="135">
        <v>0</v>
      </c>
      <c r="O181" s="144">
        <v>0</v>
      </c>
      <c r="P181" s="135">
        <v>0</v>
      </c>
      <c r="Q181" s="144">
        <v>0</v>
      </c>
      <c r="R181" t="s">
        <v>9843</v>
      </c>
      <c r="S181" t="s">
        <v>7</v>
      </c>
      <c r="T181" t="s">
        <v>80</v>
      </c>
      <c r="U181" t="s">
        <v>36</v>
      </c>
      <c r="V181" t="s">
        <v>9843</v>
      </c>
      <c r="W181" t="s">
        <v>35</v>
      </c>
      <c r="X181" t="s">
        <v>7</v>
      </c>
      <c r="Y181" t="s">
        <v>9</v>
      </c>
      <c r="Z181" t="s">
        <v>1097</v>
      </c>
      <c r="AA181" t="s">
        <v>7</v>
      </c>
      <c r="AB181" t="s">
        <v>7</v>
      </c>
      <c r="AC181" s="117" t="s">
        <v>9872</v>
      </c>
      <c r="AD181" t="s">
        <v>1080</v>
      </c>
      <c r="AE181" t="s">
        <v>35</v>
      </c>
      <c r="AF181" t="s">
        <v>35</v>
      </c>
      <c r="AG181" t="s">
        <v>1080</v>
      </c>
      <c r="AH181" s="117" t="s">
        <v>35</v>
      </c>
      <c r="AI181" s="125" t="s">
        <v>1849</v>
      </c>
    </row>
    <row r="182" spans="1:35">
      <c r="A182" t="s">
        <v>260</v>
      </c>
      <c r="B182" s="2" t="s">
        <v>735</v>
      </c>
      <c r="C182" t="s">
        <v>728</v>
      </c>
      <c r="D182" t="s">
        <v>264</v>
      </c>
      <c r="E182" s="4" t="s">
        <v>736</v>
      </c>
      <c r="F182" t="s">
        <v>1855</v>
      </c>
      <c r="G182" t="s">
        <v>3</v>
      </c>
      <c r="H182" s="6">
        <v>32589</v>
      </c>
      <c r="I182" t="s">
        <v>5</v>
      </c>
      <c r="J182" t="s">
        <v>48</v>
      </c>
      <c r="K182" t="s">
        <v>1655</v>
      </c>
      <c r="L182" s="135">
        <v>0</v>
      </c>
      <c r="M182" s="135" t="s">
        <v>1656</v>
      </c>
      <c r="N182" s="135" t="s">
        <v>1657</v>
      </c>
      <c r="O182" s="144">
        <v>0</v>
      </c>
      <c r="P182" s="135">
        <v>0</v>
      </c>
      <c r="Q182" s="144">
        <v>0</v>
      </c>
      <c r="R182" t="s">
        <v>9843</v>
      </c>
      <c r="S182" t="s">
        <v>7</v>
      </c>
      <c r="T182" t="s">
        <v>1212</v>
      </c>
      <c r="U182" t="s">
        <v>36</v>
      </c>
      <c r="V182" t="s">
        <v>9843</v>
      </c>
      <c r="W182" t="s">
        <v>35</v>
      </c>
      <c r="X182" t="s">
        <v>1079</v>
      </c>
      <c r="Y182" t="s">
        <v>1100</v>
      </c>
      <c r="Z182" t="s">
        <v>1097</v>
      </c>
      <c r="AA182" t="s">
        <v>7</v>
      </c>
      <c r="AB182" t="s">
        <v>7</v>
      </c>
      <c r="AC182" s="117" t="s">
        <v>9872</v>
      </c>
      <c r="AD182" t="s">
        <v>1099</v>
      </c>
      <c r="AE182" t="s">
        <v>35</v>
      </c>
      <c r="AF182" t="s">
        <v>35</v>
      </c>
      <c r="AG182" t="s">
        <v>1099</v>
      </c>
      <c r="AH182" s="117" t="s">
        <v>35</v>
      </c>
      <c r="AI182" s="125" t="s">
        <v>1849</v>
      </c>
    </row>
    <row r="183" spans="1:35">
      <c r="A183" t="s">
        <v>261</v>
      </c>
      <c r="B183" s="2" t="s">
        <v>738</v>
      </c>
      <c r="C183" t="s">
        <v>728</v>
      </c>
      <c r="D183" t="s">
        <v>264</v>
      </c>
      <c r="E183" s="4" t="s">
        <v>737</v>
      </c>
      <c r="F183" t="s">
        <v>1855</v>
      </c>
      <c r="G183" t="s">
        <v>3</v>
      </c>
      <c r="H183" s="6">
        <v>31701</v>
      </c>
      <c r="I183" t="s">
        <v>5</v>
      </c>
      <c r="J183" t="s">
        <v>77</v>
      </c>
      <c r="K183" t="s">
        <v>1658</v>
      </c>
      <c r="L183" s="135">
        <v>0</v>
      </c>
      <c r="M183" s="135" t="s">
        <v>10059</v>
      </c>
      <c r="N183" s="135">
        <v>0</v>
      </c>
      <c r="O183" s="144">
        <v>0</v>
      </c>
      <c r="P183" s="135">
        <v>0</v>
      </c>
      <c r="Q183" s="144">
        <v>0</v>
      </c>
      <c r="R183" t="s">
        <v>9846</v>
      </c>
      <c r="S183" t="s">
        <v>7</v>
      </c>
      <c r="T183" t="s">
        <v>1540</v>
      </c>
      <c r="U183" t="s">
        <v>6</v>
      </c>
      <c r="V183" t="s">
        <v>35</v>
      </c>
      <c r="W183" t="s">
        <v>35</v>
      </c>
      <c r="X183" t="s">
        <v>35</v>
      </c>
      <c r="Y183" t="s">
        <v>35</v>
      </c>
      <c r="Z183" t="s">
        <v>35</v>
      </c>
      <c r="AA183" t="s">
        <v>35</v>
      </c>
      <c r="AB183" t="s">
        <v>35</v>
      </c>
      <c r="AC183" t="s">
        <v>35</v>
      </c>
      <c r="AD183" t="s">
        <v>35</v>
      </c>
      <c r="AE183" t="s">
        <v>35</v>
      </c>
      <c r="AF183" t="s">
        <v>35</v>
      </c>
      <c r="AG183" t="s">
        <v>35</v>
      </c>
      <c r="AH183" t="s">
        <v>35</v>
      </c>
      <c r="AI183" t="s">
        <v>35</v>
      </c>
    </row>
    <row r="184" spans="1:35">
      <c r="A184" t="s">
        <v>261</v>
      </c>
      <c r="B184" s="2" t="s">
        <v>738</v>
      </c>
      <c r="C184" t="s">
        <v>728</v>
      </c>
      <c r="D184" t="s">
        <v>264</v>
      </c>
      <c r="E184" s="4" t="s">
        <v>739</v>
      </c>
      <c r="F184" t="s">
        <v>1855</v>
      </c>
      <c r="G184" t="s">
        <v>3</v>
      </c>
      <c r="H184" s="6">
        <v>30628</v>
      </c>
      <c r="I184" t="s">
        <v>5</v>
      </c>
      <c r="J184" t="s">
        <v>77</v>
      </c>
      <c r="K184" t="s">
        <v>1658</v>
      </c>
      <c r="L184" s="135">
        <v>0</v>
      </c>
      <c r="M184" s="135" t="s">
        <v>10059</v>
      </c>
      <c r="N184" s="135">
        <v>0</v>
      </c>
      <c r="O184" s="144">
        <v>0</v>
      </c>
      <c r="P184" s="135">
        <v>0</v>
      </c>
      <c r="Q184" s="144">
        <v>0</v>
      </c>
      <c r="R184" t="s">
        <v>9846</v>
      </c>
      <c r="S184" t="s">
        <v>7</v>
      </c>
      <c r="T184" t="s">
        <v>1540</v>
      </c>
      <c r="U184" t="s">
        <v>6</v>
      </c>
      <c r="V184" t="s">
        <v>35</v>
      </c>
      <c r="W184" t="s">
        <v>35</v>
      </c>
      <c r="X184" t="s">
        <v>35</v>
      </c>
      <c r="Y184" t="s">
        <v>35</v>
      </c>
      <c r="Z184" t="s">
        <v>35</v>
      </c>
      <c r="AA184" t="s">
        <v>35</v>
      </c>
      <c r="AB184" t="s">
        <v>35</v>
      </c>
      <c r="AC184" t="s">
        <v>35</v>
      </c>
      <c r="AD184" t="s">
        <v>35</v>
      </c>
      <c r="AE184" t="s">
        <v>35</v>
      </c>
      <c r="AF184" t="s">
        <v>35</v>
      </c>
      <c r="AG184" t="s">
        <v>35</v>
      </c>
      <c r="AH184" t="s">
        <v>35</v>
      </c>
      <c r="AI184" t="s">
        <v>35</v>
      </c>
    </row>
    <row r="185" spans="1:35">
      <c r="A185" t="s">
        <v>261</v>
      </c>
      <c r="B185" s="2" t="s">
        <v>738</v>
      </c>
      <c r="C185" t="s">
        <v>728</v>
      </c>
      <c r="D185" t="s">
        <v>264</v>
      </c>
      <c r="E185" s="4" t="s">
        <v>740</v>
      </c>
      <c r="F185" t="s">
        <v>1855</v>
      </c>
      <c r="G185" t="s">
        <v>3</v>
      </c>
      <c r="H185" s="6">
        <v>24993</v>
      </c>
      <c r="I185" t="s">
        <v>4</v>
      </c>
      <c r="J185" t="s">
        <v>41</v>
      </c>
      <c r="K185" t="s">
        <v>1658</v>
      </c>
      <c r="L185" s="135">
        <v>0</v>
      </c>
      <c r="M185" s="135" t="s">
        <v>10059</v>
      </c>
      <c r="N185" s="135">
        <v>0</v>
      </c>
      <c r="O185" s="144">
        <v>0</v>
      </c>
      <c r="P185" s="135">
        <v>0</v>
      </c>
      <c r="Q185" s="144">
        <v>0</v>
      </c>
      <c r="R185" t="s">
        <v>9846</v>
      </c>
      <c r="S185" t="s">
        <v>7</v>
      </c>
      <c r="T185" t="s">
        <v>1659</v>
      </c>
      <c r="U185" t="s">
        <v>78</v>
      </c>
      <c r="V185" t="s">
        <v>9843</v>
      </c>
      <c r="W185" t="s">
        <v>35</v>
      </c>
      <c r="X185" t="s">
        <v>7</v>
      </c>
      <c r="Y185" t="s">
        <v>9</v>
      </c>
      <c r="Z185" t="s">
        <v>1097</v>
      </c>
      <c r="AA185" s="117" t="s">
        <v>1111</v>
      </c>
      <c r="AB185" t="s">
        <v>7</v>
      </c>
      <c r="AC185" s="117" t="s">
        <v>9872</v>
      </c>
      <c r="AD185" t="s">
        <v>9</v>
      </c>
      <c r="AE185" t="s">
        <v>35</v>
      </c>
      <c r="AF185" t="s">
        <v>35</v>
      </c>
      <c r="AG185" t="s">
        <v>9</v>
      </c>
      <c r="AH185" s="117" t="s">
        <v>35</v>
      </c>
      <c r="AI185" s="125" t="s">
        <v>1849</v>
      </c>
    </row>
    <row r="186" spans="1:35">
      <c r="A186" t="s">
        <v>261</v>
      </c>
      <c r="B186" s="2" t="s">
        <v>738</v>
      </c>
      <c r="C186" t="s">
        <v>728</v>
      </c>
      <c r="D186" t="s">
        <v>264</v>
      </c>
      <c r="E186" s="4" t="s">
        <v>741</v>
      </c>
      <c r="F186" t="s">
        <v>1855</v>
      </c>
      <c r="G186" t="s">
        <v>3</v>
      </c>
      <c r="H186" s="6">
        <v>28859</v>
      </c>
      <c r="I186" t="s">
        <v>5</v>
      </c>
      <c r="J186" t="s">
        <v>1074</v>
      </c>
      <c r="K186" t="s">
        <v>1658</v>
      </c>
      <c r="L186" s="135">
        <v>0</v>
      </c>
      <c r="M186" s="135" t="s">
        <v>10059</v>
      </c>
      <c r="N186" s="135">
        <v>0</v>
      </c>
      <c r="O186" s="144">
        <v>0</v>
      </c>
      <c r="P186" s="135">
        <v>0</v>
      </c>
      <c r="Q186" s="144">
        <v>0</v>
      </c>
      <c r="R186" t="s">
        <v>9846</v>
      </c>
      <c r="S186" t="s">
        <v>7</v>
      </c>
      <c r="T186" t="s">
        <v>1460</v>
      </c>
      <c r="U186" t="s">
        <v>6</v>
      </c>
      <c r="V186" t="s">
        <v>35</v>
      </c>
      <c r="W186" t="s">
        <v>35</v>
      </c>
      <c r="X186" t="s">
        <v>35</v>
      </c>
      <c r="Y186" t="s">
        <v>35</v>
      </c>
      <c r="Z186" t="s">
        <v>35</v>
      </c>
      <c r="AA186" t="s">
        <v>35</v>
      </c>
      <c r="AB186" t="s">
        <v>35</v>
      </c>
      <c r="AC186" t="s">
        <v>35</v>
      </c>
      <c r="AD186" t="s">
        <v>35</v>
      </c>
      <c r="AE186" t="s">
        <v>35</v>
      </c>
      <c r="AF186" t="s">
        <v>35</v>
      </c>
      <c r="AG186" t="s">
        <v>35</v>
      </c>
      <c r="AH186" t="s">
        <v>35</v>
      </c>
      <c r="AI186" t="s">
        <v>35</v>
      </c>
    </row>
    <row r="187" spans="1:35">
      <c r="A187" t="s">
        <v>261</v>
      </c>
      <c r="B187" s="2" t="s">
        <v>738</v>
      </c>
      <c r="C187" t="s">
        <v>728</v>
      </c>
      <c r="D187" t="s">
        <v>264</v>
      </c>
      <c r="E187" s="4" t="s">
        <v>742</v>
      </c>
      <c r="F187" t="s">
        <v>1855</v>
      </c>
      <c r="G187" t="s">
        <v>3</v>
      </c>
      <c r="H187" s="6">
        <v>32617</v>
      </c>
      <c r="I187" t="s">
        <v>4</v>
      </c>
      <c r="J187" t="s">
        <v>41</v>
      </c>
      <c r="K187" t="s">
        <v>1658</v>
      </c>
      <c r="L187" s="135">
        <v>0</v>
      </c>
      <c r="M187" s="135" t="s">
        <v>10059</v>
      </c>
      <c r="N187" s="135">
        <v>0</v>
      </c>
      <c r="O187" s="144">
        <v>0</v>
      </c>
      <c r="P187" s="135">
        <v>0</v>
      </c>
      <c r="Q187" s="144">
        <v>0</v>
      </c>
      <c r="R187" t="s">
        <v>9846</v>
      </c>
      <c r="S187" t="s">
        <v>7</v>
      </c>
      <c r="T187" t="s">
        <v>1460</v>
      </c>
      <c r="U187" t="s">
        <v>6</v>
      </c>
      <c r="V187" t="s">
        <v>35</v>
      </c>
      <c r="W187" t="s">
        <v>35</v>
      </c>
      <c r="X187" t="s">
        <v>35</v>
      </c>
      <c r="Y187" t="s">
        <v>35</v>
      </c>
      <c r="Z187" t="s">
        <v>35</v>
      </c>
      <c r="AA187" t="s">
        <v>35</v>
      </c>
      <c r="AB187" t="s">
        <v>35</v>
      </c>
      <c r="AC187" t="s">
        <v>35</v>
      </c>
      <c r="AD187" t="s">
        <v>35</v>
      </c>
      <c r="AE187" t="s">
        <v>35</v>
      </c>
      <c r="AF187" t="s">
        <v>35</v>
      </c>
      <c r="AG187" t="s">
        <v>35</v>
      </c>
      <c r="AH187" t="s">
        <v>35</v>
      </c>
      <c r="AI187" t="s">
        <v>35</v>
      </c>
    </row>
    <row r="188" spans="1:35">
      <c r="A188" t="s">
        <v>262</v>
      </c>
      <c r="B188" s="2" t="s">
        <v>39</v>
      </c>
      <c r="C188" t="s">
        <v>723</v>
      </c>
      <c r="D188" t="s">
        <v>264</v>
      </c>
      <c r="E188" s="4" t="s">
        <v>743</v>
      </c>
      <c r="F188" t="s">
        <v>1855</v>
      </c>
      <c r="G188" t="s">
        <v>3</v>
      </c>
      <c r="H188" s="6">
        <v>33937</v>
      </c>
      <c r="I188" t="s">
        <v>5</v>
      </c>
      <c r="J188" t="s">
        <v>48</v>
      </c>
      <c r="K188" t="s">
        <v>1660</v>
      </c>
      <c r="L188" s="135">
        <v>0</v>
      </c>
      <c r="M188" s="135" t="s">
        <v>1661</v>
      </c>
      <c r="N188" s="135">
        <v>0</v>
      </c>
      <c r="O188" s="144">
        <v>0</v>
      </c>
      <c r="P188" s="135">
        <v>0</v>
      </c>
      <c r="Q188" s="144">
        <v>0</v>
      </c>
      <c r="R188" t="s">
        <v>9843</v>
      </c>
      <c r="S188" t="s">
        <v>1088</v>
      </c>
      <c r="T188" t="s">
        <v>1173</v>
      </c>
      <c r="U188" t="s">
        <v>36</v>
      </c>
      <c r="V188" t="s">
        <v>9843</v>
      </c>
      <c r="W188" t="s">
        <v>1088</v>
      </c>
      <c r="X188" t="s">
        <v>1104</v>
      </c>
      <c r="Y188" t="s">
        <v>1080</v>
      </c>
      <c r="Z188" t="s">
        <v>1097</v>
      </c>
      <c r="AA188" t="s">
        <v>7</v>
      </c>
      <c r="AB188" t="s">
        <v>7</v>
      </c>
      <c r="AC188" s="117" t="s">
        <v>9872</v>
      </c>
      <c r="AD188" t="s">
        <v>1163</v>
      </c>
      <c r="AE188" t="s">
        <v>35</v>
      </c>
      <c r="AF188" t="s">
        <v>7</v>
      </c>
      <c r="AG188" t="s">
        <v>1163</v>
      </c>
      <c r="AH188" s="117" t="s">
        <v>35</v>
      </c>
      <c r="AI188" s="125" t="s">
        <v>1849</v>
      </c>
    </row>
    <row r="189" spans="1:35">
      <c r="A189" t="s">
        <v>263</v>
      </c>
      <c r="B189" s="2" t="s">
        <v>744</v>
      </c>
      <c r="C189" t="s">
        <v>728</v>
      </c>
      <c r="D189" t="s">
        <v>264</v>
      </c>
      <c r="E189" s="4" t="s">
        <v>745</v>
      </c>
      <c r="F189" t="s">
        <v>1855</v>
      </c>
      <c r="G189" t="s">
        <v>3</v>
      </c>
      <c r="H189" s="6">
        <v>31664</v>
      </c>
      <c r="I189" t="s">
        <v>4</v>
      </c>
      <c r="J189" t="s">
        <v>41</v>
      </c>
      <c r="K189" t="s">
        <v>1186</v>
      </c>
      <c r="L189" s="135">
        <v>0</v>
      </c>
      <c r="M189" s="135" t="s">
        <v>10060</v>
      </c>
      <c r="N189" s="135">
        <v>0</v>
      </c>
      <c r="O189" s="144">
        <v>0</v>
      </c>
      <c r="P189" s="135">
        <v>0</v>
      </c>
      <c r="Q189" s="144">
        <v>0</v>
      </c>
      <c r="R189" t="s">
        <v>9843</v>
      </c>
      <c r="S189" t="s">
        <v>7</v>
      </c>
      <c r="T189" t="s">
        <v>1599</v>
      </c>
      <c r="U189" t="s">
        <v>51</v>
      </c>
      <c r="V189" t="s">
        <v>52</v>
      </c>
      <c r="W189" t="s">
        <v>35</v>
      </c>
      <c r="X189" t="s">
        <v>35</v>
      </c>
      <c r="Y189" t="s">
        <v>35</v>
      </c>
      <c r="Z189" t="s">
        <v>35</v>
      </c>
      <c r="AA189" t="s">
        <v>35</v>
      </c>
      <c r="AB189" t="s">
        <v>35</v>
      </c>
      <c r="AC189" t="s">
        <v>35</v>
      </c>
      <c r="AD189" t="s">
        <v>35</v>
      </c>
      <c r="AE189" t="s">
        <v>7</v>
      </c>
      <c r="AF189" t="s">
        <v>35</v>
      </c>
      <c r="AG189" t="s">
        <v>35</v>
      </c>
      <c r="AH189" s="5" t="s">
        <v>35</v>
      </c>
      <c r="AI189" s="5" t="s">
        <v>35</v>
      </c>
    </row>
    <row r="190" spans="1:35">
      <c r="A190" t="s">
        <v>265</v>
      </c>
      <c r="B190" s="2" t="s">
        <v>699</v>
      </c>
      <c r="C190" t="s">
        <v>746</v>
      </c>
      <c r="D190" t="s">
        <v>277</v>
      </c>
      <c r="E190" s="4" t="s">
        <v>747</v>
      </c>
      <c r="F190" t="s">
        <v>1855</v>
      </c>
      <c r="G190" t="s">
        <v>3</v>
      </c>
      <c r="H190" s="6">
        <v>30958</v>
      </c>
      <c r="I190" t="s">
        <v>4</v>
      </c>
      <c r="J190" t="s">
        <v>41</v>
      </c>
      <c r="K190" t="s">
        <v>9826</v>
      </c>
      <c r="L190" s="135" t="s">
        <v>1382</v>
      </c>
      <c r="M190" s="135" t="s">
        <v>1381</v>
      </c>
      <c r="N190" s="135">
        <v>0</v>
      </c>
      <c r="O190" s="144">
        <v>0</v>
      </c>
      <c r="P190" s="135">
        <v>0</v>
      </c>
      <c r="Q190" s="144">
        <v>0</v>
      </c>
      <c r="R190" t="s">
        <v>9843</v>
      </c>
      <c r="S190" t="s">
        <v>7</v>
      </c>
      <c r="T190" t="s">
        <v>1137</v>
      </c>
      <c r="U190" t="s">
        <v>36</v>
      </c>
      <c r="V190" t="s">
        <v>9843</v>
      </c>
      <c r="W190" t="s">
        <v>35</v>
      </c>
      <c r="X190" t="s">
        <v>7</v>
      </c>
      <c r="Y190" t="s">
        <v>9</v>
      </c>
      <c r="Z190" t="s">
        <v>1097</v>
      </c>
      <c r="AA190" t="s">
        <v>7</v>
      </c>
      <c r="AB190" t="s">
        <v>7</v>
      </c>
      <c r="AC190" s="117" t="s">
        <v>9872</v>
      </c>
      <c r="AD190" t="s">
        <v>1100</v>
      </c>
      <c r="AE190" t="s">
        <v>35</v>
      </c>
      <c r="AF190" t="s">
        <v>35</v>
      </c>
      <c r="AG190" t="s">
        <v>1100</v>
      </c>
      <c r="AH190" s="117" t="s">
        <v>35</v>
      </c>
      <c r="AI190" s="125" t="s">
        <v>1849</v>
      </c>
    </row>
    <row r="191" spans="1:35">
      <c r="A191" t="s">
        <v>266</v>
      </c>
      <c r="B191" s="2" t="s">
        <v>748</v>
      </c>
      <c r="C191" t="s">
        <v>746</v>
      </c>
      <c r="D191" t="s">
        <v>277</v>
      </c>
      <c r="E191" s="4" t="s">
        <v>749</v>
      </c>
      <c r="F191" t="s">
        <v>1855</v>
      </c>
      <c r="G191" t="s">
        <v>3</v>
      </c>
      <c r="H191" s="6">
        <v>35590</v>
      </c>
      <c r="I191" t="s">
        <v>4</v>
      </c>
      <c r="J191" t="s">
        <v>48</v>
      </c>
      <c r="K191" t="s">
        <v>1383</v>
      </c>
      <c r="L191" s="135">
        <v>0</v>
      </c>
      <c r="M191" s="156" t="s">
        <v>10067</v>
      </c>
      <c r="N191" s="156">
        <v>0</v>
      </c>
      <c r="O191" s="144">
        <v>0</v>
      </c>
      <c r="P191" s="135">
        <v>0</v>
      </c>
      <c r="Q191" s="144">
        <v>0</v>
      </c>
      <c r="R191" t="s">
        <v>9846</v>
      </c>
      <c r="S191" t="s">
        <v>7</v>
      </c>
      <c r="T191" t="s">
        <v>1098</v>
      </c>
      <c r="U191" t="s">
        <v>78</v>
      </c>
      <c r="V191" t="s">
        <v>9843</v>
      </c>
      <c r="W191" t="s">
        <v>35</v>
      </c>
      <c r="X191" t="s">
        <v>7</v>
      </c>
      <c r="Y191" t="s">
        <v>9</v>
      </c>
      <c r="Z191" t="s">
        <v>7</v>
      </c>
      <c r="AA191" t="s">
        <v>7</v>
      </c>
      <c r="AB191" t="s">
        <v>7</v>
      </c>
      <c r="AC191" t="s">
        <v>9870</v>
      </c>
      <c r="AD191" t="s">
        <v>1384</v>
      </c>
      <c r="AE191" t="s">
        <v>35</v>
      </c>
      <c r="AF191" t="s">
        <v>35</v>
      </c>
      <c r="AG191" t="s">
        <v>1384</v>
      </c>
      <c r="AH191" s="117" t="s">
        <v>7</v>
      </c>
      <c r="AI191" s="125" t="s">
        <v>1849</v>
      </c>
    </row>
    <row r="192" spans="1:35">
      <c r="A192" t="s">
        <v>266</v>
      </c>
      <c r="B192" s="2" t="s">
        <v>748</v>
      </c>
      <c r="C192" t="s">
        <v>746</v>
      </c>
      <c r="D192" t="s">
        <v>277</v>
      </c>
      <c r="E192" s="4" t="s">
        <v>750</v>
      </c>
      <c r="F192" t="s">
        <v>1855</v>
      </c>
      <c r="G192" t="s">
        <v>3</v>
      </c>
      <c r="H192" s="6">
        <v>33050</v>
      </c>
      <c r="I192" t="s">
        <v>5</v>
      </c>
      <c r="J192" t="s">
        <v>48</v>
      </c>
      <c r="K192" t="s">
        <v>1186</v>
      </c>
      <c r="L192" s="135">
        <v>0</v>
      </c>
      <c r="M192" s="156" t="s">
        <v>10067</v>
      </c>
      <c r="N192" s="156" t="s">
        <v>10069</v>
      </c>
      <c r="O192" s="144">
        <v>0</v>
      </c>
      <c r="P192" s="135">
        <v>0</v>
      </c>
      <c r="Q192" s="144">
        <v>0</v>
      </c>
      <c r="R192" t="s">
        <v>9846</v>
      </c>
      <c r="S192" t="s">
        <v>7</v>
      </c>
      <c r="T192" t="s">
        <v>1098</v>
      </c>
      <c r="U192" t="s">
        <v>78</v>
      </c>
      <c r="V192" t="s">
        <v>9843</v>
      </c>
      <c r="W192" t="s">
        <v>35</v>
      </c>
      <c r="X192" t="s">
        <v>7</v>
      </c>
      <c r="Y192" t="s">
        <v>9</v>
      </c>
      <c r="Z192" t="s">
        <v>7</v>
      </c>
      <c r="AA192" t="s">
        <v>7</v>
      </c>
      <c r="AB192" t="s">
        <v>7</v>
      </c>
      <c r="AC192" t="s">
        <v>9870</v>
      </c>
      <c r="AD192" t="s">
        <v>1384</v>
      </c>
      <c r="AE192" t="s">
        <v>35</v>
      </c>
      <c r="AF192" t="s">
        <v>35</v>
      </c>
      <c r="AG192" t="s">
        <v>1384</v>
      </c>
      <c r="AH192" s="117" t="s">
        <v>7</v>
      </c>
      <c r="AI192" s="125" t="s">
        <v>1849</v>
      </c>
    </row>
    <row r="193" spans="1:35">
      <c r="A193" t="s">
        <v>266</v>
      </c>
      <c r="B193" s="2" t="s">
        <v>748</v>
      </c>
      <c r="C193" t="s">
        <v>746</v>
      </c>
      <c r="D193" t="s">
        <v>277</v>
      </c>
      <c r="E193" s="4" t="s">
        <v>751</v>
      </c>
      <c r="F193" t="s">
        <v>1855</v>
      </c>
      <c r="G193" t="s">
        <v>3</v>
      </c>
      <c r="H193" s="6">
        <v>33856</v>
      </c>
      <c r="I193" t="s">
        <v>5</v>
      </c>
      <c r="J193" t="s">
        <v>48</v>
      </c>
      <c r="K193" t="s">
        <v>1186</v>
      </c>
      <c r="L193" s="135">
        <v>0</v>
      </c>
      <c r="M193" s="156" t="s">
        <v>10068</v>
      </c>
      <c r="N193" s="156">
        <v>0</v>
      </c>
      <c r="O193" s="144">
        <v>0</v>
      </c>
      <c r="P193" s="135">
        <v>0</v>
      </c>
      <c r="Q193" s="144">
        <v>0</v>
      </c>
      <c r="R193" t="s">
        <v>9846</v>
      </c>
      <c r="S193" t="s">
        <v>7</v>
      </c>
      <c r="T193" t="s">
        <v>1098</v>
      </c>
      <c r="U193" t="s">
        <v>51</v>
      </c>
      <c r="V193" t="s">
        <v>52</v>
      </c>
      <c r="W193" t="s">
        <v>35</v>
      </c>
      <c r="X193" t="s">
        <v>35</v>
      </c>
      <c r="Y193" t="s">
        <v>35</v>
      </c>
      <c r="Z193" t="s">
        <v>35</v>
      </c>
      <c r="AA193" t="s">
        <v>35</v>
      </c>
      <c r="AB193" t="s">
        <v>35</v>
      </c>
      <c r="AC193" t="s">
        <v>35</v>
      </c>
      <c r="AD193" t="s">
        <v>35</v>
      </c>
      <c r="AE193" t="s">
        <v>7</v>
      </c>
      <c r="AF193" t="s">
        <v>35</v>
      </c>
      <c r="AG193" t="s">
        <v>35</v>
      </c>
      <c r="AH193" t="s">
        <v>35</v>
      </c>
      <c r="AI193" t="s">
        <v>35</v>
      </c>
    </row>
    <row r="194" spans="1:35">
      <c r="A194" t="s">
        <v>267</v>
      </c>
      <c r="B194" s="2" t="s">
        <v>752</v>
      </c>
      <c r="C194" t="s">
        <v>746</v>
      </c>
      <c r="D194" t="s">
        <v>277</v>
      </c>
      <c r="E194" s="4" t="s">
        <v>753</v>
      </c>
      <c r="F194" t="s">
        <v>1855</v>
      </c>
      <c r="G194" t="s">
        <v>3</v>
      </c>
      <c r="H194" s="6">
        <v>33719</v>
      </c>
      <c r="I194" t="s">
        <v>1093</v>
      </c>
      <c r="J194" t="s">
        <v>1101</v>
      </c>
      <c r="K194" t="s">
        <v>1385</v>
      </c>
      <c r="L194" s="135">
        <v>0</v>
      </c>
      <c r="M194" s="135">
        <v>0</v>
      </c>
      <c r="N194" s="135" t="s">
        <v>1386</v>
      </c>
      <c r="O194" s="144">
        <v>0</v>
      </c>
      <c r="P194" s="135">
        <v>0</v>
      </c>
      <c r="Q194" s="144">
        <v>0</v>
      </c>
      <c r="R194" t="s">
        <v>9843</v>
      </c>
      <c r="S194" t="s">
        <v>7</v>
      </c>
      <c r="T194" t="s">
        <v>1387</v>
      </c>
      <c r="U194" t="s">
        <v>36</v>
      </c>
      <c r="V194" t="s">
        <v>9843</v>
      </c>
      <c r="W194" t="s">
        <v>35</v>
      </c>
      <c r="X194" t="s">
        <v>7</v>
      </c>
      <c r="Y194" t="s">
        <v>9</v>
      </c>
      <c r="Z194" t="s">
        <v>1097</v>
      </c>
      <c r="AA194" t="s">
        <v>7</v>
      </c>
      <c r="AB194" t="s">
        <v>7</v>
      </c>
      <c r="AC194" s="117" t="s">
        <v>9872</v>
      </c>
      <c r="AD194" t="s">
        <v>1100</v>
      </c>
      <c r="AE194" t="s">
        <v>35</v>
      </c>
      <c r="AF194" t="s">
        <v>35</v>
      </c>
      <c r="AG194" t="s">
        <v>1100</v>
      </c>
      <c r="AH194" s="117" t="s">
        <v>35</v>
      </c>
      <c r="AI194" s="125" t="s">
        <v>1849</v>
      </c>
    </row>
    <row r="195" spans="1:35">
      <c r="A195" t="s">
        <v>268</v>
      </c>
      <c r="B195" s="2" t="s">
        <v>708</v>
      </c>
      <c r="C195" t="s">
        <v>754</v>
      </c>
      <c r="D195" t="s">
        <v>277</v>
      </c>
      <c r="E195" s="4" t="s">
        <v>755</v>
      </c>
      <c r="F195" t="s">
        <v>1855</v>
      </c>
      <c r="G195" t="s">
        <v>515</v>
      </c>
      <c r="H195" s="6">
        <v>31158</v>
      </c>
      <c r="I195" t="s">
        <v>5</v>
      </c>
      <c r="J195" t="s">
        <v>48</v>
      </c>
      <c r="K195" t="s">
        <v>1388</v>
      </c>
      <c r="L195" s="135" t="s">
        <v>1389</v>
      </c>
      <c r="M195" s="135" t="s">
        <v>1390</v>
      </c>
      <c r="N195" s="135">
        <v>0</v>
      </c>
      <c r="O195" s="144">
        <v>0</v>
      </c>
      <c r="P195" s="135">
        <v>0</v>
      </c>
      <c r="Q195" s="144">
        <v>0</v>
      </c>
      <c r="R195" t="s">
        <v>9843</v>
      </c>
      <c r="S195" t="s">
        <v>7</v>
      </c>
      <c r="T195" t="s">
        <v>1150</v>
      </c>
      <c r="U195" t="s">
        <v>36</v>
      </c>
      <c r="V195" t="s">
        <v>9843</v>
      </c>
      <c r="W195" t="s">
        <v>35</v>
      </c>
      <c r="X195" t="s">
        <v>7</v>
      </c>
      <c r="Y195" t="s">
        <v>9</v>
      </c>
      <c r="Z195" t="s">
        <v>7</v>
      </c>
      <c r="AA195" t="s">
        <v>7</v>
      </c>
      <c r="AB195" t="s">
        <v>1937</v>
      </c>
      <c r="AC195" t="s">
        <v>9871</v>
      </c>
      <c r="AD195" t="s">
        <v>1197</v>
      </c>
      <c r="AE195" t="s">
        <v>35</v>
      </c>
      <c r="AF195" t="s">
        <v>35</v>
      </c>
      <c r="AG195" t="s">
        <v>1197</v>
      </c>
      <c r="AH195" s="117" t="s">
        <v>7</v>
      </c>
      <c r="AI195" s="117" t="s">
        <v>1114</v>
      </c>
    </row>
    <row r="196" spans="1:35">
      <c r="A196" t="s">
        <v>269</v>
      </c>
      <c r="B196" s="2" t="s">
        <v>695</v>
      </c>
      <c r="C196" t="s">
        <v>746</v>
      </c>
      <c r="D196" t="s">
        <v>277</v>
      </c>
      <c r="E196" s="4" t="s">
        <v>756</v>
      </c>
      <c r="F196" t="s">
        <v>1855</v>
      </c>
      <c r="G196" t="s">
        <v>3</v>
      </c>
      <c r="H196" s="6">
        <v>29218</v>
      </c>
      <c r="I196" t="s">
        <v>5</v>
      </c>
      <c r="J196" t="s">
        <v>48</v>
      </c>
      <c r="K196" t="s">
        <v>1210</v>
      </c>
      <c r="L196" s="135">
        <v>0</v>
      </c>
      <c r="M196" s="135" t="s">
        <v>1391</v>
      </c>
      <c r="N196" s="135">
        <v>0</v>
      </c>
      <c r="O196" s="144">
        <v>0</v>
      </c>
      <c r="P196" s="135">
        <v>0</v>
      </c>
      <c r="Q196" s="144">
        <v>0</v>
      </c>
      <c r="R196" t="s">
        <v>9843</v>
      </c>
      <c r="S196" t="s">
        <v>7</v>
      </c>
      <c r="T196" t="s">
        <v>1392</v>
      </c>
      <c r="U196" t="s">
        <v>51</v>
      </c>
      <c r="V196" t="s">
        <v>52</v>
      </c>
      <c r="W196" t="s">
        <v>35</v>
      </c>
      <c r="X196" t="s">
        <v>35</v>
      </c>
      <c r="Y196" t="s">
        <v>35</v>
      </c>
      <c r="Z196" t="s">
        <v>35</v>
      </c>
      <c r="AA196" t="s">
        <v>35</v>
      </c>
      <c r="AB196" t="s">
        <v>35</v>
      </c>
      <c r="AC196" t="s">
        <v>35</v>
      </c>
      <c r="AD196" t="s">
        <v>35</v>
      </c>
      <c r="AE196" t="s">
        <v>7</v>
      </c>
      <c r="AF196" t="s">
        <v>35</v>
      </c>
      <c r="AG196" t="s">
        <v>35</v>
      </c>
      <c r="AH196" t="s">
        <v>35</v>
      </c>
      <c r="AI196" t="s">
        <v>35</v>
      </c>
    </row>
    <row r="197" spans="1:35">
      <c r="A197" t="s">
        <v>270</v>
      </c>
      <c r="B197" s="2" t="s">
        <v>757</v>
      </c>
      <c r="C197" t="s">
        <v>746</v>
      </c>
      <c r="D197" t="s">
        <v>277</v>
      </c>
      <c r="E197" s="4" t="s">
        <v>758</v>
      </c>
      <c r="F197" t="s">
        <v>1855</v>
      </c>
      <c r="G197" t="s">
        <v>3</v>
      </c>
      <c r="H197" s="6">
        <v>31401</v>
      </c>
      <c r="I197" t="s">
        <v>1093</v>
      </c>
      <c r="J197" t="s">
        <v>48</v>
      </c>
      <c r="K197" t="s">
        <v>1393</v>
      </c>
      <c r="L197" s="135" t="s">
        <v>1394</v>
      </c>
      <c r="M197" s="135">
        <v>0</v>
      </c>
      <c r="N197" s="135">
        <v>0</v>
      </c>
      <c r="O197" s="144">
        <v>0</v>
      </c>
      <c r="P197" s="135">
        <v>0</v>
      </c>
      <c r="Q197" s="144">
        <v>0</v>
      </c>
      <c r="R197" t="s">
        <v>9843</v>
      </c>
      <c r="S197" t="s">
        <v>7</v>
      </c>
      <c r="T197" t="s">
        <v>1395</v>
      </c>
      <c r="U197" t="s">
        <v>36</v>
      </c>
      <c r="V197" t="s">
        <v>9843</v>
      </c>
      <c r="W197" t="s">
        <v>35</v>
      </c>
      <c r="X197" t="s">
        <v>7</v>
      </c>
      <c r="Y197" t="s">
        <v>9</v>
      </c>
      <c r="Z197" t="s">
        <v>7</v>
      </c>
      <c r="AA197" t="s">
        <v>7</v>
      </c>
      <c r="AB197" t="s">
        <v>7</v>
      </c>
      <c r="AC197" t="s">
        <v>9870</v>
      </c>
      <c r="AD197" t="s">
        <v>1384</v>
      </c>
      <c r="AE197" t="s">
        <v>35</v>
      </c>
      <c r="AF197" t="s">
        <v>35</v>
      </c>
      <c r="AG197" t="s">
        <v>1384</v>
      </c>
      <c r="AH197" s="117" t="s">
        <v>7</v>
      </c>
      <c r="AI197" s="125" t="s">
        <v>1849</v>
      </c>
    </row>
    <row r="198" spans="1:35">
      <c r="A198" t="s">
        <v>271</v>
      </c>
      <c r="B198" s="2" t="s">
        <v>759</v>
      </c>
      <c r="C198" t="s">
        <v>746</v>
      </c>
      <c r="D198" t="s">
        <v>277</v>
      </c>
      <c r="E198" s="4" t="s">
        <v>760</v>
      </c>
      <c r="F198" t="s">
        <v>1855</v>
      </c>
      <c r="G198" t="s">
        <v>3</v>
      </c>
      <c r="H198" s="6">
        <v>35667</v>
      </c>
      <c r="I198" t="s">
        <v>5</v>
      </c>
      <c r="J198" t="s">
        <v>48</v>
      </c>
      <c r="K198" t="s">
        <v>1186</v>
      </c>
      <c r="L198" s="135">
        <v>0</v>
      </c>
      <c r="M198" s="135" t="s">
        <v>1396</v>
      </c>
      <c r="N198" s="135">
        <v>0</v>
      </c>
      <c r="O198" s="144">
        <v>0</v>
      </c>
      <c r="P198" s="135">
        <v>0</v>
      </c>
      <c r="Q198" s="144">
        <v>0</v>
      </c>
      <c r="R198" t="s">
        <v>9843</v>
      </c>
      <c r="S198" t="s">
        <v>7</v>
      </c>
      <c r="T198" t="s">
        <v>1397</v>
      </c>
      <c r="U198" t="s">
        <v>36</v>
      </c>
      <c r="V198" t="s">
        <v>9843</v>
      </c>
      <c r="W198" t="s">
        <v>35</v>
      </c>
      <c r="X198" t="s">
        <v>7</v>
      </c>
      <c r="Y198" t="s">
        <v>9</v>
      </c>
      <c r="Z198" t="s">
        <v>7</v>
      </c>
      <c r="AA198" t="s">
        <v>7</v>
      </c>
      <c r="AB198" t="s">
        <v>7</v>
      </c>
      <c r="AC198" t="s">
        <v>9870</v>
      </c>
      <c r="AD198" t="s">
        <v>1384</v>
      </c>
      <c r="AE198" t="s">
        <v>35</v>
      </c>
      <c r="AF198" t="s">
        <v>35</v>
      </c>
      <c r="AG198" t="s">
        <v>1384</v>
      </c>
      <c r="AH198" s="117" t="s">
        <v>7</v>
      </c>
      <c r="AI198" s="125" t="s">
        <v>1849</v>
      </c>
    </row>
    <row r="199" spans="1:35">
      <c r="A199" t="s">
        <v>272</v>
      </c>
      <c r="B199" s="2" t="s">
        <v>761</v>
      </c>
      <c r="C199" t="s">
        <v>754</v>
      </c>
      <c r="D199" t="s">
        <v>277</v>
      </c>
      <c r="E199" s="4" t="s">
        <v>762</v>
      </c>
      <c r="F199" s="134" t="s">
        <v>1864</v>
      </c>
      <c r="G199" t="s">
        <v>3</v>
      </c>
      <c r="H199" s="6">
        <v>32618</v>
      </c>
      <c r="I199" t="s">
        <v>4</v>
      </c>
      <c r="J199" t="s">
        <v>77</v>
      </c>
      <c r="K199" t="s">
        <v>1398</v>
      </c>
      <c r="L199" s="135">
        <v>0</v>
      </c>
      <c r="M199" s="135" t="s">
        <v>1400</v>
      </c>
      <c r="N199" s="135">
        <v>0</v>
      </c>
      <c r="O199" s="144">
        <v>0</v>
      </c>
      <c r="P199" s="135">
        <v>0</v>
      </c>
      <c r="Q199" s="144">
        <v>0</v>
      </c>
      <c r="R199" t="s">
        <v>9843</v>
      </c>
      <c r="S199" t="s">
        <v>7</v>
      </c>
      <c r="T199" t="s">
        <v>1082</v>
      </c>
      <c r="U199" t="s">
        <v>36</v>
      </c>
      <c r="V199" t="s">
        <v>9843</v>
      </c>
      <c r="W199" t="s">
        <v>35</v>
      </c>
      <c r="X199" t="s">
        <v>7</v>
      </c>
      <c r="Y199" t="s">
        <v>9</v>
      </c>
      <c r="Z199" t="s">
        <v>7</v>
      </c>
      <c r="AA199" t="s">
        <v>7</v>
      </c>
      <c r="AB199" t="s">
        <v>7</v>
      </c>
      <c r="AC199" s="117" t="s">
        <v>7</v>
      </c>
      <c r="AD199" t="s">
        <v>9</v>
      </c>
      <c r="AE199" t="s">
        <v>35</v>
      </c>
      <c r="AF199" t="s">
        <v>35</v>
      </c>
      <c r="AG199" t="s">
        <v>9</v>
      </c>
      <c r="AH199" s="117" t="s">
        <v>35</v>
      </c>
      <c r="AI199" s="125" t="s">
        <v>1849</v>
      </c>
    </row>
    <row r="200" spans="1:35">
      <c r="A200" t="s">
        <v>273</v>
      </c>
      <c r="B200" s="6">
        <v>42769</v>
      </c>
      <c r="C200" t="s">
        <v>754</v>
      </c>
      <c r="D200" t="s">
        <v>277</v>
      </c>
      <c r="E200" s="4" t="s">
        <v>763</v>
      </c>
      <c r="F200" t="s">
        <v>1855</v>
      </c>
      <c r="G200" t="s">
        <v>3</v>
      </c>
      <c r="H200" s="6">
        <v>31634</v>
      </c>
      <c r="I200" t="s">
        <v>5</v>
      </c>
      <c r="J200" t="s">
        <v>41</v>
      </c>
      <c r="K200" t="s">
        <v>1399</v>
      </c>
      <c r="L200" s="135" t="s">
        <v>1403</v>
      </c>
      <c r="M200" s="135" t="s">
        <v>1401</v>
      </c>
      <c r="N200" s="135" t="s">
        <v>1402</v>
      </c>
      <c r="O200" s="144">
        <v>0</v>
      </c>
      <c r="P200" s="135">
        <v>0</v>
      </c>
      <c r="Q200" s="144" t="s">
        <v>9828</v>
      </c>
      <c r="R200" t="s">
        <v>9843</v>
      </c>
      <c r="S200" t="s">
        <v>7</v>
      </c>
      <c r="T200" t="s">
        <v>1404</v>
      </c>
      <c r="U200" t="s">
        <v>36</v>
      </c>
      <c r="V200" t="s">
        <v>9843</v>
      </c>
      <c r="W200" t="s">
        <v>35</v>
      </c>
      <c r="X200" t="s">
        <v>7</v>
      </c>
      <c r="Y200" t="s">
        <v>9</v>
      </c>
      <c r="Z200" t="s">
        <v>1097</v>
      </c>
      <c r="AA200" s="117" t="s">
        <v>1111</v>
      </c>
      <c r="AB200" t="s">
        <v>7</v>
      </c>
      <c r="AC200" s="117" t="s">
        <v>7</v>
      </c>
      <c r="AD200" t="s">
        <v>1215</v>
      </c>
      <c r="AE200" t="s">
        <v>35</v>
      </c>
      <c r="AF200" t="s">
        <v>35</v>
      </c>
      <c r="AG200" t="s">
        <v>1215</v>
      </c>
      <c r="AH200" s="117" t="s">
        <v>35</v>
      </c>
      <c r="AI200" s="125" t="s">
        <v>1849</v>
      </c>
    </row>
    <row r="201" spans="1:35">
      <c r="A201" t="s">
        <v>274</v>
      </c>
      <c r="B201" s="2" t="s">
        <v>613</v>
      </c>
      <c r="C201" t="s">
        <v>746</v>
      </c>
      <c r="D201" t="s">
        <v>277</v>
      </c>
      <c r="E201" s="4" t="s">
        <v>764</v>
      </c>
      <c r="F201" t="s">
        <v>1855</v>
      </c>
      <c r="G201" t="s">
        <v>3</v>
      </c>
      <c r="H201" s="6">
        <v>32304</v>
      </c>
      <c r="I201" t="s">
        <v>5</v>
      </c>
      <c r="J201" t="s">
        <v>48</v>
      </c>
      <c r="K201" t="s">
        <v>1405</v>
      </c>
      <c r="L201" s="135" t="s">
        <v>1406</v>
      </c>
      <c r="M201" s="135" t="s">
        <v>1407</v>
      </c>
      <c r="N201" s="156">
        <v>0</v>
      </c>
      <c r="O201" s="144">
        <v>0</v>
      </c>
      <c r="P201" s="135">
        <v>0</v>
      </c>
      <c r="Q201" s="144">
        <v>0</v>
      </c>
      <c r="R201" t="s">
        <v>9843</v>
      </c>
      <c r="S201" t="s">
        <v>7</v>
      </c>
      <c r="T201" t="s">
        <v>1408</v>
      </c>
      <c r="U201" t="s">
        <v>36</v>
      </c>
      <c r="V201" t="s">
        <v>9843</v>
      </c>
      <c r="W201" t="s">
        <v>35</v>
      </c>
      <c r="X201" t="s">
        <v>7</v>
      </c>
      <c r="Y201" t="s">
        <v>9</v>
      </c>
      <c r="Z201" t="s">
        <v>7</v>
      </c>
      <c r="AA201" t="s">
        <v>7</v>
      </c>
      <c r="AB201" t="s">
        <v>1937</v>
      </c>
      <c r="AC201" t="s">
        <v>9870</v>
      </c>
      <c r="AD201" t="s">
        <v>1182</v>
      </c>
      <c r="AE201" t="s">
        <v>35</v>
      </c>
      <c r="AF201" t="s">
        <v>35</v>
      </c>
      <c r="AG201" t="s">
        <v>1182</v>
      </c>
      <c r="AH201" s="117" t="s">
        <v>7</v>
      </c>
      <c r="AI201" s="125" t="s">
        <v>1849</v>
      </c>
    </row>
    <row r="202" spans="1:35">
      <c r="A202" t="s">
        <v>275</v>
      </c>
      <c r="B202" s="2" t="s">
        <v>765</v>
      </c>
      <c r="C202" t="s">
        <v>746</v>
      </c>
      <c r="D202" t="s">
        <v>277</v>
      </c>
      <c r="E202" s="4" t="s">
        <v>766</v>
      </c>
      <c r="F202" t="s">
        <v>1855</v>
      </c>
      <c r="G202" t="s">
        <v>3</v>
      </c>
      <c r="H202" s="6">
        <v>35594</v>
      </c>
      <c r="I202" t="s">
        <v>4</v>
      </c>
      <c r="J202" t="s">
        <v>48</v>
      </c>
      <c r="K202" t="s">
        <v>9827</v>
      </c>
      <c r="L202" s="135">
        <v>0</v>
      </c>
      <c r="M202" s="135" t="s">
        <v>10061</v>
      </c>
      <c r="N202" s="135">
        <v>0</v>
      </c>
      <c r="O202" s="144">
        <v>0</v>
      </c>
      <c r="P202" s="135">
        <v>0</v>
      </c>
      <c r="Q202" s="144">
        <v>0</v>
      </c>
      <c r="R202" t="s">
        <v>9846</v>
      </c>
      <c r="S202" t="s">
        <v>7</v>
      </c>
      <c r="T202" t="s">
        <v>1276</v>
      </c>
      <c r="U202" t="s">
        <v>78</v>
      </c>
      <c r="V202" t="s">
        <v>9843</v>
      </c>
      <c r="W202" t="s">
        <v>35</v>
      </c>
      <c r="X202" t="s">
        <v>7</v>
      </c>
      <c r="Y202" t="s">
        <v>9</v>
      </c>
      <c r="Z202" t="s">
        <v>7</v>
      </c>
      <c r="AA202" t="s">
        <v>7</v>
      </c>
      <c r="AB202" t="s">
        <v>7</v>
      </c>
      <c r="AC202" t="s">
        <v>9870</v>
      </c>
      <c r="AD202" t="s">
        <v>10</v>
      </c>
      <c r="AE202" t="s">
        <v>35</v>
      </c>
      <c r="AF202" t="s">
        <v>35</v>
      </c>
      <c r="AG202" t="s">
        <v>10</v>
      </c>
      <c r="AH202" s="117" t="s">
        <v>7</v>
      </c>
      <c r="AI202" s="125" t="s">
        <v>1849</v>
      </c>
    </row>
    <row r="203" spans="1:35">
      <c r="A203" t="s">
        <v>275</v>
      </c>
      <c r="B203" s="2" t="s">
        <v>765</v>
      </c>
      <c r="C203" t="s">
        <v>746</v>
      </c>
      <c r="D203" t="s">
        <v>277</v>
      </c>
      <c r="E203" s="4" t="s">
        <v>767</v>
      </c>
      <c r="F203" t="s">
        <v>1855</v>
      </c>
      <c r="G203" t="s">
        <v>3</v>
      </c>
      <c r="H203" s="6">
        <v>36181</v>
      </c>
      <c r="I203" t="s">
        <v>4</v>
      </c>
      <c r="J203" t="s">
        <v>48</v>
      </c>
      <c r="K203" t="s">
        <v>9827</v>
      </c>
      <c r="L203" s="135">
        <v>0</v>
      </c>
      <c r="M203" s="135" t="s">
        <v>10061</v>
      </c>
      <c r="N203" s="135">
        <v>0</v>
      </c>
      <c r="O203" s="144">
        <v>0</v>
      </c>
      <c r="P203" s="135">
        <v>0</v>
      </c>
      <c r="Q203" s="144">
        <v>0</v>
      </c>
      <c r="R203" t="s">
        <v>9846</v>
      </c>
      <c r="S203" t="s">
        <v>7</v>
      </c>
      <c r="T203" t="s">
        <v>1276</v>
      </c>
      <c r="U203" t="s">
        <v>78</v>
      </c>
      <c r="V203" t="s">
        <v>9843</v>
      </c>
      <c r="W203" t="s">
        <v>35</v>
      </c>
      <c r="X203" t="s">
        <v>7</v>
      </c>
      <c r="Y203" t="s">
        <v>9</v>
      </c>
      <c r="Z203" t="s">
        <v>7</v>
      </c>
      <c r="AA203" t="s">
        <v>7</v>
      </c>
      <c r="AB203" t="s">
        <v>7</v>
      </c>
      <c r="AC203" t="s">
        <v>9870</v>
      </c>
      <c r="AD203" t="s">
        <v>10</v>
      </c>
      <c r="AE203" t="s">
        <v>35</v>
      </c>
      <c r="AF203" t="s">
        <v>35</v>
      </c>
      <c r="AG203" t="s">
        <v>10</v>
      </c>
      <c r="AH203" s="117" t="s">
        <v>7</v>
      </c>
      <c r="AI203" s="125" t="s">
        <v>1849</v>
      </c>
    </row>
    <row r="204" spans="1:35">
      <c r="A204" t="s">
        <v>276</v>
      </c>
      <c r="B204" s="2" t="s">
        <v>667</v>
      </c>
      <c r="C204" t="s">
        <v>746</v>
      </c>
      <c r="D204" t="s">
        <v>277</v>
      </c>
      <c r="E204" s="4" t="s">
        <v>768</v>
      </c>
      <c r="F204" t="s">
        <v>1855</v>
      </c>
      <c r="G204" t="s">
        <v>3</v>
      </c>
      <c r="H204" s="6">
        <v>32759</v>
      </c>
      <c r="I204" t="s">
        <v>4</v>
      </c>
      <c r="J204" t="s">
        <v>77</v>
      </c>
      <c r="K204" t="s">
        <v>1409</v>
      </c>
      <c r="L204" s="135">
        <v>0</v>
      </c>
      <c r="M204" s="135" t="s">
        <v>9950</v>
      </c>
      <c r="N204" s="135">
        <v>0</v>
      </c>
      <c r="O204" s="144">
        <v>0</v>
      </c>
      <c r="P204" s="135">
        <v>0</v>
      </c>
      <c r="Q204" s="144">
        <v>0</v>
      </c>
      <c r="R204" t="s">
        <v>9843</v>
      </c>
      <c r="S204" t="s">
        <v>7</v>
      </c>
      <c r="T204" t="s">
        <v>1410</v>
      </c>
      <c r="U204" t="s">
        <v>36</v>
      </c>
      <c r="V204" t="s">
        <v>9843</v>
      </c>
      <c r="W204" t="s">
        <v>35</v>
      </c>
      <c r="X204" t="s">
        <v>7</v>
      </c>
      <c r="Y204" t="s">
        <v>9</v>
      </c>
      <c r="Z204" t="s">
        <v>1097</v>
      </c>
      <c r="AA204" t="s">
        <v>7</v>
      </c>
      <c r="AB204" t="s">
        <v>7</v>
      </c>
      <c r="AC204" s="117" t="s">
        <v>9872</v>
      </c>
      <c r="AD204" t="s">
        <v>1100</v>
      </c>
      <c r="AE204" t="s">
        <v>35</v>
      </c>
      <c r="AF204" t="s">
        <v>35</v>
      </c>
      <c r="AG204" t="s">
        <v>1100</v>
      </c>
      <c r="AH204" s="117" t="s">
        <v>35</v>
      </c>
      <c r="AI204" s="125" t="s">
        <v>1849</v>
      </c>
    </row>
    <row r="205" spans="1:35">
      <c r="A205" s="125" t="s">
        <v>278</v>
      </c>
      <c r="B205" s="126">
        <v>43379</v>
      </c>
      <c r="C205" s="127" t="s">
        <v>2056</v>
      </c>
      <c r="D205" s="125" t="s">
        <v>291</v>
      </c>
      <c r="E205" s="127" t="s">
        <v>787</v>
      </c>
      <c r="F205" t="s">
        <v>1855</v>
      </c>
      <c r="G205" s="125" t="s">
        <v>3</v>
      </c>
      <c r="H205" s="126">
        <v>32681</v>
      </c>
      <c r="I205" s="125" t="s">
        <v>5</v>
      </c>
      <c r="J205" s="125" t="s">
        <v>1074</v>
      </c>
      <c r="K205" s="125" t="s">
        <v>2057</v>
      </c>
      <c r="L205" s="125" t="s">
        <v>2080</v>
      </c>
      <c r="M205" s="125">
        <v>0</v>
      </c>
      <c r="N205" s="125">
        <v>0</v>
      </c>
      <c r="O205" s="146">
        <v>0</v>
      </c>
      <c r="P205" s="125">
        <v>0</v>
      </c>
      <c r="Q205" s="146">
        <v>0</v>
      </c>
      <c r="R205" t="s">
        <v>9843</v>
      </c>
      <c r="S205" s="125" t="s">
        <v>7</v>
      </c>
      <c r="T205" s="125" t="s">
        <v>1212</v>
      </c>
      <c r="U205" s="125" t="s">
        <v>36</v>
      </c>
      <c r="V205" t="s">
        <v>9843</v>
      </c>
      <c r="W205" s="125" t="s">
        <v>35</v>
      </c>
      <c r="X205" s="125" t="s">
        <v>9860</v>
      </c>
      <c r="Y205" s="125" t="s">
        <v>1080</v>
      </c>
      <c r="Z205" s="125" t="s">
        <v>7</v>
      </c>
      <c r="AA205" s="125" t="s">
        <v>7</v>
      </c>
      <c r="AB205" s="125" t="s">
        <v>7</v>
      </c>
      <c r="AC205" s="117" t="s">
        <v>7</v>
      </c>
      <c r="AD205" s="125" t="s">
        <v>1080</v>
      </c>
      <c r="AE205" s="125" t="s">
        <v>35</v>
      </c>
      <c r="AF205" s="125" t="s">
        <v>35</v>
      </c>
      <c r="AG205" s="125" t="s">
        <v>1080</v>
      </c>
      <c r="AH205" s="117" t="s">
        <v>35</v>
      </c>
      <c r="AI205" s="125" t="s">
        <v>1849</v>
      </c>
    </row>
    <row r="206" spans="1:35">
      <c r="A206" s="125" t="s">
        <v>279</v>
      </c>
      <c r="B206" s="126">
        <v>42921</v>
      </c>
      <c r="C206" s="127" t="s">
        <v>788</v>
      </c>
      <c r="D206" s="125" t="s">
        <v>291</v>
      </c>
      <c r="E206" s="127" t="s">
        <v>2058</v>
      </c>
      <c r="F206" t="s">
        <v>1855</v>
      </c>
      <c r="G206" s="125" t="s">
        <v>515</v>
      </c>
      <c r="H206" s="126">
        <v>21778</v>
      </c>
      <c r="I206" s="125" t="s">
        <v>5</v>
      </c>
      <c r="J206" s="125" t="s">
        <v>1101</v>
      </c>
      <c r="K206" s="125" t="s">
        <v>1120</v>
      </c>
      <c r="L206" s="125">
        <v>0</v>
      </c>
      <c r="M206" s="125">
        <v>0</v>
      </c>
      <c r="N206" s="125" t="s">
        <v>2089</v>
      </c>
      <c r="O206" s="146">
        <v>0</v>
      </c>
      <c r="P206" s="125">
        <v>0</v>
      </c>
      <c r="Q206" s="146">
        <v>0</v>
      </c>
      <c r="R206" t="s">
        <v>9843</v>
      </c>
      <c r="S206" s="125" t="s">
        <v>7</v>
      </c>
      <c r="T206" s="125" t="s">
        <v>1106</v>
      </c>
      <c r="U206" s="125" t="s">
        <v>51</v>
      </c>
      <c r="V206" s="125" t="s">
        <v>52</v>
      </c>
      <c r="W206" s="123" t="s">
        <v>35</v>
      </c>
      <c r="X206" s="123" t="s">
        <v>35</v>
      </c>
      <c r="Y206" s="123" t="s">
        <v>35</v>
      </c>
      <c r="Z206" s="123" t="s">
        <v>35</v>
      </c>
      <c r="AA206" s="123" t="s">
        <v>35</v>
      </c>
      <c r="AB206" s="123" t="s">
        <v>35</v>
      </c>
      <c r="AC206" s="86" t="s">
        <v>35</v>
      </c>
      <c r="AD206" s="123" t="s">
        <v>35</v>
      </c>
      <c r="AE206" t="s">
        <v>7</v>
      </c>
      <c r="AF206" s="125" t="s">
        <v>35</v>
      </c>
      <c r="AG206" s="123" t="s">
        <v>35</v>
      </c>
      <c r="AH206" s="125" t="s">
        <v>35</v>
      </c>
      <c r="AI206" s="125" t="s">
        <v>35</v>
      </c>
    </row>
    <row r="207" spans="1:35">
      <c r="A207" s="125" t="s">
        <v>280</v>
      </c>
      <c r="B207" s="126">
        <v>42955</v>
      </c>
      <c r="C207" s="127" t="s">
        <v>2056</v>
      </c>
      <c r="D207" s="125" t="s">
        <v>291</v>
      </c>
      <c r="E207" s="127" t="s">
        <v>789</v>
      </c>
      <c r="F207" t="s">
        <v>1855</v>
      </c>
      <c r="G207" s="125" t="s">
        <v>3</v>
      </c>
      <c r="H207" s="126">
        <v>33715</v>
      </c>
      <c r="I207" s="125" t="s">
        <v>5</v>
      </c>
      <c r="J207" s="125" t="s">
        <v>1101</v>
      </c>
      <c r="K207" s="125" t="s">
        <v>2077</v>
      </c>
      <c r="L207" s="125" t="s">
        <v>2081</v>
      </c>
      <c r="M207" s="125">
        <v>0</v>
      </c>
      <c r="N207" s="125">
        <v>0</v>
      </c>
      <c r="O207" s="146">
        <v>0</v>
      </c>
      <c r="P207" s="125">
        <v>0</v>
      </c>
      <c r="Q207" s="146">
        <v>0</v>
      </c>
      <c r="R207" t="s">
        <v>9843</v>
      </c>
      <c r="S207" s="125" t="s">
        <v>1136</v>
      </c>
      <c r="T207" s="125" t="s">
        <v>2059</v>
      </c>
      <c r="U207" s="125" t="s">
        <v>36</v>
      </c>
      <c r="V207" t="s">
        <v>9843</v>
      </c>
      <c r="W207" s="125" t="s">
        <v>1136</v>
      </c>
      <c r="X207" s="123" t="s">
        <v>7</v>
      </c>
      <c r="Y207" s="125" t="s">
        <v>9</v>
      </c>
      <c r="Z207" s="125" t="s">
        <v>7</v>
      </c>
      <c r="AA207" s="125" t="s">
        <v>7</v>
      </c>
      <c r="AB207" s="125" t="s">
        <v>7</v>
      </c>
      <c r="AC207" s="117" t="s">
        <v>7</v>
      </c>
      <c r="AD207" s="125" t="s">
        <v>9</v>
      </c>
      <c r="AE207" s="125" t="s">
        <v>35</v>
      </c>
      <c r="AF207" s="132" t="s">
        <v>44</v>
      </c>
      <c r="AG207" s="125" t="s">
        <v>1163</v>
      </c>
      <c r="AH207" s="117" t="s">
        <v>35</v>
      </c>
      <c r="AI207" s="125" t="s">
        <v>1849</v>
      </c>
    </row>
    <row r="208" spans="1:35">
      <c r="A208" s="125" t="s">
        <v>280</v>
      </c>
      <c r="B208" s="126">
        <v>42955</v>
      </c>
      <c r="C208" s="127" t="s">
        <v>2056</v>
      </c>
      <c r="D208" s="125" t="s">
        <v>291</v>
      </c>
      <c r="E208" s="127" t="s">
        <v>2060</v>
      </c>
      <c r="F208" t="s">
        <v>1855</v>
      </c>
      <c r="G208" s="125" t="s">
        <v>3</v>
      </c>
      <c r="H208" s="126">
        <v>34376</v>
      </c>
      <c r="I208" s="125" t="s">
        <v>5</v>
      </c>
      <c r="J208" s="125" t="s">
        <v>1101</v>
      </c>
      <c r="K208" s="125" t="s">
        <v>2078</v>
      </c>
      <c r="L208" s="125" t="s">
        <v>2081</v>
      </c>
      <c r="M208" s="125">
        <v>0</v>
      </c>
      <c r="N208" s="125">
        <v>0</v>
      </c>
      <c r="O208" s="146">
        <v>0</v>
      </c>
      <c r="P208" s="125">
        <v>0</v>
      </c>
      <c r="Q208" s="146">
        <v>0</v>
      </c>
      <c r="R208" t="s">
        <v>9843</v>
      </c>
      <c r="S208" s="125" t="s">
        <v>1136</v>
      </c>
      <c r="T208" s="125" t="s">
        <v>2059</v>
      </c>
      <c r="U208" s="125" t="s">
        <v>36</v>
      </c>
      <c r="V208" t="s">
        <v>9843</v>
      </c>
      <c r="W208" s="125" t="s">
        <v>1136</v>
      </c>
      <c r="X208" s="123" t="s">
        <v>7</v>
      </c>
      <c r="Y208" s="125" t="s">
        <v>9</v>
      </c>
      <c r="Z208" t="s">
        <v>1097</v>
      </c>
      <c r="AA208" s="117" t="s">
        <v>1111</v>
      </c>
      <c r="AB208" s="125" t="s">
        <v>7</v>
      </c>
      <c r="AC208" s="117" t="s">
        <v>7</v>
      </c>
      <c r="AD208" s="125" t="s">
        <v>9</v>
      </c>
      <c r="AE208" s="125" t="s">
        <v>35</v>
      </c>
      <c r="AF208" s="132" t="s">
        <v>44</v>
      </c>
      <c r="AG208" s="125" t="s">
        <v>1163</v>
      </c>
      <c r="AH208" s="117" t="s">
        <v>35</v>
      </c>
      <c r="AI208" s="125" t="s">
        <v>1849</v>
      </c>
    </row>
    <row r="209" spans="1:35">
      <c r="A209" s="125" t="s">
        <v>280</v>
      </c>
      <c r="B209" s="126">
        <v>42955</v>
      </c>
      <c r="C209" s="127" t="s">
        <v>2056</v>
      </c>
      <c r="D209" s="125" t="s">
        <v>291</v>
      </c>
      <c r="E209" s="127" t="s">
        <v>2061</v>
      </c>
      <c r="F209" t="s">
        <v>1855</v>
      </c>
      <c r="G209" s="125" t="s">
        <v>515</v>
      </c>
      <c r="H209" s="126">
        <v>34076</v>
      </c>
      <c r="I209" s="125" t="s">
        <v>4</v>
      </c>
      <c r="J209" s="125" t="s">
        <v>41</v>
      </c>
      <c r="K209" s="125" t="s">
        <v>2062</v>
      </c>
      <c r="L209" s="125" t="s">
        <v>2081</v>
      </c>
      <c r="M209" s="125">
        <v>0</v>
      </c>
      <c r="N209" s="125">
        <v>0</v>
      </c>
      <c r="O209" s="146">
        <v>0</v>
      </c>
      <c r="P209" s="125">
        <v>0</v>
      </c>
      <c r="Q209" s="146">
        <v>0</v>
      </c>
      <c r="R209" t="s">
        <v>9843</v>
      </c>
      <c r="S209" s="125" t="s">
        <v>1136</v>
      </c>
      <c r="T209" s="125" t="s">
        <v>1132</v>
      </c>
      <c r="U209" s="125" t="s">
        <v>36</v>
      </c>
      <c r="V209" t="s">
        <v>9843</v>
      </c>
      <c r="W209" s="125" t="s">
        <v>1136</v>
      </c>
      <c r="X209" s="123" t="s">
        <v>7</v>
      </c>
      <c r="Y209" s="125" t="s">
        <v>9</v>
      </c>
      <c r="Z209" s="125" t="s">
        <v>7</v>
      </c>
      <c r="AA209" s="125" t="s">
        <v>7</v>
      </c>
      <c r="AB209" s="125" t="s">
        <v>7</v>
      </c>
      <c r="AC209" s="117" t="s">
        <v>7</v>
      </c>
      <c r="AD209" s="125" t="s">
        <v>9</v>
      </c>
      <c r="AE209" s="125" t="s">
        <v>35</v>
      </c>
      <c r="AF209" s="132" t="s">
        <v>44</v>
      </c>
      <c r="AG209" s="125" t="s">
        <v>1163</v>
      </c>
      <c r="AH209" s="117" t="s">
        <v>35</v>
      </c>
      <c r="AI209" s="125" t="s">
        <v>1849</v>
      </c>
    </row>
    <row r="210" spans="1:35">
      <c r="A210" s="125" t="s">
        <v>281</v>
      </c>
      <c r="B210" s="126">
        <v>42832</v>
      </c>
      <c r="C210" s="127" t="s">
        <v>2056</v>
      </c>
      <c r="D210" s="125" t="s">
        <v>291</v>
      </c>
      <c r="E210" s="127" t="s">
        <v>790</v>
      </c>
      <c r="F210" t="s">
        <v>1855</v>
      </c>
      <c r="G210" s="125" t="s">
        <v>3</v>
      </c>
      <c r="H210" s="126">
        <v>31672</v>
      </c>
      <c r="I210" s="125" t="s">
        <v>5</v>
      </c>
      <c r="J210" s="125" t="s">
        <v>48</v>
      </c>
      <c r="K210" s="125" t="s">
        <v>2063</v>
      </c>
      <c r="L210" s="125" t="s">
        <v>9951</v>
      </c>
      <c r="M210" s="125" t="s">
        <v>9952</v>
      </c>
      <c r="N210" s="125" t="s">
        <v>9953</v>
      </c>
      <c r="O210" s="146">
        <v>0</v>
      </c>
      <c r="P210" s="125">
        <v>0</v>
      </c>
      <c r="Q210" s="146">
        <v>0</v>
      </c>
      <c r="R210" t="s">
        <v>9843</v>
      </c>
      <c r="S210" s="125" t="s">
        <v>7</v>
      </c>
      <c r="T210" s="125" t="s">
        <v>2091</v>
      </c>
      <c r="U210" s="125" t="s">
        <v>36</v>
      </c>
      <c r="V210" t="s">
        <v>9843</v>
      </c>
      <c r="W210" s="125" t="s">
        <v>35</v>
      </c>
      <c r="X210" t="s">
        <v>1079</v>
      </c>
      <c r="Y210" s="125" t="s">
        <v>1080</v>
      </c>
      <c r="Z210" t="s">
        <v>1097</v>
      </c>
      <c r="AA210" s="125" t="s">
        <v>7</v>
      </c>
      <c r="AB210" s="125" t="s">
        <v>7</v>
      </c>
      <c r="AC210" s="117" t="s">
        <v>7</v>
      </c>
      <c r="AD210" s="125" t="s">
        <v>1163</v>
      </c>
      <c r="AE210" s="125" t="s">
        <v>35</v>
      </c>
      <c r="AF210" s="125" t="s">
        <v>35</v>
      </c>
      <c r="AG210" s="125" t="s">
        <v>1163</v>
      </c>
      <c r="AH210" s="117" t="s">
        <v>35</v>
      </c>
      <c r="AI210" s="125" t="s">
        <v>1849</v>
      </c>
    </row>
    <row r="211" spans="1:35">
      <c r="A211" s="125" t="s">
        <v>282</v>
      </c>
      <c r="B211" s="129">
        <v>43061</v>
      </c>
      <c r="C211" s="127" t="s">
        <v>791</v>
      </c>
      <c r="D211" s="125" t="s">
        <v>291</v>
      </c>
      <c r="E211" s="127" t="s">
        <v>792</v>
      </c>
      <c r="F211" t="s">
        <v>1855</v>
      </c>
      <c r="G211" s="125" t="s">
        <v>3</v>
      </c>
      <c r="H211" s="126">
        <v>35577</v>
      </c>
      <c r="I211" s="125" t="s">
        <v>5</v>
      </c>
      <c r="J211" s="125" t="s">
        <v>1101</v>
      </c>
      <c r="K211" s="125" t="s">
        <v>2064</v>
      </c>
      <c r="L211" s="125" t="s">
        <v>2082</v>
      </c>
      <c r="M211" s="125">
        <v>0</v>
      </c>
      <c r="N211" s="125">
        <v>0</v>
      </c>
      <c r="O211" s="146">
        <v>0</v>
      </c>
      <c r="P211" s="125">
        <v>0</v>
      </c>
      <c r="Q211" s="146">
        <v>0</v>
      </c>
      <c r="R211" t="s">
        <v>9843</v>
      </c>
      <c r="S211" s="125" t="s">
        <v>7</v>
      </c>
      <c r="T211" s="125" t="s">
        <v>2092</v>
      </c>
      <c r="U211" s="125" t="s">
        <v>36</v>
      </c>
      <c r="V211" t="s">
        <v>9843</v>
      </c>
      <c r="W211" s="125" t="s">
        <v>35</v>
      </c>
      <c r="X211" s="125" t="s">
        <v>1104</v>
      </c>
      <c r="Y211" s="125" t="s">
        <v>1164</v>
      </c>
      <c r="Z211" s="125" t="s">
        <v>7</v>
      </c>
      <c r="AA211" s="132" t="s">
        <v>1677</v>
      </c>
      <c r="AB211" s="125" t="s">
        <v>7</v>
      </c>
      <c r="AC211" s="117" t="s">
        <v>7</v>
      </c>
      <c r="AD211" s="132" t="s">
        <v>9</v>
      </c>
      <c r="AE211" s="125" t="s">
        <v>35</v>
      </c>
      <c r="AF211" s="125" t="s">
        <v>35</v>
      </c>
      <c r="AG211" s="132" t="s">
        <v>9</v>
      </c>
      <c r="AH211" s="117" t="s">
        <v>35</v>
      </c>
      <c r="AI211" s="125" t="s">
        <v>1849</v>
      </c>
    </row>
    <row r="212" spans="1:35">
      <c r="A212" s="125" t="s">
        <v>283</v>
      </c>
      <c r="B212" s="126">
        <v>42979</v>
      </c>
      <c r="C212" s="127" t="s">
        <v>477</v>
      </c>
      <c r="D212" s="125" t="s">
        <v>291</v>
      </c>
      <c r="E212" s="127" t="s">
        <v>793</v>
      </c>
      <c r="F212" t="s">
        <v>1855</v>
      </c>
      <c r="G212" s="125" t="s">
        <v>3</v>
      </c>
      <c r="H212" s="129">
        <v>32870</v>
      </c>
      <c r="I212" s="125" t="s">
        <v>1093</v>
      </c>
      <c r="J212" s="125" t="s">
        <v>48</v>
      </c>
      <c r="K212" s="125" t="s">
        <v>2065</v>
      </c>
      <c r="L212" s="151" t="s">
        <v>2083</v>
      </c>
      <c r="M212" s="151" t="s">
        <v>2086</v>
      </c>
      <c r="N212" s="151">
        <v>0</v>
      </c>
      <c r="O212" s="148">
        <v>0</v>
      </c>
      <c r="P212" s="151">
        <v>0</v>
      </c>
      <c r="Q212" s="148">
        <v>0</v>
      </c>
      <c r="R212" t="s">
        <v>9843</v>
      </c>
      <c r="S212" s="125" t="s">
        <v>7</v>
      </c>
      <c r="T212" s="125" t="s">
        <v>1212</v>
      </c>
      <c r="U212" s="125" t="s">
        <v>36</v>
      </c>
      <c r="V212" t="s">
        <v>9843</v>
      </c>
      <c r="W212" s="125" t="s">
        <v>35</v>
      </c>
      <c r="X212" s="125" t="s">
        <v>7</v>
      </c>
      <c r="Y212" s="125" t="s">
        <v>9</v>
      </c>
      <c r="Z212" t="s">
        <v>1097</v>
      </c>
      <c r="AA212" s="125" t="s">
        <v>7</v>
      </c>
      <c r="AB212" s="125" t="s">
        <v>7</v>
      </c>
      <c r="AC212" s="117" t="s">
        <v>9872</v>
      </c>
      <c r="AD212" s="125" t="s">
        <v>1164</v>
      </c>
      <c r="AE212" s="125" t="s">
        <v>35</v>
      </c>
      <c r="AF212" s="125" t="s">
        <v>35</v>
      </c>
      <c r="AG212" s="125" t="s">
        <v>1164</v>
      </c>
      <c r="AH212" s="117" t="s">
        <v>35</v>
      </c>
      <c r="AI212" s="125" t="s">
        <v>1849</v>
      </c>
    </row>
    <row r="213" spans="1:35">
      <c r="A213" s="125" t="s">
        <v>284</v>
      </c>
      <c r="B213" s="126">
        <v>43003</v>
      </c>
      <c r="C213" s="127" t="s">
        <v>788</v>
      </c>
      <c r="D213" s="125" t="s">
        <v>291</v>
      </c>
      <c r="E213" s="127" t="s">
        <v>794</v>
      </c>
      <c r="F213" t="s">
        <v>1855</v>
      </c>
      <c r="G213" s="125" t="s">
        <v>3</v>
      </c>
      <c r="H213" s="126">
        <v>36166</v>
      </c>
      <c r="I213" s="125" t="s">
        <v>1093</v>
      </c>
      <c r="J213" s="125" t="s">
        <v>48</v>
      </c>
      <c r="K213" s="125" t="s">
        <v>1070</v>
      </c>
      <c r="L213" s="154" t="s">
        <v>9958</v>
      </c>
      <c r="M213" s="154" t="s">
        <v>9959</v>
      </c>
      <c r="N213" s="154" t="s">
        <v>9960</v>
      </c>
      <c r="O213" s="148">
        <v>0</v>
      </c>
      <c r="P213" s="151">
        <v>0</v>
      </c>
      <c r="Q213" s="149" t="s">
        <v>9961</v>
      </c>
      <c r="R213" t="s">
        <v>9843</v>
      </c>
      <c r="S213" s="125" t="s">
        <v>7</v>
      </c>
      <c r="T213" s="125" t="s">
        <v>1333</v>
      </c>
      <c r="U213" s="125" t="s">
        <v>36</v>
      </c>
      <c r="V213" t="s">
        <v>9843</v>
      </c>
      <c r="W213" s="125" t="s">
        <v>35</v>
      </c>
      <c r="X213" s="125" t="s">
        <v>7</v>
      </c>
      <c r="Y213" s="125" t="s">
        <v>9</v>
      </c>
      <c r="Z213" s="125" t="s">
        <v>7</v>
      </c>
      <c r="AA213" s="125" t="s">
        <v>7</v>
      </c>
      <c r="AB213" s="125" t="s">
        <v>7</v>
      </c>
      <c r="AC213" t="s">
        <v>9871</v>
      </c>
      <c r="AD213" s="125" t="s">
        <v>1185</v>
      </c>
      <c r="AE213" s="125" t="s">
        <v>35</v>
      </c>
      <c r="AF213" s="125" t="s">
        <v>35</v>
      </c>
      <c r="AG213" s="125" t="s">
        <v>1185</v>
      </c>
      <c r="AH213" s="117" t="s">
        <v>7</v>
      </c>
      <c r="AI213" s="125" t="s">
        <v>1849</v>
      </c>
    </row>
    <row r="214" spans="1:35">
      <c r="A214" s="125" t="s">
        <v>286</v>
      </c>
      <c r="B214" s="126">
        <v>42975</v>
      </c>
      <c r="C214" s="127" t="s">
        <v>2056</v>
      </c>
      <c r="D214" s="125" t="s">
        <v>291</v>
      </c>
      <c r="E214" s="127" t="s">
        <v>2066</v>
      </c>
      <c r="F214" t="s">
        <v>1855</v>
      </c>
      <c r="G214" s="125" t="s">
        <v>3</v>
      </c>
      <c r="H214" s="126">
        <v>35986</v>
      </c>
      <c r="I214" s="132" t="s">
        <v>5</v>
      </c>
      <c r="J214" s="125" t="s">
        <v>48</v>
      </c>
      <c r="K214" s="125" t="s">
        <v>1186</v>
      </c>
      <c r="L214" s="151" t="s">
        <v>2084</v>
      </c>
      <c r="M214" s="151" t="s">
        <v>2087</v>
      </c>
      <c r="N214" s="151" t="s">
        <v>2090</v>
      </c>
      <c r="O214" s="148">
        <v>0</v>
      </c>
      <c r="P214" s="151">
        <v>0</v>
      </c>
      <c r="Q214" s="148">
        <v>0</v>
      </c>
      <c r="R214" t="s">
        <v>9843</v>
      </c>
      <c r="S214" s="125" t="s">
        <v>7</v>
      </c>
      <c r="T214" s="125" t="s">
        <v>2067</v>
      </c>
      <c r="U214" s="125" t="s">
        <v>36</v>
      </c>
      <c r="V214" t="s">
        <v>9843</v>
      </c>
      <c r="W214" s="125" t="s">
        <v>35</v>
      </c>
      <c r="X214" s="125" t="s">
        <v>9794</v>
      </c>
      <c r="Y214" s="125" t="s">
        <v>1080</v>
      </c>
      <c r="Z214" s="125" t="s">
        <v>7</v>
      </c>
      <c r="AA214" t="s">
        <v>1244</v>
      </c>
      <c r="AB214" s="125" t="s">
        <v>7</v>
      </c>
      <c r="AC214" s="117" t="s">
        <v>7</v>
      </c>
      <c r="AD214" s="125" t="s">
        <v>9</v>
      </c>
      <c r="AE214" s="125" t="s">
        <v>35</v>
      </c>
      <c r="AF214" s="125" t="s">
        <v>35</v>
      </c>
      <c r="AG214" s="125" t="s">
        <v>9</v>
      </c>
      <c r="AH214" s="117" t="s">
        <v>35</v>
      </c>
      <c r="AI214" s="125" t="s">
        <v>1849</v>
      </c>
    </row>
    <row r="215" spans="1:35">
      <c r="A215" s="125" t="s">
        <v>287</v>
      </c>
      <c r="B215" s="126">
        <v>42972</v>
      </c>
      <c r="C215" s="127" t="s">
        <v>2068</v>
      </c>
      <c r="D215" s="125" t="s">
        <v>291</v>
      </c>
      <c r="E215" s="127" t="s">
        <v>2069</v>
      </c>
      <c r="F215" t="s">
        <v>1855</v>
      </c>
      <c r="G215" s="125" t="s">
        <v>3</v>
      </c>
      <c r="H215" s="126">
        <v>29463</v>
      </c>
      <c r="I215" s="125" t="s">
        <v>5</v>
      </c>
      <c r="J215" s="125" t="s">
        <v>1101</v>
      </c>
      <c r="K215" s="125" t="s">
        <v>2070</v>
      </c>
      <c r="L215" s="151" t="s">
        <v>2085</v>
      </c>
      <c r="M215" s="151" t="s">
        <v>2088</v>
      </c>
      <c r="N215" s="154" t="s">
        <v>9962</v>
      </c>
      <c r="O215" s="148">
        <v>0</v>
      </c>
      <c r="P215" s="151">
        <v>0</v>
      </c>
      <c r="Q215" s="148">
        <v>0</v>
      </c>
      <c r="R215" t="s">
        <v>9843</v>
      </c>
      <c r="S215" s="125" t="s">
        <v>7</v>
      </c>
      <c r="T215" s="125" t="s">
        <v>1387</v>
      </c>
      <c r="U215" s="125" t="s">
        <v>36</v>
      </c>
      <c r="V215" t="s">
        <v>9843</v>
      </c>
      <c r="W215" s="125" t="s">
        <v>35</v>
      </c>
      <c r="X215" s="125" t="s">
        <v>7</v>
      </c>
      <c r="Y215" s="125" t="s">
        <v>9</v>
      </c>
      <c r="Z215" s="125" t="s">
        <v>7</v>
      </c>
      <c r="AA215" s="125" t="s">
        <v>7</v>
      </c>
      <c r="AB215" s="125" t="s">
        <v>7</v>
      </c>
      <c r="AC215" t="s">
        <v>9871</v>
      </c>
      <c r="AD215" s="125" t="s">
        <v>1162</v>
      </c>
      <c r="AE215" s="125" t="s">
        <v>35</v>
      </c>
      <c r="AF215" s="125" t="s">
        <v>35</v>
      </c>
      <c r="AG215" s="125" t="s">
        <v>1162</v>
      </c>
      <c r="AH215" s="117" t="s">
        <v>7</v>
      </c>
      <c r="AI215" s="125" t="s">
        <v>1849</v>
      </c>
    </row>
    <row r="216" spans="1:35">
      <c r="A216" s="125" t="s">
        <v>288</v>
      </c>
      <c r="B216" s="126">
        <v>42888</v>
      </c>
      <c r="C216" s="127" t="s">
        <v>788</v>
      </c>
      <c r="D216" s="125" t="s">
        <v>291</v>
      </c>
      <c r="E216" s="127" t="s">
        <v>2071</v>
      </c>
      <c r="F216" t="s">
        <v>1855</v>
      </c>
      <c r="G216" s="125" t="s">
        <v>3</v>
      </c>
      <c r="H216" s="126">
        <v>35604</v>
      </c>
      <c r="I216" s="125" t="s">
        <v>1093</v>
      </c>
      <c r="J216" s="125" t="s">
        <v>48</v>
      </c>
      <c r="K216" s="125" t="s">
        <v>1231</v>
      </c>
      <c r="L216" s="154" t="s">
        <v>9963</v>
      </c>
      <c r="M216" s="151">
        <v>0</v>
      </c>
      <c r="N216" s="151">
        <v>0</v>
      </c>
      <c r="O216" s="148">
        <v>0</v>
      </c>
      <c r="P216" s="151">
        <v>0</v>
      </c>
      <c r="Q216" s="148">
        <v>0</v>
      </c>
      <c r="R216" t="s">
        <v>9843</v>
      </c>
      <c r="S216" s="125" t="s">
        <v>7</v>
      </c>
      <c r="T216" s="125" t="s">
        <v>2072</v>
      </c>
      <c r="U216" s="125" t="s">
        <v>36</v>
      </c>
      <c r="V216" t="s">
        <v>9843</v>
      </c>
      <c r="W216" s="125" t="s">
        <v>35</v>
      </c>
      <c r="X216" s="125" t="s">
        <v>7</v>
      </c>
      <c r="Y216" s="125" t="s">
        <v>9</v>
      </c>
      <c r="Z216" s="125" t="s">
        <v>7</v>
      </c>
      <c r="AA216" s="125" t="s">
        <v>7</v>
      </c>
      <c r="AB216" s="125" t="s">
        <v>7</v>
      </c>
      <c r="AC216" t="s">
        <v>9870</v>
      </c>
      <c r="AD216" t="s">
        <v>10</v>
      </c>
      <c r="AE216" s="125" t="s">
        <v>35</v>
      </c>
      <c r="AF216" s="125" t="s">
        <v>35</v>
      </c>
      <c r="AG216" t="s">
        <v>10</v>
      </c>
      <c r="AH216" t="s">
        <v>9851</v>
      </c>
      <c r="AI216" s="117" t="s">
        <v>35</v>
      </c>
    </row>
    <row r="217" spans="1:35">
      <c r="A217" s="125" t="s">
        <v>289</v>
      </c>
      <c r="B217" s="126">
        <v>42957</v>
      </c>
      <c r="C217" s="127" t="s">
        <v>788</v>
      </c>
      <c r="D217" s="125" t="s">
        <v>291</v>
      </c>
      <c r="E217" s="127" t="s">
        <v>799</v>
      </c>
      <c r="F217" t="s">
        <v>1855</v>
      </c>
      <c r="G217" s="125" t="s">
        <v>3</v>
      </c>
      <c r="H217" s="126">
        <v>29867</v>
      </c>
      <c r="I217" s="125" t="s">
        <v>5</v>
      </c>
      <c r="J217" s="125" t="s">
        <v>48</v>
      </c>
      <c r="K217" s="125" t="s">
        <v>2073</v>
      </c>
      <c r="L217" s="154" t="s">
        <v>9964</v>
      </c>
      <c r="M217" s="154" t="s">
        <v>9965</v>
      </c>
      <c r="N217" s="151">
        <v>0</v>
      </c>
      <c r="O217" s="148">
        <v>0</v>
      </c>
      <c r="P217" s="151">
        <v>0</v>
      </c>
      <c r="Q217" s="148">
        <v>0</v>
      </c>
      <c r="R217" t="s">
        <v>9843</v>
      </c>
      <c r="S217" s="125" t="s">
        <v>7</v>
      </c>
      <c r="T217" s="125" t="s">
        <v>1137</v>
      </c>
      <c r="U217" s="125" t="s">
        <v>36</v>
      </c>
      <c r="V217" t="s">
        <v>9843</v>
      </c>
      <c r="W217" s="125" t="s">
        <v>35</v>
      </c>
      <c r="X217" s="125" t="s">
        <v>1854</v>
      </c>
      <c r="Y217" s="125" t="s">
        <v>1100</v>
      </c>
      <c r="Z217" t="s">
        <v>1097</v>
      </c>
      <c r="AA217" s="125" t="s">
        <v>7</v>
      </c>
      <c r="AB217" s="125" t="s">
        <v>7</v>
      </c>
      <c r="AC217" s="117" t="s">
        <v>9872</v>
      </c>
      <c r="AD217" s="132" t="s">
        <v>1163</v>
      </c>
      <c r="AE217" s="125" t="s">
        <v>35</v>
      </c>
      <c r="AF217" s="125" t="s">
        <v>35</v>
      </c>
      <c r="AG217" s="132" t="s">
        <v>1163</v>
      </c>
      <c r="AH217" s="117" t="s">
        <v>35</v>
      </c>
      <c r="AI217" s="125" t="s">
        <v>1849</v>
      </c>
    </row>
    <row r="218" spans="1:35">
      <c r="A218" s="125" t="s">
        <v>290</v>
      </c>
      <c r="B218" s="126">
        <v>43034</v>
      </c>
      <c r="C218" s="127" t="s">
        <v>2056</v>
      </c>
      <c r="D218" s="125" t="s">
        <v>291</v>
      </c>
      <c r="E218" s="127" t="s">
        <v>800</v>
      </c>
      <c r="F218" t="s">
        <v>1855</v>
      </c>
      <c r="G218" s="125" t="s">
        <v>3</v>
      </c>
      <c r="H218" s="126">
        <v>34366</v>
      </c>
      <c r="I218" s="125" t="s">
        <v>4</v>
      </c>
      <c r="J218" s="125" t="s">
        <v>48</v>
      </c>
      <c r="K218" s="125" t="s">
        <v>2079</v>
      </c>
      <c r="L218" s="154" t="s">
        <v>9966</v>
      </c>
      <c r="M218" s="154" t="s">
        <v>9967</v>
      </c>
      <c r="N218" s="155" t="s">
        <v>9960</v>
      </c>
      <c r="O218" s="148">
        <v>0</v>
      </c>
      <c r="P218" s="151">
        <v>0</v>
      </c>
      <c r="Q218" s="148">
        <v>0</v>
      </c>
      <c r="R218" t="s">
        <v>9843</v>
      </c>
      <c r="S218" s="125" t="s">
        <v>7</v>
      </c>
      <c r="T218" s="125" t="s">
        <v>1333</v>
      </c>
      <c r="U218" s="125" t="s">
        <v>36</v>
      </c>
      <c r="V218" t="s">
        <v>9843</v>
      </c>
      <c r="W218" s="125" t="s">
        <v>35</v>
      </c>
      <c r="X218" t="s">
        <v>1079</v>
      </c>
      <c r="Y218" s="125" t="s">
        <v>1080</v>
      </c>
      <c r="Z218" t="s">
        <v>1097</v>
      </c>
      <c r="AA218" s="117" t="s">
        <v>1111</v>
      </c>
      <c r="AB218" s="125" t="s">
        <v>7</v>
      </c>
      <c r="AC218" s="117" t="s">
        <v>7</v>
      </c>
      <c r="AD218" s="132" t="s">
        <v>1100</v>
      </c>
      <c r="AE218" s="125" t="s">
        <v>35</v>
      </c>
      <c r="AF218" s="125" t="s">
        <v>35</v>
      </c>
      <c r="AG218" s="132" t="s">
        <v>1100</v>
      </c>
      <c r="AH218" s="117" t="s">
        <v>35</v>
      </c>
      <c r="AI218" s="125" t="s">
        <v>1849</v>
      </c>
    </row>
    <row r="219" spans="1:35">
      <c r="A219" s="125" t="s">
        <v>2074</v>
      </c>
      <c r="B219" s="126">
        <v>42776</v>
      </c>
      <c r="C219" s="127" t="s">
        <v>2056</v>
      </c>
      <c r="D219" s="125" t="s">
        <v>291</v>
      </c>
      <c r="E219" s="127" t="s">
        <v>2075</v>
      </c>
      <c r="F219" t="s">
        <v>1855</v>
      </c>
      <c r="G219" s="125" t="s">
        <v>3</v>
      </c>
      <c r="H219" s="126">
        <v>31796</v>
      </c>
      <c r="I219" s="125" t="s">
        <v>5</v>
      </c>
      <c r="J219" s="125" t="s">
        <v>48</v>
      </c>
      <c r="K219" s="125" t="s">
        <v>2076</v>
      </c>
      <c r="L219" s="151">
        <v>0</v>
      </c>
      <c r="M219" s="151">
        <v>0</v>
      </c>
      <c r="N219" s="151"/>
      <c r="O219" s="149" t="s">
        <v>9968</v>
      </c>
      <c r="P219" s="151">
        <v>0</v>
      </c>
      <c r="Q219" s="148">
        <v>0</v>
      </c>
      <c r="R219" t="s">
        <v>9843</v>
      </c>
      <c r="S219" s="125" t="s">
        <v>7</v>
      </c>
      <c r="T219" s="125" t="s">
        <v>2072</v>
      </c>
      <c r="U219" s="125" t="s">
        <v>36</v>
      </c>
      <c r="V219" t="s">
        <v>9843</v>
      </c>
      <c r="W219" s="125" t="s">
        <v>35</v>
      </c>
      <c r="X219" s="132" t="s">
        <v>9859</v>
      </c>
      <c r="Y219" s="125" t="s">
        <v>1080</v>
      </c>
      <c r="Z219" s="125" t="s">
        <v>7</v>
      </c>
      <c r="AA219" s="125" t="s">
        <v>7</v>
      </c>
      <c r="AB219" s="125" t="s">
        <v>7</v>
      </c>
      <c r="AC219" t="s">
        <v>9871</v>
      </c>
      <c r="AD219" s="125" t="s">
        <v>9</v>
      </c>
      <c r="AE219" s="125" t="s">
        <v>35</v>
      </c>
      <c r="AF219" s="125" t="s">
        <v>35</v>
      </c>
      <c r="AG219" s="125" t="s">
        <v>9</v>
      </c>
      <c r="AH219" s="117" t="s">
        <v>35</v>
      </c>
      <c r="AI219" s="125" t="s">
        <v>1849</v>
      </c>
    </row>
    <row r="220" spans="1:35">
      <c r="A220" t="s">
        <v>292</v>
      </c>
      <c r="B220" s="9" t="s">
        <v>801</v>
      </c>
      <c r="C220" s="8" t="s">
        <v>802</v>
      </c>
      <c r="D220" t="s">
        <v>304</v>
      </c>
      <c r="E220" s="4" t="s">
        <v>803</v>
      </c>
      <c r="F220" t="s">
        <v>1598</v>
      </c>
      <c r="G220" t="s">
        <v>3</v>
      </c>
      <c r="H220" s="6">
        <v>32919</v>
      </c>
      <c r="I220" t="s">
        <v>5</v>
      </c>
      <c r="J220" t="s">
        <v>48</v>
      </c>
      <c r="K220" t="s">
        <v>1507</v>
      </c>
      <c r="L220" s="151" t="s">
        <v>1509</v>
      </c>
      <c r="M220" s="151" t="s">
        <v>1508</v>
      </c>
      <c r="N220" s="151" t="s">
        <v>1510</v>
      </c>
      <c r="O220" s="148">
        <v>0</v>
      </c>
      <c r="P220" s="151">
        <v>0</v>
      </c>
      <c r="Q220" s="148" t="s">
        <v>1511</v>
      </c>
      <c r="R220" t="s">
        <v>9843</v>
      </c>
      <c r="S220" t="s">
        <v>7</v>
      </c>
      <c r="T220" t="s">
        <v>1218</v>
      </c>
      <c r="U220" t="s">
        <v>36</v>
      </c>
      <c r="V220" t="s">
        <v>9843</v>
      </c>
      <c r="W220" t="s">
        <v>35</v>
      </c>
      <c r="X220" t="s">
        <v>7</v>
      </c>
      <c r="Y220" t="s">
        <v>9</v>
      </c>
      <c r="Z220" t="s">
        <v>7</v>
      </c>
      <c r="AA220" t="s">
        <v>7</v>
      </c>
      <c r="AB220" t="s">
        <v>7</v>
      </c>
      <c r="AC220" t="s">
        <v>9870</v>
      </c>
      <c r="AD220" t="s">
        <v>10</v>
      </c>
      <c r="AE220" t="s">
        <v>35</v>
      </c>
      <c r="AF220" t="s">
        <v>35</v>
      </c>
      <c r="AG220" t="s">
        <v>10</v>
      </c>
      <c r="AH220" s="117" t="s">
        <v>7</v>
      </c>
      <c r="AI220" t="s">
        <v>37</v>
      </c>
    </row>
    <row r="221" spans="1:35">
      <c r="A221" t="s">
        <v>293</v>
      </c>
      <c r="B221" s="11" t="s">
        <v>804</v>
      </c>
      <c r="C221" s="10" t="s">
        <v>802</v>
      </c>
      <c r="D221" t="s">
        <v>304</v>
      </c>
      <c r="E221" s="4" t="s">
        <v>805</v>
      </c>
      <c r="F221" t="s">
        <v>1855</v>
      </c>
      <c r="G221" t="s">
        <v>515</v>
      </c>
      <c r="H221" s="6">
        <v>28329</v>
      </c>
      <c r="I221" t="s">
        <v>1093</v>
      </c>
      <c r="J221" t="s">
        <v>1101</v>
      </c>
      <c r="K221" t="s">
        <v>1512</v>
      </c>
      <c r="L221" s="151" t="s">
        <v>1514</v>
      </c>
      <c r="M221" s="151" t="s">
        <v>1513</v>
      </c>
      <c r="N221" s="151">
        <v>0</v>
      </c>
      <c r="O221" s="148">
        <v>0</v>
      </c>
      <c r="P221" s="151">
        <v>0</v>
      </c>
      <c r="Q221" s="148">
        <v>0</v>
      </c>
      <c r="R221" t="s">
        <v>9843</v>
      </c>
      <c r="S221" t="s">
        <v>7</v>
      </c>
      <c r="T221" t="s">
        <v>80</v>
      </c>
      <c r="U221" t="s">
        <v>51</v>
      </c>
      <c r="V221" t="s">
        <v>52</v>
      </c>
      <c r="W221" t="s">
        <v>35</v>
      </c>
      <c r="X221" t="s">
        <v>35</v>
      </c>
      <c r="Y221" t="s">
        <v>35</v>
      </c>
      <c r="Z221" t="s">
        <v>35</v>
      </c>
      <c r="AA221" t="s">
        <v>35</v>
      </c>
      <c r="AB221" t="s">
        <v>35</v>
      </c>
      <c r="AC221" t="s">
        <v>35</v>
      </c>
      <c r="AD221" t="s">
        <v>35</v>
      </c>
      <c r="AE221" t="s">
        <v>7</v>
      </c>
      <c r="AF221" t="s">
        <v>35</v>
      </c>
      <c r="AG221" t="s">
        <v>35</v>
      </c>
      <c r="AH221" t="s">
        <v>35</v>
      </c>
      <c r="AI221" t="s">
        <v>35</v>
      </c>
    </row>
    <row r="222" spans="1:35">
      <c r="A222" t="s">
        <v>294</v>
      </c>
      <c r="B222" s="13" t="s">
        <v>806</v>
      </c>
      <c r="C222" s="12" t="s">
        <v>807</v>
      </c>
      <c r="D222" t="s">
        <v>304</v>
      </c>
      <c r="E222" s="4" t="s">
        <v>808</v>
      </c>
      <c r="F222" t="s">
        <v>76</v>
      </c>
      <c r="G222" t="s">
        <v>3</v>
      </c>
      <c r="H222" s="6">
        <v>30211</v>
      </c>
      <c r="I222" t="s">
        <v>5</v>
      </c>
      <c r="J222" t="s">
        <v>1074</v>
      </c>
      <c r="K222" t="s">
        <v>1186</v>
      </c>
      <c r="L222" s="151">
        <v>0</v>
      </c>
      <c r="M222" s="151">
        <v>0</v>
      </c>
      <c r="N222" s="151" t="s">
        <v>1515</v>
      </c>
      <c r="O222" s="148">
        <v>0</v>
      </c>
      <c r="P222" s="151">
        <v>0</v>
      </c>
      <c r="Q222" s="148">
        <v>0</v>
      </c>
      <c r="R222" t="s">
        <v>9843</v>
      </c>
      <c r="S222" t="s">
        <v>7</v>
      </c>
      <c r="T222" t="s">
        <v>1098</v>
      </c>
      <c r="U222" t="s">
        <v>36</v>
      </c>
      <c r="V222" t="s">
        <v>9843</v>
      </c>
      <c r="W222" t="s">
        <v>35</v>
      </c>
      <c r="X222" t="s">
        <v>1470</v>
      </c>
      <c r="Y222" t="s">
        <v>1100</v>
      </c>
      <c r="Z222" t="s">
        <v>1097</v>
      </c>
      <c r="AA222" t="s">
        <v>7</v>
      </c>
      <c r="AB222" t="s">
        <v>7</v>
      </c>
      <c r="AC222" s="117" t="s">
        <v>9872</v>
      </c>
      <c r="AD222" t="s">
        <v>1099</v>
      </c>
      <c r="AE222" t="s">
        <v>35</v>
      </c>
      <c r="AF222" t="s">
        <v>35</v>
      </c>
      <c r="AG222" t="s">
        <v>1099</v>
      </c>
      <c r="AH222" s="117" t="s">
        <v>35</v>
      </c>
      <c r="AI222" s="125" t="s">
        <v>1849</v>
      </c>
    </row>
    <row r="223" spans="1:35">
      <c r="A223" t="s">
        <v>295</v>
      </c>
      <c r="B223" s="15" t="s">
        <v>809</v>
      </c>
      <c r="C223" s="14" t="s">
        <v>807</v>
      </c>
      <c r="D223" t="s">
        <v>304</v>
      </c>
      <c r="E223" s="4" t="s">
        <v>810</v>
      </c>
      <c r="F223" t="s">
        <v>1855</v>
      </c>
      <c r="G223" t="s">
        <v>3</v>
      </c>
      <c r="H223" s="6">
        <v>31414</v>
      </c>
      <c r="I223" t="s">
        <v>4</v>
      </c>
      <c r="J223" t="s">
        <v>48</v>
      </c>
      <c r="K223" t="s">
        <v>1210</v>
      </c>
      <c r="L223" s="151">
        <v>0</v>
      </c>
      <c r="M223" s="151" t="s">
        <v>1516</v>
      </c>
      <c r="N223" s="151">
        <v>0</v>
      </c>
      <c r="O223" s="148">
        <v>0</v>
      </c>
      <c r="P223" s="151">
        <v>0</v>
      </c>
      <c r="Q223" s="148">
        <v>0</v>
      </c>
      <c r="R223" t="s">
        <v>9843</v>
      </c>
      <c r="S223" t="s">
        <v>7</v>
      </c>
      <c r="T223" t="s">
        <v>80</v>
      </c>
      <c r="U223" t="s">
        <v>36</v>
      </c>
      <c r="V223" t="s">
        <v>9843</v>
      </c>
      <c r="W223" t="s">
        <v>35</v>
      </c>
      <c r="X223" t="s">
        <v>7</v>
      </c>
      <c r="Y223" t="s">
        <v>9</v>
      </c>
      <c r="Z223" t="s">
        <v>7</v>
      </c>
      <c r="AA223" t="s">
        <v>7</v>
      </c>
      <c r="AB223" t="s">
        <v>7</v>
      </c>
      <c r="AC223" t="s">
        <v>9871</v>
      </c>
      <c r="AD223" t="s">
        <v>1185</v>
      </c>
      <c r="AE223" t="s">
        <v>35</v>
      </c>
      <c r="AF223" t="s">
        <v>35</v>
      </c>
      <c r="AG223" t="s">
        <v>1185</v>
      </c>
      <c r="AH223" s="117" t="s">
        <v>7</v>
      </c>
      <c r="AI223" s="125" t="s">
        <v>1849</v>
      </c>
    </row>
    <row r="224" spans="1:35">
      <c r="A224" t="s">
        <v>296</v>
      </c>
      <c r="B224" s="17" t="s">
        <v>757</v>
      </c>
      <c r="C224" s="16" t="s">
        <v>802</v>
      </c>
      <c r="D224" t="s">
        <v>304</v>
      </c>
      <c r="E224" s="4" t="s">
        <v>811</v>
      </c>
      <c r="F224" t="s">
        <v>1855</v>
      </c>
      <c r="G224" t="s">
        <v>3</v>
      </c>
      <c r="H224" s="6">
        <v>33745</v>
      </c>
      <c r="I224" t="s">
        <v>4</v>
      </c>
      <c r="J224" t="s">
        <v>48</v>
      </c>
      <c r="K224" t="s">
        <v>1517</v>
      </c>
      <c r="L224" s="154" t="s">
        <v>9969</v>
      </c>
      <c r="M224" s="154" t="s">
        <v>9970</v>
      </c>
      <c r="N224" s="154" t="s">
        <v>9971</v>
      </c>
      <c r="O224" s="148">
        <v>0</v>
      </c>
      <c r="P224" s="151">
        <v>0</v>
      </c>
      <c r="Q224" s="148">
        <v>0</v>
      </c>
      <c r="R224" t="s">
        <v>9843</v>
      </c>
      <c r="S224" t="s">
        <v>7</v>
      </c>
      <c r="T224" t="s">
        <v>1370</v>
      </c>
      <c r="U224" t="s">
        <v>36</v>
      </c>
      <c r="V224" t="s">
        <v>9843</v>
      </c>
      <c r="W224" t="s">
        <v>35</v>
      </c>
      <c r="X224" t="s">
        <v>1518</v>
      </c>
      <c r="Y224" t="s">
        <v>1080</v>
      </c>
      <c r="Z224" t="s">
        <v>1097</v>
      </c>
      <c r="AA224" t="s">
        <v>7</v>
      </c>
      <c r="AB224" t="s">
        <v>7</v>
      </c>
      <c r="AC224" s="117" t="s">
        <v>9872</v>
      </c>
      <c r="AD224" t="s">
        <v>1163</v>
      </c>
      <c r="AE224" t="s">
        <v>35</v>
      </c>
      <c r="AF224" t="s">
        <v>35</v>
      </c>
      <c r="AG224" t="s">
        <v>1163</v>
      </c>
      <c r="AH224" s="117" t="s">
        <v>35</v>
      </c>
      <c r="AI224" s="125" t="s">
        <v>1849</v>
      </c>
    </row>
    <row r="225" spans="1:35">
      <c r="A225" t="s">
        <v>297</v>
      </c>
      <c r="B225" s="19" t="s">
        <v>812</v>
      </c>
      <c r="C225" s="18" t="s">
        <v>807</v>
      </c>
      <c r="D225" t="s">
        <v>304</v>
      </c>
      <c r="E225" s="4" t="s">
        <v>813</v>
      </c>
      <c r="F225" t="s">
        <v>1855</v>
      </c>
      <c r="G225" t="s">
        <v>515</v>
      </c>
      <c r="H225" s="6">
        <v>30585</v>
      </c>
      <c r="I225" t="s">
        <v>4</v>
      </c>
      <c r="J225" t="s">
        <v>48</v>
      </c>
      <c r="K225" t="s">
        <v>1231</v>
      </c>
      <c r="L225" s="151" t="s">
        <v>1521</v>
      </c>
      <c r="M225" s="151" t="s">
        <v>1519</v>
      </c>
      <c r="N225" s="151" t="s">
        <v>1520</v>
      </c>
      <c r="O225" s="148">
        <v>0</v>
      </c>
      <c r="P225" s="151">
        <v>0</v>
      </c>
      <c r="Q225" s="148">
        <v>0</v>
      </c>
      <c r="R225" t="s">
        <v>9843</v>
      </c>
      <c r="S225" t="s">
        <v>7</v>
      </c>
      <c r="T225" t="s">
        <v>1522</v>
      </c>
      <c r="U225" t="s">
        <v>36</v>
      </c>
      <c r="V225" t="s">
        <v>9843</v>
      </c>
      <c r="W225" t="s">
        <v>35</v>
      </c>
      <c r="X225" t="s">
        <v>9861</v>
      </c>
      <c r="Y225" t="s">
        <v>1100</v>
      </c>
      <c r="Z225" t="s">
        <v>1097</v>
      </c>
      <c r="AA225" t="s">
        <v>7</v>
      </c>
      <c r="AB225" t="s">
        <v>7</v>
      </c>
      <c r="AC225" s="117" t="s">
        <v>9872</v>
      </c>
      <c r="AD225" t="s">
        <v>1099</v>
      </c>
      <c r="AE225" t="s">
        <v>35</v>
      </c>
      <c r="AF225" t="s">
        <v>35</v>
      </c>
      <c r="AG225" t="s">
        <v>1099</v>
      </c>
      <c r="AH225" s="117" t="s">
        <v>35</v>
      </c>
      <c r="AI225" s="125" t="s">
        <v>1849</v>
      </c>
    </row>
    <row r="226" spans="1:35">
      <c r="A226" t="s">
        <v>298</v>
      </c>
      <c r="B226" s="21" t="s">
        <v>542</v>
      </c>
      <c r="C226" s="20" t="s">
        <v>802</v>
      </c>
      <c r="D226" t="s">
        <v>304</v>
      </c>
      <c r="E226" s="4" t="s">
        <v>814</v>
      </c>
      <c r="F226" t="s">
        <v>1855</v>
      </c>
      <c r="G226" t="s">
        <v>515</v>
      </c>
      <c r="H226" s="6">
        <v>36201</v>
      </c>
      <c r="I226" t="s">
        <v>4</v>
      </c>
      <c r="J226" t="s">
        <v>48</v>
      </c>
      <c r="K226" t="s">
        <v>1523</v>
      </c>
      <c r="L226" s="151" t="s">
        <v>1524</v>
      </c>
      <c r="M226" s="151">
        <v>0</v>
      </c>
      <c r="N226" s="151">
        <v>0</v>
      </c>
      <c r="O226" s="148">
        <v>0</v>
      </c>
      <c r="P226" s="151">
        <v>0</v>
      </c>
      <c r="Q226" s="148">
        <v>0</v>
      </c>
      <c r="R226" t="s">
        <v>9843</v>
      </c>
      <c r="S226" t="s">
        <v>7</v>
      </c>
      <c r="T226" t="s">
        <v>1526</v>
      </c>
      <c r="U226" t="s">
        <v>36</v>
      </c>
      <c r="V226" t="s">
        <v>9843</v>
      </c>
      <c r="W226" t="s">
        <v>35</v>
      </c>
      <c r="X226" t="s">
        <v>1104</v>
      </c>
      <c r="Y226" t="s">
        <v>1164</v>
      </c>
      <c r="Z226" t="s">
        <v>7</v>
      </c>
      <c r="AA226" t="s">
        <v>1677</v>
      </c>
      <c r="AB226" t="s">
        <v>9869</v>
      </c>
      <c r="AC226" s="117" t="s">
        <v>7</v>
      </c>
      <c r="AD226" t="s">
        <v>1525</v>
      </c>
      <c r="AE226" t="s">
        <v>35</v>
      </c>
      <c r="AF226" t="s">
        <v>35</v>
      </c>
      <c r="AG226" t="s">
        <v>1525</v>
      </c>
      <c r="AH226" s="117" t="s">
        <v>35</v>
      </c>
      <c r="AI226" s="125" t="s">
        <v>1849</v>
      </c>
    </row>
    <row r="227" spans="1:35">
      <c r="A227" t="s">
        <v>298</v>
      </c>
      <c r="B227" s="21" t="s">
        <v>542</v>
      </c>
      <c r="C227" s="20" t="s">
        <v>802</v>
      </c>
      <c r="D227" t="s">
        <v>304</v>
      </c>
      <c r="E227" s="4" t="s">
        <v>815</v>
      </c>
      <c r="F227" t="s">
        <v>1855</v>
      </c>
      <c r="G227" t="s">
        <v>3</v>
      </c>
      <c r="H227" s="6">
        <v>32519</v>
      </c>
      <c r="I227" t="s">
        <v>4</v>
      </c>
      <c r="J227" t="s">
        <v>48</v>
      </c>
      <c r="K227" t="s">
        <v>1523</v>
      </c>
      <c r="L227" s="151" t="s">
        <v>1524</v>
      </c>
      <c r="M227" s="151">
        <v>0</v>
      </c>
      <c r="N227" s="151">
        <v>0</v>
      </c>
      <c r="O227" s="148">
        <v>0</v>
      </c>
      <c r="P227" s="151">
        <v>0</v>
      </c>
      <c r="Q227" s="148">
        <v>0</v>
      </c>
      <c r="R227" t="s">
        <v>9843</v>
      </c>
      <c r="S227" t="s">
        <v>7</v>
      </c>
      <c r="T227" t="s">
        <v>1527</v>
      </c>
      <c r="U227" t="s">
        <v>36</v>
      </c>
      <c r="V227" t="s">
        <v>9843</v>
      </c>
      <c r="W227" t="s">
        <v>35</v>
      </c>
      <c r="X227" t="s">
        <v>1104</v>
      </c>
      <c r="Y227" t="s">
        <v>1164</v>
      </c>
      <c r="Z227" t="s">
        <v>7</v>
      </c>
      <c r="AA227" t="s">
        <v>7</v>
      </c>
      <c r="AB227" t="s">
        <v>9867</v>
      </c>
      <c r="AC227" s="117" t="s">
        <v>7</v>
      </c>
      <c r="AD227" t="s">
        <v>1166</v>
      </c>
      <c r="AE227" t="s">
        <v>35</v>
      </c>
      <c r="AF227" t="s">
        <v>35</v>
      </c>
      <c r="AG227" t="s">
        <v>1166</v>
      </c>
      <c r="AH227" s="117" t="s">
        <v>35</v>
      </c>
      <c r="AI227" s="125" t="s">
        <v>1849</v>
      </c>
    </row>
    <row r="228" spans="1:35">
      <c r="A228" t="s">
        <v>299</v>
      </c>
      <c r="B228" s="23" t="s">
        <v>521</v>
      </c>
      <c r="C228" s="22" t="s">
        <v>807</v>
      </c>
      <c r="D228" t="s">
        <v>304</v>
      </c>
      <c r="E228" s="4" t="s">
        <v>816</v>
      </c>
      <c r="F228" t="s">
        <v>1855</v>
      </c>
      <c r="G228" t="s">
        <v>3</v>
      </c>
      <c r="H228" s="6">
        <v>32807</v>
      </c>
      <c r="I228" t="s">
        <v>5</v>
      </c>
      <c r="J228" t="s">
        <v>48</v>
      </c>
      <c r="K228" t="s">
        <v>1528</v>
      </c>
      <c r="L228" s="151" t="s">
        <v>1529</v>
      </c>
      <c r="M228" s="151">
        <v>0</v>
      </c>
      <c r="N228" s="151">
        <v>0</v>
      </c>
      <c r="O228" s="148">
        <v>0</v>
      </c>
      <c r="P228" s="151">
        <v>0</v>
      </c>
      <c r="Q228" s="148">
        <v>0</v>
      </c>
      <c r="R228" t="s">
        <v>9843</v>
      </c>
      <c r="S228" t="s">
        <v>7</v>
      </c>
      <c r="T228" t="s">
        <v>1440</v>
      </c>
      <c r="U228" t="s">
        <v>36</v>
      </c>
      <c r="V228" t="s">
        <v>9843</v>
      </c>
      <c r="W228" t="s">
        <v>35</v>
      </c>
      <c r="X228" t="s">
        <v>7</v>
      </c>
      <c r="Y228" t="s">
        <v>9</v>
      </c>
      <c r="Z228" t="s">
        <v>7</v>
      </c>
      <c r="AA228" t="s">
        <v>7</v>
      </c>
      <c r="AB228" t="s">
        <v>7</v>
      </c>
      <c r="AC228" s="117" t="s">
        <v>7</v>
      </c>
      <c r="AD228" t="s">
        <v>9</v>
      </c>
      <c r="AE228" t="s">
        <v>35</v>
      </c>
      <c r="AF228" t="s">
        <v>35</v>
      </c>
      <c r="AG228" t="s">
        <v>9</v>
      </c>
      <c r="AH228" s="117" t="s">
        <v>35</v>
      </c>
      <c r="AI228" s="125" t="s">
        <v>1849</v>
      </c>
    </row>
    <row r="229" spans="1:35">
      <c r="A229" t="s">
        <v>300</v>
      </c>
      <c r="B229" s="25" t="s">
        <v>796</v>
      </c>
      <c r="C229" s="24" t="s">
        <v>802</v>
      </c>
      <c r="D229" t="s">
        <v>304</v>
      </c>
      <c r="E229" s="4" t="s">
        <v>817</v>
      </c>
      <c r="F229" t="s">
        <v>76</v>
      </c>
      <c r="G229" t="s">
        <v>3</v>
      </c>
      <c r="H229" s="6">
        <v>34245</v>
      </c>
      <c r="I229" t="s">
        <v>4</v>
      </c>
      <c r="J229" t="s">
        <v>41</v>
      </c>
      <c r="K229" t="s">
        <v>1530</v>
      </c>
      <c r="L229" s="154" t="s">
        <v>10056</v>
      </c>
      <c r="M229" s="151">
        <v>0</v>
      </c>
      <c r="N229" s="151">
        <v>0</v>
      </c>
      <c r="O229" s="148">
        <v>0</v>
      </c>
      <c r="P229" s="151">
        <v>0</v>
      </c>
      <c r="Q229" s="148">
        <v>0</v>
      </c>
      <c r="R229" t="s">
        <v>9846</v>
      </c>
      <c r="S229" t="s">
        <v>7</v>
      </c>
      <c r="T229" t="s">
        <v>1122</v>
      </c>
      <c r="U229" t="s">
        <v>78</v>
      </c>
      <c r="V229" t="s">
        <v>9843</v>
      </c>
      <c r="W229" t="s">
        <v>35</v>
      </c>
      <c r="X229" t="s">
        <v>7</v>
      </c>
      <c r="Y229" t="s">
        <v>9</v>
      </c>
      <c r="Z229" t="s">
        <v>7</v>
      </c>
      <c r="AA229" t="s">
        <v>7</v>
      </c>
      <c r="AB229" t="s">
        <v>7</v>
      </c>
      <c r="AC229" t="s">
        <v>9870</v>
      </c>
      <c r="AD229" t="s">
        <v>10</v>
      </c>
      <c r="AE229" t="s">
        <v>35</v>
      </c>
      <c r="AF229" t="s">
        <v>35</v>
      </c>
      <c r="AG229" t="s">
        <v>10</v>
      </c>
      <c r="AH229" s="117" t="s">
        <v>7</v>
      </c>
      <c r="AI229" t="s">
        <v>37</v>
      </c>
    </row>
    <row r="230" spans="1:35">
      <c r="A230" t="s">
        <v>300</v>
      </c>
      <c r="B230" s="25" t="s">
        <v>796</v>
      </c>
      <c r="C230" s="24" t="s">
        <v>802</v>
      </c>
      <c r="D230" t="s">
        <v>304</v>
      </c>
      <c r="E230" s="4" t="s">
        <v>818</v>
      </c>
      <c r="F230" t="s">
        <v>76</v>
      </c>
      <c r="G230" t="s">
        <v>515</v>
      </c>
      <c r="H230" s="6">
        <v>35782</v>
      </c>
      <c r="I230" t="s">
        <v>5</v>
      </c>
      <c r="J230" t="s">
        <v>41</v>
      </c>
      <c r="K230" t="s">
        <v>1530</v>
      </c>
      <c r="L230" s="154" t="s">
        <v>10056</v>
      </c>
      <c r="M230" s="151">
        <v>0</v>
      </c>
      <c r="N230" s="151">
        <v>0</v>
      </c>
      <c r="O230" s="148">
        <v>0</v>
      </c>
      <c r="P230" s="151">
        <v>0</v>
      </c>
      <c r="Q230" s="148">
        <v>0</v>
      </c>
      <c r="R230" t="s">
        <v>9846</v>
      </c>
      <c r="S230" t="s">
        <v>7</v>
      </c>
      <c r="T230" t="s">
        <v>1122</v>
      </c>
      <c r="U230" t="s">
        <v>78</v>
      </c>
      <c r="V230" t="s">
        <v>9843</v>
      </c>
      <c r="W230" t="s">
        <v>35</v>
      </c>
      <c r="X230" t="s">
        <v>7</v>
      </c>
      <c r="Y230" t="s">
        <v>9</v>
      </c>
      <c r="Z230" t="s">
        <v>7</v>
      </c>
      <c r="AA230" t="s">
        <v>7</v>
      </c>
      <c r="AB230" t="s">
        <v>7</v>
      </c>
      <c r="AC230" t="s">
        <v>9870</v>
      </c>
      <c r="AD230" t="s">
        <v>10</v>
      </c>
      <c r="AE230" t="s">
        <v>35</v>
      </c>
      <c r="AF230" t="s">
        <v>35</v>
      </c>
      <c r="AG230" t="s">
        <v>10</v>
      </c>
      <c r="AH230" s="117" t="s">
        <v>7</v>
      </c>
      <c r="AI230" t="s">
        <v>37</v>
      </c>
    </row>
    <row r="231" spans="1:35">
      <c r="A231" s="7" t="s">
        <v>301</v>
      </c>
      <c r="B231" s="34" t="s">
        <v>662</v>
      </c>
      <c r="C231" s="26" t="s">
        <v>802</v>
      </c>
      <c r="D231" t="s">
        <v>304</v>
      </c>
      <c r="E231" s="4" t="s">
        <v>819</v>
      </c>
      <c r="F231" t="s">
        <v>76</v>
      </c>
      <c r="G231" t="s">
        <v>3</v>
      </c>
      <c r="H231" s="6">
        <v>34452</v>
      </c>
      <c r="I231" t="s">
        <v>5</v>
      </c>
      <c r="J231" t="s">
        <v>48</v>
      </c>
      <c r="K231" t="s">
        <v>1210</v>
      </c>
      <c r="L231" s="151">
        <v>0</v>
      </c>
      <c r="M231" s="151" t="s">
        <v>1531</v>
      </c>
      <c r="N231" s="151">
        <v>0</v>
      </c>
      <c r="O231" s="148">
        <v>0</v>
      </c>
      <c r="P231" s="154" t="s">
        <v>9972</v>
      </c>
      <c r="Q231" s="148">
        <v>0</v>
      </c>
      <c r="R231" t="s">
        <v>9846</v>
      </c>
      <c r="S231" t="s">
        <v>7</v>
      </c>
      <c r="T231" t="s">
        <v>1532</v>
      </c>
      <c r="U231" t="s">
        <v>78</v>
      </c>
      <c r="V231" t="s">
        <v>9843</v>
      </c>
      <c r="W231" t="s">
        <v>35</v>
      </c>
      <c r="X231" t="s">
        <v>7</v>
      </c>
      <c r="Y231" t="s">
        <v>9</v>
      </c>
      <c r="Z231" t="s">
        <v>7</v>
      </c>
      <c r="AA231" t="s">
        <v>7</v>
      </c>
      <c r="AB231" t="s">
        <v>7</v>
      </c>
      <c r="AC231" t="s">
        <v>9871</v>
      </c>
      <c r="AD231" t="s">
        <v>1185</v>
      </c>
      <c r="AE231" t="s">
        <v>35</v>
      </c>
      <c r="AF231" t="s">
        <v>35</v>
      </c>
      <c r="AG231" t="s">
        <v>1185</v>
      </c>
      <c r="AH231" s="117" t="s">
        <v>7</v>
      </c>
      <c r="AI231" s="117" t="s">
        <v>1114</v>
      </c>
    </row>
    <row r="232" spans="1:35">
      <c r="A232" s="7" t="s">
        <v>301</v>
      </c>
      <c r="B232" s="34" t="s">
        <v>662</v>
      </c>
      <c r="C232" s="26" t="s">
        <v>802</v>
      </c>
      <c r="D232" t="s">
        <v>304</v>
      </c>
      <c r="E232" s="4" t="s">
        <v>820</v>
      </c>
      <c r="F232" t="s">
        <v>76</v>
      </c>
      <c r="G232" t="s">
        <v>515</v>
      </c>
      <c r="H232" s="6">
        <v>35620</v>
      </c>
      <c r="I232" t="s">
        <v>4</v>
      </c>
      <c r="J232" t="s">
        <v>48</v>
      </c>
      <c r="K232" t="s">
        <v>1186</v>
      </c>
      <c r="L232" s="151">
        <v>0</v>
      </c>
      <c r="M232" s="151" t="s">
        <v>1531</v>
      </c>
      <c r="N232" s="151">
        <v>0</v>
      </c>
      <c r="O232" s="148">
        <v>0</v>
      </c>
      <c r="P232" s="154" t="s">
        <v>9972</v>
      </c>
      <c r="Q232" s="148">
        <v>0</v>
      </c>
      <c r="R232" t="s">
        <v>9846</v>
      </c>
      <c r="S232" t="s">
        <v>7</v>
      </c>
      <c r="T232" t="s">
        <v>1532</v>
      </c>
      <c r="U232" t="s">
        <v>78</v>
      </c>
      <c r="V232" t="s">
        <v>9843</v>
      </c>
      <c r="W232" t="s">
        <v>35</v>
      </c>
      <c r="X232" t="s">
        <v>7</v>
      </c>
      <c r="Y232" t="s">
        <v>9</v>
      </c>
      <c r="Z232" t="s">
        <v>7</v>
      </c>
      <c r="AA232" t="s">
        <v>7</v>
      </c>
      <c r="AB232" t="s">
        <v>7</v>
      </c>
      <c r="AC232" t="s">
        <v>9871</v>
      </c>
      <c r="AD232" t="s">
        <v>1185</v>
      </c>
      <c r="AE232" t="s">
        <v>35</v>
      </c>
      <c r="AF232" t="s">
        <v>35</v>
      </c>
      <c r="AG232" t="s">
        <v>1185</v>
      </c>
      <c r="AH232" s="117" t="s">
        <v>7</v>
      </c>
      <c r="AI232" s="117" t="s">
        <v>1114</v>
      </c>
    </row>
    <row r="233" spans="1:35">
      <c r="A233" t="s">
        <v>302</v>
      </c>
      <c r="B233" s="28" t="s">
        <v>70</v>
      </c>
      <c r="C233" s="27" t="s">
        <v>807</v>
      </c>
      <c r="D233" t="s">
        <v>304</v>
      </c>
      <c r="E233" s="4" t="s">
        <v>821</v>
      </c>
      <c r="F233" t="s">
        <v>1855</v>
      </c>
      <c r="G233" t="s">
        <v>3</v>
      </c>
      <c r="H233" s="6">
        <v>35892</v>
      </c>
      <c r="I233" t="s">
        <v>5</v>
      </c>
      <c r="J233" t="s">
        <v>1101</v>
      </c>
      <c r="K233" t="s">
        <v>1533</v>
      </c>
      <c r="L233" s="151" t="s">
        <v>1535</v>
      </c>
      <c r="M233" s="151" t="s">
        <v>1534</v>
      </c>
      <c r="N233" s="151">
        <v>0</v>
      </c>
      <c r="O233" s="148">
        <v>0</v>
      </c>
      <c r="P233" s="151">
        <v>0</v>
      </c>
      <c r="Q233" s="148">
        <v>0</v>
      </c>
      <c r="R233" t="s">
        <v>9843</v>
      </c>
      <c r="S233" t="s">
        <v>7</v>
      </c>
      <c r="T233" t="s">
        <v>1392</v>
      </c>
      <c r="U233" t="s">
        <v>6</v>
      </c>
      <c r="V233" t="s">
        <v>35</v>
      </c>
      <c r="W233" t="s">
        <v>35</v>
      </c>
      <c r="X233" t="s">
        <v>35</v>
      </c>
      <c r="Y233" t="s">
        <v>35</v>
      </c>
      <c r="Z233" t="s">
        <v>35</v>
      </c>
      <c r="AA233" t="s">
        <v>35</v>
      </c>
      <c r="AB233" t="s">
        <v>35</v>
      </c>
      <c r="AC233" t="s">
        <v>35</v>
      </c>
      <c r="AD233" t="s">
        <v>35</v>
      </c>
      <c r="AE233" t="s">
        <v>35</v>
      </c>
      <c r="AF233" t="s">
        <v>35</v>
      </c>
      <c r="AG233" t="s">
        <v>35</v>
      </c>
      <c r="AH233" t="s">
        <v>35</v>
      </c>
      <c r="AI233" t="s">
        <v>35</v>
      </c>
    </row>
    <row r="234" spans="1:35">
      <c r="A234" t="s">
        <v>303</v>
      </c>
      <c r="B234" s="29" t="s">
        <v>664</v>
      </c>
      <c r="C234" s="143" t="s">
        <v>807</v>
      </c>
      <c r="D234" t="s">
        <v>304</v>
      </c>
      <c r="E234" s="4" t="s">
        <v>822</v>
      </c>
      <c r="F234" t="s">
        <v>1855</v>
      </c>
      <c r="G234" t="s">
        <v>3</v>
      </c>
      <c r="H234" s="6">
        <v>34940</v>
      </c>
      <c r="I234" t="s">
        <v>4</v>
      </c>
      <c r="J234" t="s">
        <v>41</v>
      </c>
      <c r="K234" t="s">
        <v>1536</v>
      </c>
      <c r="L234" s="151">
        <v>0</v>
      </c>
      <c r="M234" s="151" t="s">
        <v>1537</v>
      </c>
      <c r="N234" s="151">
        <v>0</v>
      </c>
      <c r="O234" s="148">
        <v>0</v>
      </c>
      <c r="P234" s="151">
        <v>0</v>
      </c>
      <c r="Q234" s="148">
        <v>0</v>
      </c>
      <c r="R234" t="s">
        <v>9843</v>
      </c>
      <c r="S234" t="s">
        <v>7</v>
      </c>
      <c r="T234" t="s">
        <v>1480</v>
      </c>
      <c r="U234" t="s">
        <v>36</v>
      </c>
      <c r="V234" t="s">
        <v>9843</v>
      </c>
      <c r="W234" t="s">
        <v>35</v>
      </c>
      <c r="X234" t="s">
        <v>1280</v>
      </c>
      <c r="Y234" t="s">
        <v>1100</v>
      </c>
      <c r="Z234" t="s">
        <v>1097</v>
      </c>
      <c r="AA234" t="s">
        <v>7</v>
      </c>
      <c r="AB234" t="s">
        <v>7</v>
      </c>
      <c r="AC234" s="117" t="s">
        <v>9872</v>
      </c>
      <c r="AD234" t="s">
        <v>1099</v>
      </c>
      <c r="AE234" t="s">
        <v>35</v>
      </c>
      <c r="AF234" t="s">
        <v>35</v>
      </c>
      <c r="AG234" t="s">
        <v>1099</v>
      </c>
      <c r="AH234" s="117" t="s">
        <v>35</v>
      </c>
      <c r="AI234" s="125" t="s">
        <v>1849</v>
      </c>
    </row>
    <row r="235" spans="1:35">
      <c r="A235" s="125" t="s">
        <v>305</v>
      </c>
      <c r="B235" s="129">
        <v>43033</v>
      </c>
      <c r="C235" s="127" t="s">
        <v>823</v>
      </c>
      <c r="D235" s="125" t="s">
        <v>316</v>
      </c>
      <c r="E235" s="127" t="s">
        <v>1916</v>
      </c>
      <c r="F235" t="s">
        <v>1855</v>
      </c>
      <c r="G235" s="125" t="s">
        <v>515</v>
      </c>
      <c r="H235" s="129">
        <v>34319</v>
      </c>
      <c r="I235" s="125" t="s">
        <v>1093</v>
      </c>
      <c r="J235" s="125" t="s">
        <v>48</v>
      </c>
      <c r="K235" s="125" t="s">
        <v>1917</v>
      </c>
      <c r="L235" s="151" t="s">
        <v>2033</v>
      </c>
      <c r="M235" s="151">
        <v>0</v>
      </c>
      <c r="N235" s="151" t="s">
        <v>2048</v>
      </c>
      <c r="O235" s="148">
        <v>0</v>
      </c>
      <c r="P235" s="151">
        <v>0</v>
      </c>
      <c r="Q235" s="148">
        <v>0</v>
      </c>
      <c r="R235" t="s">
        <v>9843</v>
      </c>
      <c r="S235" s="125" t="s">
        <v>7</v>
      </c>
      <c r="T235" s="125" t="s">
        <v>2053</v>
      </c>
      <c r="U235" s="125" t="s">
        <v>36</v>
      </c>
      <c r="V235" t="s">
        <v>9843</v>
      </c>
      <c r="W235" s="125" t="s">
        <v>35</v>
      </c>
      <c r="X235" s="125" t="s">
        <v>7</v>
      </c>
      <c r="Y235" s="125" t="s">
        <v>9</v>
      </c>
      <c r="Z235" s="125" t="s">
        <v>7</v>
      </c>
      <c r="AA235" s="125" t="s">
        <v>7</v>
      </c>
      <c r="AB235" s="125" t="s">
        <v>7</v>
      </c>
      <c r="AC235" t="s">
        <v>9870</v>
      </c>
      <c r="AD235" s="125" t="s">
        <v>10</v>
      </c>
      <c r="AE235" s="125" t="s">
        <v>35</v>
      </c>
      <c r="AF235" s="125" t="s">
        <v>35</v>
      </c>
      <c r="AG235" s="125" t="s">
        <v>10</v>
      </c>
      <c r="AH235" t="s">
        <v>9851</v>
      </c>
      <c r="AI235" s="117" t="s">
        <v>35</v>
      </c>
    </row>
    <row r="236" spans="1:35">
      <c r="A236" s="125" t="s">
        <v>306</v>
      </c>
      <c r="B236" s="126">
        <v>42947</v>
      </c>
      <c r="C236" s="127" t="s">
        <v>825</v>
      </c>
      <c r="D236" s="125" t="s">
        <v>316</v>
      </c>
      <c r="E236" s="127" t="s">
        <v>826</v>
      </c>
      <c r="F236" t="s">
        <v>1855</v>
      </c>
      <c r="G236" s="125" t="s">
        <v>3</v>
      </c>
      <c r="H236" s="126">
        <v>33749</v>
      </c>
      <c r="I236" s="125" t="s">
        <v>5</v>
      </c>
      <c r="J236" s="125" t="s">
        <v>1074</v>
      </c>
      <c r="K236" s="125" t="s">
        <v>1220</v>
      </c>
      <c r="L236" s="151" t="s">
        <v>2034</v>
      </c>
      <c r="M236" s="151" t="s">
        <v>2041</v>
      </c>
      <c r="N236" s="151" t="s">
        <v>2049</v>
      </c>
      <c r="O236" s="148">
        <v>0</v>
      </c>
      <c r="P236" s="151">
        <v>0</v>
      </c>
      <c r="Q236" s="148">
        <v>0</v>
      </c>
      <c r="R236" t="s">
        <v>9843</v>
      </c>
      <c r="S236" s="125" t="s">
        <v>7</v>
      </c>
      <c r="T236" s="125" t="s">
        <v>1800</v>
      </c>
      <c r="U236" s="125" t="s">
        <v>36</v>
      </c>
      <c r="V236" t="s">
        <v>9843</v>
      </c>
      <c r="W236" s="125" t="s">
        <v>35</v>
      </c>
      <c r="X236" s="125" t="s">
        <v>7</v>
      </c>
      <c r="Y236" s="125" t="s">
        <v>9</v>
      </c>
      <c r="Z236" t="s">
        <v>1097</v>
      </c>
      <c r="AA236" s="125" t="s">
        <v>7</v>
      </c>
      <c r="AB236" s="125" t="s">
        <v>7</v>
      </c>
      <c r="AC236" s="117" t="s">
        <v>9872</v>
      </c>
      <c r="AD236" s="125" t="s">
        <v>1100</v>
      </c>
      <c r="AE236" s="125" t="s">
        <v>35</v>
      </c>
      <c r="AF236" s="125" t="s">
        <v>35</v>
      </c>
      <c r="AG236" s="125" t="s">
        <v>1100</v>
      </c>
      <c r="AH236" s="117" t="s">
        <v>35</v>
      </c>
      <c r="AI236" s="125" t="s">
        <v>1849</v>
      </c>
    </row>
    <row r="237" spans="1:35">
      <c r="A237" s="125" t="s">
        <v>307</v>
      </c>
      <c r="B237" s="126">
        <v>43006</v>
      </c>
      <c r="C237" s="127" t="s">
        <v>1918</v>
      </c>
      <c r="D237" s="125" t="s">
        <v>316</v>
      </c>
      <c r="E237" s="127" t="s">
        <v>1919</v>
      </c>
      <c r="F237" t="s">
        <v>1855</v>
      </c>
      <c r="G237" s="125" t="s">
        <v>3</v>
      </c>
      <c r="H237" s="129">
        <v>36087</v>
      </c>
      <c r="I237" s="125" t="s">
        <v>4</v>
      </c>
      <c r="J237" s="125" t="s">
        <v>48</v>
      </c>
      <c r="K237" s="125" t="s">
        <v>1920</v>
      </c>
      <c r="L237" s="151" t="s">
        <v>2035</v>
      </c>
      <c r="M237" s="156" t="s">
        <v>10075</v>
      </c>
      <c r="N237" s="154" t="s">
        <v>9973</v>
      </c>
      <c r="O237" s="149" t="s">
        <v>9974</v>
      </c>
      <c r="P237" s="154" t="s">
        <v>9975</v>
      </c>
      <c r="Q237" s="149" t="s">
        <v>9976</v>
      </c>
      <c r="R237" t="s">
        <v>9843</v>
      </c>
      <c r="S237" s="125" t="s">
        <v>7</v>
      </c>
      <c r="T237" s="125" t="s">
        <v>1921</v>
      </c>
      <c r="U237" s="125" t="s">
        <v>36</v>
      </c>
      <c r="V237" t="s">
        <v>9843</v>
      </c>
      <c r="W237" s="125" t="s">
        <v>35</v>
      </c>
      <c r="X237" t="s">
        <v>1079</v>
      </c>
      <c r="Y237" s="125" t="s">
        <v>1080</v>
      </c>
      <c r="Z237" s="125" t="s">
        <v>7</v>
      </c>
      <c r="AA237" t="s">
        <v>1677</v>
      </c>
      <c r="AB237" s="125" t="s">
        <v>7</v>
      </c>
      <c r="AC237" t="s">
        <v>9871</v>
      </c>
      <c r="AD237" s="125" t="s">
        <v>1179</v>
      </c>
      <c r="AE237" s="125" t="s">
        <v>35</v>
      </c>
      <c r="AF237" s="125" t="s">
        <v>35</v>
      </c>
      <c r="AG237" s="125" t="s">
        <v>1179</v>
      </c>
      <c r="AH237" s="117" t="s">
        <v>35</v>
      </c>
      <c r="AI237" s="125" t="s">
        <v>1849</v>
      </c>
    </row>
    <row r="238" spans="1:35">
      <c r="A238" s="125" t="s">
        <v>308</v>
      </c>
      <c r="B238" s="126">
        <v>42892</v>
      </c>
      <c r="C238" s="127" t="s">
        <v>823</v>
      </c>
      <c r="D238" s="125" t="s">
        <v>316</v>
      </c>
      <c r="E238" s="127" t="s">
        <v>828</v>
      </c>
      <c r="F238" t="s">
        <v>1855</v>
      </c>
      <c r="G238" s="125" t="s">
        <v>3</v>
      </c>
      <c r="H238" s="126">
        <v>34774</v>
      </c>
      <c r="I238" s="125" t="s">
        <v>4</v>
      </c>
      <c r="J238" s="125" t="s">
        <v>1074</v>
      </c>
      <c r="K238" s="125" t="s">
        <v>2030</v>
      </c>
      <c r="L238" s="151" t="s">
        <v>2036</v>
      </c>
      <c r="M238" s="151" t="s">
        <v>2042</v>
      </c>
      <c r="N238" s="151" t="s">
        <v>2050</v>
      </c>
      <c r="O238" s="148">
        <v>0</v>
      </c>
      <c r="P238" s="151">
        <v>0</v>
      </c>
      <c r="Q238" s="148">
        <v>0</v>
      </c>
      <c r="R238" t="s">
        <v>9846</v>
      </c>
      <c r="S238" s="125" t="s">
        <v>7</v>
      </c>
      <c r="T238" s="125" t="s">
        <v>1809</v>
      </c>
      <c r="U238" s="125" t="s">
        <v>36</v>
      </c>
      <c r="V238" t="s">
        <v>9846</v>
      </c>
      <c r="W238" s="125" t="s">
        <v>35</v>
      </c>
      <c r="X238" s="125" t="s">
        <v>1643</v>
      </c>
      <c r="Y238" s="125" t="s">
        <v>1100</v>
      </c>
      <c r="Z238" s="125" t="s">
        <v>7</v>
      </c>
      <c r="AA238" s="125" t="s">
        <v>7</v>
      </c>
      <c r="AB238" s="125" t="s">
        <v>7</v>
      </c>
      <c r="AC238" s="117" t="s">
        <v>7</v>
      </c>
      <c r="AD238" s="125" t="s">
        <v>1100</v>
      </c>
      <c r="AE238" s="132" t="s">
        <v>1782</v>
      </c>
      <c r="AF238" s="132" t="s">
        <v>35</v>
      </c>
      <c r="AG238" s="132" t="s">
        <v>1330</v>
      </c>
      <c r="AH238" s="117" t="s">
        <v>35</v>
      </c>
      <c r="AI238" s="125" t="s">
        <v>1849</v>
      </c>
    </row>
    <row r="239" spans="1:35">
      <c r="A239" s="125" t="s">
        <v>308</v>
      </c>
      <c r="B239" s="126">
        <v>42892</v>
      </c>
      <c r="C239" s="127" t="s">
        <v>823</v>
      </c>
      <c r="D239" s="125" t="s">
        <v>316</v>
      </c>
      <c r="E239" s="127" t="s">
        <v>1922</v>
      </c>
      <c r="F239" t="s">
        <v>1855</v>
      </c>
      <c r="G239" s="125" t="s">
        <v>3</v>
      </c>
      <c r="H239" s="129">
        <v>35717</v>
      </c>
      <c r="I239" s="125" t="s">
        <v>5</v>
      </c>
      <c r="J239" s="125" t="s">
        <v>1074</v>
      </c>
      <c r="K239" s="125" t="s">
        <v>1120</v>
      </c>
      <c r="L239" s="151" t="s">
        <v>2036</v>
      </c>
      <c r="M239" s="151" t="s">
        <v>2042</v>
      </c>
      <c r="N239" s="151" t="s">
        <v>2050</v>
      </c>
      <c r="O239" s="148">
        <v>0</v>
      </c>
      <c r="P239" s="151">
        <v>0</v>
      </c>
      <c r="Q239" s="148">
        <v>0</v>
      </c>
      <c r="R239" t="s">
        <v>9846</v>
      </c>
      <c r="S239" s="125" t="s">
        <v>7</v>
      </c>
      <c r="T239" s="125" t="s">
        <v>1809</v>
      </c>
      <c r="U239" s="125" t="s">
        <v>36</v>
      </c>
      <c r="V239" t="s">
        <v>9846</v>
      </c>
      <c r="W239" s="125" t="s">
        <v>35</v>
      </c>
      <c r="X239" s="125" t="s">
        <v>1643</v>
      </c>
      <c r="Y239" s="125" t="s">
        <v>1100</v>
      </c>
      <c r="Z239" s="125" t="s">
        <v>7</v>
      </c>
      <c r="AA239" t="s">
        <v>1244</v>
      </c>
      <c r="AB239" s="125" t="s">
        <v>7</v>
      </c>
      <c r="AC239" s="117" t="s">
        <v>7</v>
      </c>
      <c r="AD239" s="125" t="s">
        <v>9</v>
      </c>
      <c r="AE239" s="132" t="s">
        <v>1162</v>
      </c>
      <c r="AF239" s="132" t="s">
        <v>35</v>
      </c>
      <c r="AG239" s="132" t="s">
        <v>1166</v>
      </c>
      <c r="AH239" s="117" t="s">
        <v>35</v>
      </c>
      <c r="AI239" s="125" t="s">
        <v>1849</v>
      </c>
    </row>
    <row r="240" spans="1:35">
      <c r="A240" s="125" t="s">
        <v>309</v>
      </c>
      <c r="B240" s="126">
        <v>42921</v>
      </c>
      <c r="C240" s="127" t="s">
        <v>823</v>
      </c>
      <c r="D240" s="125" t="s">
        <v>316</v>
      </c>
      <c r="E240" s="127" t="s">
        <v>829</v>
      </c>
      <c r="F240" t="s">
        <v>1855</v>
      </c>
      <c r="G240" s="125" t="s">
        <v>3</v>
      </c>
      <c r="H240" s="129">
        <v>35026</v>
      </c>
      <c r="I240" s="125" t="s">
        <v>4</v>
      </c>
      <c r="J240" s="125" t="s">
        <v>1074</v>
      </c>
      <c r="K240" s="125" t="s">
        <v>1264</v>
      </c>
      <c r="L240" s="151" t="s">
        <v>2037</v>
      </c>
      <c r="M240" s="151">
        <v>0</v>
      </c>
      <c r="N240" s="151" t="s">
        <v>2051</v>
      </c>
      <c r="O240" s="148">
        <v>0</v>
      </c>
      <c r="P240" s="151">
        <v>0</v>
      </c>
      <c r="Q240" s="148">
        <v>0</v>
      </c>
      <c r="R240" t="s">
        <v>9843</v>
      </c>
      <c r="S240" s="125" t="s">
        <v>7</v>
      </c>
      <c r="T240" s="125" t="s">
        <v>1923</v>
      </c>
      <c r="U240" s="125" t="s">
        <v>36</v>
      </c>
      <c r="V240" t="s">
        <v>9843</v>
      </c>
      <c r="W240" s="125" t="s">
        <v>35</v>
      </c>
      <c r="X240" s="125" t="s">
        <v>7</v>
      </c>
      <c r="Y240" s="125" t="s">
        <v>9</v>
      </c>
      <c r="Z240" s="125" t="s">
        <v>7</v>
      </c>
      <c r="AA240" s="125" t="s">
        <v>7</v>
      </c>
      <c r="AB240" s="125" t="s">
        <v>7</v>
      </c>
      <c r="AC240" t="s">
        <v>9870</v>
      </c>
      <c r="AD240" s="125" t="s">
        <v>10</v>
      </c>
      <c r="AE240" s="125" t="s">
        <v>35</v>
      </c>
      <c r="AF240" s="125" t="s">
        <v>35</v>
      </c>
      <c r="AG240" s="125" t="s">
        <v>10</v>
      </c>
      <c r="AH240" t="s">
        <v>9851</v>
      </c>
      <c r="AI240" s="117" t="s">
        <v>35</v>
      </c>
    </row>
    <row r="241" spans="1:35">
      <c r="A241" s="125" t="s">
        <v>310</v>
      </c>
      <c r="B241" s="126">
        <v>42976</v>
      </c>
      <c r="C241" s="127" t="s">
        <v>823</v>
      </c>
      <c r="D241" s="125" t="s">
        <v>316</v>
      </c>
      <c r="E241" s="127" t="s">
        <v>830</v>
      </c>
      <c r="F241" t="s">
        <v>1855</v>
      </c>
      <c r="G241" s="125" t="s">
        <v>3</v>
      </c>
      <c r="H241" s="126">
        <v>34081</v>
      </c>
      <c r="I241" s="125" t="s">
        <v>5</v>
      </c>
      <c r="J241" s="125" t="s">
        <v>48</v>
      </c>
      <c r="K241" s="132" t="s">
        <v>1186</v>
      </c>
      <c r="L241" s="154" t="s">
        <v>9977</v>
      </c>
      <c r="M241" s="154" t="s">
        <v>9978</v>
      </c>
      <c r="N241" s="154" t="s">
        <v>9979</v>
      </c>
      <c r="O241" s="148">
        <v>0</v>
      </c>
      <c r="P241" s="151">
        <v>0</v>
      </c>
      <c r="Q241" s="148">
        <v>0</v>
      </c>
      <c r="R241" t="s">
        <v>9843</v>
      </c>
      <c r="S241" s="125" t="s">
        <v>7</v>
      </c>
      <c r="T241" s="125" t="s">
        <v>1809</v>
      </c>
      <c r="U241" s="125" t="s">
        <v>36</v>
      </c>
      <c r="V241" t="s">
        <v>9843</v>
      </c>
      <c r="W241" s="125" t="s">
        <v>35</v>
      </c>
      <c r="X241" s="125" t="s">
        <v>7</v>
      </c>
      <c r="Y241" s="125" t="s">
        <v>9</v>
      </c>
      <c r="Z241" s="125" t="s">
        <v>7</v>
      </c>
      <c r="AA241" s="125" t="s">
        <v>7</v>
      </c>
      <c r="AB241" s="125" t="s">
        <v>7</v>
      </c>
      <c r="AC241" t="s">
        <v>9870</v>
      </c>
      <c r="AD241" s="125" t="s">
        <v>10</v>
      </c>
      <c r="AE241" s="125" t="s">
        <v>35</v>
      </c>
      <c r="AF241" s="125" t="s">
        <v>35</v>
      </c>
      <c r="AG241" s="125" t="s">
        <v>10</v>
      </c>
      <c r="AH241" s="117" t="s">
        <v>7</v>
      </c>
      <c r="AI241" s="125" t="s">
        <v>1849</v>
      </c>
    </row>
    <row r="242" spans="1:35">
      <c r="A242" s="125" t="s">
        <v>311</v>
      </c>
      <c r="B242" s="126">
        <v>42909</v>
      </c>
      <c r="C242" s="127" t="s">
        <v>825</v>
      </c>
      <c r="D242" s="125" t="s">
        <v>316</v>
      </c>
      <c r="E242" s="127" t="s">
        <v>1924</v>
      </c>
      <c r="F242" t="s">
        <v>1855</v>
      </c>
      <c r="G242" s="125" t="s">
        <v>3</v>
      </c>
      <c r="H242" s="129">
        <v>34695</v>
      </c>
      <c r="I242" s="125" t="s">
        <v>4</v>
      </c>
      <c r="J242" s="125" t="s">
        <v>1101</v>
      </c>
      <c r="K242" s="125" t="s">
        <v>1925</v>
      </c>
      <c r="L242" s="151">
        <v>0</v>
      </c>
      <c r="M242" s="151" t="s">
        <v>2043</v>
      </c>
      <c r="N242" s="151">
        <v>0</v>
      </c>
      <c r="O242" s="148">
        <v>0</v>
      </c>
      <c r="P242" s="151">
        <v>0</v>
      </c>
      <c r="Q242" s="148">
        <v>0</v>
      </c>
      <c r="R242" t="s">
        <v>9843</v>
      </c>
      <c r="S242" s="125" t="s">
        <v>7</v>
      </c>
      <c r="T242" s="125" t="s">
        <v>1410</v>
      </c>
      <c r="U242" s="125" t="s">
        <v>36</v>
      </c>
      <c r="V242" t="s">
        <v>9843</v>
      </c>
      <c r="W242" s="125" t="s">
        <v>35</v>
      </c>
      <c r="X242" s="125" t="s">
        <v>7</v>
      </c>
      <c r="Y242" s="125" t="s">
        <v>9</v>
      </c>
      <c r="Z242" s="125" t="s">
        <v>7</v>
      </c>
      <c r="AA242" s="125" t="s">
        <v>7</v>
      </c>
      <c r="AB242" s="125" t="s">
        <v>7</v>
      </c>
      <c r="AC242" t="s">
        <v>9870</v>
      </c>
      <c r="AD242" s="125" t="s">
        <v>10</v>
      </c>
      <c r="AE242" s="125" t="s">
        <v>35</v>
      </c>
      <c r="AF242" s="125" t="s">
        <v>35</v>
      </c>
      <c r="AG242" s="125" t="s">
        <v>10</v>
      </c>
      <c r="AH242" s="117" t="s">
        <v>7</v>
      </c>
      <c r="AI242" s="125" t="s">
        <v>1849</v>
      </c>
    </row>
    <row r="243" spans="1:35">
      <c r="A243" s="125" t="s">
        <v>312</v>
      </c>
      <c r="B243" s="126">
        <v>42753</v>
      </c>
      <c r="C243" s="127" t="s">
        <v>823</v>
      </c>
      <c r="D243" s="125" t="s">
        <v>316</v>
      </c>
      <c r="E243" s="127" t="s">
        <v>1926</v>
      </c>
      <c r="F243" s="125" t="s">
        <v>76</v>
      </c>
      <c r="G243" s="125" t="s">
        <v>515</v>
      </c>
      <c r="H243" s="126">
        <v>30088</v>
      </c>
      <c r="I243" s="125" t="s">
        <v>5</v>
      </c>
      <c r="J243" s="125" t="s">
        <v>48</v>
      </c>
      <c r="K243" s="125" t="s">
        <v>1998</v>
      </c>
      <c r="L243" s="151" t="s">
        <v>2038</v>
      </c>
      <c r="M243" s="151" t="s">
        <v>2044</v>
      </c>
      <c r="N243" s="151">
        <v>0</v>
      </c>
      <c r="O243" s="148">
        <v>0</v>
      </c>
      <c r="P243" s="151">
        <v>0</v>
      </c>
      <c r="Q243" s="148">
        <v>0</v>
      </c>
      <c r="R243" t="s">
        <v>9843</v>
      </c>
      <c r="S243" s="125" t="s">
        <v>7</v>
      </c>
      <c r="T243" s="125" t="s">
        <v>1921</v>
      </c>
      <c r="U243" s="125" t="s">
        <v>36</v>
      </c>
      <c r="V243" t="s">
        <v>9843</v>
      </c>
      <c r="W243" s="125" t="s">
        <v>35</v>
      </c>
      <c r="X243" s="125" t="s">
        <v>9866</v>
      </c>
      <c r="Y243" s="125" t="s">
        <v>1080</v>
      </c>
      <c r="Z243" s="125" t="s">
        <v>7</v>
      </c>
      <c r="AA243" s="117" t="s">
        <v>1111</v>
      </c>
      <c r="AB243" s="125" t="s">
        <v>7</v>
      </c>
      <c r="AC243" t="s">
        <v>9871</v>
      </c>
      <c r="AD243" s="125" t="s">
        <v>1847</v>
      </c>
      <c r="AE243" s="125" t="s">
        <v>35</v>
      </c>
      <c r="AF243" s="125" t="s">
        <v>35</v>
      </c>
      <c r="AG243" s="125" t="s">
        <v>1847</v>
      </c>
      <c r="AH243" s="117" t="s">
        <v>7</v>
      </c>
      <c r="AI243" s="125" t="s">
        <v>1849</v>
      </c>
    </row>
    <row r="244" spans="1:35">
      <c r="A244" s="125" t="s">
        <v>313</v>
      </c>
      <c r="B244" s="126">
        <v>42937</v>
      </c>
      <c r="C244" s="127" t="s">
        <v>825</v>
      </c>
      <c r="D244" s="125" t="s">
        <v>316</v>
      </c>
      <c r="E244" s="127" t="s">
        <v>833</v>
      </c>
      <c r="F244" t="s">
        <v>1855</v>
      </c>
      <c r="G244" s="125" t="s">
        <v>3</v>
      </c>
      <c r="H244" s="126">
        <v>35959</v>
      </c>
      <c r="I244" s="125" t="s">
        <v>4</v>
      </c>
      <c r="J244" s="125" t="s">
        <v>1101</v>
      </c>
      <c r="K244" s="125" t="s">
        <v>1927</v>
      </c>
      <c r="L244" s="151" t="s">
        <v>1073</v>
      </c>
      <c r="M244" s="151" t="s">
        <v>2045</v>
      </c>
      <c r="N244" s="151">
        <v>0</v>
      </c>
      <c r="O244" s="148">
        <v>0</v>
      </c>
      <c r="P244" s="151">
        <v>0</v>
      </c>
      <c r="Q244" s="148">
        <v>0</v>
      </c>
      <c r="R244" t="s">
        <v>9843</v>
      </c>
      <c r="S244" s="125" t="s">
        <v>7</v>
      </c>
      <c r="T244" s="125" t="s">
        <v>1928</v>
      </c>
      <c r="U244" s="125" t="s">
        <v>36</v>
      </c>
      <c r="V244" t="s">
        <v>9843</v>
      </c>
      <c r="W244" s="125" t="s">
        <v>35</v>
      </c>
      <c r="X244" s="125" t="s">
        <v>7</v>
      </c>
      <c r="Y244" s="125" t="s">
        <v>9</v>
      </c>
      <c r="Z244" s="125" t="s">
        <v>7</v>
      </c>
      <c r="AA244" s="125" t="s">
        <v>7</v>
      </c>
      <c r="AB244" s="125" t="s">
        <v>7</v>
      </c>
      <c r="AC244" t="s">
        <v>9870</v>
      </c>
      <c r="AD244" s="125" t="s">
        <v>10</v>
      </c>
      <c r="AE244" s="125" t="s">
        <v>35</v>
      </c>
      <c r="AF244" s="125" t="s">
        <v>35</v>
      </c>
      <c r="AG244" s="125" t="s">
        <v>10</v>
      </c>
      <c r="AH244" s="117" t="s">
        <v>7</v>
      </c>
      <c r="AI244" s="125" t="s">
        <v>1849</v>
      </c>
    </row>
    <row r="245" spans="1:35">
      <c r="A245" s="125" t="s">
        <v>314</v>
      </c>
      <c r="B245" s="126">
        <v>42824</v>
      </c>
      <c r="C245" s="127" t="s">
        <v>823</v>
      </c>
      <c r="D245" s="125" t="s">
        <v>316</v>
      </c>
      <c r="E245" s="127" t="s">
        <v>834</v>
      </c>
      <c r="F245" t="s">
        <v>1855</v>
      </c>
      <c r="G245" s="125" t="s">
        <v>3</v>
      </c>
      <c r="H245" s="126">
        <v>36001</v>
      </c>
      <c r="I245" s="125" t="s">
        <v>5</v>
      </c>
      <c r="J245" s="125" t="s">
        <v>77</v>
      </c>
      <c r="K245" s="125" t="s">
        <v>2031</v>
      </c>
      <c r="L245" s="151" t="s">
        <v>2039</v>
      </c>
      <c r="M245" s="151" t="s">
        <v>2046</v>
      </c>
      <c r="N245" s="151">
        <v>0</v>
      </c>
      <c r="O245" s="148">
        <v>0</v>
      </c>
      <c r="P245" s="151">
        <v>0</v>
      </c>
      <c r="Q245" s="148">
        <v>0</v>
      </c>
      <c r="R245" t="s">
        <v>9843</v>
      </c>
      <c r="S245" s="125" t="s">
        <v>1136</v>
      </c>
      <c r="T245" s="125" t="s">
        <v>2054</v>
      </c>
      <c r="U245" s="125" t="s">
        <v>6</v>
      </c>
      <c r="V245" s="123" t="s">
        <v>35</v>
      </c>
      <c r="W245" s="123" t="s">
        <v>35</v>
      </c>
      <c r="X245" s="123" t="s">
        <v>35</v>
      </c>
      <c r="Y245" s="123" t="s">
        <v>35</v>
      </c>
      <c r="Z245" s="123" t="s">
        <v>35</v>
      </c>
      <c r="AA245" s="123" t="s">
        <v>35</v>
      </c>
      <c r="AB245" s="123" t="s">
        <v>35</v>
      </c>
      <c r="AC245" s="123" t="s">
        <v>35</v>
      </c>
      <c r="AD245" s="123" t="s">
        <v>35</v>
      </c>
      <c r="AE245" s="125" t="s">
        <v>35</v>
      </c>
      <c r="AF245" s="123" t="s">
        <v>35</v>
      </c>
      <c r="AG245" s="123" t="s">
        <v>35</v>
      </c>
      <c r="AH245" s="123" t="s">
        <v>35</v>
      </c>
      <c r="AI245" s="123" t="s">
        <v>35</v>
      </c>
    </row>
    <row r="246" spans="1:35">
      <c r="A246" s="125" t="s">
        <v>315</v>
      </c>
      <c r="B246" s="126">
        <v>43040</v>
      </c>
      <c r="C246" s="127" t="s">
        <v>823</v>
      </c>
      <c r="D246" s="125" t="s">
        <v>316</v>
      </c>
      <c r="E246" s="127" t="s">
        <v>1929</v>
      </c>
      <c r="F246" t="s">
        <v>1855</v>
      </c>
      <c r="G246" s="125" t="s">
        <v>3</v>
      </c>
      <c r="H246" s="126">
        <v>35107</v>
      </c>
      <c r="I246" s="125" t="s">
        <v>1093</v>
      </c>
      <c r="J246" s="125" t="s">
        <v>1101</v>
      </c>
      <c r="K246" s="125" t="s">
        <v>2032</v>
      </c>
      <c r="L246" s="151" t="s">
        <v>2040</v>
      </c>
      <c r="M246" s="151" t="s">
        <v>2047</v>
      </c>
      <c r="N246" s="151">
        <v>0</v>
      </c>
      <c r="O246" s="148">
        <v>0</v>
      </c>
      <c r="P246" s="151">
        <v>0</v>
      </c>
      <c r="Q246" s="148" t="s">
        <v>2052</v>
      </c>
      <c r="R246" t="s">
        <v>9843</v>
      </c>
      <c r="S246" s="125" t="s">
        <v>7</v>
      </c>
      <c r="T246" s="125" t="s">
        <v>2055</v>
      </c>
      <c r="U246" s="125" t="s">
        <v>36</v>
      </c>
      <c r="V246" t="s">
        <v>9843</v>
      </c>
      <c r="W246" s="125" t="s">
        <v>35</v>
      </c>
      <c r="X246" s="125" t="s">
        <v>7</v>
      </c>
      <c r="Y246" s="125" t="s">
        <v>9</v>
      </c>
      <c r="Z246" s="125" t="s">
        <v>7</v>
      </c>
      <c r="AA246" s="125" t="s">
        <v>7</v>
      </c>
      <c r="AB246" s="125" t="s">
        <v>7</v>
      </c>
      <c r="AC246" t="s">
        <v>9870</v>
      </c>
      <c r="AD246" s="125" t="s">
        <v>10</v>
      </c>
      <c r="AE246" s="125" t="s">
        <v>35</v>
      </c>
      <c r="AF246" s="125" t="s">
        <v>35</v>
      </c>
      <c r="AG246" s="125" t="s">
        <v>10</v>
      </c>
      <c r="AH246" s="117" t="s">
        <v>7</v>
      </c>
      <c r="AI246" s="117" t="s">
        <v>1114</v>
      </c>
    </row>
    <row r="247" spans="1:35">
      <c r="A247" s="135" t="s">
        <v>319</v>
      </c>
      <c r="B247" s="124" t="s">
        <v>498</v>
      </c>
      <c r="C247" s="86" t="s">
        <v>836</v>
      </c>
      <c r="D247" s="135" t="s">
        <v>323</v>
      </c>
      <c r="E247" s="86" t="s">
        <v>839</v>
      </c>
      <c r="F247" t="s">
        <v>1855</v>
      </c>
      <c r="G247" s="135" t="s">
        <v>3</v>
      </c>
      <c r="H247" s="126">
        <v>34141</v>
      </c>
      <c r="I247" s="136" t="s">
        <v>4</v>
      </c>
      <c r="J247" s="136" t="s">
        <v>41</v>
      </c>
      <c r="K247" s="136" t="s">
        <v>1867</v>
      </c>
      <c r="L247" s="151" t="s">
        <v>1943</v>
      </c>
      <c r="M247" s="151">
        <v>0</v>
      </c>
      <c r="N247" s="151">
        <v>0</v>
      </c>
      <c r="O247" s="148">
        <v>0</v>
      </c>
      <c r="P247" s="151">
        <v>0</v>
      </c>
      <c r="Q247" s="148">
        <v>0</v>
      </c>
      <c r="R247" t="s">
        <v>9843</v>
      </c>
      <c r="S247" s="136" t="s">
        <v>7</v>
      </c>
      <c r="T247" s="136" t="s">
        <v>1638</v>
      </c>
      <c r="U247" s="137" t="s">
        <v>51</v>
      </c>
      <c r="V247" s="136" t="s">
        <v>52</v>
      </c>
      <c r="W247" s="136" t="s">
        <v>35</v>
      </c>
      <c r="X247" s="136" t="s">
        <v>35</v>
      </c>
      <c r="Y247" s="136" t="s">
        <v>35</v>
      </c>
      <c r="Z247" s="136" t="s">
        <v>35</v>
      </c>
      <c r="AA247" s="136" t="s">
        <v>35</v>
      </c>
      <c r="AB247" s="136" t="s">
        <v>35</v>
      </c>
      <c r="AC247" s="136" t="s">
        <v>35</v>
      </c>
      <c r="AD247" s="136" t="s">
        <v>35</v>
      </c>
      <c r="AE247" t="s">
        <v>7</v>
      </c>
      <c r="AF247" s="136" t="s">
        <v>35</v>
      </c>
      <c r="AG247" s="136" t="s">
        <v>35</v>
      </c>
      <c r="AH247" s="136" t="s">
        <v>35</v>
      </c>
      <c r="AI247" s="136" t="s">
        <v>35</v>
      </c>
    </row>
    <row r="248" spans="1:35" s="127" customFormat="1" ht="15.75" customHeight="1">
      <c r="A248" s="135" t="s">
        <v>321</v>
      </c>
      <c r="B248" s="124" t="s">
        <v>841</v>
      </c>
      <c r="C248" s="86" t="s">
        <v>107</v>
      </c>
      <c r="D248" s="127" t="s">
        <v>323</v>
      </c>
      <c r="E248" s="86" t="s">
        <v>842</v>
      </c>
      <c r="F248" t="s">
        <v>1855</v>
      </c>
      <c r="G248" s="135" t="s">
        <v>3</v>
      </c>
      <c r="H248" s="126">
        <v>29032</v>
      </c>
      <c r="I248" s="136" t="s">
        <v>1093</v>
      </c>
      <c r="J248" s="136" t="s">
        <v>1101</v>
      </c>
      <c r="K248" s="136" t="s">
        <v>1186</v>
      </c>
      <c r="L248" s="154" t="s">
        <v>9980</v>
      </c>
      <c r="M248" s="151">
        <v>0</v>
      </c>
      <c r="N248" s="151">
        <v>0</v>
      </c>
      <c r="O248" s="148">
        <v>0</v>
      </c>
      <c r="P248" s="151">
        <v>0</v>
      </c>
      <c r="Q248" s="148">
        <v>0</v>
      </c>
      <c r="R248" t="s">
        <v>9843</v>
      </c>
      <c r="S248" s="136" t="s">
        <v>7</v>
      </c>
      <c r="T248" s="136" t="s">
        <v>1173</v>
      </c>
      <c r="U248" s="136" t="s">
        <v>36</v>
      </c>
      <c r="V248" t="s">
        <v>9843</v>
      </c>
      <c r="W248" s="136" t="s">
        <v>35</v>
      </c>
      <c r="X248" s="136" t="s">
        <v>7</v>
      </c>
      <c r="Y248" s="136" t="s">
        <v>9</v>
      </c>
      <c r="Z248" s="136" t="s">
        <v>7</v>
      </c>
      <c r="AA248" s="136" t="s">
        <v>7</v>
      </c>
      <c r="AB248" s="136" t="s">
        <v>7</v>
      </c>
      <c r="AC248" t="s">
        <v>9870</v>
      </c>
      <c r="AD248" s="136" t="s">
        <v>10</v>
      </c>
      <c r="AE248" s="136" t="s">
        <v>35</v>
      </c>
      <c r="AF248" s="136" t="s">
        <v>35</v>
      </c>
      <c r="AG248" s="136" t="s">
        <v>10</v>
      </c>
      <c r="AH248" s="117" t="s">
        <v>7</v>
      </c>
      <c r="AI248" s="136" t="s">
        <v>37</v>
      </c>
    </row>
    <row r="249" spans="1:35" s="127" customFormat="1" ht="15.75" customHeight="1">
      <c r="A249" s="136" t="s">
        <v>1869</v>
      </c>
      <c r="B249" s="126">
        <v>42964</v>
      </c>
      <c r="C249" s="127" t="s">
        <v>836</v>
      </c>
      <c r="D249" s="136" t="s">
        <v>323</v>
      </c>
      <c r="E249" s="127" t="s">
        <v>1873</v>
      </c>
      <c r="F249" t="s">
        <v>1855</v>
      </c>
      <c r="G249" s="136" t="s">
        <v>3</v>
      </c>
      <c r="H249" s="126">
        <v>34879</v>
      </c>
      <c r="I249" s="136" t="s">
        <v>4</v>
      </c>
      <c r="J249" s="136" t="s">
        <v>48</v>
      </c>
      <c r="K249" s="136" t="s">
        <v>1874</v>
      </c>
      <c r="L249" s="151" t="s">
        <v>1942</v>
      </c>
      <c r="M249" s="151" t="s">
        <v>1946</v>
      </c>
      <c r="N249" s="151" t="s">
        <v>1947</v>
      </c>
      <c r="O249" s="148">
        <v>0</v>
      </c>
      <c r="P249" s="151">
        <v>0</v>
      </c>
      <c r="Q249" s="151" t="s">
        <v>10084</v>
      </c>
      <c r="R249" t="s">
        <v>9843</v>
      </c>
      <c r="S249" s="136" t="s">
        <v>7</v>
      </c>
      <c r="T249" s="136" t="s">
        <v>1875</v>
      </c>
      <c r="U249" s="136" t="s">
        <v>6</v>
      </c>
      <c r="V249" s="136" t="s">
        <v>35</v>
      </c>
      <c r="W249" s="136" t="s">
        <v>35</v>
      </c>
      <c r="X249" s="136" t="s">
        <v>35</v>
      </c>
      <c r="Y249" s="136" t="s">
        <v>35</v>
      </c>
      <c r="Z249" s="136" t="s">
        <v>35</v>
      </c>
      <c r="AA249" s="136" t="s">
        <v>35</v>
      </c>
      <c r="AB249" s="136" t="s">
        <v>35</v>
      </c>
      <c r="AC249" s="136" t="s">
        <v>35</v>
      </c>
      <c r="AD249" s="136" t="s">
        <v>35</v>
      </c>
      <c r="AE249" s="136" t="s">
        <v>35</v>
      </c>
      <c r="AF249" s="136" t="s">
        <v>35</v>
      </c>
      <c r="AG249" s="136" t="s">
        <v>35</v>
      </c>
      <c r="AH249" s="136" t="s">
        <v>35</v>
      </c>
      <c r="AI249" s="136" t="s">
        <v>35</v>
      </c>
    </row>
    <row r="250" spans="1:35">
      <c r="A250" s="136" t="s">
        <v>1871</v>
      </c>
      <c r="B250" s="126">
        <v>42884</v>
      </c>
      <c r="C250" s="127" t="s">
        <v>836</v>
      </c>
      <c r="D250" s="128" t="s">
        <v>323</v>
      </c>
      <c r="E250" s="127" t="s">
        <v>1876</v>
      </c>
      <c r="F250" s="136" t="s">
        <v>76</v>
      </c>
      <c r="G250" s="136" t="s">
        <v>3</v>
      </c>
      <c r="H250" s="126">
        <v>29074</v>
      </c>
      <c r="I250" s="136" t="s">
        <v>1093</v>
      </c>
      <c r="J250" s="136" t="s">
        <v>48</v>
      </c>
      <c r="K250" s="136" t="s">
        <v>1938</v>
      </c>
      <c r="L250" s="151" t="s">
        <v>1940</v>
      </c>
      <c r="M250" s="151" t="s">
        <v>1945</v>
      </c>
      <c r="N250" s="151" t="s">
        <v>1948</v>
      </c>
      <c r="O250" s="148">
        <v>0</v>
      </c>
      <c r="P250" s="151">
        <v>0</v>
      </c>
      <c r="Q250" s="148">
        <v>0</v>
      </c>
      <c r="R250" s="125" t="s">
        <v>9845</v>
      </c>
      <c r="S250" t="s">
        <v>1956</v>
      </c>
      <c r="T250" s="138" t="s">
        <v>1276</v>
      </c>
      <c r="U250" s="136" t="s">
        <v>78</v>
      </c>
      <c r="V250" t="s">
        <v>9843</v>
      </c>
      <c r="W250" t="s">
        <v>1956</v>
      </c>
      <c r="X250" s="136" t="s">
        <v>1104</v>
      </c>
      <c r="Y250" s="136" t="s">
        <v>1100</v>
      </c>
      <c r="Z250" s="136" t="s">
        <v>7</v>
      </c>
      <c r="AA250" s="117" t="s">
        <v>1111</v>
      </c>
      <c r="AB250" s="136" t="s">
        <v>7</v>
      </c>
      <c r="AC250" s="117" t="s">
        <v>9872</v>
      </c>
      <c r="AD250" s="136" t="s">
        <v>9</v>
      </c>
      <c r="AE250" s="136" t="s">
        <v>35</v>
      </c>
      <c r="AF250" s="136" t="s">
        <v>44</v>
      </c>
      <c r="AG250" s="142" t="s">
        <v>1163</v>
      </c>
      <c r="AH250" s="117" t="s">
        <v>35</v>
      </c>
      <c r="AI250" s="125" t="s">
        <v>1849</v>
      </c>
    </row>
    <row r="251" spans="1:35">
      <c r="A251" s="136" t="s">
        <v>1871</v>
      </c>
      <c r="B251" s="126">
        <v>42884</v>
      </c>
      <c r="C251" s="127" t="s">
        <v>836</v>
      </c>
      <c r="D251" s="136" t="s">
        <v>323</v>
      </c>
      <c r="E251" s="127" t="s">
        <v>1877</v>
      </c>
      <c r="F251" s="136" t="s">
        <v>76</v>
      </c>
      <c r="G251" s="136" t="s">
        <v>515</v>
      </c>
      <c r="H251" s="126">
        <v>27516</v>
      </c>
      <c r="I251" s="136" t="s">
        <v>5</v>
      </c>
      <c r="J251" s="136" t="s">
        <v>41</v>
      </c>
      <c r="K251" s="136" t="s">
        <v>1210</v>
      </c>
      <c r="L251" s="151" t="s">
        <v>1940</v>
      </c>
      <c r="M251" s="151" t="s">
        <v>1945</v>
      </c>
      <c r="N251" s="151" t="s">
        <v>1948</v>
      </c>
      <c r="O251" s="148">
        <v>0</v>
      </c>
      <c r="P251" s="151">
        <v>0</v>
      </c>
      <c r="Q251" s="148">
        <v>0</v>
      </c>
      <c r="R251" s="125" t="s">
        <v>9845</v>
      </c>
      <c r="S251" t="s">
        <v>1956</v>
      </c>
      <c r="T251" s="139" t="s">
        <v>1122</v>
      </c>
      <c r="U251" s="136" t="s">
        <v>78</v>
      </c>
      <c r="V251" t="s">
        <v>9843</v>
      </c>
      <c r="W251" s="136" t="s">
        <v>7</v>
      </c>
      <c r="X251" s="136" t="s">
        <v>7</v>
      </c>
      <c r="Y251" s="136" t="s">
        <v>9</v>
      </c>
      <c r="Z251" s="136" t="s">
        <v>7</v>
      </c>
      <c r="AA251" s="136" t="s">
        <v>7</v>
      </c>
      <c r="AB251" s="136" t="s">
        <v>7</v>
      </c>
      <c r="AC251" t="s">
        <v>9871</v>
      </c>
      <c r="AD251" s="136" t="s">
        <v>1162</v>
      </c>
      <c r="AE251" s="136" t="s">
        <v>35</v>
      </c>
      <c r="AF251" s="136" t="s">
        <v>35</v>
      </c>
      <c r="AG251" s="136" t="s">
        <v>1162</v>
      </c>
      <c r="AH251" s="117" t="s">
        <v>7</v>
      </c>
      <c r="AI251" s="136" t="s">
        <v>37</v>
      </c>
    </row>
    <row r="252" spans="1:35">
      <c r="A252" s="136" t="s">
        <v>1871</v>
      </c>
      <c r="B252" s="126">
        <v>42884</v>
      </c>
      <c r="C252" s="127" t="s">
        <v>836</v>
      </c>
      <c r="D252" s="136" t="s">
        <v>323</v>
      </c>
      <c r="E252" s="127" t="s">
        <v>1878</v>
      </c>
      <c r="F252" s="136" t="s">
        <v>76</v>
      </c>
      <c r="G252" s="136" t="s">
        <v>515</v>
      </c>
      <c r="H252" s="126">
        <v>35346</v>
      </c>
      <c r="I252" s="136" t="s">
        <v>4</v>
      </c>
      <c r="J252" s="136" t="s">
        <v>41</v>
      </c>
      <c r="K252" s="136" t="s">
        <v>1210</v>
      </c>
      <c r="L252" s="151" t="s">
        <v>1940</v>
      </c>
      <c r="M252" s="151" t="s">
        <v>1945</v>
      </c>
      <c r="N252" s="151" t="s">
        <v>1948</v>
      </c>
      <c r="O252" s="148">
        <v>0</v>
      </c>
      <c r="P252" s="151">
        <v>0</v>
      </c>
      <c r="Q252" s="148">
        <v>0</v>
      </c>
      <c r="R252" s="125" t="s">
        <v>9845</v>
      </c>
      <c r="S252" t="s">
        <v>1956</v>
      </c>
      <c r="T252" s="139" t="s">
        <v>1122</v>
      </c>
      <c r="U252" s="136" t="s">
        <v>78</v>
      </c>
      <c r="V252" t="s">
        <v>9843</v>
      </c>
      <c r="W252" s="136" t="s">
        <v>7</v>
      </c>
      <c r="X252" s="136" t="s">
        <v>7</v>
      </c>
      <c r="Y252" s="136" t="s">
        <v>9</v>
      </c>
      <c r="Z252" s="136" t="s">
        <v>7</v>
      </c>
      <c r="AA252" s="136" t="s">
        <v>7</v>
      </c>
      <c r="AB252" s="136" t="s">
        <v>7</v>
      </c>
      <c r="AC252" t="s">
        <v>9871</v>
      </c>
      <c r="AD252" s="136" t="s">
        <v>1162</v>
      </c>
      <c r="AE252" s="136" t="s">
        <v>35</v>
      </c>
      <c r="AF252" s="136" t="s">
        <v>35</v>
      </c>
      <c r="AG252" s="136" t="s">
        <v>1162</v>
      </c>
      <c r="AH252" s="117" t="s">
        <v>7</v>
      </c>
      <c r="AI252" s="136" t="s">
        <v>37</v>
      </c>
    </row>
    <row r="253" spans="1:35">
      <c r="A253" s="136" t="s">
        <v>1872</v>
      </c>
      <c r="B253" s="126">
        <v>42832</v>
      </c>
      <c r="C253" s="127" t="s">
        <v>836</v>
      </c>
      <c r="D253" s="136" t="s">
        <v>323</v>
      </c>
      <c r="E253" s="136" t="s">
        <v>1879</v>
      </c>
      <c r="F253" t="s">
        <v>1855</v>
      </c>
      <c r="G253" s="136" t="s">
        <v>3</v>
      </c>
      <c r="H253" s="126">
        <v>34765</v>
      </c>
      <c r="I253" s="136" t="s">
        <v>18</v>
      </c>
      <c r="J253" s="136" t="s">
        <v>48</v>
      </c>
      <c r="K253" s="136" t="s">
        <v>1939</v>
      </c>
      <c r="L253" s="151" t="s">
        <v>1941</v>
      </c>
      <c r="M253" s="151" t="s">
        <v>1944</v>
      </c>
      <c r="N253" s="151" t="s">
        <v>1949</v>
      </c>
      <c r="O253" s="148">
        <v>0</v>
      </c>
      <c r="P253" s="151">
        <v>0</v>
      </c>
      <c r="Q253" s="148">
        <v>0</v>
      </c>
      <c r="R253" t="s">
        <v>9843</v>
      </c>
      <c r="S253" s="136" t="s">
        <v>1740</v>
      </c>
      <c r="T253" s="136" t="s">
        <v>1173</v>
      </c>
      <c r="U253" s="136" t="s">
        <v>78</v>
      </c>
      <c r="V253" t="s">
        <v>9843</v>
      </c>
      <c r="W253" t="s">
        <v>1956</v>
      </c>
      <c r="X253" s="136" t="s">
        <v>7</v>
      </c>
      <c r="Y253" s="136" t="s">
        <v>9</v>
      </c>
      <c r="Z253" s="136" t="s">
        <v>7</v>
      </c>
      <c r="AA253" s="136" t="s">
        <v>7</v>
      </c>
      <c r="AB253" s="142" t="s">
        <v>69</v>
      </c>
      <c r="AC253" t="s">
        <v>9871</v>
      </c>
      <c r="AD253" s="142" t="s">
        <v>1782</v>
      </c>
      <c r="AE253" s="136" t="s">
        <v>35</v>
      </c>
      <c r="AF253" s="136" t="s">
        <v>69</v>
      </c>
      <c r="AG253" s="142" t="s">
        <v>1782</v>
      </c>
      <c r="AH253" s="117" t="s">
        <v>7</v>
      </c>
      <c r="AI253" s="117" t="s">
        <v>1114</v>
      </c>
    </row>
    <row r="254" spans="1:35">
      <c r="A254" s="136" t="s">
        <v>1872</v>
      </c>
      <c r="B254" s="126">
        <v>42832</v>
      </c>
      <c r="C254" s="127" t="s">
        <v>836</v>
      </c>
      <c r="D254" s="136" t="s">
        <v>323</v>
      </c>
      <c r="E254" s="127" t="s">
        <v>1880</v>
      </c>
      <c r="F254" t="s">
        <v>1855</v>
      </c>
      <c r="G254" s="136" t="s">
        <v>3</v>
      </c>
      <c r="H254" s="126">
        <v>35486</v>
      </c>
      <c r="I254" s="136" t="s">
        <v>5</v>
      </c>
      <c r="J254" s="136" t="s">
        <v>48</v>
      </c>
      <c r="K254" s="136" t="s">
        <v>1939</v>
      </c>
      <c r="L254" s="151" t="s">
        <v>1941</v>
      </c>
      <c r="M254" s="151" t="s">
        <v>1944</v>
      </c>
      <c r="N254" s="151" t="s">
        <v>1949</v>
      </c>
      <c r="O254" s="148">
        <v>0</v>
      </c>
      <c r="P254" s="151">
        <v>0</v>
      </c>
      <c r="Q254" s="148">
        <v>0</v>
      </c>
      <c r="R254" t="s">
        <v>9843</v>
      </c>
      <c r="S254" s="136" t="s">
        <v>1740</v>
      </c>
      <c r="T254" s="136" t="s">
        <v>1173</v>
      </c>
      <c r="U254" s="136" t="s">
        <v>78</v>
      </c>
      <c r="V254" t="s">
        <v>9843</v>
      </c>
      <c r="W254" t="s">
        <v>1956</v>
      </c>
      <c r="X254" s="136" t="s">
        <v>7</v>
      </c>
      <c r="Y254" s="136" t="s">
        <v>9</v>
      </c>
      <c r="Z254" s="136" t="s">
        <v>7</v>
      </c>
      <c r="AA254" s="136" t="s">
        <v>7</v>
      </c>
      <c r="AB254" s="142" t="s">
        <v>69</v>
      </c>
      <c r="AC254" t="s">
        <v>9871</v>
      </c>
      <c r="AD254" s="142" t="s">
        <v>1782</v>
      </c>
      <c r="AE254" s="136" t="s">
        <v>35</v>
      </c>
      <c r="AF254" s="136" t="s">
        <v>69</v>
      </c>
      <c r="AG254" s="142" t="s">
        <v>1782</v>
      </c>
      <c r="AH254" s="117" t="s">
        <v>7</v>
      </c>
      <c r="AI254" s="117" t="s">
        <v>1114</v>
      </c>
    </row>
    <row r="255" spans="1:35">
      <c r="A255" s="136" t="s">
        <v>1872</v>
      </c>
      <c r="B255" s="126">
        <v>42832</v>
      </c>
      <c r="C255" s="127" t="s">
        <v>836</v>
      </c>
      <c r="D255" s="136" t="s">
        <v>323</v>
      </c>
      <c r="E255" s="127" t="s">
        <v>1881</v>
      </c>
      <c r="F255" t="s">
        <v>1855</v>
      </c>
      <c r="G255" s="136" t="s">
        <v>3</v>
      </c>
      <c r="H255" s="126">
        <v>34128</v>
      </c>
      <c r="I255" s="136" t="s">
        <v>5</v>
      </c>
      <c r="J255" s="136" t="s">
        <v>48</v>
      </c>
      <c r="K255" s="136" t="s">
        <v>1939</v>
      </c>
      <c r="L255" s="151" t="s">
        <v>1941</v>
      </c>
      <c r="M255" s="151" t="s">
        <v>1944</v>
      </c>
      <c r="N255" s="151" t="s">
        <v>1949</v>
      </c>
      <c r="O255" s="148">
        <v>0</v>
      </c>
      <c r="P255" s="151">
        <v>0</v>
      </c>
      <c r="Q255" s="148">
        <v>0</v>
      </c>
      <c r="R255" t="s">
        <v>9843</v>
      </c>
      <c r="S255" s="136" t="s">
        <v>1740</v>
      </c>
      <c r="T255" s="136" t="s">
        <v>1173</v>
      </c>
      <c r="U255" s="136" t="s">
        <v>78</v>
      </c>
      <c r="V255" t="s">
        <v>9843</v>
      </c>
      <c r="W255" t="s">
        <v>1956</v>
      </c>
      <c r="X255" s="136" t="s">
        <v>7</v>
      </c>
      <c r="Y255" s="136" t="s">
        <v>9</v>
      </c>
      <c r="Z255" s="136" t="s">
        <v>7</v>
      </c>
      <c r="AA255" s="136" t="s">
        <v>7</v>
      </c>
      <c r="AB255" s="142" t="s">
        <v>69</v>
      </c>
      <c r="AC255" t="s">
        <v>9871</v>
      </c>
      <c r="AD255" s="142" t="s">
        <v>1782</v>
      </c>
      <c r="AE255" s="136" t="s">
        <v>35</v>
      </c>
      <c r="AF255" s="136" t="s">
        <v>69</v>
      </c>
      <c r="AG255" s="142" t="s">
        <v>1782</v>
      </c>
      <c r="AH255" s="117" t="s">
        <v>7</v>
      </c>
      <c r="AI255" s="117" t="s">
        <v>1114</v>
      </c>
    </row>
    <row r="256" spans="1:35">
      <c r="A256" s="140" t="s">
        <v>1882</v>
      </c>
      <c r="B256" s="141" t="s">
        <v>523</v>
      </c>
      <c r="C256" s="140" t="s">
        <v>836</v>
      </c>
      <c r="D256" s="140" t="s">
        <v>323</v>
      </c>
      <c r="E256" s="4" t="s">
        <v>1930</v>
      </c>
      <c r="F256" t="s">
        <v>1855</v>
      </c>
      <c r="G256" s="136" t="s">
        <v>3</v>
      </c>
      <c r="H256" s="131">
        <v>35984</v>
      </c>
      <c r="I256" s="142" t="s">
        <v>5</v>
      </c>
      <c r="J256" s="136" t="s">
        <v>48</v>
      </c>
      <c r="K256" s="142" t="s">
        <v>1487</v>
      </c>
      <c r="L256" s="151" t="s">
        <v>1932</v>
      </c>
      <c r="M256" s="151">
        <v>0</v>
      </c>
      <c r="N256" s="151">
        <v>0</v>
      </c>
      <c r="O256" s="148">
        <v>0</v>
      </c>
      <c r="P256" s="151">
        <v>0</v>
      </c>
      <c r="Q256" s="148">
        <v>0</v>
      </c>
      <c r="R256" t="s">
        <v>9843</v>
      </c>
      <c r="S256" s="142" t="s">
        <v>7</v>
      </c>
      <c r="T256" s="142" t="s">
        <v>1218</v>
      </c>
      <c r="U256" s="142" t="s">
        <v>36</v>
      </c>
      <c r="V256" t="s">
        <v>9843</v>
      </c>
      <c r="W256" s="142" t="s">
        <v>35</v>
      </c>
      <c r="X256" s="136" t="s">
        <v>7</v>
      </c>
      <c r="Y256" s="136" t="s">
        <v>9</v>
      </c>
      <c r="Z256" s="136" t="s">
        <v>7</v>
      </c>
      <c r="AA256" s="136" t="s">
        <v>7</v>
      </c>
      <c r="AB256" s="136" t="s">
        <v>7</v>
      </c>
      <c r="AC256" t="s">
        <v>9870</v>
      </c>
      <c r="AD256" s="142" t="s">
        <v>10</v>
      </c>
      <c r="AE256" s="136" t="s">
        <v>35</v>
      </c>
      <c r="AF256" s="136" t="s">
        <v>35</v>
      </c>
      <c r="AG256" s="142" t="s">
        <v>10</v>
      </c>
      <c r="AH256" s="117" t="s">
        <v>7</v>
      </c>
      <c r="AI256" s="142" t="s">
        <v>37</v>
      </c>
    </row>
    <row r="257" spans="1:35">
      <c r="A257" s="140" t="s">
        <v>1882</v>
      </c>
      <c r="B257" s="141" t="s">
        <v>523</v>
      </c>
      <c r="C257" s="140" t="s">
        <v>836</v>
      </c>
      <c r="D257" s="140" t="s">
        <v>323</v>
      </c>
      <c r="E257" s="4" t="s">
        <v>1931</v>
      </c>
      <c r="F257" t="s">
        <v>1855</v>
      </c>
      <c r="G257" s="136" t="s">
        <v>3</v>
      </c>
      <c r="H257" s="131">
        <v>32578</v>
      </c>
      <c r="I257" s="142" t="s">
        <v>4</v>
      </c>
      <c r="J257" s="136" t="s">
        <v>48</v>
      </c>
      <c r="K257" s="142" t="s">
        <v>1186</v>
      </c>
      <c r="L257" s="151">
        <v>0</v>
      </c>
      <c r="M257" s="151">
        <v>0</v>
      </c>
      <c r="N257" s="151">
        <v>0</v>
      </c>
      <c r="O257" s="148">
        <v>0</v>
      </c>
      <c r="P257" s="151">
        <v>0</v>
      </c>
      <c r="Q257" s="148">
        <v>0</v>
      </c>
      <c r="R257" t="s">
        <v>9843</v>
      </c>
      <c r="S257" s="142" t="s">
        <v>7</v>
      </c>
      <c r="T257" s="142" t="s">
        <v>1098</v>
      </c>
      <c r="U257" s="142" t="s">
        <v>6</v>
      </c>
      <c r="V257" s="136" t="s">
        <v>35</v>
      </c>
      <c r="W257" s="136" t="s">
        <v>35</v>
      </c>
      <c r="X257" s="136" t="s">
        <v>35</v>
      </c>
      <c r="Y257" s="136" t="s">
        <v>35</v>
      </c>
      <c r="Z257" s="136" t="s">
        <v>35</v>
      </c>
      <c r="AA257" s="136" t="s">
        <v>35</v>
      </c>
      <c r="AB257" s="136" t="s">
        <v>35</v>
      </c>
      <c r="AC257" s="136" t="s">
        <v>35</v>
      </c>
      <c r="AD257" s="136" t="s">
        <v>35</v>
      </c>
      <c r="AE257" s="136" t="s">
        <v>35</v>
      </c>
      <c r="AF257" s="136" t="s">
        <v>35</v>
      </c>
      <c r="AG257" s="136" t="s">
        <v>35</v>
      </c>
      <c r="AH257" s="136" t="s">
        <v>35</v>
      </c>
      <c r="AI257" s="136" t="s">
        <v>35</v>
      </c>
    </row>
    <row r="258" spans="1:35">
      <c r="A258" s="125" t="s">
        <v>324</v>
      </c>
      <c r="B258" s="129">
        <v>43060</v>
      </c>
      <c r="C258" s="127" t="s">
        <v>846</v>
      </c>
      <c r="D258" s="125" t="s">
        <v>335</v>
      </c>
      <c r="E258" s="127" t="s">
        <v>1887</v>
      </c>
      <c r="F258" t="s">
        <v>1855</v>
      </c>
      <c r="G258" s="125" t="s">
        <v>3</v>
      </c>
      <c r="H258" s="126">
        <v>33917</v>
      </c>
      <c r="I258" s="125" t="s">
        <v>5</v>
      </c>
      <c r="J258" s="125" t="s">
        <v>48</v>
      </c>
      <c r="K258" s="125" t="s">
        <v>1186</v>
      </c>
      <c r="L258" s="154" t="s">
        <v>9981</v>
      </c>
      <c r="M258" s="151">
        <v>0</v>
      </c>
      <c r="N258" s="154" t="s">
        <v>9982</v>
      </c>
      <c r="O258" s="148">
        <v>0</v>
      </c>
      <c r="P258" s="151">
        <v>0</v>
      </c>
      <c r="Q258" s="148">
        <v>0</v>
      </c>
      <c r="R258" t="s">
        <v>9843</v>
      </c>
      <c r="S258" s="125" t="s">
        <v>7</v>
      </c>
      <c r="T258" s="125" t="s">
        <v>1936</v>
      </c>
      <c r="U258" s="125" t="s">
        <v>51</v>
      </c>
      <c r="V258" s="125" t="s">
        <v>52</v>
      </c>
      <c r="W258" s="125" t="s">
        <v>35</v>
      </c>
      <c r="X258" s="125" t="s">
        <v>35</v>
      </c>
      <c r="Y258" s="125" t="s">
        <v>35</v>
      </c>
      <c r="Z258" t="s">
        <v>35</v>
      </c>
      <c r="AA258" s="125" t="s">
        <v>35</v>
      </c>
      <c r="AB258" s="125" t="s">
        <v>35</v>
      </c>
      <c r="AC258" s="125" t="s">
        <v>35</v>
      </c>
      <c r="AD258" s="125" t="s">
        <v>35</v>
      </c>
      <c r="AE258" t="s">
        <v>7</v>
      </c>
      <c r="AF258" s="125" t="s">
        <v>35</v>
      </c>
      <c r="AG258" s="125" t="s">
        <v>35</v>
      </c>
      <c r="AH258" s="125" t="s">
        <v>35</v>
      </c>
      <c r="AI258" s="125" t="s">
        <v>35</v>
      </c>
    </row>
    <row r="259" spans="1:35">
      <c r="A259" s="125" t="s">
        <v>325</v>
      </c>
      <c r="B259" s="126">
        <v>42879</v>
      </c>
      <c r="C259" s="127" t="s">
        <v>847</v>
      </c>
      <c r="D259" s="125" t="s">
        <v>335</v>
      </c>
      <c r="E259" s="127" t="s">
        <v>1888</v>
      </c>
      <c r="F259" t="s">
        <v>1855</v>
      </c>
      <c r="G259" s="125" t="s">
        <v>3</v>
      </c>
      <c r="H259" s="126">
        <v>34646</v>
      </c>
      <c r="I259" s="125" t="s">
        <v>5</v>
      </c>
      <c r="J259" s="125" t="s">
        <v>1101</v>
      </c>
      <c r="K259" s="125" t="s">
        <v>1127</v>
      </c>
      <c r="L259" s="151" t="s">
        <v>1978</v>
      </c>
      <c r="M259" s="151" t="s">
        <v>1985</v>
      </c>
      <c r="N259" s="151" t="s">
        <v>1979</v>
      </c>
      <c r="O259" s="148">
        <v>0</v>
      </c>
      <c r="P259" s="151">
        <v>0</v>
      </c>
      <c r="Q259" s="148">
        <v>0</v>
      </c>
      <c r="R259" t="s">
        <v>9843</v>
      </c>
      <c r="S259" s="125" t="s">
        <v>7</v>
      </c>
      <c r="T259" s="125" t="s">
        <v>1599</v>
      </c>
      <c r="U259" s="125" t="s">
        <v>36</v>
      </c>
      <c r="V259" t="s">
        <v>9843</v>
      </c>
      <c r="W259" s="125" t="s">
        <v>35</v>
      </c>
      <c r="X259" s="125" t="s">
        <v>7</v>
      </c>
      <c r="Y259" s="125" t="s">
        <v>9</v>
      </c>
      <c r="Z259" s="125" t="s">
        <v>7</v>
      </c>
      <c r="AA259" s="125" t="s">
        <v>7</v>
      </c>
      <c r="AB259" s="125" t="s">
        <v>7</v>
      </c>
      <c r="AC259" t="s">
        <v>9870</v>
      </c>
      <c r="AD259" s="125" t="s">
        <v>10</v>
      </c>
      <c r="AE259" s="125" t="s">
        <v>35</v>
      </c>
      <c r="AF259" s="125" t="s">
        <v>35</v>
      </c>
      <c r="AG259" s="125" t="s">
        <v>10</v>
      </c>
      <c r="AH259" s="117" t="s">
        <v>7</v>
      </c>
      <c r="AI259" s="125" t="s">
        <v>1849</v>
      </c>
    </row>
    <row r="260" spans="1:35">
      <c r="A260" s="125" t="s">
        <v>326</v>
      </c>
      <c r="B260" s="126">
        <v>42800</v>
      </c>
      <c r="C260" s="127" t="s">
        <v>847</v>
      </c>
      <c r="D260" s="125" t="s">
        <v>335</v>
      </c>
      <c r="E260" s="127" t="s">
        <v>848</v>
      </c>
      <c r="F260" t="s">
        <v>1855</v>
      </c>
      <c r="G260" s="125" t="s">
        <v>3</v>
      </c>
      <c r="H260" s="126">
        <v>29104</v>
      </c>
      <c r="I260" s="125" t="s">
        <v>5</v>
      </c>
      <c r="J260" s="125" t="s">
        <v>1101</v>
      </c>
      <c r="K260" s="125" t="s">
        <v>1977</v>
      </c>
      <c r="L260" s="151" t="s">
        <v>1980</v>
      </c>
      <c r="M260" s="151" t="s">
        <v>1986</v>
      </c>
      <c r="N260" s="151">
        <v>0</v>
      </c>
      <c r="O260" s="148">
        <v>0</v>
      </c>
      <c r="P260" s="151">
        <v>0</v>
      </c>
      <c r="Q260" s="148">
        <v>0</v>
      </c>
      <c r="R260" t="s">
        <v>9843</v>
      </c>
      <c r="S260" s="125" t="s">
        <v>1273</v>
      </c>
      <c r="T260" s="125" t="s">
        <v>1546</v>
      </c>
      <c r="U260" s="125" t="s">
        <v>78</v>
      </c>
      <c r="V260" t="s">
        <v>9843</v>
      </c>
      <c r="W260" s="125" t="s">
        <v>7</v>
      </c>
      <c r="X260" s="125" t="s">
        <v>1854</v>
      </c>
      <c r="Y260" s="125" t="s">
        <v>1100</v>
      </c>
      <c r="Z260" t="s">
        <v>1097</v>
      </c>
      <c r="AA260" s="125" t="s">
        <v>7</v>
      </c>
      <c r="AB260" s="125" t="s">
        <v>7</v>
      </c>
      <c r="AC260" s="117" t="s">
        <v>9872</v>
      </c>
      <c r="AD260" s="125" t="s">
        <v>1099</v>
      </c>
      <c r="AE260" s="132" t="s">
        <v>35</v>
      </c>
      <c r="AF260" s="136" t="s">
        <v>35</v>
      </c>
      <c r="AG260" s="125" t="s">
        <v>1099</v>
      </c>
      <c r="AH260" s="117" t="s">
        <v>35</v>
      </c>
      <c r="AI260" s="125" t="s">
        <v>1849</v>
      </c>
    </row>
    <row r="261" spans="1:35">
      <c r="A261" s="125" t="s">
        <v>327</v>
      </c>
      <c r="B261" s="126">
        <v>42894</v>
      </c>
      <c r="C261" s="127" t="s">
        <v>791</v>
      </c>
      <c r="D261" s="125" t="s">
        <v>335</v>
      </c>
      <c r="E261" s="127" t="s">
        <v>1889</v>
      </c>
      <c r="F261" t="s">
        <v>1855</v>
      </c>
      <c r="G261" s="125" t="s">
        <v>515</v>
      </c>
      <c r="H261" s="126">
        <v>29777</v>
      </c>
      <c r="I261" s="125" t="s">
        <v>5</v>
      </c>
      <c r="J261" s="125" t="s">
        <v>77</v>
      </c>
      <c r="K261" s="125" t="s">
        <v>1186</v>
      </c>
      <c r="L261" s="151">
        <v>0</v>
      </c>
      <c r="M261" s="151" t="s">
        <v>1987</v>
      </c>
      <c r="N261" s="151">
        <v>0</v>
      </c>
      <c r="O261" s="148">
        <v>0</v>
      </c>
      <c r="P261" s="151">
        <v>0</v>
      </c>
      <c r="Q261" s="148">
        <v>0</v>
      </c>
      <c r="R261" t="s">
        <v>9843</v>
      </c>
      <c r="S261" s="125" t="s">
        <v>7</v>
      </c>
      <c r="T261" s="125" t="s">
        <v>1890</v>
      </c>
      <c r="U261" s="125" t="s">
        <v>36</v>
      </c>
      <c r="V261" t="s">
        <v>9843</v>
      </c>
      <c r="W261" s="125" t="s">
        <v>35</v>
      </c>
      <c r="X261" s="125" t="s">
        <v>7</v>
      </c>
      <c r="Y261" s="125" t="s">
        <v>9</v>
      </c>
      <c r="Z261" s="125" t="s">
        <v>7</v>
      </c>
      <c r="AA261" s="125" t="s">
        <v>7</v>
      </c>
      <c r="AB261" s="125" t="s">
        <v>7</v>
      </c>
      <c r="AC261" s="117" t="s">
        <v>7</v>
      </c>
      <c r="AD261" s="125" t="s">
        <v>9</v>
      </c>
      <c r="AE261" s="125" t="s">
        <v>35</v>
      </c>
      <c r="AF261" s="125" t="s">
        <v>35</v>
      </c>
      <c r="AG261" s="125" t="s">
        <v>9</v>
      </c>
      <c r="AH261" s="117" t="s">
        <v>35</v>
      </c>
      <c r="AI261" s="125" t="s">
        <v>1849</v>
      </c>
    </row>
    <row r="262" spans="1:35">
      <c r="A262" s="125" t="s">
        <v>328</v>
      </c>
      <c r="B262" s="126">
        <v>43005</v>
      </c>
      <c r="C262" s="127" t="s">
        <v>846</v>
      </c>
      <c r="D262" s="125" t="s">
        <v>335</v>
      </c>
      <c r="E262" s="127" t="s">
        <v>850</v>
      </c>
      <c r="F262" t="s">
        <v>1855</v>
      </c>
      <c r="G262" s="125" t="s">
        <v>3</v>
      </c>
      <c r="H262" s="126">
        <v>35544</v>
      </c>
      <c r="I262" s="125" t="s">
        <v>5</v>
      </c>
      <c r="J262" s="125" t="s">
        <v>48</v>
      </c>
      <c r="K262" s="125" t="s">
        <v>1891</v>
      </c>
      <c r="L262" s="151" t="s">
        <v>1981</v>
      </c>
      <c r="M262" s="151" t="s">
        <v>1988</v>
      </c>
      <c r="N262" s="151">
        <v>0</v>
      </c>
      <c r="O262" s="148">
        <v>0</v>
      </c>
      <c r="P262" s="151">
        <v>0</v>
      </c>
      <c r="Q262" s="148">
        <v>0</v>
      </c>
      <c r="R262" t="s">
        <v>9843</v>
      </c>
      <c r="S262" s="125" t="s">
        <v>7</v>
      </c>
      <c r="T262" s="125" t="s">
        <v>1995</v>
      </c>
      <c r="U262" s="125" t="s">
        <v>6</v>
      </c>
      <c r="V262" s="123" t="s">
        <v>35</v>
      </c>
      <c r="W262" s="123" t="s">
        <v>35</v>
      </c>
      <c r="X262" s="123" t="s">
        <v>35</v>
      </c>
      <c r="Y262" s="123" t="s">
        <v>35</v>
      </c>
      <c r="Z262" s="123" t="s">
        <v>35</v>
      </c>
      <c r="AA262" s="123" t="s">
        <v>35</v>
      </c>
      <c r="AB262" s="123" t="s">
        <v>35</v>
      </c>
      <c r="AC262" s="123" t="s">
        <v>35</v>
      </c>
      <c r="AD262" s="123" t="s">
        <v>35</v>
      </c>
      <c r="AE262" s="125" t="s">
        <v>35</v>
      </c>
      <c r="AF262" s="123" t="s">
        <v>35</v>
      </c>
      <c r="AG262" s="123" t="s">
        <v>35</v>
      </c>
      <c r="AH262" s="123" t="s">
        <v>35</v>
      </c>
      <c r="AI262" s="123" t="s">
        <v>35</v>
      </c>
    </row>
    <row r="263" spans="1:35">
      <c r="A263" s="125" t="s">
        <v>329</v>
      </c>
      <c r="B263" s="126">
        <v>42976</v>
      </c>
      <c r="C263" s="127" t="s">
        <v>847</v>
      </c>
      <c r="D263" s="125" t="s">
        <v>335</v>
      </c>
      <c r="E263" s="127" t="s">
        <v>851</v>
      </c>
      <c r="F263" t="s">
        <v>1855</v>
      </c>
      <c r="G263" s="125" t="s">
        <v>1892</v>
      </c>
      <c r="H263" s="126">
        <v>31657</v>
      </c>
      <c r="I263" s="125" t="s">
        <v>5</v>
      </c>
      <c r="J263" s="125" t="s">
        <v>48</v>
      </c>
      <c r="K263" s="125" t="s">
        <v>1671</v>
      </c>
      <c r="L263" s="154" t="s">
        <v>9983</v>
      </c>
      <c r="M263" s="151" t="s">
        <v>1989</v>
      </c>
      <c r="N263" s="151" t="s">
        <v>1993</v>
      </c>
      <c r="O263" s="148">
        <v>0</v>
      </c>
      <c r="P263" s="151">
        <v>0</v>
      </c>
      <c r="Q263" s="148">
        <v>0</v>
      </c>
      <c r="R263" t="s">
        <v>9843</v>
      </c>
      <c r="S263" s="125" t="s">
        <v>7</v>
      </c>
      <c r="T263" s="125" t="s">
        <v>1893</v>
      </c>
      <c r="U263" s="125" t="s">
        <v>36</v>
      </c>
      <c r="V263" t="s">
        <v>9843</v>
      </c>
      <c r="W263" s="125" t="s">
        <v>35</v>
      </c>
      <c r="X263" s="125" t="s">
        <v>7</v>
      </c>
      <c r="Y263" s="125" t="s">
        <v>9</v>
      </c>
      <c r="Z263" s="125" t="s">
        <v>7</v>
      </c>
      <c r="AA263" s="125" t="s">
        <v>7</v>
      </c>
      <c r="AB263" s="125" t="s">
        <v>7</v>
      </c>
      <c r="AC263" t="s">
        <v>9870</v>
      </c>
      <c r="AD263" s="125" t="s">
        <v>10</v>
      </c>
      <c r="AE263" s="125" t="s">
        <v>35</v>
      </c>
      <c r="AF263" s="125" t="s">
        <v>35</v>
      </c>
      <c r="AG263" s="125" t="s">
        <v>10</v>
      </c>
      <c r="AH263" s="117" t="s">
        <v>7</v>
      </c>
      <c r="AI263" s="125" t="s">
        <v>1849</v>
      </c>
    </row>
    <row r="264" spans="1:35">
      <c r="A264" s="125" t="s">
        <v>330</v>
      </c>
      <c r="B264" s="126">
        <v>42853</v>
      </c>
      <c r="C264" s="128" t="s">
        <v>846</v>
      </c>
      <c r="D264" s="125" t="s">
        <v>335</v>
      </c>
      <c r="E264" s="127" t="s">
        <v>852</v>
      </c>
      <c r="F264" t="s">
        <v>1855</v>
      </c>
      <c r="G264" s="125" t="s">
        <v>3</v>
      </c>
      <c r="H264" s="126">
        <v>35310</v>
      </c>
      <c r="I264" s="125" t="s">
        <v>1093</v>
      </c>
      <c r="J264" s="125" t="s">
        <v>1101</v>
      </c>
      <c r="K264" s="125" t="s">
        <v>1127</v>
      </c>
      <c r="L264" s="152" t="s">
        <v>10050</v>
      </c>
      <c r="M264" s="152" t="s">
        <v>1990</v>
      </c>
      <c r="N264" s="152" t="s">
        <v>1994</v>
      </c>
      <c r="O264" s="148">
        <v>0</v>
      </c>
      <c r="P264" s="151">
        <v>0</v>
      </c>
      <c r="Q264" s="148">
        <v>0</v>
      </c>
      <c r="R264" t="s">
        <v>9843</v>
      </c>
      <c r="S264" s="125" t="s">
        <v>7</v>
      </c>
      <c r="T264" s="125" t="s">
        <v>1996</v>
      </c>
      <c r="U264" s="125" t="s">
        <v>36</v>
      </c>
      <c r="V264" t="s">
        <v>9843</v>
      </c>
      <c r="W264" s="125" t="s">
        <v>35</v>
      </c>
      <c r="X264" s="125" t="s">
        <v>7</v>
      </c>
      <c r="Y264" s="125" t="s">
        <v>9</v>
      </c>
      <c r="Z264" s="125" t="s">
        <v>7</v>
      </c>
      <c r="AA264" s="125" t="s">
        <v>7</v>
      </c>
      <c r="AB264" s="125" t="s">
        <v>7</v>
      </c>
      <c r="AC264" t="s">
        <v>9870</v>
      </c>
      <c r="AD264" s="125" t="s">
        <v>10</v>
      </c>
      <c r="AE264" s="125" t="s">
        <v>35</v>
      </c>
      <c r="AF264" s="125" t="s">
        <v>35</v>
      </c>
      <c r="AG264" s="125" t="s">
        <v>10</v>
      </c>
      <c r="AH264" s="117" t="s">
        <v>7</v>
      </c>
      <c r="AI264" s="125" t="s">
        <v>1849</v>
      </c>
    </row>
    <row r="265" spans="1:35">
      <c r="A265" s="125" t="s">
        <v>330</v>
      </c>
      <c r="B265" s="126">
        <v>42853</v>
      </c>
      <c r="C265" s="127" t="s">
        <v>846</v>
      </c>
      <c r="D265" s="125" t="s">
        <v>335</v>
      </c>
      <c r="E265" s="127" t="s">
        <v>853</v>
      </c>
      <c r="F265" t="s">
        <v>1855</v>
      </c>
      <c r="G265" s="125" t="s">
        <v>3</v>
      </c>
      <c r="H265" s="126">
        <v>35937</v>
      </c>
      <c r="I265" s="125" t="s">
        <v>1093</v>
      </c>
      <c r="J265" s="125" t="s">
        <v>1101</v>
      </c>
      <c r="K265" s="125" t="s">
        <v>1186</v>
      </c>
      <c r="L265" s="152" t="s">
        <v>10050</v>
      </c>
      <c r="M265" s="152" t="s">
        <v>1990</v>
      </c>
      <c r="N265" s="152" t="s">
        <v>1994</v>
      </c>
      <c r="O265" s="148">
        <v>0</v>
      </c>
      <c r="P265" s="151">
        <v>0</v>
      </c>
      <c r="Q265" s="148">
        <v>0</v>
      </c>
      <c r="R265" t="s">
        <v>9843</v>
      </c>
      <c r="S265" s="125" t="s">
        <v>7</v>
      </c>
      <c r="T265" s="125" t="s">
        <v>1996</v>
      </c>
      <c r="U265" s="125" t="s">
        <v>36</v>
      </c>
      <c r="V265" t="s">
        <v>9843</v>
      </c>
      <c r="W265" s="125" t="s">
        <v>35</v>
      </c>
      <c r="X265" s="125" t="s">
        <v>7</v>
      </c>
      <c r="Y265" s="125" t="s">
        <v>9</v>
      </c>
      <c r="Z265" s="125" t="s">
        <v>7</v>
      </c>
      <c r="AA265" s="125" t="s">
        <v>7</v>
      </c>
      <c r="AB265" s="125" t="s">
        <v>7</v>
      </c>
      <c r="AC265" t="s">
        <v>9870</v>
      </c>
      <c r="AD265" s="125" t="s">
        <v>10</v>
      </c>
      <c r="AE265" s="125" t="s">
        <v>35</v>
      </c>
      <c r="AF265" s="125" t="s">
        <v>35</v>
      </c>
      <c r="AG265" s="125" t="s">
        <v>10</v>
      </c>
      <c r="AH265" s="117" t="s">
        <v>7</v>
      </c>
      <c r="AI265" s="125" t="s">
        <v>1849</v>
      </c>
    </row>
    <row r="266" spans="1:35">
      <c r="A266" s="125" t="s">
        <v>331</v>
      </c>
      <c r="B266" s="126">
        <v>42942</v>
      </c>
      <c r="C266" s="127" t="s">
        <v>846</v>
      </c>
      <c r="D266" s="125" t="s">
        <v>335</v>
      </c>
      <c r="E266" s="127" t="s">
        <v>854</v>
      </c>
      <c r="F266" t="s">
        <v>1855</v>
      </c>
      <c r="G266" s="125" t="s">
        <v>515</v>
      </c>
      <c r="H266" s="126">
        <v>31929</v>
      </c>
      <c r="I266" s="125" t="s">
        <v>5</v>
      </c>
      <c r="J266" s="125" t="s">
        <v>1101</v>
      </c>
      <c r="K266" s="125" t="s">
        <v>1894</v>
      </c>
      <c r="L266" s="151" t="s">
        <v>1983</v>
      </c>
      <c r="M266" s="151" t="s">
        <v>1991</v>
      </c>
      <c r="N266" s="151">
        <v>0</v>
      </c>
      <c r="O266" s="148">
        <v>0</v>
      </c>
      <c r="P266" s="151">
        <v>0</v>
      </c>
      <c r="Q266" s="148">
        <v>0</v>
      </c>
      <c r="R266" t="s">
        <v>9843</v>
      </c>
      <c r="S266" s="125" t="s">
        <v>7</v>
      </c>
      <c r="T266" s="125" t="s">
        <v>1122</v>
      </c>
      <c r="U266" s="125" t="s">
        <v>36</v>
      </c>
      <c r="V266" t="s">
        <v>9843</v>
      </c>
      <c r="W266" s="125" t="s">
        <v>35</v>
      </c>
      <c r="X266" s="125" t="s">
        <v>7</v>
      </c>
      <c r="Y266" s="125" t="s">
        <v>9</v>
      </c>
      <c r="Z266" s="125" t="s">
        <v>7</v>
      </c>
      <c r="AA266" s="125" t="s">
        <v>7</v>
      </c>
      <c r="AB266" s="125" t="s">
        <v>7</v>
      </c>
      <c r="AC266" t="s">
        <v>9870</v>
      </c>
      <c r="AD266" s="125" t="s">
        <v>10</v>
      </c>
      <c r="AE266" s="125" t="s">
        <v>35</v>
      </c>
      <c r="AF266" s="125" t="s">
        <v>35</v>
      </c>
      <c r="AG266" s="125" t="s">
        <v>10</v>
      </c>
      <c r="AH266" s="117" t="s">
        <v>7</v>
      </c>
      <c r="AI266" s="125" t="s">
        <v>1849</v>
      </c>
    </row>
    <row r="267" spans="1:35">
      <c r="A267" s="125" t="s">
        <v>332</v>
      </c>
      <c r="B267" s="126">
        <v>42937</v>
      </c>
      <c r="C267" s="127" t="s">
        <v>847</v>
      </c>
      <c r="D267" s="125" t="s">
        <v>335</v>
      </c>
      <c r="E267" s="127" t="s">
        <v>1895</v>
      </c>
      <c r="F267" t="s">
        <v>1855</v>
      </c>
      <c r="G267" s="125" t="s">
        <v>515</v>
      </c>
      <c r="H267" s="126">
        <v>35074</v>
      </c>
      <c r="I267" s="125" t="s">
        <v>5</v>
      </c>
      <c r="J267" s="125" t="s">
        <v>18</v>
      </c>
      <c r="K267" s="125" t="s">
        <v>1976</v>
      </c>
      <c r="L267" s="151" t="s">
        <v>1982</v>
      </c>
      <c r="M267" s="151">
        <v>0</v>
      </c>
      <c r="N267" s="151">
        <v>0</v>
      </c>
      <c r="O267" s="148">
        <v>0</v>
      </c>
      <c r="P267" s="151">
        <v>0</v>
      </c>
      <c r="Q267" s="148">
        <v>0</v>
      </c>
      <c r="R267" t="s">
        <v>9843</v>
      </c>
      <c r="S267" s="125" t="s">
        <v>7</v>
      </c>
      <c r="T267" s="125" t="s">
        <v>1218</v>
      </c>
      <c r="U267" s="125" t="s">
        <v>36</v>
      </c>
      <c r="V267" t="s">
        <v>9843</v>
      </c>
      <c r="W267" s="125" t="s">
        <v>35</v>
      </c>
      <c r="X267" s="125" t="s">
        <v>7</v>
      </c>
      <c r="Y267" s="125" t="s">
        <v>9</v>
      </c>
      <c r="Z267" s="125" t="s">
        <v>7</v>
      </c>
      <c r="AA267" s="125" t="s">
        <v>7</v>
      </c>
      <c r="AB267" s="125" t="s">
        <v>7</v>
      </c>
      <c r="AC267" t="s">
        <v>9870</v>
      </c>
      <c r="AD267" s="125" t="s">
        <v>10</v>
      </c>
      <c r="AE267" s="125" t="s">
        <v>35</v>
      </c>
      <c r="AF267" s="125" t="s">
        <v>35</v>
      </c>
      <c r="AG267" s="125" t="s">
        <v>10</v>
      </c>
      <c r="AH267" t="s">
        <v>9851</v>
      </c>
      <c r="AI267" s="117" t="s">
        <v>35</v>
      </c>
    </row>
    <row r="268" spans="1:35">
      <c r="A268" s="125" t="s">
        <v>333</v>
      </c>
      <c r="B268" s="126">
        <v>42997</v>
      </c>
      <c r="C268" s="127" t="s">
        <v>847</v>
      </c>
      <c r="D268" s="125" t="s">
        <v>335</v>
      </c>
      <c r="E268" s="127" t="s">
        <v>1896</v>
      </c>
      <c r="F268" t="s">
        <v>1855</v>
      </c>
      <c r="G268" s="125" t="s">
        <v>3</v>
      </c>
      <c r="H268" s="126">
        <v>35690</v>
      </c>
      <c r="I268" s="125" t="s">
        <v>5</v>
      </c>
      <c r="J268" s="125" t="s">
        <v>48</v>
      </c>
      <c r="K268" s="125" t="s">
        <v>1709</v>
      </c>
      <c r="L268" s="154" t="s">
        <v>9984</v>
      </c>
      <c r="M268" s="154" t="s">
        <v>9985</v>
      </c>
      <c r="N268" s="151">
        <v>0</v>
      </c>
      <c r="O268" s="148">
        <v>0</v>
      </c>
      <c r="P268" s="151">
        <v>0</v>
      </c>
      <c r="Q268" s="148">
        <v>0</v>
      </c>
      <c r="R268" t="s">
        <v>9843</v>
      </c>
      <c r="S268" s="125" t="s">
        <v>7</v>
      </c>
      <c r="T268" s="125" t="s">
        <v>1150</v>
      </c>
      <c r="U268" s="125" t="s">
        <v>6</v>
      </c>
      <c r="V268" s="123" t="s">
        <v>35</v>
      </c>
      <c r="W268" s="123" t="s">
        <v>35</v>
      </c>
      <c r="X268" s="123" t="s">
        <v>35</v>
      </c>
      <c r="Y268" s="123" t="s">
        <v>35</v>
      </c>
      <c r="Z268" s="123" t="s">
        <v>35</v>
      </c>
      <c r="AA268" s="123" t="s">
        <v>35</v>
      </c>
      <c r="AB268" s="123" t="s">
        <v>35</v>
      </c>
      <c r="AC268" s="123" t="s">
        <v>35</v>
      </c>
      <c r="AD268" s="123" t="s">
        <v>35</v>
      </c>
      <c r="AE268" s="125" t="s">
        <v>35</v>
      </c>
      <c r="AF268" s="123" t="s">
        <v>35</v>
      </c>
      <c r="AG268" s="123" t="s">
        <v>35</v>
      </c>
      <c r="AH268" s="123" t="s">
        <v>35</v>
      </c>
      <c r="AI268" s="123" t="s">
        <v>35</v>
      </c>
    </row>
    <row r="269" spans="1:35">
      <c r="A269" s="125" t="s">
        <v>334</v>
      </c>
      <c r="B269" s="126">
        <v>42772</v>
      </c>
      <c r="C269" s="127" t="s">
        <v>847</v>
      </c>
      <c r="D269" s="125" t="s">
        <v>335</v>
      </c>
      <c r="E269" s="127" t="s">
        <v>1897</v>
      </c>
      <c r="F269" t="s">
        <v>1855</v>
      </c>
      <c r="G269" s="125" t="s">
        <v>3</v>
      </c>
      <c r="H269" s="126">
        <v>35169</v>
      </c>
      <c r="I269" s="125" t="s">
        <v>5</v>
      </c>
      <c r="J269" s="125" t="s">
        <v>48</v>
      </c>
      <c r="K269" s="125" t="s">
        <v>1393</v>
      </c>
      <c r="L269" s="151" t="s">
        <v>1984</v>
      </c>
      <c r="M269" s="151" t="s">
        <v>1992</v>
      </c>
      <c r="N269" s="151">
        <v>0</v>
      </c>
      <c r="O269" s="148">
        <v>0</v>
      </c>
      <c r="P269" s="151">
        <v>0</v>
      </c>
      <c r="Q269" s="148">
        <v>0</v>
      </c>
      <c r="R269" t="s">
        <v>9843</v>
      </c>
      <c r="S269" s="125" t="s">
        <v>7</v>
      </c>
      <c r="T269" s="125" t="s">
        <v>1997</v>
      </c>
      <c r="U269" s="125" t="s">
        <v>36</v>
      </c>
      <c r="V269" t="s">
        <v>9843</v>
      </c>
      <c r="W269" s="125" t="s">
        <v>35</v>
      </c>
      <c r="X269" s="125" t="s">
        <v>7</v>
      </c>
      <c r="Y269" s="125" t="s">
        <v>9</v>
      </c>
      <c r="Z269" s="125" t="s">
        <v>7</v>
      </c>
      <c r="AA269" s="125" t="s">
        <v>7</v>
      </c>
      <c r="AB269" s="125" t="s">
        <v>7</v>
      </c>
      <c r="AC269" t="s">
        <v>9870</v>
      </c>
      <c r="AD269" s="125" t="s">
        <v>10</v>
      </c>
      <c r="AE269" s="125" t="s">
        <v>35</v>
      </c>
      <c r="AF269" s="125" t="s">
        <v>35</v>
      </c>
      <c r="AG269" s="125" t="s">
        <v>10</v>
      </c>
      <c r="AH269" s="117" t="s">
        <v>7</v>
      </c>
      <c r="AI269" s="125" t="s">
        <v>1849</v>
      </c>
    </row>
    <row r="270" spans="1:35">
      <c r="A270" t="s">
        <v>336</v>
      </c>
      <c r="B270" s="31" t="s">
        <v>702</v>
      </c>
      <c r="C270" s="30" t="s">
        <v>855</v>
      </c>
      <c r="D270" t="s">
        <v>348</v>
      </c>
      <c r="E270" s="4" t="s">
        <v>856</v>
      </c>
      <c r="F270" t="s">
        <v>76</v>
      </c>
      <c r="G270" t="s">
        <v>3</v>
      </c>
      <c r="H270" s="6">
        <v>30213</v>
      </c>
      <c r="I270" t="s">
        <v>5</v>
      </c>
      <c r="J270" t="s">
        <v>48</v>
      </c>
      <c r="K270" t="s">
        <v>1604</v>
      </c>
      <c r="L270" s="151" t="s">
        <v>1608</v>
      </c>
      <c r="M270" s="151" t="s">
        <v>1609</v>
      </c>
      <c r="N270" s="151" t="s">
        <v>1607</v>
      </c>
      <c r="O270" s="148">
        <v>0</v>
      </c>
      <c r="P270" s="151">
        <v>0</v>
      </c>
      <c r="Q270" s="148">
        <v>0</v>
      </c>
      <c r="R270" t="s">
        <v>9843</v>
      </c>
      <c r="S270" t="s">
        <v>7</v>
      </c>
      <c r="T270" t="s">
        <v>1614</v>
      </c>
      <c r="U270" t="s">
        <v>36</v>
      </c>
      <c r="V270" t="s">
        <v>9843</v>
      </c>
      <c r="W270" t="s">
        <v>35</v>
      </c>
      <c r="X270" t="s">
        <v>9858</v>
      </c>
      <c r="Y270" t="s">
        <v>1605</v>
      </c>
      <c r="Z270" t="s">
        <v>1097</v>
      </c>
      <c r="AA270" t="s">
        <v>7</v>
      </c>
      <c r="AB270" t="s">
        <v>7</v>
      </c>
      <c r="AC270" s="117" t="s">
        <v>9872</v>
      </c>
      <c r="AD270" t="s">
        <v>1606</v>
      </c>
      <c r="AE270" t="s">
        <v>35</v>
      </c>
      <c r="AF270" t="s">
        <v>35</v>
      </c>
      <c r="AG270" t="s">
        <v>1606</v>
      </c>
      <c r="AH270" s="117" t="s">
        <v>35</v>
      </c>
      <c r="AI270" s="125" t="s">
        <v>1849</v>
      </c>
    </row>
    <row r="271" spans="1:35">
      <c r="A271" t="s">
        <v>337</v>
      </c>
      <c r="B271" s="33" t="s">
        <v>857</v>
      </c>
      <c r="C271" s="32" t="s">
        <v>858</v>
      </c>
      <c r="D271" t="s">
        <v>348</v>
      </c>
      <c r="E271" s="4" t="s">
        <v>859</v>
      </c>
      <c r="F271" t="s">
        <v>1855</v>
      </c>
      <c r="G271" t="s">
        <v>3</v>
      </c>
      <c r="H271" s="6">
        <v>33284</v>
      </c>
      <c r="I271" t="s">
        <v>5</v>
      </c>
      <c r="J271" t="s">
        <v>1101</v>
      </c>
      <c r="K271" t="s">
        <v>1610</v>
      </c>
      <c r="L271" s="151" t="s">
        <v>1611</v>
      </c>
      <c r="M271" s="151" t="s">
        <v>1613</v>
      </c>
      <c r="N271" s="151" t="s">
        <v>1612</v>
      </c>
      <c r="O271" s="148">
        <v>0</v>
      </c>
      <c r="P271" s="151">
        <v>0</v>
      </c>
      <c r="Q271" s="148">
        <v>0</v>
      </c>
      <c r="R271" t="s">
        <v>9843</v>
      </c>
      <c r="S271" t="s">
        <v>7</v>
      </c>
      <c r="T271" t="s">
        <v>72</v>
      </c>
      <c r="U271" t="s">
        <v>36</v>
      </c>
      <c r="V271" t="s">
        <v>9843</v>
      </c>
      <c r="W271" t="s">
        <v>35</v>
      </c>
      <c r="X271" t="s">
        <v>1643</v>
      </c>
      <c r="Y271" t="s">
        <v>1080</v>
      </c>
      <c r="Z271" t="s">
        <v>7</v>
      </c>
      <c r="AA271" s="117" t="s">
        <v>1111</v>
      </c>
      <c r="AB271" t="s">
        <v>7</v>
      </c>
      <c r="AC271" s="117" t="s">
        <v>7</v>
      </c>
      <c r="AD271" t="s">
        <v>9</v>
      </c>
      <c r="AE271" t="s">
        <v>35</v>
      </c>
      <c r="AF271" t="s">
        <v>35</v>
      </c>
      <c r="AG271" t="s">
        <v>9</v>
      </c>
      <c r="AH271" s="117" t="s">
        <v>35</v>
      </c>
      <c r="AI271" s="125" t="s">
        <v>1849</v>
      </c>
    </row>
    <row r="272" spans="1:35">
      <c r="A272" t="s">
        <v>338</v>
      </c>
      <c r="B272" s="115" t="s">
        <v>634</v>
      </c>
      <c r="C272" s="114" t="s">
        <v>858</v>
      </c>
      <c r="D272" t="s">
        <v>348</v>
      </c>
      <c r="E272" s="4" t="s">
        <v>860</v>
      </c>
      <c r="F272" t="s">
        <v>1855</v>
      </c>
      <c r="G272" t="s">
        <v>3</v>
      </c>
      <c r="H272" s="6">
        <v>33577</v>
      </c>
      <c r="I272" t="s">
        <v>4</v>
      </c>
      <c r="J272" t="s">
        <v>48</v>
      </c>
      <c r="K272" t="s">
        <v>1615</v>
      </c>
      <c r="L272" s="151" t="s">
        <v>1616</v>
      </c>
      <c r="M272" s="151" t="s">
        <v>1617</v>
      </c>
      <c r="N272" s="151" t="s">
        <v>1618</v>
      </c>
      <c r="O272" s="148">
        <v>0</v>
      </c>
      <c r="P272" s="151">
        <v>0</v>
      </c>
      <c r="Q272" s="148" t="s">
        <v>1619</v>
      </c>
      <c r="R272" t="s">
        <v>9843</v>
      </c>
      <c r="S272" t="s">
        <v>7</v>
      </c>
      <c r="T272" t="s">
        <v>1620</v>
      </c>
      <c r="U272" t="s">
        <v>36</v>
      </c>
      <c r="V272" t="s">
        <v>9843</v>
      </c>
      <c r="W272" t="s">
        <v>35</v>
      </c>
      <c r="X272" s="125" t="s">
        <v>9794</v>
      </c>
      <c r="Y272" t="s">
        <v>1080</v>
      </c>
      <c r="Z272" t="s">
        <v>1097</v>
      </c>
      <c r="AA272" s="117" t="s">
        <v>1111</v>
      </c>
      <c r="AB272" t="s">
        <v>7</v>
      </c>
      <c r="AC272" s="117" t="s">
        <v>9872</v>
      </c>
      <c r="AD272" t="s">
        <v>1080</v>
      </c>
      <c r="AE272" t="s">
        <v>35</v>
      </c>
      <c r="AF272" t="s">
        <v>35</v>
      </c>
      <c r="AG272" t="s">
        <v>1080</v>
      </c>
      <c r="AH272" s="117" t="s">
        <v>35</v>
      </c>
      <c r="AI272" s="125" t="s">
        <v>1849</v>
      </c>
    </row>
    <row r="273" spans="1:35">
      <c r="A273" t="s">
        <v>339</v>
      </c>
      <c r="B273" s="115" t="s">
        <v>861</v>
      </c>
      <c r="C273" s="114" t="s">
        <v>858</v>
      </c>
      <c r="D273" t="s">
        <v>348</v>
      </c>
      <c r="E273" s="4" t="s">
        <v>862</v>
      </c>
      <c r="F273" t="s">
        <v>1855</v>
      </c>
      <c r="G273" t="s">
        <v>3</v>
      </c>
      <c r="H273" s="6">
        <v>31871</v>
      </c>
      <c r="I273" t="s">
        <v>5</v>
      </c>
      <c r="J273" t="s">
        <v>41</v>
      </c>
      <c r="K273" t="s">
        <v>1621</v>
      </c>
      <c r="L273" s="151" t="s">
        <v>1622</v>
      </c>
      <c r="M273" s="151" t="s">
        <v>1623</v>
      </c>
      <c r="N273" s="151">
        <v>0</v>
      </c>
      <c r="O273" s="148">
        <v>0</v>
      </c>
      <c r="P273" s="151">
        <v>0</v>
      </c>
      <c r="Q273" s="148">
        <v>0</v>
      </c>
      <c r="R273" t="s">
        <v>9843</v>
      </c>
      <c r="S273" t="s">
        <v>7</v>
      </c>
      <c r="T273" t="s">
        <v>1370</v>
      </c>
      <c r="U273" t="s">
        <v>36</v>
      </c>
      <c r="V273" t="s">
        <v>9843</v>
      </c>
      <c r="W273" t="s">
        <v>35</v>
      </c>
      <c r="X273" t="s">
        <v>1643</v>
      </c>
      <c r="Y273" t="s">
        <v>1080</v>
      </c>
      <c r="Z273" t="s">
        <v>1097</v>
      </c>
      <c r="AA273" t="s">
        <v>7</v>
      </c>
      <c r="AB273" t="s">
        <v>7</v>
      </c>
      <c r="AC273" s="117" t="s">
        <v>9872</v>
      </c>
      <c r="AD273" t="s">
        <v>1163</v>
      </c>
      <c r="AE273" t="s">
        <v>35</v>
      </c>
      <c r="AF273" t="s">
        <v>35</v>
      </c>
      <c r="AG273" t="s">
        <v>1163</v>
      </c>
      <c r="AH273" s="117" t="s">
        <v>35</v>
      </c>
      <c r="AI273" s="125" t="s">
        <v>1849</v>
      </c>
    </row>
    <row r="274" spans="1:35">
      <c r="A274" t="s">
        <v>339</v>
      </c>
      <c r="B274" s="115" t="s">
        <v>861</v>
      </c>
      <c r="C274" s="114" t="s">
        <v>858</v>
      </c>
      <c r="D274" t="s">
        <v>348</v>
      </c>
      <c r="E274" s="4" t="s">
        <v>863</v>
      </c>
      <c r="F274" t="s">
        <v>1855</v>
      </c>
      <c r="G274" t="s">
        <v>3</v>
      </c>
      <c r="H274" s="6">
        <v>34912</v>
      </c>
      <c r="I274" t="s">
        <v>5</v>
      </c>
      <c r="J274" t="s">
        <v>1101</v>
      </c>
      <c r="K274" t="s">
        <v>1621</v>
      </c>
      <c r="L274" s="151" t="s">
        <v>1622</v>
      </c>
      <c r="M274" s="151" t="s">
        <v>1623</v>
      </c>
      <c r="N274" s="151">
        <v>0</v>
      </c>
      <c r="O274" s="148">
        <v>0</v>
      </c>
      <c r="P274" s="151">
        <v>0</v>
      </c>
      <c r="Q274" s="148">
        <v>0</v>
      </c>
      <c r="R274" t="s">
        <v>9843</v>
      </c>
      <c r="S274" t="s">
        <v>7</v>
      </c>
      <c r="T274" t="s">
        <v>1370</v>
      </c>
      <c r="U274" t="s">
        <v>36</v>
      </c>
      <c r="V274" t="s">
        <v>9843</v>
      </c>
      <c r="W274" t="s">
        <v>35</v>
      </c>
      <c r="X274" t="s">
        <v>1643</v>
      </c>
      <c r="Y274" t="s">
        <v>1080</v>
      </c>
      <c r="Z274" t="s">
        <v>7</v>
      </c>
      <c r="AA274" t="s">
        <v>7</v>
      </c>
      <c r="AB274" t="s">
        <v>7</v>
      </c>
      <c r="AC274" s="117" t="s">
        <v>7</v>
      </c>
      <c r="AD274" t="s">
        <v>1080</v>
      </c>
      <c r="AE274" t="s">
        <v>35</v>
      </c>
      <c r="AF274" t="s">
        <v>35</v>
      </c>
      <c r="AG274" t="s">
        <v>1080</v>
      </c>
      <c r="AH274" s="117" t="s">
        <v>35</v>
      </c>
      <c r="AI274" s="125" t="s">
        <v>1849</v>
      </c>
    </row>
    <row r="275" spans="1:35">
      <c r="A275" t="s">
        <v>340</v>
      </c>
      <c r="B275" s="115" t="s">
        <v>595</v>
      </c>
      <c r="C275" s="114" t="s">
        <v>858</v>
      </c>
      <c r="D275" t="s">
        <v>348</v>
      </c>
      <c r="E275" s="4" t="s">
        <v>864</v>
      </c>
      <c r="F275" s="134" t="s">
        <v>1864</v>
      </c>
      <c r="G275" t="s">
        <v>3</v>
      </c>
      <c r="H275" s="6">
        <v>31844</v>
      </c>
      <c r="I275" t="s">
        <v>5</v>
      </c>
      <c r="J275" t="s">
        <v>1074</v>
      </c>
      <c r="K275" t="s">
        <v>1624</v>
      </c>
      <c r="L275" s="151" t="s">
        <v>1625</v>
      </c>
      <c r="M275" s="151" t="s">
        <v>1626</v>
      </c>
      <c r="N275" s="151">
        <v>0</v>
      </c>
      <c r="O275" s="148">
        <v>0</v>
      </c>
      <c r="P275" s="151">
        <v>0</v>
      </c>
      <c r="Q275" s="148">
        <v>0</v>
      </c>
      <c r="R275" t="s">
        <v>9843</v>
      </c>
      <c r="S275" t="s">
        <v>7</v>
      </c>
      <c r="T275" t="s">
        <v>1627</v>
      </c>
      <c r="U275" t="s">
        <v>36</v>
      </c>
      <c r="V275" t="s">
        <v>9843</v>
      </c>
      <c r="W275" t="s">
        <v>35</v>
      </c>
      <c r="X275" t="s">
        <v>1350</v>
      </c>
      <c r="Y275" t="s">
        <v>1080</v>
      </c>
      <c r="Z275" t="s">
        <v>7</v>
      </c>
      <c r="AA275" s="117" t="s">
        <v>1111</v>
      </c>
      <c r="AB275" t="s">
        <v>7</v>
      </c>
      <c r="AC275" s="117" t="s">
        <v>7</v>
      </c>
      <c r="AD275" t="s">
        <v>9</v>
      </c>
      <c r="AE275" t="s">
        <v>35</v>
      </c>
      <c r="AF275" t="s">
        <v>35</v>
      </c>
      <c r="AG275" t="s">
        <v>9</v>
      </c>
      <c r="AH275" s="117" t="s">
        <v>35</v>
      </c>
      <c r="AI275" s="125" t="s">
        <v>1849</v>
      </c>
    </row>
    <row r="276" spans="1:35">
      <c r="A276" t="s">
        <v>341</v>
      </c>
      <c r="B276" s="115" t="s">
        <v>505</v>
      </c>
      <c r="C276" s="114" t="s">
        <v>858</v>
      </c>
      <c r="D276" t="s">
        <v>348</v>
      </c>
      <c r="E276" s="4" t="s">
        <v>865</v>
      </c>
      <c r="F276" t="s">
        <v>1855</v>
      </c>
      <c r="G276" t="s">
        <v>3</v>
      </c>
      <c r="H276" s="6">
        <v>33448</v>
      </c>
      <c r="I276" t="s">
        <v>5</v>
      </c>
      <c r="J276" t="s">
        <v>1101</v>
      </c>
      <c r="K276" t="s">
        <v>1628</v>
      </c>
      <c r="L276" s="155" t="s">
        <v>9986</v>
      </c>
      <c r="M276" s="155" t="s">
        <v>10074</v>
      </c>
      <c r="N276" s="152">
        <v>0</v>
      </c>
      <c r="O276" s="148">
        <v>0</v>
      </c>
      <c r="P276" s="151">
        <v>0</v>
      </c>
      <c r="Q276" s="148">
        <v>0</v>
      </c>
      <c r="R276" t="s">
        <v>9843</v>
      </c>
      <c r="S276" t="s">
        <v>7</v>
      </c>
      <c r="T276" t="s">
        <v>1098</v>
      </c>
      <c r="U276" t="s">
        <v>51</v>
      </c>
      <c r="V276" t="s">
        <v>52</v>
      </c>
      <c r="W276" t="s">
        <v>35</v>
      </c>
      <c r="X276" t="s">
        <v>35</v>
      </c>
      <c r="Y276" t="s">
        <v>35</v>
      </c>
      <c r="Z276" t="s">
        <v>35</v>
      </c>
      <c r="AA276" t="s">
        <v>35</v>
      </c>
      <c r="AB276" t="s">
        <v>35</v>
      </c>
      <c r="AC276" t="s">
        <v>35</v>
      </c>
      <c r="AD276" t="s">
        <v>35</v>
      </c>
      <c r="AE276" t="s">
        <v>7</v>
      </c>
      <c r="AF276" t="s">
        <v>35</v>
      </c>
      <c r="AG276" t="s">
        <v>35</v>
      </c>
      <c r="AH276" t="s">
        <v>35</v>
      </c>
      <c r="AI276" t="s">
        <v>35</v>
      </c>
    </row>
    <row r="277" spans="1:35">
      <c r="A277" t="s">
        <v>341</v>
      </c>
      <c r="B277" s="115" t="s">
        <v>505</v>
      </c>
      <c r="C277" s="114" t="s">
        <v>858</v>
      </c>
      <c r="D277" t="s">
        <v>348</v>
      </c>
      <c r="E277" s="4" t="s">
        <v>866</v>
      </c>
      <c r="F277" t="s">
        <v>1855</v>
      </c>
      <c r="G277" t="s">
        <v>515</v>
      </c>
      <c r="H277" s="6">
        <v>35262</v>
      </c>
      <c r="I277" t="s">
        <v>5</v>
      </c>
      <c r="J277" t="s">
        <v>1074</v>
      </c>
      <c r="K277" t="s">
        <v>1629</v>
      </c>
      <c r="L277" s="155" t="s">
        <v>9986</v>
      </c>
      <c r="M277" s="155" t="s">
        <v>10074</v>
      </c>
      <c r="N277" s="152">
        <v>0</v>
      </c>
      <c r="O277" s="148">
        <v>0</v>
      </c>
      <c r="P277" s="151">
        <v>0</v>
      </c>
      <c r="Q277" s="148">
        <v>0</v>
      </c>
      <c r="R277" t="s">
        <v>9843</v>
      </c>
      <c r="S277" t="s">
        <v>7</v>
      </c>
      <c r="T277" t="s">
        <v>1098</v>
      </c>
      <c r="U277" t="s">
        <v>6</v>
      </c>
      <c r="V277" t="s">
        <v>35</v>
      </c>
      <c r="W277" t="s">
        <v>35</v>
      </c>
      <c r="X277" t="s">
        <v>35</v>
      </c>
      <c r="Y277" t="s">
        <v>35</v>
      </c>
      <c r="Z277" t="s">
        <v>35</v>
      </c>
      <c r="AA277" t="s">
        <v>35</v>
      </c>
      <c r="AB277" t="s">
        <v>35</v>
      </c>
      <c r="AC277" t="s">
        <v>35</v>
      </c>
      <c r="AD277" t="s">
        <v>35</v>
      </c>
      <c r="AE277" t="s">
        <v>35</v>
      </c>
      <c r="AF277" t="s">
        <v>35</v>
      </c>
      <c r="AG277" t="s">
        <v>35</v>
      </c>
      <c r="AH277" t="s">
        <v>35</v>
      </c>
      <c r="AI277" t="s">
        <v>35</v>
      </c>
    </row>
    <row r="278" spans="1:35">
      <c r="A278" t="s">
        <v>342</v>
      </c>
      <c r="B278" s="115" t="s">
        <v>503</v>
      </c>
      <c r="C278" s="114" t="s">
        <v>855</v>
      </c>
      <c r="D278" t="s">
        <v>348</v>
      </c>
      <c r="E278" s="4" t="s">
        <v>867</v>
      </c>
      <c r="F278" t="s">
        <v>1855</v>
      </c>
      <c r="G278" t="s">
        <v>3</v>
      </c>
      <c r="H278" s="6">
        <v>34359</v>
      </c>
      <c r="I278" t="s">
        <v>5</v>
      </c>
      <c r="J278" t="s">
        <v>1074</v>
      </c>
      <c r="K278" t="s">
        <v>1630</v>
      </c>
      <c r="L278" s="154" t="s">
        <v>9987</v>
      </c>
      <c r="M278" s="154" t="s">
        <v>9988</v>
      </c>
      <c r="N278" s="151">
        <v>0</v>
      </c>
      <c r="O278" s="148">
        <v>0</v>
      </c>
      <c r="P278" s="151">
        <v>0</v>
      </c>
      <c r="Q278" s="148">
        <v>0</v>
      </c>
      <c r="R278" t="s">
        <v>9843</v>
      </c>
      <c r="S278" t="s">
        <v>7</v>
      </c>
      <c r="T278" t="s">
        <v>1173</v>
      </c>
      <c r="U278" t="s">
        <v>36</v>
      </c>
      <c r="V278" t="s">
        <v>9843</v>
      </c>
      <c r="W278" t="s">
        <v>35</v>
      </c>
      <c r="X278" t="s">
        <v>1079</v>
      </c>
      <c r="Y278" t="s">
        <v>1100</v>
      </c>
      <c r="Z278" t="s">
        <v>1097</v>
      </c>
      <c r="AA278" t="s">
        <v>7</v>
      </c>
      <c r="AB278" t="s">
        <v>7</v>
      </c>
      <c r="AC278" s="117" t="s">
        <v>9872</v>
      </c>
      <c r="AD278" t="s">
        <v>1099</v>
      </c>
      <c r="AE278" t="s">
        <v>35</v>
      </c>
      <c r="AF278" t="s">
        <v>35</v>
      </c>
      <c r="AG278" t="s">
        <v>1099</v>
      </c>
      <c r="AH278" s="117" t="s">
        <v>35</v>
      </c>
      <c r="AI278" s="125" t="s">
        <v>1849</v>
      </c>
    </row>
    <row r="279" spans="1:35">
      <c r="A279" t="s">
        <v>343</v>
      </c>
      <c r="B279" s="115" t="s">
        <v>602</v>
      </c>
      <c r="C279" s="114" t="s">
        <v>858</v>
      </c>
      <c r="D279" t="s">
        <v>348</v>
      </c>
      <c r="E279" s="4" t="s">
        <v>868</v>
      </c>
      <c r="F279" t="s">
        <v>1855</v>
      </c>
      <c r="G279" t="s">
        <v>3</v>
      </c>
      <c r="H279" s="6">
        <v>36004</v>
      </c>
      <c r="I279" t="s">
        <v>5</v>
      </c>
      <c r="J279" t="s">
        <v>48</v>
      </c>
      <c r="K279" t="s">
        <v>1186</v>
      </c>
      <c r="L279" s="151" t="s">
        <v>1631</v>
      </c>
      <c r="M279" s="151">
        <v>0</v>
      </c>
      <c r="N279" s="151">
        <v>0</v>
      </c>
      <c r="O279" s="148">
        <v>0</v>
      </c>
      <c r="P279" s="151">
        <v>0</v>
      </c>
      <c r="Q279" s="148">
        <v>0</v>
      </c>
      <c r="R279" t="s">
        <v>9843</v>
      </c>
      <c r="S279" t="s">
        <v>7</v>
      </c>
      <c r="T279" t="s">
        <v>1111</v>
      </c>
      <c r="U279" t="s">
        <v>36</v>
      </c>
      <c r="V279" t="s">
        <v>9843</v>
      </c>
      <c r="W279" t="s">
        <v>35</v>
      </c>
      <c r="X279" t="s">
        <v>1104</v>
      </c>
      <c r="Y279" t="s">
        <v>1080</v>
      </c>
      <c r="Z279" t="s">
        <v>7</v>
      </c>
      <c r="AA279" t="s">
        <v>1244</v>
      </c>
      <c r="AB279" t="s">
        <v>7</v>
      </c>
      <c r="AC279" s="117" t="s">
        <v>7</v>
      </c>
      <c r="AD279" t="s">
        <v>9</v>
      </c>
      <c r="AE279" t="s">
        <v>35</v>
      </c>
      <c r="AF279" t="s">
        <v>35</v>
      </c>
      <c r="AG279" t="s">
        <v>9</v>
      </c>
      <c r="AH279" s="117" t="s">
        <v>35</v>
      </c>
      <c r="AI279" s="125" t="s">
        <v>1849</v>
      </c>
    </row>
    <row r="280" spans="1:35">
      <c r="A280" t="s">
        <v>344</v>
      </c>
      <c r="B280" s="115" t="s">
        <v>489</v>
      </c>
      <c r="C280" s="114" t="s">
        <v>855</v>
      </c>
      <c r="D280" t="s">
        <v>348</v>
      </c>
      <c r="E280" t="s">
        <v>869</v>
      </c>
      <c r="F280" t="s">
        <v>76</v>
      </c>
      <c r="G280" t="s">
        <v>3</v>
      </c>
      <c r="H280" s="6">
        <v>34027</v>
      </c>
      <c r="I280" t="s">
        <v>4</v>
      </c>
      <c r="J280" t="s">
        <v>48</v>
      </c>
      <c r="K280" t="s">
        <v>1072</v>
      </c>
      <c r="L280" s="151" t="s">
        <v>1633</v>
      </c>
      <c r="M280" s="151" t="s">
        <v>1632</v>
      </c>
      <c r="N280" s="151">
        <v>0</v>
      </c>
      <c r="O280" s="148">
        <v>0</v>
      </c>
      <c r="P280" s="151">
        <v>0</v>
      </c>
      <c r="Q280" s="148">
        <v>0</v>
      </c>
      <c r="R280" t="s">
        <v>9843</v>
      </c>
      <c r="S280" t="s">
        <v>7</v>
      </c>
      <c r="T280" t="s">
        <v>1637</v>
      </c>
      <c r="U280" t="s">
        <v>36</v>
      </c>
      <c r="V280" t="s">
        <v>9843</v>
      </c>
      <c r="W280" t="s">
        <v>35</v>
      </c>
      <c r="X280" t="s">
        <v>1214</v>
      </c>
      <c r="Y280" t="s">
        <v>1100</v>
      </c>
      <c r="Z280" t="s">
        <v>7</v>
      </c>
      <c r="AA280" s="117" t="s">
        <v>1111</v>
      </c>
      <c r="AB280" t="s">
        <v>7</v>
      </c>
      <c r="AC280" t="s">
        <v>9870</v>
      </c>
      <c r="AD280" t="s">
        <v>10</v>
      </c>
      <c r="AE280" t="s">
        <v>35</v>
      </c>
      <c r="AF280" t="s">
        <v>35</v>
      </c>
      <c r="AG280" t="s">
        <v>10</v>
      </c>
      <c r="AH280" t="s">
        <v>9851</v>
      </c>
      <c r="AI280" s="117" t="s">
        <v>35</v>
      </c>
    </row>
    <row r="281" spans="1:35">
      <c r="A281" t="s">
        <v>345</v>
      </c>
      <c r="B281" s="115" t="s">
        <v>681</v>
      </c>
      <c r="C281" s="114" t="s">
        <v>855</v>
      </c>
      <c r="D281" t="s">
        <v>348</v>
      </c>
      <c r="E281" s="4" t="s">
        <v>870</v>
      </c>
      <c r="F281" t="s">
        <v>1855</v>
      </c>
      <c r="G281" t="s">
        <v>3</v>
      </c>
      <c r="H281" s="6">
        <v>35028</v>
      </c>
      <c r="I281" t="s">
        <v>4</v>
      </c>
      <c r="J281" t="s">
        <v>48</v>
      </c>
      <c r="K281" t="s">
        <v>1634</v>
      </c>
      <c r="L281" s="154" t="s">
        <v>9989</v>
      </c>
      <c r="M281" s="151" t="s">
        <v>1635</v>
      </c>
      <c r="N281" s="151">
        <v>0</v>
      </c>
      <c r="O281" s="148">
        <v>0</v>
      </c>
      <c r="P281" s="151">
        <v>0</v>
      </c>
      <c r="Q281" s="148" t="s">
        <v>1636</v>
      </c>
      <c r="R281" t="s">
        <v>9843</v>
      </c>
      <c r="S281" t="s">
        <v>7</v>
      </c>
      <c r="T281" t="s">
        <v>1638</v>
      </c>
      <c r="U281" t="s">
        <v>6</v>
      </c>
      <c r="V281" t="s">
        <v>35</v>
      </c>
      <c r="W281" t="s">
        <v>35</v>
      </c>
      <c r="X281" t="s">
        <v>35</v>
      </c>
      <c r="Y281" t="s">
        <v>35</v>
      </c>
      <c r="Z281" t="s">
        <v>35</v>
      </c>
      <c r="AA281" t="s">
        <v>35</v>
      </c>
      <c r="AB281" t="s">
        <v>35</v>
      </c>
      <c r="AC281" t="s">
        <v>35</v>
      </c>
      <c r="AD281" t="s">
        <v>35</v>
      </c>
      <c r="AE281" t="s">
        <v>35</v>
      </c>
      <c r="AF281" t="s">
        <v>35</v>
      </c>
      <c r="AG281" t="s">
        <v>35</v>
      </c>
      <c r="AH281" t="s">
        <v>35</v>
      </c>
      <c r="AI281" t="s">
        <v>35</v>
      </c>
    </row>
    <row r="282" spans="1:35">
      <c r="A282" t="s">
        <v>346</v>
      </c>
      <c r="B282" s="115" t="s">
        <v>654</v>
      </c>
      <c r="C282" s="114" t="s">
        <v>858</v>
      </c>
      <c r="D282" t="s">
        <v>348</v>
      </c>
      <c r="E282" s="4" t="s">
        <v>871</v>
      </c>
      <c r="F282" t="s">
        <v>1855</v>
      </c>
      <c r="G282" t="s">
        <v>3</v>
      </c>
      <c r="H282" s="6">
        <v>29977</v>
      </c>
      <c r="I282" t="s">
        <v>4</v>
      </c>
      <c r="J282" t="s">
        <v>1074</v>
      </c>
      <c r="K282" t="s">
        <v>1639</v>
      </c>
      <c r="L282" s="151" t="s">
        <v>1640</v>
      </c>
      <c r="M282" s="151">
        <v>0</v>
      </c>
      <c r="N282" s="151">
        <v>0</v>
      </c>
      <c r="O282" s="148">
        <v>0</v>
      </c>
      <c r="P282" s="151">
        <v>0</v>
      </c>
      <c r="Q282" s="148">
        <v>0</v>
      </c>
      <c r="R282" t="s">
        <v>9843</v>
      </c>
      <c r="S282" t="s">
        <v>7</v>
      </c>
      <c r="T282" t="s">
        <v>1098</v>
      </c>
      <c r="U282" t="s">
        <v>6</v>
      </c>
      <c r="V282" t="s">
        <v>35</v>
      </c>
      <c r="W282" t="s">
        <v>35</v>
      </c>
      <c r="X282" t="s">
        <v>35</v>
      </c>
      <c r="Y282" t="s">
        <v>35</v>
      </c>
      <c r="Z282" t="s">
        <v>35</v>
      </c>
      <c r="AA282" t="s">
        <v>35</v>
      </c>
      <c r="AB282" t="s">
        <v>35</v>
      </c>
      <c r="AC282" t="s">
        <v>35</v>
      </c>
      <c r="AD282" t="s">
        <v>35</v>
      </c>
      <c r="AE282" t="s">
        <v>35</v>
      </c>
      <c r="AF282" t="s">
        <v>35</v>
      </c>
      <c r="AG282" t="s">
        <v>35</v>
      </c>
      <c r="AH282" t="s">
        <v>35</v>
      </c>
      <c r="AI282" t="s">
        <v>35</v>
      </c>
    </row>
    <row r="283" spans="1:35">
      <c r="A283" t="s">
        <v>347</v>
      </c>
      <c r="B283" s="115" t="s">
        <v>681</v>
      </c>
      <c r="C283" s="114" t="s">
        <v>858</v>
      </c>
      <c r="D283" t="s">
        <v>348</v>
      </c>
      <c r="E283" s="4" t="s">
        <v>872</v>
      </c>
      <c r="F283" t="s">
        <v>1855</v>
      </c>
      <c r="G283" t="s">
        <v>3</v>
      </c>
      <c r="H283" s="6">
        <v>31615</v>
      </c>
      <c r="I283" t="s">
        <v>1093</v>
      </c>
      <c r="J283" t="s">
        <v>48</v>
      </c>
      <c r="K283" t="s">
        <v>1186</v>
      </c>
      <c r="L283" s="154" t="s">
        <v>9990</v>
      </c>
      <c r="M283" s="151">
        <v>0</v>
      </c>
      <c r="N283" s="154" t="s">
        <v>9991</v>
      </c>
      <c r="O283" s="148">
        <v>0</v>
      </c>
      <c r="P283" s="151">
        <v>0</v>
      </c>
      <c r="Q283" s="148">
        <v>0</v>
      </c>
      <c r="R283" t="s">
        <v>9843</v>
      </c>
      <c r="S283" t="s">
        <v>7</v>
      </c>
      <c r="T283" t="s">
        <v>80</v>
      </c>
      <c r="U283" t="s">
        <v>51</v>
      </c>
      <c r="V283" t="s">
        <v>52</v>
      </c>
      <c r="W283" t="s">
        <v>35</v>
      </c>
      <c r="X283" t="s">
        <v>35</v>
      </c>
      <c r="Y283" t="s">
        <v>35</v>
      </c>
      <c r="Z283" t="s">
        <v>35</v>
      </c>
      <c r="AA283" t="s">
        <v>35</v>
      </c>
      <c r="AB283" t="s">
        <v>35</v>
      </c>
      <c r="AC283" t="s">
        <v>35</v>
      </c>
      <c r="AD283" t="s">
        <v>35</v>
      </c>
      <c r="AE283" t="s">
        <v>7</v>
      </c>
      <c r="AF283" t="s">
        <v>35</v>
      </c>
      <c r="AG283" t="s">
        <v>35</v>
      </c>
      <c r="AH283" t="s">
        <v>35</v>
      </c>
      <c r="AI283" t="s">
        <v>35</v>
      </c>
    </row>
    <row r="284" spans="1:35">
      <c r="A284" t="s">
        <v>349</v>
      </c>
      <c r="B284" s="115" t="s">
        <v>95</v>
      </c>
      <c r="C284" s="114" t="s">
        <v>949</v>
      </c>
      <c r="D284" t="s">
        <v>364</v>
      </c>
      <c r="E284" s="4" t="s">
        <v>950</v>
      </c>
      <c r="F284" t="s">
        <v>1855</v>
      </c>
      <c r="G284" t="s">
        <v>3</v>
      </c>
      <c r="H284" s="6">
        <v>35585</v>
      </c>
      <c r="I284" t="s">
        <v>4</v>
      </c>
      <c r="J284" t="s">
        <v>48</v>
      </c>
      <c r="K284" t="s">
        <v>1264</v>
      </c>
      <c r="L284" s="154" t="s">
        <v>9992</v>
      </c>
      <c r="M284" s="154" t="s">
        <v>9993</v>
      </c>
      <c r="N284" s="151">
        <v>0</v>
      </c>
      <c r="O284" s="148">
        <v>0</v>
      </c>
      <c r="P284" s="151">
        <v>0</v>
      </c>
      <c r="Q284" s="148">
        <v>0</v>
      </c>
      <c r="R284" t="s">
        <v>9843</v>
      </c>
      <c r="S284" t="s">
        <v>7</v>
      </c>
      <c r="T284" s="117" t="s">
        <v>1111</v>
      </c>
      <c r="U284" t="s">
        <v>36</v>
      </c>
      <c r="V284" t="s">
        <v>9843</v>
      </c>
      <c r="W284" t="s">
        <v>35</v>
      </c>
      <c r="X284" t="s">
        <v>1079</v>
      </c>
      <c r="Y284" s="117" t="s">
        <v>1069</v>
      </c>
      <c r="Z284" t="s">
        <v>7</v>
      </c>
      <c r="AA284" t="s">
        <v>1677</v>
      </c>
      <c r="AB284" t="s">
        <v>1937</v>
      </c>
      <c r="AC284" t="s">
        <v>9871</v>
      </c>
      <c r="AD284" t="s">
        <v>1197</v>
      </c>
      <c r="AE284" t="s">
        <v>35</v>
      </c>
      <c r="AF284" t="s">
        <v>35</v>
      </c>
      <c r="AG284" t="s">
        <v>1197</v>
      </c>
      <c r="AH284" t="s">
        <v>9851</v>
      </c>
      <c r="AI284" s="117" t="s">
        <v>35</v>
      </c>
    </row>
    <row r="285" spans="1:35">
      <c r="A285" t="s">
        <v>350</v>
      </c>
      <c r="B285" s="115" t="s">
        <v>806</v>
      </c>
      <c r="C285" s="114" t="s">
        <v>951</v>
      </c>
      <c r="D285" t="s">
        <v>364</v>
      </c>
      <c r="E285" s="4" t="s">
        <v>952</v>
      </c>
      <c r="F285" t="s">
        <v>1855</v>
      </c>
      <c r="G285" t="s">
        <v>3</v>
      </c>
      <c r="H285" s="6">
        <v>30893</v>
      </c>
      <c r="I285" t="s">
        <v>4</v>
      </c>
      <c r="J285" t="s">
        <v>41</v>
      </c>
      <c r="K285" t="s">
        <v>1198</v>
      </c>
      <c r="L285" s="151">
        <v>0</v>
      </c>
      <c r="M285" s="154" t="s">
        <v>9994</v>
      </c>
      <c r="N285" s="151">
        <v>0</v>
      </c>
      <c r="O285" s="148">
        <v>0</v>
      </c>
      <c r="P285" s="151">
        <v>0</v>
      </c>
      <c r="Q285" s="148">
        <v>0</v>
      </c>
      <c r="R285" t="s">
        <v>9846</v>
      </c>
      <c r="S285" t="s">
        <v>1271</v>
      </c>
      <c r="T285" s="117" t="s">
        <v>1098</v>
      </c>
      <c r="U285" t="s">
        <v>78</v>
      </c>
      <c r="V285" t="s">
        <v>9843</v>
      </c>
      <c r="W285" t="s">
        <v>7</v>
      </c>
      <c r="X285" t="s">
        <v>1199</v>
      </c>
      <c r="Y285" t="s">
        <v>1100</v>
      </c>
      <c r="Z285" t="s">
        <v>7</v>
      </c>
      <c r="AA285" t="s">
        <v>7</v>
      </c>
      <c r="AB285" t="s">
        <v>1937</v>
      </c>
      <c r="AC285" s="117" t="s">
        <v>9872</v>
      </c>
      <c r="AD285" t="s">
        <v>1099</v>
      </c>
      <c r="AE285" t="s">
        <v>35</v>
      </c>
      <c r="AF285" t="s">
        <v>35</v>
      </c>
      <c r="AG285" t="s">
        <v>1099</v>
      </c>
      <c r="AH285" s="117" t="s">
        <v>35</v>
      </c>
      <c r="AI285" s="117" t="s">
        <v>1114</v>
      </c>
    </row>
    <row r="286" spans="1:35">
      <c r="A286" t="s">
        <v>351</v>
      </c>
      <c r="B286" s="115" t="s">
        <v>98</v>
      </c>
      <c r="C286" s="114" t="s">
        <v>949</v>
      </c>
      <c r="D286" t="s">
        <v>364</v>
      </c>
      <c r="E286" s="4" t="s">
        <v>953</v>
      </c>
      <c r="F286" t="s">
        <v>1855</v>
      </c>
      <c r="G286" t="s">
        <v>3</v>
      </c>
      <c r="H286" s="6">
        <v>34973</v>
      </c>
      <c r="I286" t="s">
        <v>5</v>
      </c>
      <c r="J286" t="s">
        <v>48</v>
      </c>
      <c r="K286" t="s">
        <v>9773</v>
      </c>
      <c r="L286" s="152" t="s">
        <v>10070</v>
      </c>
      <c r="M286" s="152" t="s">
        <v>10072</v>
      </c>
      <c r="N286" s="152" t="s">
        <v>10073</v>
      </c>
      <c r="O286" s="153">
        <v>0</v>
      </c>
      <c r="P286" s="152">
        <v>0</v>
      </c>
      <c r="Q286" s="152" t="s">
        <v>10071</v>
      </c>
      <c r="R286" t="s">
        <v>9846</v>
      </c>
      <c r="S286" t="s">
        <v>1271</v>
      </c>
      <c r="T286" s="117" t="s">
        <v>1281</v>
      </c>
      <c r="U286" t="s">
        <v>78</v>
      </c>
      <c r="V286" t="s">
        <v>9843</v>
      </c>
      <c r="W286" t="s">
        <v>7</v>
      </c>
      <c r="X286" t="s">
        <v>1350</v>
      </c>
      <c r="Y286" t="s">
        <v>1163</v>
      </c>
      <c r="Z286" t="s">
        <v>7</v>
      </c>
      <c r="AA286" s="117" t="s">
        <v>1111</v>
      </c>
      <c r="AB286" t="s">
        <v>1937</v>
      </c>
      <c r="AC286" s="117" t="s">
        <v>7</v>
      </c>
      <c r="AD286" t="s">
        <v>1201</v>
      </c>
      <c r="AE286" t="s">
        <v>35</v>
      </c>
      <c r="AF286" t="s">
        <v>35</v>
      </c>
      <c r="AG286" t="s">
        <v>1201</v>
      </c>
      <c r="AH286" s="117" t="s">
        <v>35</v>
      </c>
      <c r="AI286" s="125" t="s">
        <v>1849</v>
      </c>
    </row>
    <row r="287" spans="1:35">
      <c r="A287" t="s">
        <v>351</v>
      </c>
      <c r="B287" s="115" t="s">
        <v>98</v>
      </c>
      <c r="C287" s="114" t="s">
        <v>949</v>
      </c>
      <c r="D287" t="s">
        <v>364</v>
      </c>
      <c r="E287" s="4" t="s">
        <v>954</v>
      </c>
      <c r="F287" t="s">
        <v>1855</v>
      </c>
      <c r="G287" t="s">
        <v>3</v>
      </c>
      <c r="H287" s="6">
        <v>34466</v>
      </c>
      <c r="I287" t="s">
        <v>1093</v>
      </c>
      <c r="J287" t="s">
        <v>48</v>
      </c>
      <c r="K287" s="117" t="s">
        <v>1186</v>
      </c>
      <c r="L287" s="152" t="s">
        <v>10070</v>
      </c>
      <c r="M287" s="152" t="s">
        <v>10072</v>
      </c>
      <c r="N287" s="152" t="s">
        <v>10073</v>
      </c>
      <c r="O287" s="153">
        <v>0</v>
      </c>
      <c r="P287" s="152">
        <v>0</v>
      </c>
      <c r="Q287" s="152" t="s">
        <v>10071</v>
      </c>
      <c r="R287" t="s">
        <v>9846</v>
      </c>
      <c r="S287" t="s">
        <v>1271</v>
      </c>
      <c r="T287" s="117" t="s">
        <v>1173</v>
      </c>
      <c r="U287" t="s">
        <v>78</v>
      </c>
      <c r="V287" t="s">
        <v>9843</v>
      </c>
      <c r="W287" t="s">
        <v>7</v>
      </c>
      <c r="X287" t="s">
        <v>1350</v>
      </c>
      <c r="Y287" t="s">
        <v>1163</v>
      </c>
      <c r="Z287" t="s">
        <v>1097</v>
      </c>
      <c r="AA287" t="s">
        <v>7</v>
      </c>
      <c r="AB287" t="s">
        <v>1937</v>
      </c>
      <c r="AC287" s="117" t="s">
        <v>9872</v>
      </c>
      <c r="AD287" t="s">
        <v>1200</v>
      </c>
      <c r="AE287" t="s">
        <v>35</v>
      </c>
      <c r="AF287" t="s">
        <v>35</v>
      </c>
      <c r="AG287" t="s">
        <v>1200</v>
      </c>
      <c r="AH287" s="117" t="s">
        <v>35</v>
      </c>
      <c r="AI287" s="125" t="s">
        <v>1849</v>
      </c>
    </row>
    <row r="288" spans="1:35">
      <c r="A288" t="s">
        <v>352</v>
      </c>
      <c r="B288" s="115" t="s">
        <v>642</v>
      </c>
      <c r="C288" s="114" t="s">
        <v>949</v>
      </c>
      <c r="D288" t="s">
        <v>364</v>
      </c>
      <c r="E288" s="4" t="s">
        <v>955</v>
      </c>
      <c r="F288" t="s">
        <v>1855</v>
      </c>
      <c r="G288" t="s">
        <v>3</v>
      </c>
      <c r="H288" s="6">
        <v>34757</v>
      </c>
      <c r="I288" t="s">
        <v>5</v>
      </c>
      <c r="J288" t="s">
        <v>48</v>
      </c>
      <c r="K288" t="s">
        <v>1225</v>
      </c>
      <c r="L288" s="154" t="s">
        <v>9995</v>
      </c>
      <c r="M288" s="151">
        <v>0</v>
      </c>
      <c r="N288" s="151">
        <v>0</v>
      </c>
      <c r="O288" s="148">
        <v>0</v>
      </c>
      <c r="P288" s="151">
        <v>0</v>
      </c>
      <c r="Q288" s="148">
        <v>0</v>
      </c>
      <c r="R288" t="s">
        <v>9846</v>
      </c>
      <c r="S288" t="s">
        <v>7</v>
      </c>
      <c r="T288" s="117" t="s">
        <v>1122</v>
      </c>
      <c r="U288" t="s">
        <v>6</v>
      </c>
      <c r="V288" t="s">
        <v>35</v>
      </c>
      <c r="W288" t="s">
        <v>35</v>
      </c>
      <c r="X288" t="s">
        <v>35</v>
      </c>
      <c r="Y288" t="s">
        <v>35</v>
      </c>
      <c r="Z288" t="s">
        <v>35</v>
      </c>
      <c r="AA288" t="s">
        <v>35</v>
      </c>
      <c r="AB288" t="s">
        <v>35</v>
      </c>
      <c r="AC288" t="s">
        <v>35</v>
      </c>
      <c r="AD288" t="s">
        <v>35</v>
      </c>
      <c r="AE288" t="s">
        <v>35</v>
      </c>
      <c r="AF288" t="s">
        <v>35</v>
      </c>
      <c r="AG288" t="s">
        <v>35</v>
      </c>
      <c r="AH288" s="117" t="s">
        <v>35</v>
      </c>
      <c r="AI288" t="s">
        <v>35</v>
      </c>
    </row>
    <row r="289" spans="1:35">
      <c r="A289" t="s">
        <v>352</v>
      </c>
      <c r="B289" s="115" t="s">
        <v>642</v>
      </c>
      <c r="C289" s="114" t="s">
        <v>949</v>
      </c>
      <c r="D289" t="s">
        <v>364</v>
      </c>
      <c r="E289" s="4" t="s">
        <v>956</v>
      </c>
      <c r="F289" t="s">
        <v>1855</v>
      </c>
      <c r="G289" t="s">
        <v>3</v>
      </c>
      <c r="H289" s="6">
        <v>33756</v>
      </c>
      <c r="I289" t="s">
        <v>1093</v>
      </c>
      <c r="J289" t="s">
        <v>48</v>
      </c>
      <c r="K289" t="s">
        <v>1225</v>
      </c>
      <c r="L289" s="154" t="s">
        <v>9995</v>
      </c>
      <c r="M289" s="151">
        <v>0</v>
      </c>
      <c r="N289" s="151">
        <v>0</v>
      </c>
      <c r="O289" s="148">
        <v>0</v>
      </c>
      <c r="P289" s="151">
        <v>0</v>
      </c>
      <c r="Q289" s="148">
        <v>0</v>
      </c>
      <c r="R289" t="s">
        <v>9846</v>
      </c>
      <c r="S289" t="s">
        <v>7</v>
      </c>
      <c r="T289" s="117" t="s">
        <v>1122</v>
      </c>
      <c r="U289" t="s">
        <v>6</v>
      </c>
      <c r="V289" t="s">
        <v>35</v>
      </c>
      <c r="W289" t="s">
        <v>35</v>
      </c>
      <c r="X289" t="s">
        <v>35</v>
      </c>
      <c r="Y289" t="s">
        <v>35</v>
      </c>
      <c r="Z289" t="s">
        <v>35</v>
      </c>
      <c r="AA289" t="s">
        <v>35</v>
      </c>
      <c r="AB289" t="s">
        <v>35</v>
      </c>
      <c r="AC289" t="s">
        <v>35</v>
      </c>
      <c r="AD289" t="s">
        <v>35</v>
      </c>
      <c r="AE289" t="s">
        <v>35</v>
      </c>
      <c r="AF289" t="s">
        <v>35</v>
      </c>
      <c r="AG289" t="s">
        <v>35</v>
      </c>
      <c r="AH289" s="117" t="s">
        <v>35</v>
      </c>
      <c r="AI289" t="s">
        <v>35</v>
      </c>
    </row>
    <row r="290" spans="1:35">
      <c r="A290" t="s">
        <v>353</v>
      </c>
      <c r="B290" s="115" t="s">
        <v>612</v>
      </c>
      <c r="C290" s="114" t="s">
        <v>951</v>
      </c>
      <c r="D290" t="s">
        <v>364</v>
      </c>
      <c r="E290" s="4" t="s">
        <v>957</v>
      </c>
      <c r="F290" t="s">
        <v>76</v>
      </c>
      <c r="G290" t="s">
        <v>3</v>
      </c>
      <c r="H290" s="6">
        <v>24436</v>
      </c>
      <c r="I290" t="s">
        <v>4</v>
      </c>
      <c r="J290" t="s">
        <v>48</v>
      </c>
      <c r="K290" t="s">
        <v>9776</v>
      </c>
      <c r="L290" s="154" t="s">
        <v>10057</v>
      </c>
      <c r="M290" s="151">
        <v>0</v>
      </c>
      <c r="N290" s="151">
        <v>0</v>
      </c>
      <c r="O290" s="148">
        <v>0</v>
      </c>
      <c r="P290" s="151">
        <v>0</v>
      </c>
      <c r="Q290" s="148">
        <v>0</v>
      </c>
      <c r="R290" t="s">
        <v>9843</v>
      </c>
      <c r="S290" s="117" t="s">
        <v>9848</v>
      </c>
      <c r="T290" s="117" t="s">
        <v>1546</v>
      </c>
      <c r="U290" s="117" t="s">
        <v>36</v>
      </c>
      <c r="V290" t="s">
        <v>9843</v>
      </c>
      <c r="W290" s="117" t="s">
        <v>9854</v>
      </c>
      <c r="X290" s="117" t="s">
        <v>7</v>
      </c>
      <c r="Y290" s="117" t="s">
        <v>9</v>
      </c>
      <c r="Z290" s="117" t="s">
        <v>7</v>
      </c>
      <c r="AA290" s="117" t="s">
        <v>7</v>
      </c>
      <c r="AB290" s="117" t="s">
        <v>7</v>
      </c>
      <c r="AC290" t="s">
        <v>9870</v>
      </c>
      <c r="AD290" s="117" t="s">
        <v>10</v>
      </c>
      <c r="AE290" s="117" t="s">
        <v>35</v>
      </c>
      <c r="AF290" s="117" t="s">
        <v>1202</v>
      </c>
      <c r="AG290" s="117" t="s">
        <v>1203</v>
      </c>
      <c r="AH290" s="117" t="s">
        <v>35</v>
      </c>
      <c r="AI290" s="125" t="s">
        <v>1849</v>
      </c>
    </row>
    <row r="291" spans="1:35">
      <c r="A291" t="s">
        <v>354</v>
      </c>
      <c r="B291" s="115" t="s">
        <v>958</v>
      </c>
      <c r="C291" s="114" t="s">
        <v>949</v>
      </c>
      <c r="D291" t="s">
        <v>364</v>
      </c>
      <c r="E291" s="4" t="s">
        <v>959</v>
      </c>
      <c r="F291" t="s">
        <v>1855</v>
      </c>
      <c r="G291" t="s">
        <v>3</v>
      </c>
      <c r="H291" s="6">
        <v>26887</v>
      </c>
      <c r="I291" t="s">
        <v>4</v>
      </c>
      <c r="J291" t="s">
        <v>48</v>
      </c>
      <c r="K291" t="s">
        <v>1204</v>
      </c>
      <c r="L291" s="151">
        <v>0</v>
      </c>
      <c r="M291" s="151" t="s">
        <v>1205</v>
      </c>
      <c r="N291" s="151">
        <v>0</v>
      </c>
      <c r="O291" s="148">
        <v>0</v>
      </c>
      <c r="P291" s="151">
        <v>0</v>
      </c>
      <c r="Q291" s="148">
        <v>0</v>
      </c>
      <c r="R291" t="s">
        <v>9843</v>
      </c>
      <c r="S291" t="s">
        <v>9850</v>
      </c>
      <c r="T291" s="117" t="s">
        <v>9767</v>
      </c>
      <c r="U291" t="s">
        <v>36</v>
      </c>
      <c r="V291" t="s">
        <v>9843</v>
      </c>
      <c r="W291" t="s">
        <v>9850</v>
      </c>
      <c r="X291" s="117" t="s">
        <v>1652</v>
      </c>
      <c r="Y291" s="117" t="s">
        <v>1163</v>
      </c>
      <c r="Z291" t="s">
        <v>1097</v>
      </c>
      <c r="AA291" t="s">
        <v>7</v>
      </c>
      <c r="AB291" t="s">
        <v>7</v>
      </c>
      <c r="AC291" s="117" t="s">
        <v>9872</v>
      </c>
      <c r="AD291" t="s">
        <v>1081</v>
      </c>
      <c r="AE291" t="s">
        <v>35</v>
      </c>
      <c r="AF291" t="s">
        <v>9874</v>
      </c>
      <c r="AG291" t="s">
        <v>1206</v>
      </c>
      <c r="AH291" s="117" t="s">
        <v>35</v>
      </c>
      <c r="AI291" s="125" t="s">
        <v>1849</v>
      </c>
    </row>
    <row r="292" spans="1:35">
      <c r="A292" s="117" t="s">
        <v>355</v>
      </c>
      <c r="B292" s="115" t="s">
        <v>960</v>
      </c>
      <c r="C292" s="114" t="s">
        <v>949</v>
      </c>
      <c r="D292" t="s">
        <v>364</v>
      </c>
      <c r="E292" s="4" t="s">
        <v>961</v>
      </c>
      <c r="F292" t="s">
        <v>1855</v>
      </c>
      <c r="G292" t="s">
        <v>3</v>
      </c>
      <c r="H292" s="6">
        <v>26868</v>
      </c>
      <c r="I292" t="s">
        <v>5</v>
      </c>
      <c r="J292" t="s">
        <v>48</v>
      </c>
      <c r="K292" t="s">
        <v>1207</v>
      </c>
      <c r="L292" s="151" t="s">
        <v>1208</v>
      </c>
      <c r="M292" s="151" t="s">
        <v>1209</v>
      </c>
      <c r="N292" s="151">
        <v>0</v>
      </c>
      <c r="O292" s="148">
        <v>0</v>
      </c>
      <c r="P292" s="151">
        <v>0</v>
      </c>
      <c r="Q292" s="148">
        <v>0</v>
      </c>
      <c r="R292" t="s">
        <v>9843</v>
      </c>
      <c r="S292" t="s">
        <v>7</v>
      </c>
      <c r="T292" s="117" t="s">
        <v>1648</v>
      </c>
      <c r="U292" t="s">
        <v>36</v>
      </c>
      <c r="V292" t="s">
        <v>9843</v>
      </c>
      <c r="W292" t="s">
        <v>35</v>
      </c>
      <c r="X292" t="s">
        <v>1104</v>
      </c>
      <c r="Y292" t="s">
        <v>1080</v>
      </c>
      <c r="Z292" t="s">
        <v>7</v>
      </c>
      <c r="AA292" t="s">
        <v>7</v>
      </c>
      <c r="AB292" t="s">
        <v>7</v>
      </c>
      <c r="AC292" s="117" t="s">
        <v>7</v>
      </c>
      <c r="AD292" t="s">
        <v>1080</v>
      </c>
      <c r="AE292" t="s">
        <v>35</v>
      </c>
      <c r="AF292" t="s">
        <v>35</v>
      </c>
      <c r="AG292" t="s">
        <v>1080</v>
      </c>
      <c r="AH292" s="117" t="s">
        <v>35</v>
      </c>
      <c r="AI292" s="125" t="s">
        <v>1849</v>
      </c>
    </row>
    <row r="293" spans="1:35">
      <c r="A293" s="117" t="s">
        <v>356</v>
      </c>
      <c r="B293" s="115" t="s">
        <v>962</v>
      </c>
      <c r="C293" s="114" t="s">
        <v>951</v>
      </c>
      <c r="D293" t="s">
        <v>364</v>
      </c>
      <c r="E293" s="4" t="s">
        <v>963</v>
      </c>
      <c r="F293" t="s">
        <v>1855</v>
      </c>
      <c r="G293" t="s">
        <v>3</v>
      </c>
      <c r="H293" s="6">
        <v>32521</v>
      </c>
      <c r="I293" t="s">
        <v>1093</v>
      </c>
      <c r="J293" t="s">
        <v>48</v>
      </c>
      <c r="K293" t="s">
        <v>1210</v>
      </c>
      <c r="L293" s="151">
        <v>0</v>
      </c>
      <c r="M293" s="151" t="s">
        <v>1211</v>
      </c>
      <c r="N293" s="151">
        <v>0</v>
      </c>
      <c r="O293" s="148">
        <v>0</v>
      </c>
      <c r="P293" s="151">
        <v>0</v>
      </c>
      <c r="Q293" s="148">
        <v>0</v>
      </c>
      <c r="R293" t="s">
        <v>9843</v>
      </c>
      <c r="S293" t="s">
        <v>7</v>
      </c>
      <c r="T293" s="117" t="s">
        <v>9778</v>
      </c>
      <c r="U293" t="s">
        <v>36</v>
      </c>
      <c r="V293" t="s">
        <v>9843</v>
      </c>
      <c r="W293" t="s">
        <v>35</v>
      </c>
      <c r="X293" t="s">
        <v>9862</v>
      </c>
      <c r="Y293" t="s">
        <v>1100</v>
      </c>
      <c r="Z293" t="s">
        <v>1097</v>
      </c>
      <c r="AA293" t="s">
        <v>7</v>
      </c>
      <c r="AB293" t="s">
        <v>7</v>
      </c>
      <c r="AC293" s="117" t="s">
        <v>9872</v>
      </c>
      <c r="AD293" t="s">
        <v>1099</v>
      </c>
      <c r="AE293" t="s">
        <v>35</v>
      </c>
      <c r="AF293" t="s">
        <v>35</v>
      </c>
      <c r="AG293" t="s">
        <v>1099</v>
      </c>
      <c r="AH293" s="117" t="s">
        <v>35</v>
      </c>
      <c r="AI293" s="125" t="s">
        <v>1849</v>
      </c>
    </row>
    <row r="294" spans="1:35">
      <c r="A294" t="s">
        <v>357</v>
      </c>
      <c r="B294" s="115" t="s">
        <v>940</v>
      </c>
      <c r="C294" s="114" t="s">
        <v>949</v>
      </c>
      <c r="D294" t="s">
        <v>364</v>
      </c>
      <c r="E294" s="4" t="s">
        <v>964</v>
      </c>
      <c r="F294" t="s">
        <v>1855</v>
      </c>
      <c r="G294" t="s">
        <v>3</v>
      </c>
      <c r="H294" s="6">
        <v>34047</v>
      </c>
      <c r="I294" t="s">
        <v>4</v>
      </c>
      <c r="J294" t="s">
        <v>48</v>
      </c>
      <c r="K294" t="s">
        <v>1213</v>
      </c>
      <c r="L294" s="151">
        <v>0</v>
      </c>
      <c r="M294" s="154" t="s">
        <v>9996</v>
      </c>
      <c r="N294" s="154" t="s">
        <v>1618</v>
      </c>
      <c r="O294" s="148">
        <v>0</v>
      </c>
      <c r="P294" s="151">
        <v>0</v>
      </c>
      <c r="Q294" s="148">
        <v>0</v>
      </c>
      <c r="R294" t="s">
        <v>9843</v>
      </c>
      <c r="S294" t="s">
        <v>7</v>
      </c>
      <c r="T294" s="117" t="s">
        <v>1150</v>
      </c>
      <c r="U294" t="s">
        <v>36</v>
      </c>
      <c r="V294" t="s">
        <v>9843</v>
      </c>
      <c r="W294" t="s">
        <v>35</v>
      </c>
      <c r="X294" t="s">
        <v>1214</v>
      </c>
      <c r="Y294" t="s">
        <v>1215</v>
      </c>
      <c r="Z294" t="s">
        <v>7</v>
      </c>
      <c r="AA294" t="s">
        <v>7</v>
      </c>
      <c r="AB294" t="s">
        <v>7</v>
      </c>
      <c r="AC294" t="s">
        <v>9871</v>
      </c>
      <c r="AD294" t="s">
        <v>1216</v>
      </c>
      <c r="AE294" t="s">
        <v>35</v>
      </c>
      <c r="AF294" t="s">
        <v>35</v>
      </c>
      <c r="AG294" t="s">
        <v>1216</v>
      </c>
      <c r="AH294" s="117" t="s">
        <v>7</v>
      </c>
      <c r="AI294" s="125" t="s">
        <v>1849</v>
      </c>
    </row>
    <row r="295" spans="1:35">
      <c r="A295" t="s">
        <v>358</v>
      </c>
      <c r="B295" s="115" t="s">
        <v>503</v>
      </c>
      <c r="C295" s="114" t="s">
        <v>951</v>
      </c>
      <c r="D295" t="s">
        <v>364</v>
      </c>
      <c r="E295" s="4" t="s">
        <v>965</v>
      </c>
      <c r="F295" t="s">
        <v>1311</v>
      </c>
      <c r="G295" t="s">
        <v>3</v>
      </c>
      <c r="H295" s="6">
        <v>35689</v>
      </c>
      <c r="I295" t="s">
        <v>5</v>
      </c>
      <c r="J295" t="s">
        <v>48</v>
      </c>
      <c r="K295" t="s">
        <v>1186</v>
      </c>
      <c r="L295" s="151">
        <v>0</v>
      </c>
      <c r="M295" s="151" t="s">
        <v>1217</v>
      </c>
      <c r="N295" s="151">
        <v>0</v>
      </c>
      <c r="O295" s="148">
        <v>0</v>
      </c>
      <c r="P295" s="151">
        <v>0</v>
      </c>
      <c r="Q295" s="148">
        <v>0</v>
      </c>
      <c r="R295" t="s">
        <v>9843</v>
      </c>
      <c r="S295" t="s">
        <v>7</v>
      </c>
      <c r="T295" s="117" t="s">
        <v>1218</v>
      </c>
      <c r="U295" t="s">
        <v>36</v>
      </c>
      <c r="V295" t="s">
        <v>9843</v>
      </c>
      <c r="W295" t="s">
        <v>35</v>
      </c>
      <c r="X295" t="s">
        <v>7</v>
      </c>
      <c r="Y295" t="s">
        <v>9</v>
      </c>
      <c r="Z295" t="s">
        <v>7</v>
      </c>
      <c r="AA295" t="s">
        <v>7</v>
      </c>
      <c r="AB295" t="s">
        <v>7</v>
      </c>
      <c r="AC295" t="s">
        <v>9871</v>
      </c>
      <c r="AD295" t="s">
        <v>1185</v>
      </c>
      <c r="AE295" t="s">
        <v>35</v>
      </c>
      <c r="AF295" t="s">
        <v>35</v>
      </c>
      <c r="AG295" t="s">
        <v>1185</v>
      </c>
      <c r="AH295" t="s">
        <v>9851</v>
      </c>
      <c r="AI295" s="117" t="s">
        <v>35</v>
      </c>
    </row>
    <row r="296" spans="1:35">
      <c r="A296" t="s">
        <v>359</v>
      </c>
      <c r="B296" s="115" t="s">
        <v>528</v>
      </c>
      <c r="C296" s="114" t="s">
        <v>949</v>
      </c>
      <c r="D296" t="s">
        <v>364</v>
      </c>
      <c r="E296" s="4" t="s">
        <v>966</v>
      </c>
      <c r="F296" t="s">
        <v>76</v>
      </c>
      <c r="G296" t="s">
        <v>515</v>
      </c>
      <c r="H296" s="6">
        <v>35810</v>
      </c>
      <c r="I296" t="s">
        <v>4</v>
      </c>
      <c r="J296" t="s">
        <v>77</v>
      </c>
      <c r="K296" t="s">
        <v>1210</v>
      </c>
      <c r="L296" s="151" t="s">
        <v>1219</v>
      </c>
      <c r="M296" s="151">
        <v>0</v>
      </c>
      <c r="N296" s="151">
        <v>0</v>
      </c>
      <c r="O296" s="148">
        <v>0</v>
      </c>
      <c r="P296" s="151">
        <v>0</v>
      </c>
      <c r="Q296" s="148">
        <v>0</v>
      </c>
      <c r="R296" t="s">
        <v>9843</v>
      </c>
      <c r="S296" t="s">
        <v>7</v>
      </c>
      <c r="T296" s="117" t="s">
        <v>9779</v>
      </c>
      <c r="U296" t="s">
        <v>36</v>
      </c>
      <c r="V296" t="s">
        <v>9843</v>
      </c>
      <c r="W296" t="s">
        <v>35</v>
      </c>
      <c r="X296" t="s">
        <v>1104</v>
      </c>
      <c r="Y296" t="s">
        <v>1166</v>
      </c>
      <c r="Z296" t="s">
        <v>7</v>
      </c>
      <c r="AA296" t="s">
        <v>1677</v>
      </c>
      <c r="AB296" t="s">
        <v>7</v>
      </c>
      <c r="AC296" t="s">
        <v>9871</v>
      </c>
      <c r="AD296" t="s">
        <v>1185</v>
      </c>
      <c r="AE296" t="s">
        <v>35</v>
      </c>
      <c r="AF296" t="s">
        <v>35</v>
      </c>
      <c r="AG296" t="s">
        <v>1185</v>
      </c>
      <c r="AH296" t="s">
        <v>9851</v>
      </c>
      <c r="AI296" s="117" t="s">
        <v>35</v>
      </c>
    </row>
    <row r="297" spans="1:35">
      <c r="A297" t="s">
        <v>360</v>
      </c>
      <c r="B297" s="115" t="s">
        <v>765</v>
      </c>
      <c r="C297" s="114" t="s">
        <v>949</v>
      </c>
      <c r="D297" t="s">
        <v>364</v>
      </c>
      <c r="E297" s="4" t="s">
        <v>967</v>
      </c>
      <c r="F297" t="s">
        <v>1115</v>
      </c>
      <c r="G297" t="s">
        <v>3</v>
      </c>
      <c r="H297" s="6">
        <v>27624</v>
      </c>
      <c r="I297" t="s">
        <v>1093</v>
      </c>
      <c r="J297" t="s">
        <v>1101</v>
      </c>
      <c r="K297" t="s">
        <v>1220</v>
      </c>
      <c r="L297" s="151">
        <v>0</v>
      </c>
      <c r="M297" s="151" t="s">
        <v>1221</v>
      </c>
      <c r="N297" s="151">
        <v>0</v>
      </c>
      <c r="O297" s="148">
        <v>0</v>
      </c>
      <c r="P297" s="151">
        <v>0</v>
      </c>
      <c r="Q297" s="148">
        <v>0</v>
      </c>
      <c r="R297" t="s">
        <v>9843</v>
      </c>
      <c r="S297" t="s">
        <v>7</v>
      </c>
      <c r="T297" s="117" t="s">
        <v>80</v>
      </c>
      <c r="U297" t="s">
        <v>36</v>
      </c>
      <c r="V297" t="s">
        <v>9843</v>
      </c>
      <c r="W297" t="s">
        <v>35</v>
      </c>
      <c r="X297" t="s">
        <v>1652</v>
      </c>
      <c r="Y297" s="117" t="s">
        <v>1166</v>
      </c>
      <c r="Z297" t="s">
        <v>1097</v>
      </c>
      <c r="AA297" t="s">
        <v>7</v>
      </c>
      <c r="AB297" t="s">
        <v>7</v>
      </c>
      <c r="AC297" s="117" t="s">
        <v>9872</v>
      </c>
      <c r="AD297" t="s">
        <v>1222</v>
      </c>
      <c r="AE297" t="s">
        <v>35</v>
      </c>
      <c r="AF297" t="s">
        <v>35</v>
      </c>
      <c r="AG297" t="s">
        <v>1222</v>
      </c>
      <c r="AH297" s="117" t="s">
        <v>35</v>
      </c>
      <c r="AI297" s="125" t="s">
        <v>1849</v>
      </c>
    </row>
    <row r="298" spans="1:35">
      <c r="A298" t="s">
        <v>361</v>
      </c>
      <c r="B298" s="115" t="s">
        <v>662</v>
      </c>
      <c r="C298" s="114" t="s">
        <v>951</v>
      </c>
      <c r="D298" t="s">
        <v>364</v>
      </c>
      <c r="E298" s="4" t="s">
        <v>968</v>
      </c>
      <c r="F298" t="s">
        <v>1855</v>
      </c>
      <c r="G298" t="s">
        <v>3</v>
      </c>
      <c r="H298" s="6">
        <v>35015</v>
      </c>
      <c r="I298" t="s">
        <v>5</v>
      </c>
      <c r="J298" t="s">
        <v>77</v>
      </c>
      <c r="K298" t="s">
        <v>1223</v>
      </c>
      <c r="L298" s="151">
        <v>0</v>
      </c>
      <c r="M298" s="151" t="s">
        <v>1224</v>
      </c>
      <c r="N298" s="151">
        <v>0</v>
      </c>
      <c r="O298" s="148">
        <v>0</v>
      </c>
      <c r="P298" s="151">
        <v>0</v>
      </c>
      <c r="Q298" s="148">
        <v>0</v>
      </c>
      <c r="R298" t="s">
        <v>9843</v>
      </c>
      <c r="S298" t="s">
        <v>7</v>
      </c>
      <c r="T298" s="117" t="s">
        <v>45</v>
      </c>
      <c r="U298" t="s">
        <v>36</v>
      </c>
      <c r="V298" t="s">
        <v>9843</v>
      </c>
      <c r="W298" t="s">
        <v>35</v>
      </c>
      <c r="X298" t="s">
        <v>7</v>
      </c>
      <c r="Y298" t="s">
        <v>9</v>
      </c>
      <c r="Z298" t="s">
        <v>7</v>
      </c>
      <c r="AA298" t="s">
        <v>7</v>
      </c>
      <c r="AB298" t="s">
        <v>7</v>
      </c>
      <c r="AC298" t="s">
        <v>9870</v>
      </c>
      <c r="AD298" t="s">
        <v>10</v>
      </c>
      <c r="AE298" t="s">
        <v>35</v>
      </c>
      <c r="AF298" t="s">
        <v>35</v>
      </c>
      <c r="AG298" t="s">
        <v>10</v>
      </c>
      <c r="AH298" s="117" t="s">
        <v>7</v>
      </c>
      <c r="AI298" s="117" t="s">
        <v>1114</v>
      </c>
    </row>
    <row r="299" spans="1:35">
      <c r="A299" t="s">
        <v>362</v>
      </c>
      <c r="B299" s="115" t="s">
        <v>542</v>
      </c>
      <c r="C299" s="114" t="s">
        <v>949</v>
      </c>
      <c r="D299" t="s">
        <v>364</v>
      </c>
      <c r="E299" s="4" t="s">
        <v>969</v>
      </c>
      <c r="F299" t="s">
        <v>1855</v>
      </c>
      <c r="G299" t="s">
        <v>3</v>
      </c>
      <c r="H299" s="6">
        <v>32963</v>
      </c>
      <c r="I299" t="s">
        <v>4</v>
      </c>
      <c r="J299" t="s">
        <v>41</v>
      </c>
      <c r="K299" t="s">
        <v>1226</v>
      </c>
      <c r="L299" s="151">
        <v>0</v>
      </c>
      <c r="M299" s="154" t="s">
        <v>9997</v>
      </c>
      <c r="N299" s="154" t="s">
        <v>9998</v>
      </c>
      <c r="O299" s="148">
        <v>0</v>
      </c>
      <c r="P299" s="151">
        <v>0</v>
      </c>
      <c r="Q299" s="148">
        <v>0</v>
      </c>
      <c r="R299" t="s">
        <v>9843</v>
      </c>
      <c r="S299" t="s">
        <v>7</v>
      </c>
      <c r="T299" s="117" t="s">
        <v>72</v>
      </c>
      <c r="U299" t="s">
        <v>36</v>
      </c>
      <c r="V299" t="s">
        <v>9843</v>
      </c>
      <c r="W299" t="s">
        <v>35</v>
      </c>
      <c r="X299" t="s">
        <v>9857</v>
      </c>
      <c r="Y299" t="s">
        <v>1080</v>
      </c>
      <c r="Z299" t="s">
        <v>1097</v>
      </c>
      <c r="AA299" s="117" t="s">
        <v>1111</v>
      </c>
      <c r="AB299" t="s">
        <v>7</v>
      </c>
      <c r="AC299" s="117" t="s">
        <v>9872</v>
      </c>
      <c r="AD299" t="s">
        <v>1227</v>
      </c>
      <c r="AE299" t="s">
        <v>35</v>
      </c>
      <c r="AF299" t="s">
        <v>35</v>
      </c>
      <c r="AG299" t="s">
        <v>1227</v>
      </c>
      <c r="AH299" s="117" t="s">
        <v>35</v>
      </c>
      <c r="AI299" s="125" t="s">
        <v>1849</v>
      </c>
    </row>
    <row r="300" spans="1:35">
      <c r="A300" t="s">
        <v>363</v>
      </c>
      <c r="B300" s="115" t="s">
        <v>970</v>
      </c>
      <c r="C300" s="114" t="s">
        <v>951</v>
      </c>
      <c r="D300" t="s">
        <v>364</v>
      </c>
      <c r="E300" s="4" t="s">
        <v>971</v>
      </c>
      <c r="F300" t="s">
        <v>1115</v>
      </c>
      <c r="G300" t="s">
        <v>3</v>
      </c>
      <c r="H300" s="6">
        <v>26357</v>
      </c>
      <c r="I300" t="s">
        <v>5</v>
      </c>
      <c r="J300" t="s">
        <v>1074</v>
      </c>
      <c r="K300" t="s">
        <v>9777</v>
      </c>
      <c r="L300" s="151" t="s">
        <v>1228</v>
      </c>
      <c r="M300" s="151">
        <v>0</v>
      </c>
      <c r="N300" s="151">
        <v>0</v>
      </c>
      <c r="O300" s="148">
        <v>0</v>
      </c>
      <c r="P300" s="151">
        <v>0</v>
      </c>
      <c r="Q300" s="148">
        <v>0</v>
      </c>
      <c r="R300" t="s">
        <v>9846</v>
      </c>
      <c r="S300" t="s">
        <v>7</v>
      </c>
      <c r="T300" s="117" t="s">
        <v>9767</v>
      </c>
      <c r="U300" t="s">
        <v>78</v>
      </c>
      <c r="V300" t="s">
        <v>9843</v>
      </c>
      <c r="W300" t="s">
        <v>35</v>
      </c>
      <c r="X300" t="s">
        <v>1747</v>
      </c>
      <c r="Y300" t="s">
        <v>1164</v>
      </c>
      <c r="Z300" t="s">
        <v>7</v>
      </c>
      <c r="AA300" t="s">
        <v>7</v>
      </c>
      <c r="AB300" t="s">
        <v>7</v>
      </c>
      <c r="AC300" s="117" t="s">
        <v>7</v>
      </c>
      <c r="AD300" t="s">
        <v>1164</v>
      </c>
      <c r="AE300" t="s">
        <v>35</v>
      </c>
      <c r="AF300" t="s">
        <v>35</v>
      </c>
      <c r="AG300" t="s">
        <v>1164</v>
      </c>
      <c r="AH300" s="117" t="s">
        <v>35</v>
      </c>
      <c r="AI300" s="125" t="s">
        <v>1849</v>
      </c>
    </row>
    <row r="301" spans="1:35">
      <c r="A301" t="s">
        <v>363</v>
      </c>
      <c r="B301" s="115" t="s">
        <v>970</v>
      </c>
      <c r="C301" s="114" t="s">
        <v>951</v>
      </c>
      <c r="D301" t="s">
        <v>364</v>
      </c>
      <c r="E301" s="4" t="s">
        <v>972</v>
      </c>
      <c r="F301" t="s">
        <v>1115</v>
      </c>
      <c r="G301" t="s">
        <v>3</v>
      </c>
      <c r="H301" s="6">
        <v>27893</v>
      </c>
      <c r="I301" t="s">
        <v>4</v>
      </c>
      <c r="J301" t="s">
        <v>41</v>
      </c>
      <c r="K301" t="s">
        <v>9777</v>
      </c>
      <c r="L301" s="151" t="s">
        <v>1228</v>
      </c>
      <c r="M301" s="151">
        <v>0</v>
      </c>
      <c r="N301" s="151">
        <v>0</v>
      </c>
      <c r="O301" s="148">
        <v>0</v>
      </c>
      <c r="P301" s="151">
        <v>0</v>
      </c>
      <c r="Q301" s="148">
        <v>0</v>
      </c>
      <c r="R301" t="s">
        <v>9846</v>
      </c>
      <c r="S301" t="s">
        <v>7</v>
      </c>
      <c r="T301" s="117" t="s">
        <v>9767</v>
      </c>
      <c r="U301" t="s">
        <v>78</v>
      </c>
      <c r="V301" t="s">
        <v>9843</v>
      </c>
      <c r="W301" t="s">
        <v>35</v>
      </c>
      <c r="X301" t="s">
        <v>1747</v>
      </c>
      <c r="Y301" t="s">
        <v>1164</v>
      </c>
      <c r="Z301" t="s">
        <v>7</v>
      </c>
      <c r="AA301" t="s">
        <v>7</v>
      </c>
      <c r="AB301" t="s">
        <v>7</v>
      </c>
      <c r="AC301" s="117" t="s">
        <v>7</v>
      </c>
      <c r="AD301" t="s">
        <v>1164</v>
      </c>
      <c r="AE301" t="s">
        <v>35</v>
      </c>
      <c r="AF301" t="s">
        <v>35</v>
      </c>
      <c r="AG301" t="s">
        <v>1164</v>
      </c>
      <c r="AH301" s="117" t="s">
        <v>35</v>
      </c>
      <c r="AI301" s="125" t="s">
        <v>1849</v>
      </c>
    </row>
    <row r="302" spans="1:35">
      <c r="A302" t="s">
        <v>363</v>
      </c>
      <c r="B302" s="115" t="s">
        <v>970</v>
      </c>
      <c r="C302" s="114" t="s">
        <v>951</v>
      </c>
      <c r="D302" t="s">
        <v>364</v>
      </c>
      <c r="E302" s="4" t="s">
        <v>973</v>
      </c>
      <c r="F302" t="s">
        <v>1115</v>
      </c>
      <c r="G302" t="s">
        <v>3</v>
      </c>
      <c r="H302" s="6">
        <v>35303</v>
      </c>
      <c r="I302" t="s">
        <v>4</v>
      </c>
      <c r="J302" t="s">
        <v>41</v>
      </c>
      <c r="K302" t="s">
        <v>9777</v>
      </c>
      <c r="L302" s="151" t="s">
        <v>1228</v>
      </c>
      <c r="M302" s="151">
        <v>0</v>
      </c>
      <c r="N302" s="151">
        <v>0</v>
      </c>
      <c r="O302" s="148">
        <v>0</v>
      </c>
      <c r="P302" s="151">
        <v>0</v>
      </c>
      <c r="Q302" s="148">
        <v>0</v>
      </c>
      <c r="R302" t="s">
        <v>9846</v>
      </c>
      <c r="S302" t="s">
        <v>7</v>
      </c>
      <c r="T302" s="117" t="s">
        <v>9780</v>
      </c>
      <c r="U302" t="s">
        <v>78</v>
      </c>
      <c r="V302" t="s">
        <v>9843</v>
      </c>
      <c r="W302" t="s">
        <v>35</v>
      </c>
      <c r="X302" t="s">
        <v>1104</v>
      </c>
      <c r="Y302" t="s">
        <v>1100</v>
      </c>
      <c r="Z302" t="s">
        <v>7</v>
      </c>
      <c r="AA302" t="s">
        <v>7</v>
      </c>
      <c r="AB302" t="s">
        <v>7</v>
      </c>
      <c r="AC302" s="117" t="s">
        <v>7</v>
      </c>
      <c r="AD302" t="s">
        <v>1100</v>
      </c>
      <c r="AE302" t="s">
        <v>35</v>
      </c>
      <c r="AF302" t="s">
        <v>35</v>
      </c>
      <c r="AG302" t="s">
        <v>1100</v>
      </c>
      <c r="AH302" s="117" t="s">
        <v>35</v>
      </c>
      <c r="AI302" s="125" t="s">
        <v>1849</v>
      </c>
    </row>
    <row r="303" spans="1:35">
      <c r="A303" t="s">
        <v>363</v>
      </c>
      <c r="B303" s="115" t="s">
        <v>970</v>
      </c>
      <c r="C303" s="114" t="s">
        <v>951</v>
      </c>
      <c r="D303" t="s">
        <v>364</v>
      </c>
      <c r="E303" s="4" t="s">
        <v>974</v>
      </c>
      <c r="F303" t="s">
        <v>1115</v>
      </c>
      <c r="G303" t="s">
        <v>3</v>
      </c>
      <c r="H303" s="6">
        <v>35366</v>
      </c>
      <c r="I303" t="s">
        <v>4</v>
      </c>
      <c r="J303" t="s">
        <v>41</v>
      </c>
      <c r="K303" t="s">
        <v>9777</v>
      </c>
      <c r="L303" s="151" t="s">
        <v>1228</v>
      </c>
      <c r="M303" s="151">
        <v>0</v>
      </c>
      <c r="N303" s="151">
        <v>0</v>
      </c>
      <c r="O303" s="148">
        <v>0</v>
      </c>
      <c r="P303" s="151">
        <v>0</v>
      </c>
      <c r="Q303" s="148">
        <v>0</v>
      </c>
      <c r="R303" t="s">
        <v>9846</v>
      </c>
      <c r="S303" t="s">
        <v>7</v>
      </c>
      <c r="T303" s="117" t="s">
        <v>9780</v>
      </c>
      <c r="U303" t="s">
        <v>78</v>
      </c>
      <c r="V303" t="s">
        <v>9843</v>
      </c>
      <c r="W303" t="s">
        <v>35</v>
      </c>
      <c r="X303" t="s">
        <v>1104</v>
      </c>
      <c r="Y303" t="s">
        <v>1100</v>
      </c>
      <c r="Z303" t="s">
        <v>7</v>
      </c>
      <c r="AA303" t="s">
        <v>7</v>
      </c>
      <c r="AB303" t="s">
        <v>7</v>
      </c>
      <c r="AC303" s="117" t="s">
        <v>7</v>
      </c>
      <c r="AD303" t="s">
        <v>1100</v>
      </c>
      <c r="AE303" t="s">
        <v>35</v>
      </c>
      <c r="AF303" t="s">
        <v>35</v>
      </c>
      <c r="AG303" t="s">
        <v>1100</v>
      </c>
      <c r="AH303" s="117" t="s">
        <v>35</v>
      </c>
      <c r="AI303" s="125" t="s">
        <v>1849</v>
      </c>
    </row>
    <row r="304" spans="1:35">
      <c r="A304" t="s">
        <v>365</v>
      </c>
      <c r="B304" s="34" t="s">
        <v>505</v>
      </c>
      <c r="C304" s="114" t="s">
        <v>873</v>
      </c>
      <c r="D304" t="s">
        <v>378</v>
      </c>
      <c r="E304" s="4" t="s">
        <v>874</v>
      </c>
      <c r="F304" t="s">
        <v>1855</v>
      </c>
      <c r="G304" t="s">
        <v>515</v>
      </c>
      <c r="H304" s="6">
        <v>35613</v>
      </c>
      <c r="I304" t="s">
        <v>5</v>
      </c>
      <c r="J304" t="s">
        <v>41</v>
      </c>
      <c r="K304" t="s">
        <v>1776</v>
      </c>
      <c r="L304" s="151" t="s">
        <v>1777</v>
      </c>
      <c r="M304" s="151" t="s">
        <v>1778</v>
      </c>
      <c r="N304" s="151" t="s">
        <v>1246</v>
      </c>
      <c r="O304" s="148">
        <v>0</v>
      </c>
      <c r="P304" s="151">
        <v>0</v>
      </c>
      <c r="Q304" s="148">
        <v>0</v>
      </c>
      <c r="R304" t="s">
        <v>9846</v>
      </c>
      <c r="S304" t="s">
        <v>7</v>
      </c>
      <c r="T304" t="s">
        <v>1783</v>
      </c>
      <c r="U304" t="s">
        <v>78</v>
      </c>
      <c r="V304" t="s">
        <v>9843</v>
      </c>
      <c r="W304" t="s">
        <v>35</v>
      </c>
      <c r="X304" t="s">
        <v>7</v>
      </c>
      <c r="Y304" t="s">
        <v>9</v>
      </c>
      <c r="Z304" t="s">
        <v>7</v>
      </c>
      <c r="AA304" t="s">
        <v>7</v>
      </c>
      <c r="AB304" t="s">
        <v>7</v>
      </c>
      <c r="AC304" t="s">
        <v>9870</v>
      </c>
      <c r="AD304" t="s">
        <v>10</v>
      </c>
      <c r="AE304" t="s">
        <v>35</v>
      </c>
      <c r="AF304" t="s">
        <v>35</v>
      </c>
      <c r="AG304" t="s">
        <v>10</v>
      </c>
      <c r="AH304" t="s">
        <v>9851</v>
      </c>
      <c r="AI304" s="117" t="s">
        <v>35</v>
      </c>
    </row>
    <row r="305" spans="1:35">
      <c r="A305" t="s">
        <v>365</v>
      </c>
      <c r="B305" s="34" t="s">
        <v>505</v>
      </c>
      <c r="C305" s="114" t="s">
        <v>873</v>
      </c>
      <c r="D305" t="s">
        <v>378</v>
      </c>
      <c r="E305" s="4" t="s">
        <v>875</v>
      </c>
      <c r="F305" t="s">
        <v>1855</v>
      </c>
      <c r="G305" t="s">
        <v>3</v>
      </c>
      <c r="H305" s="6">
        <v>30426</v>
      </c>
      <c r="I305" t="s">
        <v>5</v>
      </c>
      <c r="J305" t="s">
        <v>1101</v>
      </c>
      <c r="K305" t="s">
        <v>1186</v>
      </c>
      <c r="L305" s="151" t="s">
        <v>1781</v>
      </c>
      <c r="M305" s="151" t="s">
        <v>1779</v>
      </c>
      <c r="N305" s="151" t="s">
        <v>1780</v>
      </c>
      <c r="O305" s="148">
        <v>0</v>
      </c>
      <c r="P305" s="151">
        <v>0</v>
      </c>
      <c r="Q305" s="148">
        <v>0</v>
      </c>
      <c r="R305" t="s">
        <v>9846</v>
      </c>
      <c r="S305" t="s">
        <v>7</v>
      </c>
      <c r="T305" t="s">
        <v>1784</v>
      </c>
      <c r="U305" t="s">
        <v>78</v>
      </c>
      <c r="V305" t="s">
        <v>9843</v>
      </c>
      <c r="W305" t="s">
        <v>35</v>
      </c>
      <c r="X305" t="s">
        <v>7</v>
      </c>
      <c r="Y305" t="s">
        <v>9</v>
      </c>
      <c r="Z305" t="s">
        <v>1097</v>
      </c>
      <c r="AA305" t="s">
        <v>7</v>
      </c>
      <c r="AB305" t="s">
        <v>7</v>
      </c>
      <c r="AC305" s="117" t="s">
        <v>9872</v>
      </c>
      <c r="AD305" t="s">
        <v>1100</v>
      </c>
      <c r="AE305" t="s">
        <v>35</v>
      </c>
      <c r="AF305" t="s">
        <v>35</v>
      </c>
      <c r="AG305" t="s">
        <v>1100</v>
      </c>
      <c r="AH305" s="117" t="s">
        <v>35</v>
      </c>
      <c r="AI305" s="125" t="s">
        <v>1849</v>
      </c>
    </row>
    <row r="306" spans="1:35">
      <c r="A306" t="s">
        <v>366</v>
      </c>
      <c r="B306" s="115" t="s">
        <v>801</v>
      </c>
      <c r="C306" s="114" t="s">
        <v>876</v>
      </c>
      <c r="D306" t="s">
        <v>378</v>
      </c>
      <c r="E306" s="4" t="s">
        <v>877</v>
      </c>
      <c r="F306" t="s">
        <v>1855</v>
      </c>
      <c r="G306" t="s">
        <v>3</v>
      </c>
      <c r="H306" s="6">
        <v>32249</v>
      </c>
      <c r="I306" t="s">
        <v>1093</v>
      </c>
      <c r="J306" t="s">
        <v>1101</v>
      </c>
      <c r="K306" t="s">
        <v>1785</v>
      </c>
      <c r="L306" s="154" t="s">
        <v>9999</v>
      </c>
      <c r="M306" s="154" t="s">
        <v>10000</v>
      </c>
      <c r="N306" s="151">
        <v>0</v>
      </c>
      <c r="O306" s="148">
        <v>0</v>
      </c>
      <c r="P306" s="151">
        <v>0</v>
      </c>
      <c r="Q306" s="148">
        <v>0</v>
      </c>
      <c r="R306" t="s">
        <v>9843</v>
      </c>
      <c r="S306" t="s">
        <v>7</v>
      </c>
      <c r="T306" t="s">
        <v>1098</v>
      </c>
      <c r="U306" t="s">
        <v>36</v>
      </c>
      <c r="V306" t="s">
        <v>9843</v>
      </c>
      <c r="W306" t="s">
        <v>35</v>
      </c>
      <c r="X306" t="s">
        <v>7</v>
      </c>
      <c r="Y306" t="s">
        <v>9</v>
      </c>
      <c r="Z306" t="s">
        <v>7</v>
      </c>
      <c r="AA306" t="s">
        <v>7</v>
      </c>
      <c r="AB306" t="s">
        <v>7</v>
      </c>
      <c r="AC306" t="s">
        <v>9870</v>
      </c>
      <c r="AD306" t="s">
        <v>10</v>
      </c>
      <c r="AE306" t="s">
        <v>35</v>
      </c>
      <c r="AF306" t="s">
        <v>35</v>
      </c>
      <c r="AG306" t="s">
        <v>10</v>
      </c>
      <c r="AH306" s="117" t="s">
        <v>7</v>
      </c>
      <c r="AI306" t="s">
        <v>37</v>
      </c>
    </row>
    <row r="307" spans="1:35">
      <c r="A307" t="s">
        <v>367</v>
      </c>
      <c r="B307" s="34" t="s">
        <v>827</v>
      </c>
      <c r="C307" s="114" t="s">
        <v>873</v>
      </c>
      <c r="D307" t="s">
        <v>378</v>
      </c>
      <c r="E307" s="4" t="s">
        <v>878</v>
      </c>
      <c r="F307" t="s">
        <v>1855</v>
      </c>
      <c r="G307" t="s">
        <v>3</v>
      </c>
      <c r="H307" s="6">
        <v>34157</v>
      </c>
      <c r="I307" t="s">
        <v>4</v>
      </c>
      <c r="J307" t="s">
        <v>41</v>
      </c>
      <c r="K307" t="s">
        <v>1148</v>
      </c>
      <c r="L307" s="151">
        <v>0</v>
      </c>
      <c r="M307" s="151" t="s">
        <v>1786</v>
      </c>
      <c r="N307" s="151">
        <v>0</v>
      </c>
      <c r="O307" s="148">
        <v>0</v>
      </c>
      <c r="P307" s="151">
        <v>0</v>
      </c>
      <c r="Q307" s="148" t="s">
        <v>1787</v>
      </c>
      <c r="R307" t="s">
        <v>9843</v>
      </c>
      <c r="S307" t="s">
        <v>7</v>
      </c>
      <c r="T307" t="s">
        <v>1788</v>
      </c>
      <c r="U307" t="s">
        <v>6</v>
      </c>
      <c r="V307" t="s">
        <v>35</v>
      </c>
      <c r="W307" t="s">
        <v>35</v>
      </c>
      <c r="X307" t="s">
        <v>35</v>
      </c>
      <c r="Y307" t="s">
        <v>35</v>
      </c>
      <c r="Z307" t="s">
        <v>35</v>
      </c>
      <c r="AA307" t="s">
        <v>35</v>
      </c>
      <c r="AB307" t="s">
        <v>35</v>
      </c>
      <c r="AC307" t="s">
        <v>35</v>
      </c>
      <c r="AD307" t="s">
        <v>35</v>
      </c>
      <c r="AE307" t="s">
        <v>35</v>
      </c>
      <c r="AF307" t="s">
        <v>35</v>
      </c>
      <c r="AG307" t="s">
        <v>35</v>
      </c>
      <c r="AH307" t="s">
        <v>35</v>
      </c>
      <c r="AI307" t="s">
        <v>35</v>
      </c>
    </row>
    <row r="308" spans="1:35">
      <c r="A308" t="s">
        <v>368</v>
      </c>
      <c r="B308" s="115" t="s">
        <v>879</v>
      </c>
      <c r="C308" s="114" t="s">
        <v>876</v>
      </c>
      <c r="D308" t="s">
        <v>378</v>
      </c>
      <c r="E308" s="4" t="s">
        <v>880</v>
      </c>
      <c r="F308" t="s">
        <v>1855</v>
      </c>
      <c r="G308" t="s">
        <v>3</v>
      </c>
      <c r="H308" s="6">
        <v>35834</v>
      </c>
      <c r="I308" t="s">
        <v>5</v>
      </c>
      <c r="J308" t="s">
        <v>48</v>
      </c>
      <c r="K308" t="s">
        <v>1789</v>
      </c>
      <c r="L308" s="154" t="s">
        <v>10001</v>
      </c>
      <c r="M308" s="154" t="s">
        <v>10002</v>
      </c>
      <c r="N308" s="151">
        <v>0</v>
      </c>
      <c r="O308" s="148">
        <v>0</v>
      </c>
      <c r="P308" s="151">
        <v>0</v>
      </c>
      <c r="Q308" s="149" t="s">
        <v>10003</v>
      </c>
      <c r="R308" t="s">
        <v>9843</v>
      </c>
      <c r="S308" t="s">
        <v>7</v>
      </c>
      <c r="T308" t="s">
        <v>1790</v>
      </c>
      <c r="U308" t="s">
        <v>36</v>
      </c>
      <c r="V308" t="s">
        <v>9843</v>
      </c>
      <c r="W308" t="s">
        <v>35</v>
      </c>
      <c r="X308" t="s">
        <v>7</v>
      </c>
      <c r="Y308" t="s">
        <v>9</v>
      </c>
      <c r="Z308" t="s">
        <v>7</v>
      </c>
      <c r="AA308" t="s">
        <v>7</v>
      </c>
      <c r="AB308" t="s">
        <v>7</v>
      </c>
      <c r="AC308" t="s">
        <v>9870</v>
      </c>
      <c r="AD308" t="s">
        <v>10</v>
      </c>
      <c r="AE308" t="s">
        <v>35</v>
      </c>
      <c r="AF308" t="s">
        <v>35</v>
      </c>
      <c r="AG308" t="s">
        <v>10</v>
      </c>
      <c r="AH308" s="117" t="s">
        <v>7</v>
      </c>
      <c r="AI308" t="s">
        <v>37</v>
      </c>
    </row>
    <row r="309" spans="1:35">
      <c r="A309" t="s">
        <v>369</v>
      </c>
      <c r="B309" s="115" t="s">
        <v>528</v>
      </c>
      <c r="C309" s="114" t="s">
        <v>881</v>
      </c>
      <c r="D309" t="s">
        <v>378</v>
      </c>
      <c r="E309" s="4" t="s">
        <v>882</v>
      </c>
      <c r="F309" t="s">
        <v>1855</v>
      </c>
      <c r="G309" t="s">
        <v>3</v>
      </c>
      <c r="H309" s="6">
        <v>34118</v>
      </c>
      <c r="I309" t="s">
        <v>1093</v>
      </c>
      <c r="J309" t="s">
        <v>48</v>
      </c>
      <c r="K309" t="s">
        <v>1120</v>
      </c>
      <c r="L309" s="154" t="s">
        <v>10004</v>
      </c>
      <c r="M309" s="154" t="s">
        <v>10005</v>
      </c>
      <c r="N309" s="154" t="s">
        <v>10006</v>
      </c>
      <c r="O309" s="148">
        <v>0</v>
      </c>
      <c r="P309" s="151">
        <v>0</v>
      </c>
      <c r="Q309" s="148">
        <v>0</v>
      </c>
      <c r="R309" t="s">
        <v>9843</v>
      </c>
      <c r="S309" t="s">
        <v>7</v>
      </c>
      <c r="T309" t="s">
        <v>1137</v>
      </c>
      <c r="U309" t="s">
        <v>36</v>
      </c>
      <c r="V309" t="s">
        <v>9843</v>
      </c>
      <c r="W309" t="s">
        <v>35</v>
      </c>
      <c r="X309" t="s">
        <v>7</v>
      </c>
      <c r="Y309" t="s">
        <v>9</v>
      </c>
      <c r="Z309" t="s">
        <v>1097</v>
      </c>
      <c r="AA309" t="s">
        <v>7</v>
      </c>
      <c r="AB309" t="s">
        <v>7</v>
      </c>
      <c r="AC309" s="117" t="s">
        <v>9872</v>
      </c>
      <c r="AD309" t="s">
        <v>1080</v>
      </c>
      <c r="AE309" t="s">
        <v>35</v>
      </c>
      <c r="AF309" t="s">
        <v>35</v>
      </c>
      <c r="AG309" t="s">
        <v>1080</v>
      </c>
      <c r="AH309" s="117" t="s">
        <v>35</v>
      </c>
      <c r="AI309" s="125" t="s">
        <v>1849</v>
      </c>
    </row>
    <row r="310" spans="1:35">
      <c r="A310" t="s">
        <v>370</v>
      </c>
      <c r="B310" s="34" t="s">
        <v>798</v>
      </c>
      <c r="C310" s="114" t="s">
        <v>873</v>
      </c>
      <c r="D310" t="s">
        <v>378</v>
      </c>
      <c r="E310" s="4" t="s">
        <v>883</v>
      </c>
      <c r="F310" t="s">
        <v>1855</v>
      </c>
      <c r="G310" t="s">
        <v>3</v>
      </c>
      <c r="H310" s="6">
        <v>35858</v>
      </c>
      <c r="I310" t="s">
        <v>1093</v>
      </c>
      <c r="J310" t="s">
        <v>1074</v>
      </c>
      <c r="K310" t="s">
        <v>1449</v>
      </c>
      <c r="L310" s="151" t="s">
        <v>1791</v>
      </c>
      <c r="M310" s="151" t="s">
        <v>1792</v>
      </c>
      <c r="N310" s="151" t="s">
        <v>1793</v>
      </c>
      <c r="O310" s="148">
        <v>0</v>
      </c>
      <c r="P310" s="151">
        <v>0</v>
      </c>
      <c r="Q310" s="148" t="s">
        <v>1794</v>
      </c>
      <c r="R310" t="s">
        <v>9843</v>
      </c>
      <c r="S310" t="s">
        <v>7</v>
      </c>
      <c r="T310" t="s">
        <v>1137</v>
      </c>
      <c r="U310" t="s">
        <v>36</v>
      </c>
      <c r="V310" t="s">
        <v>9843</v>
      </c>
      <c r="W310" t="s">
        <v>35</v>
      </c>
      <c r="X310" t="s">
        <v>1350</v>
      </c>
      <c r="Y310" t="s">
        <v>1100</v>
      </c>
      <c r="Z310" t="s">
        <v>7</v>
      </c>
      <c r="AA310" t="s">
        <v>1244</v>
      </c>
      <c r="AB310" t="s">
        <v>7</v>
      </c>
      <c r="AC310" t="s">
        <v>9871</v>
      </c>
      <c r="AD310" t="s">
        <v>1185</v>
      </c>
      <c r="AE310" t="s">
        <v>35</v>
      </c>
      <c r="AF310" t="s">
        <v>35</v>
      </c>
      <c r="AG310" t="s">
        <v>1185</v>
      </c>
      <c r="AH310" s="117" t="s">
        <v>7</v>
      </c>
      <c r="AI310" s="125" t="s">
        <v>1849</v>
      </c>
    </row>
    <row r="311" spans="1:35">
      <c r="A311" t="s">
        <v>371</v>
      </c>
      <c r="B311" s="34" t="s">
        <v>885</v>
      </c>
      <c r="C311" s="114" t="s">
        <v>873</v>
      </c>
      <c r="D311" t="s">
        <v>378</v>
      </c>
      <c r="E311" s="4" t="s">
        <v>886</v>
      </c>
      <c r="F311" t="s">
        <v>1855</v>
      </c>
      <c r="G311" t="s">
        <v>3</v>
      </c>
      <c r="H311" s="6">
        <v>35765</v>
      </c>
      <c r="I311" t="s">
        <v>4</v>
      </c>
      <c r="J311" t="s">
        <v>77</v>
      </c>
      <c r="K311" t="s">
        <v>1186</v>
      </c>
      <c r="L311" s="151" t="s">
        <v>1795</v>
      </c>
      <c r="M311" s="151" t="s">
        <v>1796</v>
      </c>
      <c r="N311" s="151" t="s">
        <v>1797</v>
      </c>
      <c r="O311" s="148">
        <v>0</v>
      </c>
      <c r="P311" s="151">
        <v>0</v>
      </c>
      <c r="Q311" s="148">
        <v>0</v>
      </c>
      <c r="R311" t="s">
        <v>9843</v>
      </c>
      <c r="S311" t="s">
        <v>7</v>
      </c>
      <c r="T311" t="s">
        <v>1599</v>
      </c>
      <c r="U311" t="s">
        <v>36</v>
      </c>
      <c r="V311" t="s">
        <v>9843</v>
      </c>
      <c r="W311" t="s">
        <v>35</v>
      </c>
      <c r="X311" t="s">
        <v>7</v>
      </c>
      <c r="Y311" t="s">
        <v>9</v>
      </c>
      <c r="Z311" t="s">
        <v>7</v>
      </c>
      <c r="AA311" t="s">
        <v>7</v>
      </c>
      <c r="AB311" t="s">
        <v>7</v>
      </c>
      <c r="AC311" t="s">
        <v>9871</v>
      </c>
      <c r="AD311" t="s">
        <v>1185</v>
      </c>
      <c r="AE311" t="s">
        <v>35</v>
      </c>
      <c r="AF311" t="s">
        <v>35</v>
      </c>
      <c r="AG311" t="s">
        <v>1185</v>
      </c>
      <c r="AH311" t="s">
        <v>9851</v>
      </c>
      <c r="AI311" s="117" t="s">
        <v>35</v>
      </c>
    </row>
    <row r="312" spans="1:35">
      <c r="A312" t="s">
        <v>372</v>
      </c>
      <c r="B312" s="115" t="s">
        <v>887</v>
      </c>
      <c r="C312" s="114" t="s">
        <v>876</v>
      </c>
      <c r="D312" t="s">
        <v>378</v>
      </c>
      <c r="E312" s="4" t="s">
        <v>888</v>
      </c>
      <c r="F312" t="s">
        <v>1855</v>
      </c>
      <c r="G312" t="s">
        <v>3</v>
      </c>
      <c r="H312" s="6">
        <v>33545</v>
      </c>
      <c r="I312" t="s">
        <v>5</v>
      </c>
      <c r="J312" t="s">
        <v>1101</v>
      </c>
      <c r="K312" t="s">
        <v>1449</v>
      </c>
      <c r="L312" s="154" t="s">
        <v>10007</v>
      </c>
      <c r="M312" s="154" t="s">
        <v>10008</v>
      </c>
      <c r="N312" s="151">
        <v>0</v>
      </c>
      <c r="O312" s="148">
        <v>0</v>
      </c>
      <c r="P312" s="151">
        <v>0</v>
      </c>
      <c r="Q312" s="148">
        <v>0</v>
      </c>
      <c r="R312" t="s">
        <v>9843</v>
      </c>
      <c r="S312" t="s">
        <v>7</v>
      </c>
      <c r="T312" s="117" t="s">
        <v>1122</v>
      </c>
      <c r="U312" t="s">
        <v>36</v>
      </c>
      <c r="V312" t="s">
        <v>9843</v>
      </c>
      <c r="W312" t="s">
        <v>35</v>
      </c>
      <c r="X312" t="s">
        <v>7</v>
      </c>
      <c r="Y312" t="s">
        <v>9</v>
      </c>
      <c r="Z312" t="s">
        <v>1097</v>
      </c>
      <c r="AA312" t="s">
        <v>7</v>
      </c>
      <c r="AB312" t="s">
        <v>7</v>
      </c>
      <c r="AC312" s="117" t="s">
        <v>9872</v>
      </c>
      <c r="AD312" t="s">
        <v>1100</v>
      </c>
      <c r="AE312" t="s">
        <v>35</v>
      </c>
      <c r="AF312" t="s">
        <v>35</v>
      </c>
      <c r="AG312" t="s">
        <v>1100</v>
      </c>
      <c r="AH312" s="117" t="s">
        <v>35</v>
      </c>
      <c r="AI312" s="125" t="s">
        <v>1849</v>
      </c>
    </row>
    <row r="313" spans="1:35">
      <c r="A313" t="s">
        <v>373</v>
      </c>
      <c r="B313" s="115" t="s">
        <v>889</v>
      </c>
      <c r="C313" s="114" t="s">
        <v>876</v>
      </c>
      <c r="D313" t="s">
        <v>378</v>
      </c>
      <c r="E313" s="4" t="s">
        <v>890</v>
      </c>
      <c r="F313" t="s">
        <v>1855</v>
      </c>
      <c r="G313" t="s">
        <v>3</v>
      </c>
      <c r="H313" s="6">
        <v>35730</v>
      </c>
      <c r="I313" t="s">
        <v>4</v>
      </c>
      <c r="J313" t="s">
        <v>1074</v>
      </c>
      <c r="K313" t="s">
        <v>1687</v>
      </c>
      <c r="L313" s="151">
        <v>0</v>
      </c>
      <c r="M313" s="151">
        <v>0</v>
      </c>
      <c r="N313" s="154" t="s">
        <v>10009</v>
      </c>
      <c r="O313" s="148">
        <v>0</v>
      </c>
      <c r="P313" s="151">
        <v>0</v>
      </c>
      <c r="Q313" s="148">
        <v>0</v>
      </c>
      <c r="R313" t="s">
        <v>9843</v>
      </c>
      <c r="S313" t="s">
        <v>7</v>
      </c>
      <c r="T313" t="s">
        <v>1098</v>
      </c>
      <c r="U313" t="s">
        <v>36</v>
      </c>
      <c r="V313" t="s">
        <v>9843</v>
      </c>
      <c r="W313" t="s">
        <v>35</v>
      </c>
      <c r="X313" t="s">
        <v>7</v>
      </c>
      <c r="Y313" t="s">
        <v>9</v>
      </c>
      <c r="Z313" t="s">
        <v>7</v>
      </c>
      <c r="AA313" t="s">
        <v>7</v>
      </c>
      <c r="AB313" t="s">
        <v>7</v>
      </c>
      <c r="AC313" t="s">
        <v>9870</v>
      </c>
      <c r="AD313" t="s">
        <v>10</v>
      </c>
      <c r="AE313" t="s">
        <v>35</v>
      </c>
      <c r="AF313" t="s">
        <v>35</v>
      </c>
      <c r="AG313" t="s">
        <v>10</v>
      </c>
      <c r="AH313" s="117" t="s">
        <v>7</v>
      </c>
      <c r="AI313" t="s">
        <v>37</v>
      </c>
    </row>
    <row r="314" spans="1:35">
      <c r="A314" t="s">
        <v>374</v>
      </c>
      <c r="B314" s="115" t="s">
        <v>508</v>
      </c>
      <c r="C314" s="114" t="s">
        <v>881</v>
      </c>
      <c r="D314" t="s">
        <v>378</v>
      </c>
      <c r="E314" s="4" t="s">
        <v>891</v>
      </c>
      <c r="F314" t="s">
        <v>1855</v>
      </c>
      <c r="G314" t="s">
        <v>3</v>
      </c>
      <c r="H314" s="6">
        <v>34180</v>
      </c>
      <c r="I314" t="s">
        <v>5</v>
      </c>
      <c r="J314" t="s">
        <v>1074</v>
      </c>
      <c r="K314" t="s">
        <v>1798</v>
      </c>
      <c r="L314" s="151">
        <v>0</v>
      </c>
      <c r="M314" s="154" t="s">
        <v>10010</v>
      </c>
      <c r="N314" s="151">
        <v>0</v>
      </c>
      <c r="O314" s="148">
        <v>0</v>
      </c>
      <c r="P314" s="151">
        <v>0</v>
      </c>
      <c r="Q314" s="148">
        <v>0</v>
      </c>
      <c r="R314" t="s">
        <v>9843</v>
      </c>
      <c r="S314" t="s">
        <v>7</v>
      </c>
      <c r="T314" s="117" t="s">
        <v>1122</v>
      </c>
      <c r="U314" t="s">
        <v>36</v>
      </c>
      <c r="V314" t="s">
        <v>9843</v>
      </c>
      <c r="W314" t="s">
        <v>35</v>
      </c>
      <c r="X314" t="s">
        <v>7</v>
      </c>
      <c r="Y314" t="s">
        <v>9</v>
      </c>
      <c r="Z314" t="s">
        <v>7</v>
      </c>
      <c r="AA314" t="s">
        <v>7</v>
      </c>
      <c r="AB314" t="s">
        <v>7</v>
      </c>
      <c r="AC314" t="s">
        <v>9870</v>
      </c>
      <c r="AD314" t="s">
        <v>10</v>
      </c>
      <c r="AE314" t="s">
        <v>35</v>
      </c>
      <c r="AF314" t="s">
        <v>35</v>
      </c>
      <c r="AG314" t="s">
        <v>10</v>
      </c>
      <c r="AH314" t="s">
        <v>9851</v>
      </c>
      <c r="AI314" s="117" t="s">
        <v>35</v>
      </c>
    </row>
    <row r="315" spans="1:35">
      <c r="A315" t="s">
        <v>375</v>
      </c>
      <c r="B315" s="34" t="s">
        <v>619</v>
      </c>
      <c r="C315" s="114" t="s">
        <v>873</v>
      </c>
      <c r="D315" t="s">
        <v>378</v>
      </c>
      <c r="E315" s="4" t="s">
        <v>892</v>
      </c>
      <c r="F315" s="134" t="s">
        <v>1864</v>
      </c>
      <c r="G315" t="s">
        <v>3</v>
      </c>
      <c r="H315" s="6">
        <v>35874</v>
      </c>
      <c r="I315" t="s">
        <v>5</v>
      </c>
      <c r="J315" t="s">
        <v>1101</v>
      </c>
      <c r="K315" t="s">
        <v>1671</v>
      </c>
      <c r="L315" s="151">
        <v>0</v>
      </c>
      <c r="M315" s="151">
        <v>0</v>
      </c>
      <c r="N315" s="151">
        <v>0</v>
      </c>
      <c r="O315" s="148">
        <v>0</v>
      </c>
      <c r="P315" s="151">
        <v>0</v>
      </c>
      <c r="Q315" s="148">
        <v>0</v>
      </c>
      <c r="R315" t="s">
        <v>9843</v>
      </c>
      <c r="S315" t="s">
        <v>7</v>
      </c>
      <c r="T315" t="s">
        <v>1800</v>
      </c>
      <c r="U315" t="s">
        <v>36</v>
      </c>
      <c r="V315" t="s">
        <v>9843</v>
      </c>
      <c r="W315" t="s">
        <v>35</v>
      </c>
      <c r="X315" t="s">
        <v>7</v>
      </c>
      <c r="Y315" t="s">
        <v>9</v>
      </c>
      <c r="Z315" t="s">
        <v>7</v>
      </c>
      <c r="AA315" t="s">
        <v>7</v>
      </c>
      <c r="AB315" t="s">
        <v>7</v>
      </c>
      <c r="AC315" t="s">
        <v>9871</v>
      </c>
      <c r="AD315" t="s">
        <v>1185</v>
      </c>
      <c r="AE315" t="s">
        <v>35</v>
      </c>
      <c r="AF315" t="s">
        <v>35</v>
      </c>
      <c r="AG315" t="s">
        <v>1185</v>
      </c>
      <c r="AH315" t="s">
        <v>9851</v>
      </c>
      <c r="AI315" s="117" t="s">
        <v>35</v>
      </c>
    </row>
    <row r="316" spans="1:35">
      <c r="A316" t="s">
        <v>375</v>
      </c>
      <c r="B316" s="34" t="s">
        <v>619</v>
      </c>
      <c r="C316" s="114" t="s">
        <v>873</v>
      </c>
      <c r="D316" t="s">
        <v>378</v>
      </c>
      <c r="E316" s="4" t="s">
        <v>893</v>
      </c>
      <c r="F316" s="134" t="s">
        <v>1864</v>
      </c>
      <c r="G316" t="s">
        <v>3</v>
      </c>
      <c r="H316" s="6">
        <v>35432</v>
      </c>
      <c r="I316" t="s">
        <v>5</v>
      </c>
      <c r="J316" t="s">
        <v>1101</v>
      </c>
      <c r="K316" t="s">
        <v>1186</v>
      </c>
      <c r="L316" s="151">
        <v>0</v>
      </c>
      <c r="M316" s="151" t="s">
        <v>1799</v>
      </c>
      <c r="N316" s="151">
        <v>0</v>
      </c>
      <c r="O316" s="148">
        <v>0</v>
      </c>
      <c r="P316" s="151">
        <v>0</v>
      </c>
      <c r="Q316" s="148">
        <v>0</v>
      </c>
      <c r="R316" t="s">
        <v>9843</v>
      </c>
      <c r="S316" t="s">
        <v>7</v>
      </c>
      <c r="T316" t="s">
        <v>1800</v>
      </c>
      <c r="U316" t="s">
        <v>36</v>
      </c>
      <c r="V316" t="s">
        <v>9843</v>
      </c>
      <c r="W316" t="s">
        <v>35</v>
      </c>
      <c r="X316" t="s">
        <v>7</v>
      </c>
      <c r="Y316" t="s">
        <v>9</v>
      </c>
      <c r="Z316" t="s">
        <v>1097</v>
      </c>
      <c r="AA316" t="s">
        <v>1244</v>
      </c>
      <c r="AB316" t="s">
        <v>7</v>
      </c>
      <c r="AC316" s="117" t="s">
        <v>9872</v>
      </c>
      <c r="AD316" t="s">
        <v>9</v>
      </c>
      <c r="AE316" t="s">
        <v>35</v>
      </c>
      <c r="AF316" t="s">
        <v>35</v>
      </c>
      <c r="AG316" t="s">
        <v>9</v>
      </c>
      <c r="AH316" s="117" t="s">
        <v>35</v>
      </c>
      <c r="AI316" s="125" t="s">
        <v>1849</v>
      </c>
    </row>
    <row r="317" spans="1:35">
      <c r="A317" t="s">
        <v>376</v>
      </c>
      <c r="B317" s="34">
        <v>42997</v>
      </c>
      <c r="C317" s="114" t="s">
        <v>873</v>
      </c>
      <c r="D317" t="s">
        <v>378</v>
      </c>
      <c r="E317" s="4" t="s">
        <v>894</v>
      </c>
      <c r="F317" t="s">
        <v>1855</v>
      </c>
      <c r="G317" t="s">
        <v>3</v>
      </c>
      <c r="H317" s="6">
        <v>35680</v>
      </c>
      <c r="I317" t="s">
        <v>5</v>
      </c>
      <c r="J317" t="s">
        <v>1101</v>
      </c>
      <c r="K317" t="s">
        <v>1801</v>
      </c>
      <c r="L317" s="151" t="s">
        <v>1803</v>
      </c>
      <c r="M317" s="151" t="s">
        <v>1804</v>
      </c>
      <c r="N317" s="151" t="s">
        <v>1802</v>
      </c>
      <c r="O317" s="149" t="s">
        <v>10011</v>
      </c>
      <c r="P317" s="154" t="s">
        <v>10012</v>
      </c>
      <c r="Q317" s="154" t="s">
        <v>10085</v>
      </c>
      <c r="R317" t="s">
        <v>9843</v>
      </c>
      <c r="S317" t="s">
        <v>7</v>
      </c>
      <c r="T317" t="s">
        <v>1805</v>
      </c>
      <c r="U317" t="s">
        <v>36</v>
      </c>
      <c r="V317" t="s">
        <v>9843</v>
      </c>
      <c r="W317" t="s">
        <v>35</v>
      </c>
      <c r="X317" t="s">
        <v>1350</v>
      </c>
      <c r="Y317" t="s">
        <v>1100</v>
      </c>
      <c r="Z317" t="s">
        <v>7</v>
      </c>
      <c r="AA317" t="s">
        <v>1677</v>
      </c>
      <c r="AB317" t="s">
        <v>7</v>
      </c>
      <c r="AC317" s="117" t="s">
        <v>7</v>
      </c>
      <c r="AD317" t="s">
        <v>9</v>
      </c>
      <c r="AE317" t="s">
        <v>35</v>
      </c>
      <c r="AF317" t="s">
        <v>35</v>
      </c>
      <c r="AG317" t="s">
        <v>9</v>
      </c>
      <c r="AH317" s="117" t="s">
        <v>35</v>
      </c>
      <c r="AI317" s="125" t="s">
        <v>1849</v>
      </c>
    </row>
    <row r="318" spans="1:35">
      <c r="A318" t="s">
        <v>377</v>
      </c>
      <c r="B318" s="115" t="s">
        <v>651</v>
      </c>
      <c r="C318" s="114" t="s">
        <v>881</v>
      </c>
      <c r="D318" t="s">
        <v>378</v>
      </c>
      <c r="E318" s="4" t="s">
        <v>895</v>
      </c>
      <c r="F318" t="s">
        <v>1855</v>
      </c>
      <c r="G318" t="s">
        <v>3</v>
      </c>
      <c r="H318" s="6">
        <v>32383</v>
      </c>
      <c r="I318" t="s">
        <v>1093</v>
      </c>
      <c r="J318" t="s">
        <v>48</v>
      </c>
      <c r="K318" t="s">
        <v>1806</v>
      </c>
      <c r="L318" s="154" t="s">
        <v>10013</v>
      </c>
      <c r="M318" s="151">
        <v>0</v>
      </c>
      <c r="N318" s="151">
        <v>0</v>
      </c>
      <c r="O318" s="148">
        <v>0</v>
      </c>
      <c r="P318" s="151">
        <v>0</v>
      </c>
      <c r="Q318" s="148">
        <v>0</v>
      </c>
      <c r="R318" t="s">
        <v>9843</v>
      </c>
      <c r="S318" t="s">
        <v>7</v>
      </c>
      <c r="T318" t="s">
        <v>1807</v>
      </c>
      <c r="U318" t="s">
        <v>51</v>
      </c>
      <c r="V318" t="s">
        <v>52</v>
      </c>
      <c r="W318" t="s">
        <v>35</v>
      </c>
      <c r="X318" t="s">
        <v>35</v>
      </c>
      <c r="Y318" t="s">
        <v>35</v>
      </c>
      <c r="Z318" t="s">
        <v>35</v>
      </c>
      <c r="AA318" t="s">
        <v>35</v>
      </c>
      <c r="AB318" t="s">
        <v>35</v>
      </c>
      <c r="AC318" t="s">
        <v>35</v>
      </c>
      <c r="AD318" t="s">
        <v>35</v>
      </c>
      <c r="AE318" t="s">
        <v>7</v>
      </c>
      <c r="AF318" t="s">
        <v>35</v>
      </c>
      <c r="AG318" t="s">
        <v>35</v>
      </c>
      <c r="AH318" t="s">
        <v>35</v>
      </c>
      <c r="AI318" t="s">
        <v>35</v>
      </c>
    </row>
    <row r="319" spans="1:35">
      <c r="A319" t="s">
        <v>1586</v>
      </c>
      <c r="B319" s="2" t="s">
        <v>1587</v>
      </c>
      <c r="C319" t="s">
        <v>876</v>
      </c>
      <c r="D319" t="s">
        <v>378</v>
      </c>
      <c r="E319" t="s">
        <v>1775</v>
      </c>
      <c r="F319" t="s">
        <v>1855</v>
      </c>
      <c r="G319" t="s">
        <v>3</v>
      </c>
      <c r="H319" s="6">
        <v>29755</v>
      </c>
      <c r="I319" t="s">
        <v>5</v>
      </c>
      <c r="J319" t="s">
        <v>1074</v>
      </c>
      <c r="K319" t="s">
        <v>1808</v>
      </c>
      <c r="L319" s="154" t="s">
        <v>10014</v>
      </c>
      <c r="M319" s="154" t="s">
        <v>10015</v>
      </c>
      <c r="N319" s="154" t="s">
        <v>10016</v>
      </c>
      <c r="O319" s="148">
        <v>0</v>
      </c>
      <c r="P319" s="151">
        <v>0</v>
      </c>
      <c r="Q319" s="148">
        <v>0</v>
      </c>
      <c r="R319" t="s">
        <v>9843</v>
      </c>
      <c r="S319" t="s">
        <v>7</v>
      </c>
      <c r="T319" t="s">
        <v>1809</v>
      </c>
      <c r="U319" t="s">
        <v>36</v>
      </c>
      <c r="V319" t="s">
        <v>9843</v>
      </c>
      <c r="W319" t="s">
        <v>35</v>
      </c>
      <c r="X319" t="s">
        <v>7</v>
      </c>
      <c r="Y319" t="s">
        <v>9</v>
      </c>
      <c r="Z319" t="s">
        <v>1097</v>
      </c>
      <c r="AA319" t="s">
        <v>7</v>
      </c>
      <c r="AB319" t="s">
        <v>7</v>
      </c>
      <c r="AC319" s="117" t="s">
        <v>9872</v>
      </c>
      <c r="AD319" t="s">
        <v>1100</v>
      </c>
      <c r="AE319" t="s">
        <v>35</v>
      </c>
      <c r="AF319" t="s">
        <v>35</v>
      </c>
      <c r="AG319" t="s">
        <v>1100</v>
      </c>
      <c r="AH319" s="117" t="s">
        <v>35</v>
      </c>
      <c r="AI319" s="125" t="s">
        <v>1849</v>
      </c>
    </row>
    <row r="320" spans="1:35">
      <c r="A320" t="s">
        <v>379</v>
      </c>
      <c r="B320" s="36" t="s">
        <v>712</v>
      </c>
      <c r="C320" s="35" t="s">
        <v>896</v>
      </c>
      <c r="D320" t="s">
        <v>392</v>
      </c>
      <c r="E320" s="4" t="s">
        <v>897</v>
      </c>
      <c r="F320" t="s">
        <v>1085</v>
      </c>
      <c r="G320" t="s">
        <v>3</v>
      </c>
      <c r="H320" s="6">
        <v>31879</v>
      </c>
      <c r="I320" t="s">
        <v>5</v>
      </c>
      <c r="J320" t="s">
        <v>77</v>
      </c>
      <c r="K320" t="s">
        <v>1810</v>
      </c>
      <c r="L320" s="151">
        <v>0</v>
      </c>
      <c r="M320" s="154" t="s">
        <v>10017</v>
      </c>
      <c r="N320" s="151">
        <v>0</v>
      </c>
      <c r="O320" s="148">
        <v>0</v>
      </c>
      <c r="P320" s="151">
        <v>0</v>
      </c>
      <c r="Q320" s="148">
        <v>0</v>
      </c>
      <c r="R320" t="s">
        <v>9843</v>
      </c>
      <c r="S320" t="s">
        <v>7</v>
      </c>
      <c r="T320" t="s">
        <v>1233</v>
      </c>
      <c r="U320" t="s">
        <v>36</v>
      </c>
      <c r="V320" t="s">
        <v>9843</v>
      </c>
      <c r="W320" t="s">
        <v>35</v>
      </c>
      <c r="X320" t="s">
        <v>7</v>
      </c>
      <c r="Y320" t="s">
        <v>9</v>
      </c>
      <c r="Z320" t="s">
        <v>7</v>
      </c>
      <c r="AA320" t="s">
        <v>7</v>
      </c>
      <c r="AB320" t="s">
        <v>7</v>
      </c>
      <c r="AC320" t="s">
        <v>9871</v>
      </c>
      <c r="AD320" t="s">
        <v>1185</v>
      </c>
      <c r="AE320" t="s">
        <v>35</v>
      </c>
      <c r="AF320" t="s">
        <v>35</v>
      </c>
      <c r="AG320" t="s">
        <v>1185</v>
      </c>
      <c r="AH320" t="s">
        <v>9851</v>
      </c>
      <c r="AI320" s="117" t="s">
        <v>35</v>
      </c>
    </row>
    <row r="321" spans="1:35">
      <c r="A321" t="s">
        <v>380</v>
      </c>
      <c r="B321" s="38" t="s">
        <v>715</v>
      </c>
      <c r="C321" s="37" t="s">
        <v>898</v>
      </c>
      <c r="D321" t="s">
        <v>392</v>
      </c>
      <c r="E321" s="4" t="s">
        <v>899</v>
      </c>
      <c r="F321" t="s">
        <v>1550</v>
      </c>
      <c r="G321" t="s">
        <v>3</v>
      </c>
      <c r="H321" s="6">
        <v>35855</v>
      </c>
      <c r="I321" t="s">
        <v>5</v>
      </c>
      <c r="J321" t="s">
        <v>1101</v>
      </c>
      <c r="K321" t="s">
        <v>1811</v>
      </c>
      <c r="L321" s="151" t="s">
        <v>10051</v>
      </c>
      <c r="M321" s="151" t="s">
        <v>1812</v>
      </c>
      <c r="N321" s="151">
        <v>0</v>
      </c>
      <c r="O321" s="148">
        <v>0</v>
      </c>
      <c r="P321" s="151">
        <v>0</v>
      </c>
      <c r="Q321" s="148">
        <v>0</v>
      </c>
      <c r="R321" t="s">
        <v>9846</v>
      </c>
      <c r="S321" t="s">
        <v>7</v>
      </c>
      <c r="T321" t="s">
        <v>1212</v>
      </c>
      <c r="U321" t="s">
        <v>78</v>
      </c>
      <c r="V321" t="s">
        <v>9843</v>
      </c>
      <c r="W321" t="s">
        <v>35</v>
      </c>
      <c r="X321" t="s">
        <v>7</v>
      </c>
      <c r="Y321" t="s">
        <v>9</v>
      </c>
      <c r="Z321" t="s">
        <v>7</v>
      </c>
      <c r="AA321" t="s">
        <v>7</v>
      </c>
      <c r="AB321" t="s">
        <v>1937</v>
      </c>
      <c r="AC321" s="117" t="s">
        <v>7</v>
      </c>
      <c r="AD321" t="s">
        <v>1100</v>
      </c>
      <c r="AE321" t="s">
        <v>35</v>
      </c>
      <c r="AF321" t="s">
        <v>35</v>
      </c>
      <c r="AG321" t="s">
        <v>1100</v>
      </c>
      <c r="AH321" s="117" t="s">
        <v>35</v>
      </c>
      <c r="AI321" s="125" t="s">
        <v>1849</v>
      </c>
    </row>
    <row r="322" spans="1:35">
      <c r="A322" t="s">
        <v>380</v>
      </c>
      <c r="B322" s="38" t="s">
        <v>715</v>
      </c>
      <c r="C322" s="37" t="s">
        <v>898</v>
      </c>
      <c r="D322" t="s">
        <v>392</v>
      </c>
      <c r="E322" s="4" t="s">
        <v>900</v>
      </c>
      <c r="F322" t="s">
        <v>1550</v>
      </c>
      <c r="G322" t="s">
        <v>3</v>
      </c>
      <c r="H322" s="6">
        <v>34709</v>
      </c>
      <c r="I322" t="s">
        <v>5</v>
      </c>
      <c r="J322" t="s">
        <v>1101</v>
      </c>
      <c r="K322" t="s">
        <v>1811</v>
      </c>
      <c r="L322" s="151" t="s">
        <v>10051</v>
      </c>
      <c r="M322" s="151" t="s">
        <v>1812</v>
      </c>
      <c r="N322" s="151">
        <v>0</v>
      </c>
      <c r="O322" s="148">
        <v>0</v>
      </c>
      <c r="P322" s="151">
        <v>0</v>
      </c>
      <c r="Q322" s="148">
        <v>0</v>
      </c>
      <c r="R322" t="s">
        <v>9846</v>
      </c>
      <c r="S322" t="s">
        <v>7</v>
      </c>
      <c r="T322" t="s">
        <v>1212</v>
      </c>
      <c r="U322" t="s">
        <v>78</v>
      </c>
      <c r="V322" t="s">
        <v>9843</v>
      </c>
      <c r="W322" t="s">
        <v>35</v>
      </c>
      <c r="X322" t="s">
        <v>7</v>
      </c>
      <c r="Y322" t="s">
        <v>9</v>
      </c>
      <c r="Z322" t="s">
        <v>7</v>
      </c>
      <c r="AA322" t="s">
        <v>7</v>
      </c>
      <c r="AB322" t="s">
        <v>1937</v>
      </c>
      <c r="AC322" s="117" t="s">
        <v>7</v>
      </c>
      <c r="AD322" t="s">
        <v>1100</v>
      </c>
      <c r="AE322" t="s">
        <v>35</v>
      </c>
      <c r="AF322" t="s">
        <v>35</v>
      </c>
      <c r="AG322" t="s">
        <v>1100</v>
      </c>
      <c r="AH322" s="117" t="s">
        <v>35</v>
      </c>
      <c r="AI322" s="125" t="s">
        <v>1849</v>
      </c>
    </row>
    <row r="323" spans="1:35">
      <c r="A323" t="s">
        <v>381</v>
      </c>
      <c r="B323" s="40" t="s">
        <v>831</v>
      </c>
      <c r="C323" s="39" t="s">
        <v>898</v>
      </c>
      <c r="D323" t="s">
        <v>392</v>
      </c>
      <c r="E323" s="4" t="s">
        <v>901</v>
      </c>
      <c r="F323" t="s">
        <v>1855</v>
      </c>
      <c r="G323" t="s">
        <v>3</v>
      </c>
      <c r="H323" s="6">
        <v>29966</v>
      </c>
      <c r="I323" t="s">
        <v>5</v>
      </c>
      <c r="J323" t="s">
        <v>1101</v>
      </c>
      <c r="K323" t="s">
        <v>1813</v>
      </c>
      <c r="L323" s="154" t="s">
        <v>10018</v>
      </c>
      <c r="M323" s="154" t="s">
        <v>10019</v>
      </c>
      <c r="N323" s="151">
        <v>0</v>
      </c>
      <c r="O323" s="148">
        <v>0</v>
      </c>
      <c r="P323" s="151">
        <v>0</v>
      </c>
      <c r="Q323" s="148">
        <v>0</v>
      </c>
      <c r="R323" t="s">
        <v>9843</v>
      </c>
      <c r="S323" s="125" t="s">
        <v>1136</v>
      </c>
      <c r="T323" t="s">
        <v>1814</v>
      </c>
      <c r="U323" t="s">
        <v>6</v>
      </c>
      <c r="V323" t="s">
        <v>35</v>
      </c>
      <c r="W323" t="s">
        <v>35</v>
      </c>
      <c r="X323" t="s">
        <v>35</v>
      </c>
      <c r="Y323" t="s">
        <v>35</v>
      </c>
      <c r="Z323" t="s">
        <v>35</v>
      </c>
      <c r="AA323" t="s">
        <v>35</v>
      </c>
      <c r="AB323" t="s">
        <v>35</v>
      </c>
      <c r="AC323" t="s">
        <v>35</v>
      </c>
      <c r="AD323" t="s">
        <v>35</v>
      </c>
      <c r="AE323" t="s">
        <v>35</v>
      </c>
      <c r="AF323" t="s">
        <v>35</v>
      </c>
      <c r="AG323" t="s">
        <v>35</v>
      </c>
      <c r="AH323" t="s">
        <v>35</v>
      </c>
      <c r="AI323" t="s">
        <v>35</v>
      </c>
    </row>
    <row r="324" spans="1:35">
      <c r="A324" s="117" t="s">
        <v>382</v>
      </c>
      <c r="B324" s="115" t="s">
        <v>765</v>
      </c>
      <c r="C324" s="41" t="s">
        <v>896</v>
      </c>
      <c r="D324" t="s">
        <v>392</v>
      </c>
      <c r="E324" s="4" t="s">
        <v>902</v>
      </c>
      <c r="F324" t="s">
        <v>1855</v>
      </c>
      <c r="G324" t="s">
        <v>3</v>
      </c>
      <c r="H324" s="6">
        <v>33401</v>
      </c>
      <c r="I324" t="s">
        <v>1093</v>
      </c>
      <c r="J324" t="s">
        <v>48</v>
      </c>
      <c r="K324" t="s">
        <v>1186</v>
      </c>
      <c r="L324" s="151" t="s">
        <v>1816</v>
      </c>
      <c r="M324" s="151" t="s">
        <v>1815</v>
      </c>
      <c r="N324" s="151" t="s">
        <v>1817</v>
      </c>
      <c r="O324" s="148">
        <v>0</v>
      </c>
      <c r="P324" s="151">
        <v>0</v>
      </c>
      <c r="Q324" s="148">
        <v>0</v>
      </c>
      <c r="R324" t="s">
        <v>9843</v>
      </c>
      <c r="S324" t="s">
        <v>7</v>
      </c>
      <c r="T324" t="s">
        <v>1122</v>
      </c>
      <c r="U324" t="s">
        <v>36</v>
      </c>
      <c r="V324" t="s">
        <v>9843</v>
      </c>
      <c r="W324" t="s">
        <v>35</v>
      </c>
      <c r="X324" t="s">
        <v>7</v>
      </c>
      <c r="Y324" t="s">
        <v>9</v>
      </c>
      <c r="Z324" t="s">
        <v>7</v>
      </c>
      <c r="AA324" t="s">
        <v>7</v>
      </c>
      <c r="AB324" t="s">
        <v>7</v>
      </c>
      <c r="AC324" t="s">
        <v>9870</v>
      </c>
      <c r="AD324" t="s">
        <v>10</v>
      </c>
      <c r="AE324" t="s">
        <v>35</v>
      </c>
      <c r="AF324" t="s">
        <v>35</v>
      </c>
      <c r="AG324" t="s">
        <v>10</v>
      </c>
      <c r="AH324" s="117" t="s">
        <v>7</v>
      </c>
      <c r="AI324" s="125" t="s">
        <v>1849</v>
      </c>
    </row>
    <row r="325" spans="1:35">
      <c r="A325" t="s">
        <v>383</v>
      </c>
      <c r="B325" s="115" t="s">
        <v>640</v>
      </c>
      <c r="C325" s="42" t="s">
        <v>898</v>
      </c>
      <c r="D325" t="s">
        <v>392</v>
      </c>
      <c r="E325" s="4" t="s">
        <v>903</v>
      </c>
      <c r="F325" t="s">
        <v>1855</v>
      </c>
      <c r="G325" t="s">
        <v>3</v>
      </c>
      <c r="H325" s="6">
        <v>33500</v>
      </c>
      <c r="I325" t="s">
        <v>5</v>
      </c>
      <c r="J325" t="s">
        <v>77</v>
      </c>
      <c r="K325" t="s">
        <v>1820</v>
      </c>
      <c r="L325" s="154" t="s">
        <v>10020</v>
      </c>
      <c r="M325" s="151" t="s">
        <v>1818</v>
      </c>
      <c r="N325" s="151" t="s">
        <v>1819</v>
      </c>
      <c r="O325" s="148">
        <v>0</v>
      </c>
      <c r="P325" s="151">
        <v>0</v>
      </c>
      <c r="Q325" s="152" t="s">
        <v>10086</v>
      </c>
      <c r="R325" t="s">
        <v>9843</v>
      </c>
      <c r="S325" t="s">
        <v>7</v>
      </c>
      <c r="T325" t="s">
        <v>1821</v>
      </c>
      <c r="U325" t="s">
        <v>36</v>
      </c>
      <c r="V325" t="s">
        <v>9843</v>
      </c>
      <c r="W325" t="s">
        <v>35</v>
      </c>
      <c r="X325" t="s">
        <v>7</v>
      </c>
      <c r="Y325" t="s">
        <v>9</v>
      </c>
      <c r="Z325" t="s">
        <v>7</v>
      </c>
      <c r="AA325" t="s">
        <v>7</v>
      </c>
      <c r="AB325" t="s">
        <v>7</v>
      </c>
      <c r="AC325" t="s">
        <v>9871</v>
      </c>
      <c r="AD325" t="s">
        <v>1185</v>
      </c>
      <c r="AE325" t="s">
        <v>35</v>
      </c>
      <c r="AF325" t="s">
        <v>35</v>
      </c>
      <c r="AG325" t="s">
        <v>1185</v>
      </c>
      <c r="AH325" s="117" t="s">
        <v>7</v>
      </c>
      <c r="AI325" t="s">
        <v>37</v>
      </c>
    </row>
    <row r="326" spans="1:35">
      <c r="A326" t="s">
        <v>384</v>
      </c>
      <c r="B326" s="115" t="s">
        <v>904</v>
      </c>
      <c r="C326" s="114" t="s">
        <v>896</v>
      </c>
      <c r="D326" t="s">
        <v>392</v>
      </c>
      <c r="E326" s="4" t="s">
        <v>905</v>
      </c>
      <c r="F326" t="s">
        <v>1855</v>
      </c>
      <c r="G326" t="s">
        <v>3</v>
      </c>
      <c r="H326" s="6">
        <v>35818</v>
      </c>
      <c r="I326" t="s">
        <v>5</v>
      </c>
      <c r="J326" t="s">
        <v>48</v>
      </c>
      <c r="K326" t="s">
        <v>1822</v>
      </c>
      <c r="L326" s="151">
        <v>0</v>
      </c>
      <c r="M326" s="154" t="s">
        <v>10021</v>
      </c>
      <c r="N326" s="151">
        <v>0</v>
      </c>
      <c r="O326" s="148">
        <v>0</v>
      </c>
      <c r="P326" s="151">
        <v>0</v>
      </c>
      <c r="Q326" s="148">
        <v>0</v>
      </c>
      <c r="R326" t="s">
        <v>9843</v>
      </c>
      <c r="S326" t="s">
        <v>7</v>
      </c>
      <c r="T326" t="s">
        <v>1098</v>
      </c>
      <c r="U326" t="s">
        <v>36</v>
      </c>
      <c r="V326" t="s">
        <v>9843</v>
      </c>
      <c r="W326" t="s">
        <v>35</v>
      </c>
      <c r="X326" t="s">
        <v>7</v>
      </c>
      <c r="Y326" t="s">
        <v>9</v>
      </c>
      <c r="Z326" t="s">
        <v>7</v>
      </c>
      <c r="AA326" t="s">
        <v>7</v>
      </c>
      <c r="AB326" t="s">
        <v>7</v>
      </c>
      <c r="AC326" t="s">
        <v>9871</v>
      </c>
      <c r="AD326" t="s">
        <v>1185</v>
      </c>
      <c r="AE326" t="s">
        <v>35</v>
      </c>
      <c r="AF326" t="s">
        <v>35</v>
      </c>
      <c r="AG326" t="s">
        <v>1185</v>
      </c>
      <c r="AH326" t="s">
        <v>9851</v>
      </c>
      <c r="AI326" s="117" t="s">
        <v>35</v>
      </c>
    </row>
    <row r="327" spans="1:35">
      <c r="A327" t="s">
        <v>385</v>
      </c>
      <c r="B327" s="115" t="s">
        <v>824</v>
      </c>
      <c r="C327" s="114" t="s">
        <v>898</v>
      </c>
      <c r="D327" t="s">
        <v>392</v>
      </c>
      <c r="E327" s="4" t="s">
        <v>906</v>
      </c>
      <c r="F327" t="s">
        <v>76</v>
      </c>
      <c r="G327" t="s">
        <v>3</v>
      </c>
      <c r="H327" s="6">
        <v>36224</v>
      </c>
      <c r="I327" t="s">
        <v>5</v>
      </c>
      <c r="J327" t="s">
        <v>48</v>
      </c>
      <c r="K327" t="s">
        <v>1825</v>
      </c>
      <c r="L327" s="151" t="s">
        <v>1824</v>
      </c>
      <c r="M327" s="151" t="s">
        <v>1823</v>
      </c>
      <c r="N327" s="151">
        <v>0</v>
      </c>
      <c r="O327" s="148">
        <v>0</v>
      </c>
      <c r="P327" s="151">
        <v>0</v>
      </c>
      <c r="Q327" s="148">
        <v>0</v>
      </c>
      <c r="R327" t="s">
        <v>9843</v>
      </c>
      <c r="S327" s="125" t="s">
        <v>1136</v>
      </c>
      <c r="T327" t="s">
        <v>1826</v>
      </c>
      <c r="U327" t="s">
        <v>36</v>
      </c>
      <c r="V327" t="s">
        <v>9843</v>
      </c>
      <c r="W327" t="s">
        <v>1136</v>
      </c>
      <c r="X327" t="s">
        <v>7</v>
      </c>
      <c r="Y327" t="s">
        <v>9</v>
      </c>
      <c r="Z327" t="s">
        <v>7</v>
      </c>
      <c r="AA327" t="s">
        <v>7</v>
      </c>
      <c r="AB327" t="s">
        <v>7</v>
      </c>
      <c r="AC327" t="s">
        <v>9870</v>
      </c>
      <c r="AD327" t="s">
        <v>10</v>
      </c>
      <c r="AE327" t="s">
        <v>35</v>
      </c>
      <c r="AF327" t="s">
        <v>1279</v>
      </c>
      <c r="AG327" t="s">
        <v>1331</v>
      </c>
      <c r="AH327" t="s">
        <v>9851</v>
      </c>
      <c r="AI327" s="117" t="s">
        <v>35</v>
      </c>
    </row>
    <row r="328" spans="1:35">
      <c r="A328" s="117" t="s">
        <v>386</v>
      </c>
      <c r="B328" s="115" t="s">
        <v>907</v>
      </c>
      <c r="C328" s="114" t="s">
        <v>896</v>
      </c>
      <c r="D328" t="s">
        <v>392</v>
      </c>
      <c r="E328" s="4" t="s">
        <v>908</v>
      </c>
      <c r="F328" t="s">
        <v>1598</v>
      </c>
      <c r="G328" t="s">
        <v>3</v>
      </c>
      <c r="H328" s="6">
        <v>34505</v>
      </c>
      <c r="I328" t="s">
        <v>5</v>
      </c>
      <c r="J328" t="s">
        <v>41</v>
      </c>
      <c r="K328" t="s">
        <v>1213</v>
      </c>
      <c r="L328" s="151" t="s">
        <v>1828</v>
      </c>
      <c r="M328" s="151" t="s">
        <v>1827</v>
      </c>
      <c r="N328" s="151">
        <v>0</v>
      </c>
      <c r="O328" s="148">
        <v>0</v>
      </c>
      <c r="P328" s="151">
        <v>0</v>
      </c>
      <c r="Q328" s="148">
        <v>0</v>
      </c>
      <c r="R328" t="s">
        <v>9843</v>
      </c>
      <c r="S328" t="s">
        <v>7</v>
      </c>
      <c r="T328" t="s">
        <v>1150</v>
      </c>
      <c r="U328" t="s">
        <v>6</v>
      </c>
      <c r="V328" t="s">
        <v>35</v>
      </c>
      <c r="W328" t="s">
        <v>35</v>
      </c>
      <c r="X328" t="s">
        <v>35</v>
      </c>
      <c r="Y328" t="s">
        <v>35</v>
      </c>
      <c r="Z328" t="s">
        <v>35</v>
      </c>
      <c r="AA328" t="s">
        <v>35</v>
      </c>
      <c r="AB328" t="s">
        <v>35</v>
      </c>
      <c r="AC328" t="s">
        <v>35</v>
      </c>
      <c r="AD328" t="s">
        <v>35</v>
      </c>
      <c r="AE328" t="s">
        <v>35</v>
      </c>
      <c r="AF328" t="s">
        <v>35</v>
      </c>
      <c r="AG328" t="s">
        <v>35</v>
      </c>
      <c r="AH328" t="s">
        <v>35</v>
      </c>
      <c r="AI328" t="s">
        <v>35</v>
      </c>
    </row>
    <row r="329" spans="1:35">
      <c r="A329" t="s">
        <v>387</v>
      </c>
      <c r="B329" s="115" t="s">
        <v>909</v>
      </c>
      <c r="C329" s="114" t="s">
        <v>910</v>
      </c>
      <c r="D329" t="s">
        <v>392</v>
      </c>
      <c r="E329" s="4" t="s">
        <v>911</v>
      </c>
      <c r="F329" t="s">
        <v>1855</v>
      </c>
      <c r="G329" t="s">
        <v>3</v>
      </c>
      <c r="H329" s="6">
        <v>34641</v>
      </c>
      <c r="I329" t="s">
        <v>5</v>
      </c>
      <c r="J329" t="s">
        <v>48</v>
      </c>
      <c r="K329" t="s">
        <v>1829</v>
      </c>
      <c r="L329" s="151" t="s">
        <v>1831</v>
      </c>
      <c r="M329" s="151">
        <v>0</v>
      </c>
      <c r="N329" s="151" t="s">
        <v>1830</v>
      </c>
      <c r="O329" s="148">
        <v>0</v>
      </c>
      <c r="P329" s="151">
        <v>0</v>
      </c>
      <c r="Q329" s="147" t="s">
        <v>10022</v>
      </c>
      <c r="R329" t="s">
        <v>9843</v>
      </c>
      <c r="S329" t="s">
        <v>7</v>
      </c>
      <c r="T329" t="s">
        <v>72</v>
      </c>
      <c r="U329" t="s">
        <v>36</v>
      </c>
      <c r="V329" t="s">
        <v>9843</v>
      </c>
      <c r="W329" t="s">
        <v>35</v>
      </c>
      <c r="X329" t="s">
        <v>7</v>
      </c>
      <c r="Y329" t="s">
        <v>9</v>
      </c>
      <c r="Z329" t="s">
        <v>7</v>
      </c>
      <c r="AA329" t="s">
        <v>7</v>
      </c>
      <c r="AB329" t="s">
        <v>7</v>
      </c>
      <c r="AC329" t="s">
        <v>9871</v>
      </c>
      <c r="AD329" t="s">
        <v>1185</v>
      </c>
      <c r="AE329" t="s">
        <v>35</v>
      </c>
      <c r="AF329" t="s">
        <v>35</v>
      </c>
      <c r="AG329" t="s">
        <v>1185</v>
      </c>
      <c r="AH329" s="117" t="s">
        <v>7</v>
      </c>
      <c r="AI329" s="125" t="s">
        <v>1849</v>
      </c>
    </row>
    <row r="330" spans="1:35">
      <c r="A330" s="117" t="s">
        <v>388</v>
      </c>
      <c r="B330" s="115" t="s">
        <v>912</v>
      </c>
      <c r="C330" s="114" t="s">
        <v>898</v>
      </c>
      <c r="D330" t="s">
        <v>392</v>
      </c>
      <c r="E330" s="4" t="s">
        <v>913</v>
      </c>
      <c r="F330" t="s">
        <v>76</v>
      </c>
      <c r="G330" t="s">
        <v>3</v>
      </c>
      <c r="H330" s="6">
        <v>25831</v>
      </c>
      <c r="I330" t="s">
        <v>4</v>
      </c>
      <c r="J330" t="s">
        <v>48</v>
      </c>
      <c r="K330" t="s">
        <v>9788</v>
      </c>
      <c r="L330" s="151" t="s">
        <v>9830</v>
      </c>
      <c r="M330" s="151" t="s">
        <v>9829</v>
      </c>
      <c r="N330" s="151">
        <v>0</v>
      </c>
      <c r="O330" s="148">
        <v>0</v>
      </c>
      <c r="P330" s="151">
        <v>0</v>
      </c>
      <c r="Q330" s="148">
        <v>0</v>
      </c>
      <c r="R330" t="s">
        <v>9843</v>
      </c>
      <c r="S330" t="s">
        <v>9848</v>
      </c>
      <c r="T330" t="s">
        <v>1833</v>
      </c>
      <c r="U330" t="s">
        <v>36</v>
      </c>
      <c r="V330" t="s">
        <v>9843</v>
      </c>
      <c r="W330" t="s">
        <v>9848</v>
      </c>
      <c r="X330" t="s">
        <v>1104</v>
      </c>
      <c r="Y330" t="s">
        <v>1105</v>
      </c>
      <c r="Z330" t="s">
        <v>1097</v>
      </c>
      <c r="AA330" t="s">
        <v>7</v>
      </c>
      <c r="AB330" t="s">
        <v>7</v>
      </c>
      <c r="AC330" s="117" t="s">
        <v>7</v>
      </c>
      <c r="AD330" t="s">
        <v>1605</v>
      </c>
      <c r="AE330" t="s">
        <v>35</v>
      </c>
      <c r="AF330" t="s">
        <v>1100</v>
      </c>
      <c r="AG330" t="s">
        <v>1832</v>
      </c>
      <c r="AH330" s="117" t="s">
        <v>35</v>
      </c>
      <c r="AI330" s="125" t="s">
        <v>1849</v>
      </c>
    </row>
    <row r="331" spans="1:35">
      <c r="A331" t="s">
        <v>389</v>
      </c>
      <c r="B331" s="115" t="s">
        <v>914</v>
      </c>
      <c r="C331" s="114" t="s">
        <v>898</v>
      </c>
      <c r="D331" t="s">
        <v>392</v>
      </c>
      <c r="E331" s="4" t="s">
        <v>915</v>
      </c>
      <c r="F331" t="s">
        <v>1855</v>
      </c>
      <c r="G331" t="s">
        <v>3</v>
      </c>
      <c r="H331" s="6">
        <v>31960</v>
      </c>
      <c r="I331" t="s">
        <v>5</v>
      </c>
      <c r="J331" t="s">
        <v>48</v>
      </c>
      <c r="K331" t="s">
        <v>1834</v>
      </c>
      <c r="L331" s="151" t="s">
        <v>1837</v>
      </c>
      <c r="M331" s="151" t="s">
        <v>1835</v>
      </c>
      <c r="N331" s="151" t="s">
        <v>1836</v>
      </c>
      <c r="O331" s="148">
        <v>0</v>
      </c>
      <c r="P331" s="151">
        <v>0</v>
      </c>
      <c r="Q331" s="148">
        <v>0</v>
      </c>
      <c r="R331" t="s">
        <v>9843</v>
      </c>
      <c r="S331" t="s">
        <v>7</v>
      </c>
      <c r="T331" t="s">
        <v>1173</v>
      </c>
      <c r="U331" t="s">
        <v>36</v>
      </c>
      <c r="V331" t="s">
        <v>9843</v>
      </c>
      <c r="W331" t="s">
        <v>35</v>
      </c>
      <c r="X331" t="s">
        <v>7</v>
      </c>
      <c r="Y331" t="s">
        <v>9</v>
      </c>
      <c r="Z331" t="s">
        <v>7</v>
      </c>
      <c r="AA331" t="s">
        <v>7</v>
      </c>
      <c r="AB331" t="s">
        <v>7</v>
      </c>
      <c r="AC331" t="s">
        <v>9871</v>
      </c>
      <c r="AD331" t="s">
        <v>79</v>
      </c>
      <c r="AE331" t="s">
        <v>35</v>
      </c>
      <c r="AF331" t="s">
        <v>35</v>
      </c>
      <c r="AG331" t="s">
        <v>79</v>
      </c>
      <c r="AH331" s="117" t="s">
        <v>7</v>
      </c>
      <c r="AI331" s="117" t="s">
        <v>1114</v>
      </c>
    </row>
    <row r="332" spans="1:35">
      <c r="A332" t="s">
        <v>390</v>
      </c>
      <c r="B332" s="115" t="s">
        <v>909</v>
      </c>
      <c r="C332" s="114" t="s">
        <v>910</v>
      </c>
      <c r="D332" t="s">
        <v>392</v>
      </c>
      <c r="E332" s="4" t="s">
        <v>916</v>
      </c>
      <c r="F332" t="s">
        <v>1855</v>
      </c>
      <c r="G332" t="s">
        <v>3</v>
      </c>
      <c r="H332" s="6">
        <v>32255</v>
      </c>
      <c r="I332" t="s">
        <v>4</v>
      </c>
      <c r="J332" t="s">
        <v>41</v>
      </c>
      <c r="K332" t="s">
        <v>1838</v>
      </c>
      <c r="L332" s="151" t="s">
        <v>1839</v>
      </c>
      <c r="M332" s="151" t="s">
        <v>1840</v>
      </c>
      <c r="N332" s="151">
        <v>0</v>
      </c>
      <c r="O332" s="148">
        <v>0</v>
      </c>
      <c r="P332" s="151">
        <v>0</v>
      </c>
      <c r="Q332" s="148">
        <v>0</v>
      </c>
      <c r="R332" t="s">
        <v>9843</v>
      </c>
      <c r="S332" t="s">
        <v>7</v>
      </c>
      <c r="T332" t="s">
        <v>72</v>
      </c>
      <c r="U332" t="s">
        <v>36</v>
      </c>
      <c r="V332" t="s">
        <v>9843</v>
      </c>
      <c r="W332" t="s">
        <v>35</v>
      </c>
      <c r="X332" t="s">
        <v>7</v>
      </c>
      <c r="Y332" t="s">
        <v>9</v>
      </c>
      <c r="Z332" t="s">
        <v>7</v>
      </c>
      <c r="AA332" t="s">
        <v>7</v>
      </c>
      <c r="AB332" t="s">
        <v>7</v>
      </c>
      <c r="AC332" t="s">
        <v>9871</v>
      </c>
      <c r="AD332" t="s">
        <v>1185</v>
      </c>
      <c r="AE332" t="s">
        <v>35</v>
      </c>
      <c r="AF332" t="s">
        <v>35</v>
      </c>
      <c r="AG332" t="s">
        <v>1185</v>
      </c>
      <c r="AH332" s="117" t="s">
        <v>7</v>
      </c>
      <c r="AI332" s="125" t="s">
        <v>1849</v>
      </c>
    </row>
    <row r="333" spans="1:35">
      <c r="A333" t="s">
        <v>391</v>
      </c>
      <c r="B333" s="115" t="s">
        <v>857</v>
      </c>
      <c r="C333" s="114" t="s">
        <v>898</v>
      </c>
      <c r="D333" t="s">
        <v>392</v>
      </c>
      <c r="E333" s="4" t="s">
        <v>917</v>
      </c>
      <c r="F333" t="s">
        <v>1855</v>
      </c>
      <c r="G333" t="s">
        <v>3</v>
      </c>
      <c r="H333" s="6">
        <v>35904</v>
      </c>
      <c r="I333" t="s">
        <v>4</v>
      </c>
      <c r="J333" t="s">
        <v>48</v>
      </c>
      <c r="K333" t="s">
        <v>1841</v>
      </c>
      <c r="L333" s="151" t="s">
        <v>1843</v>
      </c>
      <c r="M333" s="151" t="s">
        <v>1842</v>
      </c>
      <c r="N333" s="151">
        <v>0</v>
      </c>
      <c r="O333" s="148">
        <v>0</v>
      </c>
      <c r="P333" s="151">
        <v>0</v>
      </c>
      <c r="Q333" s="148">
        <v>0</v>
      </c>
      <c r="R333" t="s">
        <v>9843</v>
      </c>
      <c r="S333" t="s">
        <v>7</v>
      </c>
      <c r="T333" t="s">
        <v>1844</v>
      </c>
      <c r="U333" t="s">
        <v>36</v>
      </c>
      <c r="V333" t="s">
        <v>9843</v>
      </c>
      <c r="W333" t="s">
        <v>35</v>
      </c>
      <c r="X333" t="s">
        <v>7</v>
      </c>
      <c r="Y333" t="s">
        <v>9</v>
      </c>
      <c r="Z333" t="s">
        <v>7</v>
      </c>
      <c r="AA333" t="s">
        <v>7</v>
      </c>
      <c r="AB333" t="s">
        <v>7</v>
      </c>
      <c r="AC333" t="s">
        <v>9870</v>
      </c>
      <c r="AD333" t="s">
        <v>10</v>
      </c>
      <c r="AE333" t="s">
        <v>35</v>
      </c>
      <c r="AF333" t="s">
        <v>35</v>
      </c>
      <c r="AG333" t="s">
        <v>10</v>
      </c>
      <c r="AH333" s="117" t="s">
        <v>7</v>
      </c>
      <c r="AI333" t="s">
        <v>37</v>
      </c>
    </row>
    <row r="334" spans="1:35">
      <c r="A334" t="s">
        <v>393</v>
      </c>
      <c r="B334" s="115" t="s">
        <v>918</v>
      </c>
      <c r="C334" s="114" t="s">
        <v>919</v>
      </c>
      <c r="D334" t="s">
        <v>411</v>
      </c>
      <c r="E334" s="4" t="s">
        <v>920</v>
      </c>
      <c r="F334" t="s">
        <v>1855</v>
      </c>
      <c r="G334" t="s">
        <v>3</v>
      </c>
      <c r="H334" s="6">
        <v>34734</v>
      </c>
      <c r="I334" t="s">
        <v>4</v>
      </c>
      <c r="J334" t="s">
        <v>41</v>
      </c>
      <c r="K334" t="s">
        <v>1130</v>
      </c>
      <c r="L334" s="151">
        <v>0</v>
      </c>
      <c r="M334" s="151" t="s">
        <v>1131</v>
      </c>
      <c r="N334" s="151">
        <v>0</v>
      </c>
      <c r="O334" s="148">
        <v>0</v>
      </c>
      <c r="P334" s="151">
        <v>0</v>
      </c>
      <c r="Q334" s="148">
        <v>0</v>
      </c>
      <c r="R334" t="s">
        <v>9843</v>
      </c>
      <c r="S334" t="s">
        <v>7</v>
      </c>
      <c r="T334" s="117" t="s">
        <v>9807</v>
      </c>
      <c r="U334" t="s">
        <v>36</v>
      </c>
      <c r="V334" t="s">
        <v>9843</v>
      </c>
      <c r="W334" t="s">
        <v>35</v>
      </c>
      <c r="X334" t="s">
        <v>7</v>
      </c>
      <c r="Y334" t="s">
        <v>9</v>
      </c>
      <c r="Z334" s="117" t="s">
        <v>7</v>
      </c>
      <c r="AA334" t="s">
        <v>7</v>
      </c>
      <c r="AB334" t="s">
        <v>7</v>
      </c>
      <c r="AC334" s="117" t="s">
        <v>9872</v>
      </c>
      <c r="AD334" t="s">
        <v>9</v>
      </c>
      <c r="AE334" t="s">
        <v>35</v>
      </c>
      <c r="AF334" t="s">
        <v>35</v>
      </c>
      <c r="AG334" t="s">
        <v>9</v>
      </c>
      <c r="AH334" s="117" t="s">
        <v>35</v>
      </c>
      <c r="AI334" s="125" t="s">
        <v>1849</v>
      </c>
    </row>
    <row r="335" spans="1:35">
      <c r="A335" t="s">
        <v>394</v>
      </c>
      <c r="B335" s="115" t="s">
        <v>921</v>
      </c>
      <c r="C335" s="114" t="s">
        <v>922</v>
      </c>
      <c r="D335" t="s">
        <v>411</v>
      </c>
      <c r="E335" s="4" t="s">
        <v>923</v>
      </c>
      <c r="F335" t="s">
        <v>1855</v>
      </c>
      <c r="G335" t="s">
        <v>3</v>
      </c>
      <c r="H335" s="6">
        <v>35026</v>
      </c>
      <c r="I335" t="s">
        <v>1093</v>
      </c>
      <c r="J335" t="s">
        <v>1101</v>
      </c>
      <c r="K335" t="s">
        <v>1133</v>
      </c>
      <c r="L335" s="151" t="s">
        <v>1134</v>
      </c>
      <c r="M335" s="154" t="s">
        <v>10023</v>
      </c>
      <c r="N335" s="154" t="s">
        <v>10024</v>
      </c>
      <c r="O335" s="148">
        <v>0</v>
      </c>
      <c r="P335" s="151">
        <v>0</v>
      </c>
      <c r="Q335" s="148">
        <v>0</v>
      </c>
      <c r="R335" t="s">
        <v>9843</v>
      </c>
      <c r="S335" t="s">
        <v>7</v>
      </c>
      <c r="T335" s="117" t="s">
        <v>9820</v>
      </c>
      <c r="U335" t="s">
        <v>36</v>
      </c>
      <c r="V335" t="s">
        <v>9843</v>
      </c>
      <c r="W335" t="s">
        <v>35</v>
      </c>
      <c r="X335" t="s">
        <v>7</v>
      </c>
      <c r="Y335" t="s">
        <v>9</v>
      </c>
      <c r="Z335" t="s">
        <v>7</v>
      </c>
      <c r="AA335" t="s">
        <v>7</v>
      </c>
      <c r="AB335" t="s">
        <v>7</v>
      </c>
      <c r="AC335" t="s">
        <v>9870</v>
      </c>
      <c r="AD335" t="s">
        <v>10</v>
      </c>
      <c r="AE335" t="s">
        <v>35</v>
      </c>
      <c r="AF335" t="s">
        <v>35</v>
      </c>
      <c r="AG335" t="s">
        <v>10</v>
      </c>
      <c r="AH335" t="s">
        <v>9851</v>
      </c>
      <c r="AI335" s="117" t="s">
        <v>35</v>
      </c>
    </row>
    <row r="336" spans="1:35">
      <c r="A336" t="s">
        <v>395</v>
      </c>
      <c r="B336" s="115" t="s">
        <v>797</v>
      </c>
      <c r="C336" s="114" t="s">
        <v>791</v>
      </c>
      <c r="D336" t="s">
        <v>411</v>
      </c>
      <c r="E336" s="4" t="s">
        <v>924</v>
      </c>
      <c r="F336" t="s">
        <v>1855</v>
      </c>
      <c r="G336" t="s">
        <v>3</v>
      </c>
      <c r="H336" s="6">
        <v>33287</v>
      </c>
      <c r="I336" t="s">
        <v>5</v>
      </c>
      <c r="J336" t="s">
        <v>48</v>
      </c>
      <c r="K336" t="s">
        <v>1135</v>
      </c>
      <c r="L336" s="151" t="s">
        <v>1140</v>
      </c>
      <c r="M336" s="151" t="s">
        <v>1139</v>
      </c>
      <c r="N336" s="151" t="s">
        <v>1138</v>
      </c>
      <c r="O336" s="148">
        <v>0</v>
      </c>
      <c r="P336" s="151">
        <v>0</v>
      </c>
      <c r="Q336" s="148">
        <v>0</v>
      </c>
      <c r="R336" t="s">
        <v>9846</v>
      </c>
      <c r="S336" t="s">
        <v>7</v>
      </c>
      <c r="T336" s="117" t="s">
        <v>9833</v>
      </c>
      <c r="U336" t="s">
        <v>78</v>
      </c>
      <c r="V336" t="s">
        <v>9843</v>
      </c>
      <c r="W336" t="s">
        <v>35</v>
      </c>
      <c r="X336" t="s">
        <v>7</v>
      </c>
      <c r="Y336" t="s">
        <v>9</v>
      </c>
      <c r="Z336" t="s">
        <v>1097</v>
      </c>
      <c r="AA336" t="s">
        <v>7</v>
      </c>
      <c r="AB336" t="s">
        <v>7</v>
      </c>
      <c r="AC336" s="117" t="s">
        <v>9872</v>
      </c>
      <c r="AD336" t="s">
        <v>1100</v>
      </c>
      <c r="AE336" t="s">
        <v>35</v>
      </c>
      <c r="AF336" t="s">
        <v>35</v>
      </c>
      <c r="AG336" t="s">
        <v>1100</v>
      </c>
      <c r="AH336" s="117" t="s">
        <v>35</v>
      </c>
      <c r="AI336" s="125" t="s">
        <v>1849</v>
      </c>
    </row>
    <row r="337" spans="1:35">
      <c r="A337" t="s">
        <v>395</v>
      </c>
      <c r="B337" s="115" t="s">
        <v>797</v>
      </c>
      <c r="C337" s="114" t="s">
        <v>791</v>
      </c>
      <c r="D337" t="s">
        <v>411</v>
      </c>
      <c r="E337" s="4" t="s">
        <v>925</v>
      </c>
      <c r="F337" t="s">
        <v>1855</v>
      </c>
      <c r="G337" t="s">
        <v>3</v>
      </c>
      <c r="H337" s="6">
        <v>35096</v>
      </c>
      <c r="I337" t="s">
        <v>1093</v>
      </c>
      <c r="J337" t="s">
        <v>48</v>
      </c>
      <c r="K337" t="s">
        <v>1135</v>
      </c>
      <c r="L337" s="151" t="s">
        <v>1140</v>
      </c>
      <c r="M337" s="151" t="s">
        <v>1139</v>
      </c>
      <c r="N337" s="151" t="s">
        <v>1138</v>
      </c>
      <c r="O337" s="148">
        <v>0</v>
      </c>
      <c r="P337" s="151">
        <v>0</v>
      </c>
      <c r="Q337" s="148">
        <v>0</v>
      </c>
      <c r="R337" t="s">
        <v>9846</v>
      </c>
      <c r="S337" s="125" t="s">
        <v>1136</v>
      </c>
      <c r="T337" s="117" t="s">
        <v>9833</v>
      </c>
      <c r="U337" t="s">
        <v>78</v>
      </c>
      <c r="V337" t="s">
        <v>9843</v>
      </c>
      <c r="W337" t="s">
        <v>7</v>
      </c>
      <c r="X337" t="s">
        <v>7</v>
      </c>
      <c r="Y337" t="s">
        <v>9</v>
      </c>
      <c r="Z337" t="s">
        <v>7</v>
      </c>
      <c r="AA337" t="s">
        <v>7</v>
      </c>
      <c r="AB337" t="s">
        <v>7</v>
      </c>
      <c r="AC337" s="117" t="s">
        <v>7</v>
      </c>
      <c r="AD337" t="s">
        <v>9</v>
      </c>
      <c r="AE337" t="s">
        <v>35</v>
      </c>
      <c r="AF337" t="s">
        <v>35</v>
      </c>
      <c r="AG337" t="s">
        <v>9</v>
      </c>
      <c r="AH337" s="117" t="s">
        <v>35</v>
      </c>
      <c r="AI337" s="125" t="s">
        <v>1849</v>
      </c>
    </row>
    <row r="338" spans="1:35">
      <c r="A338" t="s">
        <v>396</v>
      </c>
      <c r="B338" s="115" t="s">
        <v>623</v>
      </c>
      <c r="C338" s="114" t="s">
        <v>922</v>
      </c>
      <c r="D338" t="s">
        <v>411</v>
      </c>
      <c r="E338" s="4" t="s">
        <v>926</v>
      </c>
      <c r="F338" t="s">
        <v>1855</v>
      </c>
      <c r="G338" t="s">
        <v>3</v>
      </c>
      <c r="H338" s="6">
        <v>34570</v>
      </c>
      <c r="I338" t="s">
        <v>5</v>
      </c>
      <c r="J338" t="s">
        <v>48</v>
      </c>
      <c r="K338" t="s">
        <v>1127</v>
      </c>
      <c r="L338" s="154" t="s">
        <v>10025</v>
      </c>
      <c r="M338" s="154" t="s">
        <v>10026</v>
      </c>
      <c r="N338" s="154" t="s">
        <v>1947</v>
      </c>
      <c r="O338" s="148">
        <v>0</v>
      </c>
      <c r="P338" s="151">
        <v>0</v>
      </c>
      <c r="Q338" s="148">
        <v>0</v>
      </c>
      <c r="R338" t="s">
        <v>9843</v>
      </c>
      <c r="S338" t="s">
        <v>7</v>
      </c>
      <c r="T338" s="117" t="s">
        <v>1936</v>
      </c>
      <c r="U338" t="s">
        <v>36</v>
      </c>
      <c r="V338" t="s">
        <v>9843</v>
      </c>
      <c r="W338" t="s">
        <v>35</v>
      </c>
      <c r="X338" t="s">
        <v>7</v>
      </c>
      <c r="Y338" t="s">
        <v>9</v>
      </c>
      <c r="Z338" t="s">
        <v>7</v>
      </c>
      <c r="AA338" t="s">
        <v>7</v>
      </c>
      <c r="AB338" t="s">
        <v>7</v>
      </c>
      <c r="AC338" t="s">
        <v>9870</v>
      </c>
      <c r="AD338" t="s">
        <v>10</v>
      </c>
      <c r="AE338" t="s">
        <v>35</v>
      </c>
      <c r="AF338" t="s">
        <v>35</v>
      </c>
      <c r="AG338" t="s">
        <v>10</v>
      </c>
      <c r="AH338" t="s">
        <v>9851</v>
      </c>
      <c r="AI338" s="117" t="s">
        <v>35</v>
      </c>
    </row>
    <row r="339" spans="1:35">
      <c r="A339" t="s">
        <v>397</v>
      </c>
      <c r="B339" s="115" t="s">
        <v>109</v>
      </c>
      <c r="C339" s="114" t="s">
        <v>922</v>
      </c>
      <c r="D339" t="s">
        <v>411</v>
      </c>
      <c r="E339" s="4" t="s">
        <v>927</v>
      </c>
      <c r="F339" t="s">
        <v>1855</v>
      </c>
      <c r="G339" t="s">
        <v>3</v>
      </c>
      <c r="H339" s="6">
        <v>31841</v>
      </c>
      <c r="I339" t="s">
        <v>4</v>
      </c>
      <c r="J339" t="s">
        <v>48</v>
      </c>
      <c r="K339" t="s">
        <v>1142</v>
      </c>
      <c r="L339" s="151" t="s">
        <v>1146</v>
      </c>
      <c r="M339" s="151" t="s">
        <v>1144</v>
      </c>
      <c r="N339" s="151" t="s">
        <v>1145</v>
      </c>
      <c r="O339" s="148">
        <v>0</v>
      </c>
      <c r="P339" s="151">
        <v>0</v>
      </c>
      <c r="Q339" s="148">
        <v>0</v>
      </c>
      <c r="R339" t="s">
        <v>9843</v>
      </c>
      <c r="S339" t="s">
        <v>7</v>
      </c>
      <c r="T339" s="117" t="s">
        <v>9809</v>
      </c>
      <c r="U339" t="s">
        <v>36</v>
      </c>
      <c r="V339" t="s">
        <v>9843</v>
      </c>
      <c r="W339" t="s">
        <v>35</v>
      </c>
      <c r="X339" t="s">
        <v>7</v>
      </c>
      <c r="Y339" t="s">
        <v>9</v>
      </c>
      <c r="Z339" t="s">
        <v>7</v>
      </c>
      <c r="AA339" t="s">
        <v>7</v>
      </c>
      <c r="AB339" t="s">
        <v>7</v>
      </c>
      <c r="AC339" t="s">
        <v>9870</v>
      </c>
      <c r="AD339" t="s">
        <v>10</v>
      </c>
      <c r="AE339" t="s">
        <v>35</v>
      </c>
      <c r="AF339" t="s">
        <v>35</v>
      </c>
      <c r="AG339" t="s">
        <v>10</v>
      </c>
      <c r="AH339" t="s">
        <v>9851</v>
      </c>
      <c r="AI339" s="117" t="s">
        <v>35</v>
      </c>
    </row>
    <row r="340" spans="1:35">
      <c r="A340" t="s">
        <v>398</v>
      </c>
      <c r="B340" s="115" t="s">
        <v>843</v>
      </c>
      <c r="C340" s="114" t="s">
        <v>919</v>
      </c>
      <c r="D340" t="s">
        <v>411</v>
      </c>
      <c r="E340" s="4" t="s">
        <v>928</v>
      </c>
      <c r="F340" t="s">
        <v>1855</v>
      </c>
      <c r="G340" t="s">
        <v>3</v>
      </c>
      <c r="H340" s="6">
        <v>34902</v>
      </c>
      <c r="I340" t="s">
        <v>4</v>
      </c>
      <c r="J340" t="s">
        <v>41</v>
      </c>
      <c r="K340" t="s">
        <v>1143</v>
      </c>
      <c r="L340" s="151">
        <v>0</v>
      </c>
      <c r="M340" s="151" t="s">
        <v>1147</v>
      </c>
      <c r="N340" s="151">
        <v>0</v>
      </c>
      <c r="O340" s="148">
        <v>0</v>
      </c>
      <c r="P340" s="151">
        <v>0</v>
      </c>
      <c r="Q340" s="148">
        <v>0</v>
      </c>
      <c r="R340" t="s">
        <v>9843</v>
      </c>
      <c r="S340" t="s">
        <v>7</v>
      </c>
      <c r="T340" s="117" t="s">
        <v>1975</v>
      </c>
      <c r="U340" t="s">
        <v>36</v>
      </c>
      <c r="V340" t="s">
        <v>9843</v>
      </c>
      <c r="W340" t="s">
        <v>35</v>
      </c>
      <c r="X340" t="s">
        <v>7</v>
      </c>
      <c r="Y340" t="s">
        <v>9</v>
      </c>
      <c r="Z340" t="s">
        <v>7</v>
      </c>
      <c r="AA340" t="s">
        <v>7</v>
      </c>
      <c r="AB340" t="s">
        <v>7</v>
      </c>
      <c r="AC340" t="s">
        <v>9870</v>
      </c>
      <c r="AD340" t="s">
        <v>10</v>
      </c>
      <c r="AE340" t="s">
        <v>35</v>
      </c>
      <c r="AF340" t="s">
        <v>35</v>
      </c>
      <c r="AG340" t="s">
        <v>10</v>
      </c>
      <c r="AH340" t="s">
        <v>9851</v>
      </c>
      <c r="AI340" s="117" t="s">
        <v>35</v>
      </c>
    </row>
    <row r="341" spans="1:35">
      <c r="A341" t="s">
        <v>399</v>
      </c>
      <c r="B341" s="115" t="s">
        <v>929</v>
      </c>
      <c r="C341" s="114" t="s">
        <v>922</v>
      </c>
      <c r="D341" t="s">
        <v>411</v>
      </c>
      <c r="E341" s="4" t="s">
        <v>930</v>
      </c>
      <c r="F341" t="s">
        <v>1855</v>
      </c>
      <c r="G341" t="s">
        <v>3</v>
      </c>
      <c r="H341" s="6">
        <v>32392</v>
      </c>
      <c r="I341" t="s">
        <v>5</v>
      </c>
      <c r="J341" t="s">
        <v>1101</v>
      </c>
      <c r="K341" t="s">
        <v>1148</v>
      </c>
      <c r="L341" s="151" t="s">
        <v>1149</v>
      </c>
      <c r="M341" s="154" t="s">
        <v>10027</v>
      </c>
      <c r="N341" s="151">
        <v>0</v>
      </c>
      <c r="O341" s="148">
        <v>0</v>
      </c>
      <c r="P341" s="151">
        <v>0</v>
      </c>
      <c r="Q341" s="148">
        <v>0</v>
      </c>
      <c r="R341" t="s">
        <v>9843</v>
      </c>
      <c r="S341" t="s">
        <v>7</v>
      </c>
      <c r="T341" s="117" t="s">
        <v>9808</v>
      </c>
      <c r="U341" t="s">
        <v>36</v>
      </c>
      <c r="V341" t="s">
        <v>9843</v>
      </c>
      <c r="W341" t="s">
        <v>35</v>
      </c>
      <c r="X341" t="s">
        <v>7</v>
      </c>
      <c r="Y341" t="s">
        <v>9</v>
      </c>
      <c r="Z341" t="s">
        <v>7</v>
      </c>
      <c r="AA341" t="s">
        <v>7</v>
      </c>
      <c r="AB341" t="s">
        <v>7</v>
      </c>
      <c r="AC341" t="s">
        <v>9870</v>
      </c>
      <c r="AD341" t="s">
        <v>10</v>
      </c>
      <c r="AE341" t="s">
        <v>35</v>
      </c>
      <c r="AF341" t="s">
        <v>35</v>
      </c>
      <c r="AG341" t="s">
        <v>10</v>
      </c>
      <c r="AH341" t="s">
        <v>9851</v>
      </c>
      <c r="AI341" s="117" t="s">
        <v>35</v>
      </c>
    </row>
    <row r="342" spans="1:35">
      <c r="A342" t="s">
        <v>400</v>
      </c>
      <c r="B342" s="115" t="s">
        <v>931</v>
      </c>
      <c r="C342" s="114" t="s">
        <v>791</v>
      </c>
      <c r="D342" t="s">
        <v>411</v>
      </c>
      <c r="E342" s="4" t="s">
        <v>932</v>
      </c>
      <c r="F342" t="s">
        <v>1855</v>
      </c>
      <c r="G342" t="s">
        <v>3</v>
      </c>
      <c r="H342" s="6">
        <v>35681</v>
      </c>
      <c r="I342" t="s">
        <v>5</v>
      </c>
      <c r="J342" t="s">
        <v>48</v>
      </c>
      <c r="K342" t="s">
        <v>1266</v>
      </c>
      <c r="L342" s="151" t="s">
        <v>9834</v>
      </c>
      <c r="M342" s="151" t="s">
        <v>1152</v>
      </c>
      <c r="N342" s="151" t="s">
        <v>1151</v>
      </c>
      <c r="O342" s="148">
        <v>0</v>
      </c>
      <c r="P342" s="151">
        <v>0</v>
      </c>
      <c r="Q342" s="148">
        <v>0</v>
      </c>
      <c r="R342" t="s">
        <v>9843</v>
      </c>
      <c r="S342" t="s">
        <v>7</v>
      </c>
      <c r="T342" s="117" t="s">
        <v>1150</v>
      </c>
      <c r="U342" t="s">
        <v>36</v>
      </c>
      <c r="V342" t="s">
        <v>9843</v>
      </c>
      <c r="W342" t="s">
        <v>35</v>
      </c>
      <c r="X342" t="s">
        <v>7</v>
      </c>
      <c r="Y342" t="s">
        <v>9</v>
      </c>
      <c r="Z342" t="s">
        <v>7</v>
      </c>
      <c r="AA342" t="s">
        <v>7</v>
      </c>
      <c r="AB342" t="s">
        <v>7</v>
      </c>
      <c r="AC342" s="117" t="s">
        <v>7</v>
      </c>
      <c r="AD342" t="s">
        <v>9</v>
      </c>
      <c r="AE342" t="s">
        <v>35</v>
      </c>
      <c r="AF342" t="s">
        <v>35</v>
      </c>
      <c r="AG342" t="s">
        <v>9</v>
      </c>
      <c r="AH342" s="117" t="s">
        <v>35</v>
      </c>
      <c r="AI342" s="125" t="s">
        <v>1849</v>
      </c>
    </row>
    <row r="343" spans="1:35">
      <c r="A343" t="s">
        <v>401</v>
      </c>
      <c r="B343" s="115" t="s">
        <v>623</v>
      </c>
      <c r="C343" s="114" t="s">
        <v>791</v>
      </c>
      <c r="D343" t="s">
        <v>411</v>
      </c>
      <c r="E343" s="4" t="s">
        <v>933</v>
      </c>
      <c r="F343" t="s">
        <v>76</v>
      </c>
      <c r="G343" t="s">
        <v>3</v>
      </c>
      <c r="H343" s="6">
        <v>32915</v>
      </c>
      <c r="I343" t="s">
        <v>4</v>
      </c>
      <c r="J343" t="s">
        <v>41</v>
      </c>
      <c r="K343" t="s">
        <v>9789</v>
      </c>
      <c r="L343" s="151">
        <v>0</v>
      </c>
      <c r="M343" s="151" t="s">
        <v>10062</v>
      </c>
      <c r="N343" s="151">
        <v>0</v>
      </c>
      <c r="O343" s="149" t="s">
        <v>10028</v>
      </c>
      <c r="P343" s="154" t="s">
        <v>10029</v>
      </c>
      <c r="Q343" s="148" t="s">
        <v>9835</v>
      </c>
      <c r="R343" t="s">
        <v>9844</v>
      </c>
      <c r="S343" t="s">
        <v>9847</v>
      </c>
      <c r="T343" s="117" t="s">
        <v>1132</v>
      </c>
      <c r="U343" t="s">
        <v>78</v>
      </c>
      <c r="V343" t="s">
        <v>9844</v>
      </c>
      <c r="W343" t="s">
        <v>9855</v>
      </c>
      <c r="X343" t="s">
        <v>9859</v>
      </c>
      <c r="Y343" t="s">
        <v>1156</v>
      </c>
      <c r="Z343" t="s">
        <v>7</v>
      </c>
      <c r="AA343" t="s">
        <v>7</v>
      </c>
      <c r="AB343" t="s">
        <v>7</v>
      </c>
      <c r="AC343" s="117" t="s">
        <v>7</v>
      </c>
      <c r="AD343" t="s">
        <v>1156</v>
      </c>
      <c r="AE343" t="s">
        <v>1080</v>
      </c>
      <c r="AF343" t="s">
        <v>9875</v>
      </c>
      <c r="AG343" t="s">
        <v>1157</v>
      </c>
      <c r="AH343" t="s">
        <v>35</v>
      </c>
      <c r="AI343" s="125" t="s">
        <v>1849</v>
      </c>
    </row>
    <row r="344" spans="1:35">
      <c r="A344" t="s">
        <v>401</v>
      </c>
      <c r="B344" s="44" t="s">
        <v>623</v>
      </c>
      <c r="C344" s="43" t="s">
        <v>791</v>
      </c>
      <c r="D344" t="s">
        <v>411</v>
      </c>
      <c r="E344" s="4" t="s">
        <v>934</v>
      </c>
      <c r="F344" t="s">
        <v>76</v>
      </c>
      <c r="G344" t="s">
        <v>3</v>
      </c>
      <c r="H344" s="6">
        <v>34566</v>
      </c>
      <c r="I344" t="s">
        <v>4</v>
      </c>
      <c r="J344" t="s">
        <v>41</v>
      </c>
      <c r="K344" t="s">
        <v>9789</v>
      </c>
      <c r="L344" s="151">
        <v>0</v>
      </c>
      <c r="M344" s="151" t="s">
        <v>10062</v>
      </c>
      <c r="N344" s="151">
        <v>0</v>
      </c>
      <c r="O344" s="150" t="s">
        <v>10028</v>
      </c>
      <c r="P344" s="154" t="s">
        <v>10029</v>
      </c>
      <c r="Q344" s="148" t="s">
        <v>9835</v>
      </c>
      <c r="R344" t="s">
        <v>9844</v>
      </c>
      <c r="S344" t="s">
        <v>9847</v>
      </c>
      <c r="T344" s="117" t="s">
        <v>9836</v>
      </c>
      <c r="U344" t="s">
        <v>78</v>
      </c>
      <c r="V344" t="s">
        <v>9844</v>
      </c>
      <c r="W344" t="s">
        <v>9855</v>
      </c>
      <c r="X344" t="s">
        <v>9859</v>
      </c>
      <c r="Y344" t="s">
        <v>1156</v>
      </c>
      <c r="Z344" t="s">
        <v>7</v>
      </c>
      <c r="AA344" t="s">
        <v>7</v>
      </c>
      <c r="AB344" t="s">
        <v>7</v>
      </c>
      <c r="AC344" s="117" t="s">
        <v>7</v>
      </c>
      <c r="AD344" t="s">
        <v>1156</v>
      </c>
      <c r="AE344" t="s">
        <v>1080</v>
      </c>
      <c r="AF344" t="s">
        <v>9875</v>
      </c>
      <c r="AG344" t="s">
        <v>1157</v>
      </c>
      <c r="AH344" t="s">
        <v>35</v>
      </c>
      <c r="AI344" s="125" t="s">
        <v>1849</v>
      </c>
    </row>
    <row r="345" spans="1:35">
      <c r="A345" s="7" t="s">
        <v>401</v>
      </c>
      <c r="B345" s="44" t="s">
        <v>623</v>
      </c>
      <c r="C345" s="43" t="s">
        <v>791</v>
      </c>
      <c r="D345" t="s">
        <v>411</v>
      </c>
      <c r="E345" s="119" t="s">
        <v>935</v>
      </c>
      <c r="F345" t="s">
        <v>76</v>
      </c>
      <c r="G345" t="s">
        <v>515</v>
      </c>
      <c r="H345" s="6">
        <v>34451</v>
      </c>
      <c r="I345" t="s">
        <v>4</v>
      </c>
      <c r="J345" t="s">
        <v>41</v>
      </c>
      <c r="K345" t="s">
        <v>9789</v>
      </c>
      <c r="L345" s="151">
        <v>0</v>
      </c>
      <c r="M345" s="151" t="s">
        <v>10062</v>
      </c>
      <c r="N345" s="151">
        <v>0</v>
      </c>
      <c r="O345" s="150" t="s">
        <v>10028</v>
      </c>
      <c r="P345" s="154" t="s">
        <v>10029</v>
      </c>
      <c r="Q345" s="148" t="s">
        <v>9835</v>
      </c>
      <c r="R345" t="s">
        <v>9844</v>
      </c>
      <c r="S345" t="s">
        <v>9847</v>
      </c>
      <c r="T345" s="117" t="s">
        <v>1132</v>
      </c>
      <c r="U345" t="s">
        <v>78</v>
      </c>
      <c r="V345" t="s">
        <v>9844</v>
      </c>
      <c r="W345" t="s">
        <v>9855</v>
      </c>
      <c r="X345" t="s">
        <v>9859</v>
      </c>
      <c r="Y345" t="s">
        <v>1156</v>
      </c>
      <c r="Z345" t="s">
        <v>7</v>
      </c>
      <c r="AA345" t="s">
        <v>7</v>
      </c>
      <c r="AB345" t="s">
        <v>7</v>
      </c>
      <c r="AC345" s="117" t="s">
        <v>7</v>
      </c>
      <c r="AD345" t="s">
        <v>1156</v>
      </c>
      <c r="AE345" t="s">
        <v>1080</v>
      </c>
      <c r="AF345" t="s">
        <v>9875</v>
      </c>
      <c r="AG345" t="s">
        <v>1157</v>
      </c>
      <c r="AH345" t="s">
        <v>35</v>
      </c>
      <c r="AI345" s="125" t="s">
        <v>1849</v>
      </c>
    </row>
    <row r="346" spans="1:35">
      <c r="A346" t="s">
        <v>402</v>
      </c>
      <c r="B346" s="46" t="s">
        <v>615</v>
      </c>
      <c r="C346" s="45" t="s">
        <v>936</v>
      </c>
      <c r="D346" s="117" t="s">
        <v>411</v>
      </c>
      <c r="E346" s="4" t="s">
        <v>937</v>
      </c>
      <c r="F346" t="s">
        <v>76</v>
      </c>
      <c r="G346" t="s">
        <v>3</v>
      </c>
      <c r="H346" s="6">
        <v>35398</v>
      </c>
      <c r="I346" t="s">
        <v>1093</v>
      </c>
      <c r="J346" t="s">
        <v>48</v>
      </c>
      <c r="K346" t="s">
        <v>1153</v>
      </c>
      <c r="L346" s="151" t="s">
        <v>1155</v>
      </c>
      <c r="M346" s="151" t="s">
        <v>1154</v>
      </c>
      <c r="N346" s="151">
        <v>0</v>
      </c>
      <c r="O346" s="148">
        <v>0</v>
      </c>
      <c r="P346" s="151">
        <v>0</v>
      </c>
      <c r="Q346" s="148">
        <v>0</v>
      </c>
      <c r="R346" t="s">
        <v>9843</v>
      </c>
      <c r="S346" t="s">
        <v>7</v>
      </c>
      <c r="T346" s="117" t="s">
        <v>9838</v>
      </c>
      <c r="U346" t="s">
        <v>36</v>
      </c>
      <c r="V346" t="s">
        <v>9843</v>
      </c>
      <c r="W346" t="s">
        <v>35</v>
      </c>
      <c r="X346" t="s">
        <v>7</v>
      </c>
      <c r="Y346" t="s">
        <v>9</v>
      </c>
      <c r="Z346" t="s">
        <v>7</v>
      </c>
      <c r="AA346" t="s">
        <v>7</v>
      </c>
      <c r="AB346" t="s">
        <v>7</v>
      </c>
      <c r="AC346" t="s">
        <v>9870</v>
      </c>
      <c r="AD346" t="s">
        <v>10</v>
      </c>
      <c r="AE346" t="s">
        <v>35</v>
      </c>
      <c r="AF346" t="s">
        <v>35</v>
      </c>
      <c r="AG346" t="s">
        <v>10</v>
      </c>
      <c r="AH346" t="s">
        <v>9851</v>
      </c>
      <c r="AI346" s="117" t="s">
        <v>35</v>
      </c>
    </row>
    <row r="347" spans="1:35">
      <c r="A347" t="s">
        <v>403</v>
      </c>
      <c r="B347" s="48" t="s">
        <v>835</v>
      </c>
      <c r="C347" s="47" t="s">
        <v>938</v>
      </c>
      <c r="D347" t="s">
        <v>411</v>
      </c>
      <c r="E347" s="4" t="s">
        <v>939</v>
      </c>
      <c r="F347" t="s">
        <v>76</v>
      </c>
      <c r="G347" t="s">
        <v>3</v>
      </c>
      <c r="H347" s="6">
        <v>30932</v>
      </c>
      <c r="I347" t="s">
        <v>4</v>
      </c>
      <c r="J347" t="s">
        <v>48</v>
      </c>
      <c r="K347" t="s">
        <v>1178</v>
      </c>
      <c r="L347" s="151" t="s">
        <v>9837</v>
      </c>
      <c r="M347" s="151">
        <v>0</v>
      </c>
      <c r="N347" s="151">
        <v>0</v>
      </c>
      <c r="O347" s="148">
        <v>0</v>
      </c>
      <c r="P347" s="151">
        <v>0</v>
      </c>
      <c r="Q347" s="148">
        <v>0</v>
      </c>
      <c r="R347" t="s">
        <v>9843</v>
      </c>
      <c r="S347" t="s">
        <v>7</v>
      </c>
      <c r="T347" s="117" t="s">
        <v>9806</v>
      </c>
      <c r="U347" t="s">
        <v>36</v>
      </c>
      <c r="V347" t="s">
        <v>9843</v>
      </c>
      <c r="W347" t="s">
        <v>35</v>
      </c>
      <c r="X347" t="s">
        <v>7</v>
      </c>
      <c r="Y347" t="s">
        <v>9</v>
      </c>
      <c r="Z347" t="s">
        <v>7</v>
      </c>
      <c r="AA347" t="s">
        <v>7</v>
      </c>
      <c r="AB347" t="s">
        <v>7</v>
      </c>
      <c r="AC347" t="s">
        <v>9871</v>
      </c>
      <c r="AD347" t="s">
        <v>1179</v>
      </c>
      <c r="AE347" t="s">
        <v>35</v>
      </c>
      <c r="AF347" t="s">
        <v>35</v>
      </c>
      <c r="AG347" t="s">
        <v>1179</v>
      </c>
      <c r="AH347" s="117" t="s">
        <v>35</v>
      </c>
      <c r="AI347" s="117" t="s">
        <v>1114</v>
      </c>
    </row>
    <row r="348" spans="1:35">
      <c r="A348" t="s">
        <v>405</v>
      </c>
      <c r="B348" s="115" t="s">
        <v>98</v>
      </c>
      <c r="C348" s="49" t="s">
        <v>107</v>
      </c>
      <c r="D348" t="s">
        <v>411</v>
      </c>
      <c r="E348" s="4" t="s">
        <v>942</v>
      </c>
      <c r="F348" t="s">
        <v>1855</v>
      </c>
      <c r="G348" t="s">
        <v>3</v>
      </c>
      <c r="H348" s="6">
        <v>35816</v>
      </c>
      <c r="I348" t="s">
        <v>4</v>
      </c>
      <c r="J348" t="s">
        <v>18</v>
      </c>
      <c r="K348" t="s">
        <v>1265</v>
      </c>
      <c r="L348" s="151" t="s">
        <v>1270</v>
      </c>
      <c r="M348" s="151" t="s">
        <v>1180</v>
      </c>
      <c r="N348" s="151" t="s">
        <v>1181</v>
      </c>
      <c r="O348" s="148">
        <v>0</v>
      </c>
      <c r="P348" s="151">
        <v>0</v>
      </c>
      <c r="Q348" s="148">
        <v>0</v>
      </c>
      <c r="R348" t="s">
        <v>9843</v>
      </c>
      <c r="S348" t="s">
        <v>1271</v>
      </c>
      <c r="T348" s="117" t="s">
        <v>1082</v>
      </c>
      <c r="U348" s="1" t="s">
        <v>78</v>
      </c>
      <c r="V348" t="s">
        <v>9843</v>
      </c>
      <c r="W348" t="s">
        <v>7</v>
      </c>
      <c r="X348" t="s">
        <v>7</v>
      </c>
      <c r="Y348" t="s">
        <v>9</v>
      </c>
      <c r="Z348" t="s">
        <v>7</v>
      </c>
      <c r="AA348" t="s">
        <v>7</v>
      </c>
      <c r="AB348" t="s">
        <v>1937</v>
      </c>
      <c r="AC348" t="s">
        <v>9870</v>
      </c>
      <c r="AD348" t="s">
        <v>1182</v>
      </c>
      <c r="AE348" t="s">
        <v>35</v>
      </c>
      <c r="AF348" t="s">
        <v>35</v>
      </c>
      <c r="AG348" t="s">
        <v>1182</v>
      </c>
      <c r="AH348" t="s">
        <v>9851</v>
      </c>
      <c r="AI348" s="117" t="s">
        <v>35</v>
      </c>
    </row>
    <row r="349" spans="1:35">
      <c r="A349" t="s">
        <v>406</v>
      </c>
      <c r="B349" s="51" t="s">
        <v>642</v>
      </c>
      <c r="C349" s="50" t="s">
        <v>922</v>
      </c>
      <c r="D349" t="s">
        <v>411</v>
      </c>
      <c r="E349" s="4" t="s">
        <v>943</v>
      </c>
      <c r="F349" t="s">
        <v>1855</v>
      </c>
      <c r="G349" t="s">
        <v>3</v>
      </c>
      <c r="H349" s="6">
        <v>30750</v>
      </c>
      <c r="I349" t="s">
        <v>4</v>
      </c>
      <c r="J349" t="s">
        <v>48</v>
      </c>
      <c r="K349" t="s">
        <v>1267</v>
      </c>
      <c r="L349" s="151">
        <v>0</v>
      </c>
      <c r="M349" s="151" t="s">
        <v>1184</v>
      </c>
      <c r="N349" s="151" t="s">
        <v>1183</v>
      </c>
      <c r="O349" s="148">
        <v>0</v>
      </c>
      <c r="P349" s="151">
        <v>0</v>
      </c>
      <c r="Q349" s="148">
        <v>0</v>
      </c>
      <c r="R349" t="s">
        <v>9846</v>
      </c>
      <c r="S349" t="s">
        <v>7</v>
      </c>
      <c r="T349" s="117" t="s">
        <v>9839</v>
      </c>
      <c r="U349" s="1" t="s">
        <v>78</v>
      </c>
      <c r="V349" t="s">
        <v>9843</v>
      </c>
      <c r="W349" t="s">
        <v>35</v>
      </c>
      <c r="X349" t="s">
        <v>7</v>
      </c>
      <c r="Y349" t="s">
        <v>9</v>
      </c>
      <c r="Z349" t="s">
        <v>7</v>
      </c>
      <c r="AA349" t="s">
        <v>7</v>
      </c>
      <c r="AB349" t="s">
        <v>7</v>
      </c>
      <c r="AC349" t="s">
        <v>9871</v>
      </c>
      <c r="AD349" t="s">
        <v>1185</v>
      </c>
      <c r="AE349" t="s">
        <v>35</v>
      </c>
      <c r="AF349" t="s">
        <v>35</v>
      </c>
      <c r="AG349" t="s">
        <v>1185</v>
      </c>
      <c r="AH349" t="s">
        <v>9851</v>
      </c>
      <c r="AI349" s="117" t="s">
        <v>35</v>
      </c>
    </row>
    <row r="350" spans="1:35">
      <c r="A350" t="s">
        <v>406</v>
      </c>
      <c r="B350" s="51" t="s">
        <v>642</v>
      </c>
      <c r="C350" s="50" t="s">
        <v>922</v>
      </c>
      <c r="D350" t="s">
        <v>411</v>
      </c>
      <c r="E350" s="4" t="s">
        <v>944</v>
      </c>
      <c r="F350" t="s">
        <v>1855</v>
      </c>
      <c r="G350" t="s">
        <v>3</v>
      </c>
      <c r="H350" s="6">
        <v>24334</v>
      </c>
      <c r="I350" t="s">
        <v>5</v>
      </c>
      <c r="J350" t="s">
        <v>48</v>
      </c>
      <c r="K350" t="s">
        <v>1186</v>
      </c>
      <c r="L350" s="151">
        <v>0</v>
      </c>
      <c r="M350" s="151">
        <v>0</v>
      </c>
      <c r="N350" s="151">
        <v>0</v>
      </c>
      <c r="O350" s="148">
        <v>0</v>
      </c>
      <c r="P350" s="151">
        <v>0</v>
      </c>
      <c r="Q350" s="148">
        <v>0</v>
      </c>
      <c r="R350" t="s">
        <v>9846</v>
      </c>
      <c r="S350" t="s">
        <v>7</v>
      </c>
      <c r="T350" s="117" t="s">
        <v>9839</v>
      </c>
      <c r="U350" s="1" t="s">
        <v>78</v>
      </c>
      <c r="V350" t="s">
        <v>9843</v>
      </c>
      <c r="W350" t="s">
        <v>35</v>
      </c>
      <c r="X350" t="s">
        <v>7</v>
      </c>
      <c r="Y350" t="s">
        <v>9</v>
      </c>
      <c r="Z350" t="s">
        <v>7</v>
      </c>
      <c r="AA350" t="s">
        <v>7</v>
      </c>
      <c r="AB350" t="s">
        <v>7</v>
      </c>
      <c r="AC350" t="s">
        <v>9871</v>
      </c>
      <c r="AD350" t="s">
        <v>1185</v>
      </c>
      <c r="AE350" t="s">
        <v>35</v>
      </c>
      <c r="AF350" t="s">
        <v>35</v>
      </c>
      <c r="AG350" t="s">
        <v>1185</v>
      </c>
      <c r="AH350" t="s">
        <v>9851</v>
      </c>
      <c r="AI350" s="117" t="s">
        <v>35</v>
      </c>
    </row>
    <row r="351" spans="1:35">
      <c r="A351" t="s">
        <v>407</v>
      </c>
      <c r="B351" s="53" t="s">
        <v>757</v>
      </c>
      <c r="C351" s="52" t="s">
        <v>919</v>
      </c>
      <c r="D351" t="s">
        <v>411</v>
      </c>
      <c r="E351" s="4" t="s">
        <v>945</v>
      </c>
      <c r="F351" t="s">
        <v>76</v>
      </c>
      <c r="G351" t="s">
        <v>3</v>
      </c>
      <c r="H351" s="6">
        <v>31822</v>
      </c>
      <c r="I351" t="s">
        <v>5</v>
      </c>
      <c r="J351" t="s">
        <v>48</v>
      </c>
      <c r="K351" t="s">
        <v>9832</v>
      </c>
      <c r="L351" s="151" t="s">
        <v>1187</v>
      </c>
      <c r="M351" s="151">
        <v>0</v>
      </c>
      <c r="N351" s="151">
        <v>0</v>
      </c>
      <c r="O351" s="148">
        <v>0</v>
      </c>
      <c r="P351" s="151">
        <v>0</v>
      </c>
      <c r="Q351" s="148">
        <v>0</v>
      </c>
      <c r="R351" t="s">
        <v>9843</v>
      </c>
      <c r="S351" t="s">
        <v>7</v>
      </c>
      <c r="T351" s="117" t="s">
        <v>9801</v>
      </c>
      <c r="U351" t="s">
        <v>36</v>
      </c>
      <c r="V351" s="117" t="s">
        <v>9843</v>
      </c>
      <c r="W351" t="s">
        <v>35</v>
      </c>
      <c r="X351" t="s">
        <v>1199</v>
      </c>
      <c r="Y351" t="s">
        <v>1100</v>
      </c>
      <c r="Z351" t="s">
        <v>1097</v>
      </c>
      <c r="AA351" s="117" t="s">
        <v>1111</v>
      </c>
      <c r="AB351" t="s">
        <v>7</v>
      </c>
      <c r="AC351" s="117" t="s">
        <v>9872</v>
      </c>
      <c r="AD351" t="s">
        <v>9</v>
      </c>
      <c r="AE351" s="117" t="s">
        <v>35</v>
      </c>
      <c r="AF351" s="117" t="s">
        <v>35</v>
      </c>
      <c r="AG351" t="s">
        <v>9</v>
      </c>
      <c r="AH351" s="117" t="s">
        <v>35</v>
      </c>
      <c r="AI351" s="125" t="s">
        <v>1849</v>
      </c>
    </row>
    <row r="352" spans="1:35">
      <c r="A352" t="s">
        <v>408</v>
      </c>
      <c r="B352" s="55" t="s">
        <v>681</v>
      </c>
      <c r="C352" s="54" t="s">
        <v>919</v>
      </c>
      <c r="D352" t="s">
        <v>411</v>
      </c>
      <c r="E352" s="4" t="s">
        <v>946</v>
      </c>
      <c r="F352" t="s">
        <v>1855</v>
      </c>
      <c r="G352" t="s">
        <v>3</v>
      </c>
      <c r="H352" s="6">
        <v>32975</v>
      </c>
      <c r="I352" t="s">
        <v>1093</v>
      </c>
      <c r="J352" t="s">
        <v>48</v>
      </c>
      <c r="K352" t="s">
        <v>1072</v>
      </c>
      <c r="L352" s="151" t="s">
        <v>1190</v>
      </c>
      <c r="M352" s="151" t="s">
        <v>1188</v>
      </c>
      <c r="N352" s="151" t="s">
        <v>1189</v>
      </c>
      <c r="O352" s="148">
        <v>0</v>
      </c>
      <c r="P352" s="151">
        <v>0</v>
      </c>
      <c r="Q352" s="148">
        <v>0</v>
      </c>
      <c r="R352" t="s">
        <v>9843</v>
      </c>
      <c r="S352" t="s">
        <v>7</v>
      </c>
      <c r="T352" s="117" t="s">
        <v>9840</v>
      </c>
      <c r="U352" t="s">
        <v>36</v>
      </c>
      <c r="V352" t="s">
        <v>9843</v>
      </c>
      <c r="W352" t="s">
        <v>35</v>
      </c>
      <c r="X352" t="s">
        <v>7</v>
      </c>
      <c r="Y352" t="s">
        <v>9</v>
      </c>
      <c r="Z352" t="s">
        <v>7</v>
      </c>
      <c r="AA352" t="s">
        <v>7</v>
      </c>
      <c r="AB352" t="s">
        <v>7</v>
      </c>
      <c r="AC352" t="s">
        <v>9870</v>
      </c>
      <c r="AD352" t="s">
        <v>10</v>
      </c>
      <c r="AE352" t="s">
        <v>35</v>
      </c>
      <c r="AF352" t="s">
        <v>35</v>
      </c>
      <c r="AG352" t="s">
        <v>10</v>
      </c>
      <c r="AH352" t="s">
        <v>9851</v>
      </c>
      <c r="AI352" s="117" t="s">
        <v>35</v>
      </c>
    </row>
    <row r="353" spans="1:35">
      <c r="A353" t="s">
        <v>409</v>
      </c>
      <c r="B353" s="57" t="s">
        <v>929</v>
      </c>
      <c r="C353" s="56" t="s">
        <v>922</v>
      </c>
      <c r="D353" t="s">
        <v>411</v>
      </c>
      <c r="E353" s="4" t="s">
        <v>947</v>
      </c>
      <c r="F353" t="s">
        <v>1855</v>
      </c>
      <c r="G353" t="s">
        <v>3</v>
      </c>
      <c r="H353" s="6">
        <v>33090</v>
      </c>
      <c r="I353" t="s">
        <v>5</v>
      </c>
      <c r="J353" t="s">
        <v>48</v>
      </c>
      <c r="K353" t="s">
        <v>1191</v>
      </c>
      <c r="L353" s="151">
        <v>0</v>
      </c>
      <c r="M353" s="151" t="s">
        <v>1192</v>
      </c>
      <c r="N353" s="151">
        <v>0</v>
      </c>
      <c r="O353" s="148">
        <v>0</v>
      </c>
      <c r="P353" s="151">
        <v>0</v>
      </c>
      <c r="Q353" s="148">
        <v>0</v>
      </c>
      <c r="R353" t="s">
        <v>9843</v>
      </c>
      <c r="S353" t="s">
        <v>7</v>
      </c>
      <c r="T353" s="117" t="s">
        <v>9807</v>
      </c>
      <c r="U353" t="s">
        <v>6</v>
      </c>
      <c r="V353" t="s">
        <v>35</v>
      </c>
      <c r="W353" t="s">
        <v>35</v>
      </c>
      <c r="X353" t="s">
        <v>35</v>
      </c>
      <c r="Y353" t="s">
        <v>35</v>
      </c>
      <c r="Z353" t="s">
        <v>35</v>
      </c>
      <c r="AA353" t="s">
        <v>35</v>
      </c>
      <c r="AB353" t="s">
        <v>35</v>
      </c>
      <c r="AC353" t="s">
        <v>35</v>
      </c>
      <c r="AD353" t="s">
        <v>35</v>
      </c>
      <c r="AE353" t="s">
        <v>35</v>
      </c>
      <c r="AF353" t="s">
        <v>35</v>
      </c>
      <c r="AG353" t="s">
        <v>35</v>
      </c>
      <c r="AH353" t="s">
        <v>35</v>
      </c>
      <c r="AI353" t="s">
        <v>35</v>
      </c>
    </row>
    <row r="354" spans="1:35">
      <c r="A354" t="s">
        <v>410</v>
      </c>
      <c r="B354" s="59" t="s">
        <v>489</v>
      </c>
      <c r="C354" s="58" t="s">
        <v>919</v>
      </c>
      <c r="D354" t="s">
        <v>411</v>
      </c>
      <c r="E354" s="4" t="s">
        <v>948</v>
      </c>
      <c r="F354" t="s">
        <v>1855</v>
      </c>
      <c r="G354" t="s">
        <v>3</v>
      </c>
      <c r="H354" s="6">
        <v>35029</v>
      </c>
      <c r="I354" t="s">
        <v>5</v>
      </c>
      <c r="J354" t="s">
        <v>41</v>
      </c>
      <c r="K354" t="s">
        <v>1193</v>
      </c>
      <c r="L354" s="151" t="s">
        <v>1194</v>
      </c>
      <c r="M354" s="151" t="s">
        <v>1196</v>
      </c>
      <c r="N354" s="151" t="s">
        <v>1195</v>
      </c>
      <c r="O354" s="148">
        <v>0</v>
      </c>
      <c r="P354" s="151">
        <v>0</v>
      </c>
      <c r="Q354" s="148">
        <v>0</v>
      </c>
      <c r="R354" t="s">
        <v>9843</v>
      </c>
      <c r="S354" t="s">
        <v>7</v>
      </c>
      <c r="T354" s="117" t="s">
        <v>9807</v>
      </c>
      <c r="U354" t="s">
        <v>36</v>
      </c>
      <c r="V354" t="s">
        <v>9843</v>
      </c>
      <c r="W354" t="s">
        <v>35</v>
      </c>
      <c r="X354" t="s">
        <v>7</v>
      </c>
      <c r="Y354" t="s">
        <v>9</v>
      </c>
      <c r="Z354" t="s">
        <v>7</v>
      </c>
      <c r="AA354" t="s">
        <v>7</v>
      </c>
      <c r="AB354" t="s">
        <v>7</v>
      </c>
      <c r="AC354" t="s">
        <v>9871</v>
      </c>
      <c r="AD354" t="s">
        <v>79</v>
      </c>
      <c r="AE354" t="s">
        <v>35</v>
      </c>
      <c r="AF354" t="s">
        <v>35</v>
      </c>
      <c r="AG354" t="s">
        <v>79</v>
      </c>
      <c r="AH354" t="s">
        <v>9851</v>
      </c>
      <c r="AI354" s="117" t="s">
        <v>35</v>
      </c>
    </row>
    <row r="355" spans="1:35">
      <c r="A355" t="s">
        <v>1158</v>
      </c>
      <c r="B355" s="2" t="s">
        <v>1028</v>
      </c>
      <c r="C355" t="s">
        <v>919</v>
      </c>
      <c r="D355" t="s">
        <v>411</v>
      </c>
      <c r="E355" t="s">
        <v>1230</v>
      </c>
      <c r="F355" t="s">
        <v>1855</v>
      </c>
      <c r="G355" t="s">
        <v>3</v>
      </c>
      <c r="H355" s="6">
        <v>34564</v>
      </c>
      <c r="I355" t="s">
        <v>5</v>
      </c>
      <c r="J355" t="s">
        <v>1074</v>
      </c>
      <c r="K355" t="s">
        <v>1231</v>
      </c>
      <c r="L355" s="151">
        <v>0</v>
      </c>
      <c r="M355" s="151" t="s">
        <v>1232</v>
      </c>
      <c r="N355" s="151">
        <v>0</v>
      </c>
      <c r="O355" s="148">
        <v>0</v>
      </c>
      <c r="P355" s="151">
        <v>0</v>
      </c>
      <c r="Q355" s="148">
        <v>0</v>
      </c>
      <c r="R355" t="s">
        <v>9843</v>
      </c>
      <c r="S355" t="s">
        <v>7</v>
      </c>
      <c r="T355" s="117" t="s">
        <v>9841</v>
      </c>
      <c r="U355" t="s">
        <v>36</v>
      </c>
      <c r="V355" t="s">
        <v>9843</v>
      </c>
      <c r="W355" t="s">
        <v>35</v>
      </c>
      <c r="X355" t="s">
        <v>7</v>
      </c>
      <c r="Y355" t="s">
        <v>9</v>
      </c>
      <c r="Z355" t="s">
        <v>7</v>
      </c>
      <c r="AA355" t="s">
        <v>7</v>
      </c>
      <c r="AB355" t="s">
        <v>7</v>
      </c>
      <c r="AC355" t="s">
        <v>9870</v>
      </c>
      <c r="AD355" t="s">
        <v>10</v>
      </c>
      <c r="AE355" t="s">
        <v>35</v>
      </c>
      <c r="AF355" t="s">
        <v>35</v>
      </c>
      <c r="AG355" t="s">
        <v>10</v>
      </c>
      <c r="AH355" t="s">
        <v>9851</v>
      </c>
      <c r="AI355" s="117" t="s">
        <v>35</v>
      </c>
    </row>
    <row r="356" spans="1:35">
      <c r="A356" t="s">
        <v>412</v>
      </c>
      <c r="B356" s="61" t="s">
        <v>827</v>
      </c>
      <c r="C356" s="60" t="s">
        <v>603</v>
      </c>
      <c r="D356" t="s">
        <v>426</v>
      </c>
      <c r="E356" s="4" t="s">
        <v>975</v>
      </c>
      <c r="F356" t="s">
        <v>1855</v>
      </c>
      <c r="G356" t="s">
        <v>3</v>
      </c>
      <c r="H356" s="122">
        <v>32991</v>
      </c>
      <c r="I356" t="s">
        <v>5</v>
      </c>
      <c r="J356" t="s">
        <v>48</v>
      </c>
      <c r="K356" t="s">
        <v>9781</v>
      </c>
      <c r="L356" s="151" t="s">
        <v>1538</v>
      </c>
      <c r="M356" s="151" t="s">
        <v>1539</v>
      </c>
      <c r="N356" s="151">
        <v>0</v>
      </c>
      <c r="O356" s="148">
        <v>0</v>
      </c>
      <c r="P356" s="151">
        <v>0</v>
      </c>
      <c r="Q356" s="148">
        <v>0</v>
      </c>
      <c r="R356" t="s">
        <v>9843</v>
      </c>
      <c r="S356" t="s">
        <v>7</v>
      </c>
      <c r="T356" t="s">
        <v>1540</v>
      </c>
      <c r="U356" t="s">
        <v>6</v>
      </c>
      <c r="V356" t="s">
        <v>35</v>
      </c>
      <c r="W356" t="s">
        <v>35</v>
      </c>
      <c r="X356" t="s">
        <v>35</v>
      </c>
      <c r="Y356" t="s">
        <v>35</v>
      </c>
      <c r="Z356" t="s">
        <v>35</v>
      </c>
      <c r="AA356" t="s">
        <v>35</v>
      </c>
      <c r="AB356" t="s">
        <v>35</v>
      </c>
      <c r="AC356" t="s">
        <v>35</v>
      </c>
      <c r="AD356" t="s">
        <v>35</v>
      </c>
      <c r="AE356" t="s">
        <v>35</v>
      </c>
      <c r="AF356" t="s">
        <v>35</v>
      </c>
      <c r="AG356" t="s">
        <v>35</v>
      </c>
      <c r="AH356" t="s">
        <v>35</v>
      </c>
      <c r="AI356" t="s">
        <v>35</v>
      </c>
    </row>
    <row r="357" spans="1:35">
      <c r="A357" t="s">
        <v>413</v>
      </c>
      <c r="B357" s="63" t="s">
        <v>688</v>
      </c>
      <c r="C357" s="62" t="s">
        <v>603</v>
      </c>
      <c r="D357" t="s">
        <v>426</v>
      </c>
      <c r="E357" s="4" t="s">
        <v>976</v>
      </c>
      <c r="F357" t="s">
        <v>1855</v>
      </c>
      <c r="G357" t="s">
        <v>3</v>
      </c>
      <c r="H357" s="6">
        <v>35233</v>
      </c>
      <c r="I357" t="s">
        <v>5</v>
      </c>
      <c r="J357" t="s">
        <v>1074</v>
      </c>
      <c r="K357" t="s">
        <v>1541</v>
      </c>
      <c r="L357" s="151">
        <v>0</v>
      </c>
      <c r="M357" s="151" t="s">
        <v>1542</v>
      </c>
      <c r="N357" s="151">
        <v>0</v>
      </c>
      <c r="O357" s="148">
        <v>0</v>
      </c>
      <c r="P357" s="151">
        <v>0</v>
      </c>
      <c r="Q357" s="148">
        <v>0</v>
      </c>
      <c r="R357" t="s">
        <v>9843</v>
      </c>
      <c r="S357" t="s">
        <v>7</v>
      </c>
      <c r="T357" t="s">
        <v>80</v>
      </c>
      <c r="U357" t="s">
        <v>36</v>
      </c>
      <c r="V357" t="s">
        <v>9843</v>
      </c>
      <c r="W357" t="s">
        <v>35</v>
      </c>
      <c r="X357" t="s">
        <v>7</v>
      </c>
      <c r="Y357" t="s">
        <v>9</v>
      </c>
      <c r="Z357" t="s">
        <v>7</v>
      </c>
      <c r="AA357" t="s">
        <v>7</v>
      </c>
      <c r="AB357" t="s">
        <v>7</v>
      </c>
      <c r="AC357" t="s">
        <v>9870</v>
      </c>
      <c r="AD357" t="s">
        <v>10</v>
      </c>
      <c r="AE357" t="s">
        <v>35</v>
      </c>
      <c r="AF357" t="s">
        <v>35</v>
      </c>
      <c r="AG357" t="s">
        <v>10</v>
      </c>
      <c r="AH357" s="117" t="s">
        <v>7</v>
      </c>
      <c r="AI357" s="125" t="s">
        <v>1849</v>
      </c>
    </row>
    <row r="358" spans="1:35">
      <c r="A358" t="s">
        <v>414</v>
      </c>
      <c r="B358" s="65" t="s">
        <v>977</v>
      </c>
      <c r="C358" s="64" t="s">
        <v>603</v>
      </c>
      <c r="D358" t="s">
        <v>426</v>
      </c>
      <c r="E358" s="4" t="s">
        <v>978</v>
      </c>
      <c r="F358" t="s">
        <v>1855</v>
      </c>
      <c r="G358" t="s">
        <v>3</v>
      </c>
      <c r="H358" s="6" t="s">
        <v>1543</v>
      </c>
      <c r="I358" t="s">
        <v>4</v>
      </c>
      <c r="J358" t="s">
        <v>48</v>
      </c>
      <c r="K358" t="s">
        <v>1544</v>
      </c>
      <c r="L358" s="151" t="s">
        <v>1545</v>
      </c>
      <c r="M358" s="151">
        <v>0</v>
      </c>
      <c r="N358" s="151">
        <v>0</v>
      </c>
      <c r="O358" s="148">
        <v>0</v>
      </c>
      <c r="P358" s="151">
        <v>0</v>
      </c>
      <c r="Q358" s="148">
        <v>0</v>
      </c>
      <c r="R358" t="s">
        <v>9843</v>
      </c>
      <c r="S358" t="s">
        <v>7</v>
      </c>
      <c r="T358" t="s">
        <v>1546</v>
      </c>
      <c r="U358" t="s">
        <v>36</v>
      </c>
      <c r="V358" t="s">
        <v>9843</v>
      </c>
      <c r="W358" t="s">
        <v>35</v>
      </c>
      <c r="X358" t="s">
        <v>7</v>
      </c>
      <c r="Y358" t="s">
        <v>9</v>
      </c>
      <c r="Z358" t="s">
        <v>7</v>
      </c>
      <c r="AA358" t="s">
        <v>7</v>
      </c>
      <c r="AB358" t="s">
        <v>7</v>
      </c>
      <c r="AC358" t="s">
        <v>9870</v>
      </c>
      <c r="AD358" t="s">
        <v>10</v>
      </c>
      <c r="AE358" t="s">
        <v>35</v>
      </c>
      <c r="AF358" t="s">
        <v>35</v>
      </c>
      <c r="AG358" t="s">
        <v>10</v>
      </c>
      <c r="AH358" s="117" t="s">
        <v>7</v>
      </c>
      <c r="AI358" s="117" t="s">
        <v>1114</v>
      </c>
    </row>
    <row r="359" spans="1:35">
      <c r="A359" t="s">
        <v>415</v>
      </c>
      <c r="B359" s="115" t="s">
        <v>786</v>
      </c>
      <c r="C359" s="114" t="s">
        <v>477</v>
      </c>
      <c r="D359" t="s">
        <v>426</v>
      </c>
      <c r="E359" s="4" t="s">
        <v>979</v>
      </c>
      <c r="F359" t="s">
        <v>1547</v>
      </c>
      <c r="G359" t="s">
        <v>3</v>
      </c>
      <c r="H359" s="6">
        <v>34331</v>
      </c>
      <c r="I359" t="s">
        <v>5</v>
      </c>
      <c r="J359" t="s">
        <v>1074</v>
      </c>
      <c r="K359" t="s">
        <v>1210</v>
      </c>
      <c r="L359" s="151">
        <v>0</v>
      </c>
      <c r="M359" s="151" t="s">
        <v>1548</v>
      </c>
      <c r="N359" s="151">
        <v>0</v>
      </c>
      <c r="O359" s="148">
        <v>0</v>
      </c>
      <c r="P359" s="151">
        <v>0</v>
      </c>
      <c r="Q359" s="148">
        <v>0</v>
      </c>
      <c r="R359" t="s">
        <v>9843</v>
      </c>
      <c r="S359" t="s">
        <v>7</v>
      </c>
      <c r="T359" t="s">
        <v>1555</v>
      </c>
      <c r="U359" t="s">
        <v>36</v>
      </c>
      <c r="V359" t="s">
        <v>9843</v>
      </c>
      <c r="W359" t="s">
        <v>35</v>
      </c>
      <c r="X359" t="s">
        <v>7</v>
      </c>
      <c r="Y359" t="s">
        <v>9</v>
      </c>
      <c r="Z359" t="s">
        <v>7</v>
      </c>
      <c r="AA359" t="s">
        <v>7</v>
      </c>
      <c r="AB359" t="s">
        <v>7</v>
      </c>
      <c r="AC359" s="117" t="s">
        <v>7</v>
      </c>
      <c r="AD359" t="s">
        <v>1549</v>
      </c>
      <c r="AE359" t="s">
        <v>35</v>
      </c>
      <c r="AF359" t="s">
        <v>35</v>
      </c>
      <c r="AG359" t="s">
        <v>1549</v>
      </c>
      <c r="AH359" s="117" t="s">
        <v>35</v>
      </c>
      <c r="AI359" s="125" t="s">
        <v>1849</v>
      </c>
    </row>
    <row r="360" spans="1:35">
      <c r="A360" t="s">
        <v>416</v>
      </c>
      <c r="B360" s="67" t="s">
        <v>505</v>
      </c>
      <c r="C360" s="66" t="s">
        <v>477</v>
      </c>
      <c r="D360" t="s">
        <v>426</v>
      </c>
      <c r="E360" s="4" t="s">
        <v>980</v>
      </c>
      <c r="F360" t="s">
        <v>1550</v>
      </c>
      <c r="G360" t="s">
        <v>3</v>
      </c>
      <c r="H360" s="6">
        <v>23196</v>
      </c>
      <c r="I360" t="s">
        <v>5</v>
      </c>
      <c r="J360" t="s">
        <v>48</v>
      </c>
      <c r="K360" t="s">
        <v>1554</v>
      </c>
      <c r="L360" s="151" t="s">
        <v>1551</v>
      </c>
      <c r="M360" s="151" t="s">
        <v>1552</v>
      </c>
      <c r="N360" s="151" t="s">
        <v>1553</v>
      </c>
      <c r="O360" s="148">
        <v>0</v>
      </c>
      <c r="P360" s="151">
        <v>0</v>
      </c>
      <c r="Q360" s="148">
        <v>0</v>
      </c>
      <c r="R360" t="s">
        <v>9843</v>
      </c>
      <c r="S360" t="s">
        <v>1956</v>
      </c>
      <c r="T360" t="s">
        <v>1556</v>
      </c>
      <c r="U360" t="s">
        <v>36</v>
      </c>
      <c r="V360" t="s">
        <v>9843</v>
      </c>
      <c r="W360" t="s">
        <v>1956</v>
      </c>
      <c r="X360" t="s">
        <v>7</v>
      </c>
      <c r="Y360" t="s">
        <v>9</v>
      </c>
      <c r="Z360" t="s">
        <v>7</v>
      </c>
      <c r="AA360" t="s">
        <v>7</v>
      </c>
      <c r="AB360" t="s">
        <v>7</v>
      </c>
      <c r="AC360" s="117" t="s">
        <v>7</v>
      </c>
      <c r="AD360" t="s">
        <v>9</v>
      </c>
      <c r="AE360" t="s">
        <v>35</v>
      </c>
      <c r="AF360" t="s">
        <v>44</v>
      </c>
      <c r="AG360" t="s">
        <v>1163</v>
      </c>
      <c r="AH360" s="117" t="s">
        <v>35</v>
      </c>
      <c r="AI360" s="125" t="s">
        <v>1849</v>
      </c>
    </row>
    <row r="361" spans="1:35">
      <c r="A361" t="s">
        <v>418</v>
      </c>
      <c r="B361" s="69" t="s">
        <v>879</v>
      </c>
      <c r="C361" s="68" t="s">
        <v>477</v>
      </c>
      <c r="D361" t="s">
        <v>426</v>
      </c>
      <c r="E361" s="4" t="s">
        <v>982</v>
      </c>
      <c r="F361" t="s">
        <v>1855</v>
      </c>
      <c r="G361" t="s">
        <v>3</v>
      </c>
      <c r="H361" s="6">
        <v>30354</v>
      </c>
      <c r="I361" t="s">
        <v>5</v>
      </c>
      <c r="J361" t="s">
        <v>41</v>
      </c>
      <c r="K361" t="s">
        <v>1385</v>
      </c>
      <c r="L361" s="151" t="s">
        <v>1557</v>
      </c>
      <c r="M361" s="151" t="s">
        <v>1558</v>
      </c>
      <c r="N361" s="151">
        <v>0</v>
      </c>
      <c r="O361" s="148">
        <v>0</v>
      </c>
      <c r="P361" s="151">
        <v>0</v>
      </c>
      <c r="Q361" s="148">
        <v>0</v>
      </c>
      <c r="R361" t="s">
        <v>9843</v>
      </c>
      <c r="S361" t="s">
        <v>7</v>
      </c>
      <c r="T361" t="s">
        <v>1559</v>
      </c>
      <c r="U361" t="s">
        <v>36</v>
      </c>
      <c r="V361" t="s">
        <v>9843</v>
      </c>
      <c r="W361" t="s">
        <v>35</v>
      </c>
      <c r="X361" t="s">
        <v>1199</v>
      </c>
      <c r="Y361" t="s">
        <v>1080</v>
      </c>
      <c r="Z361" t="s">
        <v>7</v>
      </c>
      <c r="AA361" t="s">
        <v>7</v>
      </c>
      <c r="AB361" t="s">
        <v>7</v>
      </c>
      <c r="AC361" s="117" t="s">
        <v>7</v>
      </c>
      <c r="AD361" t="s">
        <v>1377</v>
      </c>
      <c r="AE361" t="s">
        <v>35</v>
      </c>
      <c r="AF361" t="s">
        <v>35</v>
      </c>
      <c r="AG361" t="s">
        <v>1377</v>
      </c>
      <c r="AH361" s="117" t="s">
        <v>35</v>
      </c>
      <c r="AI361" s="125" t="s">
        <v>1849</v>
      </c>
    </row>
    <row r="362" spans="1:35">
      <c r="A362" t="s">
        <v>419</v>
      </c>
      <c r="B362" s="71" t="s">
        <v>554</v>
      </c>
      <c r="C362" s="70" t="s">
        <v>603</v>
      </c>
      <c r="D362" t="s">
        <v>426</v>
      </c>
      <c r="E362" s="4" t="s">
        <v>983</v>
      </c>
      <c r="F362" t="s">
        <v>1855</v>
      </c>
      <c r="G362" t="s">
        <v>3</v>
      </c>
      <c r="H362" s="6">
        <v>28418</v>
      </c>
      <c r="I362" t="s">
        <v>5</v>
      </c>
      <c r="J362" t="s">
        <v>41</v>
      </c>
      <c r="K362" t="s">
        <v>1560</v>
      </c>
      <c r="L362" s="151" t="s">
        <v>9783</v>
      </c>
      <c r="M362" s="151" t="s">
        <v>1561</v>
      </c>
      <c r="N362" s="151">
        <v>0</v>
      </c>
      <c r="O362" s="148">
        <v>0</v>
      </c>
      <c r="P362" s="151">
        <v>0</v>
      </c>
      <c r="Q362" s="148">
        <v>0</v>
      </c>
      <c r="R362" t="s">
        <v>9843</v>
      </c>
      <c r="S362" t="s">
        <v>7</v>
      </c>
      <c r="T362" t="s">
        <v>80</v>
      </c>
      <c r="U362" t="s">
        <v>36</v>
      </c>
      <c r="V362" t="s">
        <v>9843</v>
      </c>
      <c r="W362" t="s">
        <v>35</v>
      </c>
      <c r="X362" t="s">
        <v>7</v>
      </c>
      <c r="Y362" t="s">
        <v>9</v>
      </c>
      <c r="Z362" t="s">
        <v>7</v>
      </c>
      <c r="AA362" t="s">
        <v>7</v>
      </c>
      <c r="AB362" t="s">
        <v>7</v>
      </c>
      <c r="AC362" s="117" t="s">
        <v>7</v>
      </c>
      <c r="AD362" t="s">
        <v>9</v>
      </c>
      <c r="AE362" t="s">
        <v>35</v>
      </c>
      <c r="AF362" t="s">
        <v>35</v>
      </c>
      <c r="AG362" t="s">
        <v>9</v>
      </c>
      <c r="AH362" s="117" t="s">
        <v>35</v>
      </c>
      <c r="AI362" s="125" t="s">
        <v>1849</v>
      </c>
    </row>
    <row r="363" spans="1:35">
      <c r="A363" t="s">
        <v>420</v>
      </c>
      <c r="B363" s="73" t="s">
        <v>46</v>
      </c>
      <c r="C363" s="72" t="s">
        <v>984</v>
      </c>
      <c r="D363" t="s">
        <v>426</v>
      </c>
      <c r="E363" s="4" t="s">
        <v>985</v>
      </c>
      <c r="F363" s="134" t="s">
        <v>1864</v>
      </c>
      <c r="G363" t="s">
        <v>3</v>
      </c>
      <c r="H363" s="6">
        <v>33514</v>
      </c>
      <c r="I363" t="s">
        <v>5</v>
      </c>
      <c r="J363" t="s">
        <v>48</v>
      </c>
      <c r="K363" t="s">
        <v>1562</v>
      </c>
      <c r="L363" s="154" t="s">
        <v>10030</v>
      </c>
      <c r="M363" s="151">
        <v>0</v>
      </c>
      <c r="N363" s="154" t="s">
        <v>10031</v>
      </c>
      <c r="O363" s="148">
        <v>0</v>
      </c>
      <c r="P363" s="151">
        <v>0</v>
      </c>
      <c r="Q363" s="148">
        <v>0</v>
      </c>
      <c r="R363" t="s">
        <v>9843</v>
      </c>
      <c r="S363" t="s">
        <v>7</v>
      </c>
      <c r="T363" t="s">
        <v>1563</v>
      </c>
      <c r="U363" t="s">
        <v>36</v>
      </c>
      <c r="V363" t="s">
        <v>9843</v>
      </c>
      <c r="W363" t="s">
        <v>35</v>
      </c>
      <c r="X363" t="s">
        <v>7</v>
      </c>
      <c r="Y363" t="s">
        <v>9</v>
      </c>
      <c r="Z363" t="s">
        <v>1097</v>
      </c>
      <c r="AA363" t="s">
        <v>7</v>
      </c>
      <c r="AB363" t="s">
        <v>7</v>
      </c>
      <c r="AC363" s="117" t="s">
        <v>9872</v>
      </c>
      <c r="AD363" t="s">
        <v>1100</v>
      </c>
      <c r="AE363" t="s">
        <v>35</v>
      </c>
      <c r="AF363" t="s">
        <v>35</v>
      </c>
      <c r="AG363" t="s">
        <v>1100</v>
      </c>
      <c r="AH363" s="117" t="s">
        <v>35</v>
      </c>
      <c r="AI363" s="125" t="s">
        <v>1849</v>
      </c>
    </row>
    <row r="364" spans="1:35">
      <c r="A364" t="s">
        <v>421</v>
      </c>
      <c r="B364" s="75" t="s">
        <v>843</v>
      </c>
      <c r="C364" s="74" t="s">
        <v>603</v>
      </c>
      <c r="D364" t="s">
        <v>426</v>
      </c>
      <c r="E364" s="4" t="s">
        <v>986</v>
      </c>
      <c r="F364" t="s">
        <v>1855</v>
      </c>
      <c r="G364" t="s">
        <v>3</v>
      </c>
      <c r="H364" s="6">
        <v>35423</v>
      </c>
      <c r="I364" t="s">
        <v>5</v>
      </c>
      <c r="J364" t="s">
        <v>48</v>
      </c>
      <c r="K364" t="s">
        <v>1564</v>
      </c>
      <c r="L364" s="151" t="s">
        <v>1565</v>
      </c>
      <c r="M364" s="151" t="s">
        <v>10063</v>
      </c>
      <c r="N364" s="151">
        <v>0</v>
      </c>
      <c r="O364" s="148">
        <v>0</v>
      </c>
      <c r="P364" s="151">
        <v>0</v>
      </c>
      <c r="Q364" s="148" t="s">
        <v>1566</v>
      </c>
      <c r="R364" t="s">
        <v>9843</v>
      </c>
      <c r="S364" t="s">
        <v>7</v>
      </c>
      <c r="T364" t="s">
        <v>1229</v>
      </c>
      <c r="U364" t="s">
        <v>36</v>
      </c>
      <c r="V364" t="s">
        <v>9843</v>
      </c>
      <c r="W364" t="s">
        <v>35</v>
      </c>
      <c r="X364" t="s">
        <v>7</v>
      </c>
      <c r="Y364" t="s">
        <v>9</v>
      </c>
      <c r="Z364" t="s">
        <v>7</v>
      </c>
      <c r="AA364" t="s">
        <v>7</v>
      </c>
      <c r="AB364" s="117" t="s">
        <v>9868</v>
      </c>
      <c r="AC364" t="s">
        <v>9870</v>
      </c>
      <c r="AD364" t="s">
        <v>1182</v>
      </c>
      <c r="AE364" t="s">
        <v>35</v>
      </c>
      <c r="AF364" t="s">
        <v>35</v>
      </c>
      <c r="AG364" t="s">
        <v>1182</v>
      </c>
      <c r="AH364" s="117" t="s">
        <v>7</v>
      </c>
      <c r="AI364" s="125" t="s">
        <v>1849</v>
      </c>
    </row>
    <row r="365" spans="1:35">
      <c r="A365" t="s">
        <v>422</v>
      </c>
      <c r="B365" s="77" t="s">
        <v>987</v>
      </c>
      <c r="C365" s="76" t="s">
        <v>477</v>
      </c>
      <c r="D365" t="s">
        <v>426</v>
      </c>
      <c r="E365" s="4" t="s">
        <v>988</v>
      </c>
      <c r="F365" t="s">
        <v>1855</v>
      </c>
      <c r="G365" t="s">
        <v>3</v>
      </c>
      <c r="H365" s="6">
        <v>29709</v>
      </c>
      <c r="I365" t="s">
        <v>1093</v>
      </c>
      <c r="J365" t="s">
        <v>48</v>
      </c>
      <c r="K365" t="s">
        <v>1567</v>
      </c>
      <c r="L365" s="154" t="s">
        <v>10032</v>
      </c>
      <c r="M365" s="151">
        <v>0</v>
      </c>
      <c r="N365" s="151">
        <v>0</v>
      </c>
      <c r="O365" s="148">
        <v>0</v>
      </c>
      <c r="P365" s="151">
        <v>0</v>
      </c>
      <c r="Q365" s="148">
        <v>0</v>
      </c>
      <c r="R365" t="s">
        <v>9843</v>
      </c>
      <c r="S365" t="s">
        <v>7</v>
      </c>
      <c r="T365" t="s">
        <v>1370</v>
      </c>
      <c r="U365" t="s">
        <v>36</v>
      </c>
      <c r="V365" t="s">
        <v>9843</v>
      </c>
      <c r="W365" t="s">
        <v>35</v>
      </c>
      <c r="X365" t="s">
        <v>7</v>
      </c>
      <c r="Y365" t="s">
        <v>9</v>
      </c>
      <c r="Z365" t="s">
        <v>7</v>
      </c>
      <c r="AA365" t="s">
        <v>7</v>
      </c>
      <c r="AB365" t="s">
        <v>7</v>
      </c>
      <c r="AC365" s="117" t="s">
        <v>7</v>
      </c>
      <c r="AD365" t="s">
        <v>9</v>
      </c>
      <c r="AE365" t="s">
        <v>35</v>
      </c>
      <c r="AF365" t="s">
        <v>35</v>
      </c>
      <c r="AG365" t="s">
        <v>9</v>
      </c>
      <c r="AH365" s="117" t="s">
        <v>35</v>
      </c>
      <c r="AI365" s="125" t="s">
        <v>1849</v>
      </c>
    </row>
    <row r="366" spans="1:35">
      <c r="A366" t="s">
        <v>423</v>
      </c>
      <c r="B366" s="79" t="s">
        <v>556</v>
      </c>
      <c r="C366" s="78" t="s">
        <v>603</v>
      </c>
      <c r="D366" t="s">
        <v>426</v>
      </c>
      <c r="E366" s="4" t="s">
        <v>989</v>
      </c>
      <c r="F366" t="s">
        <v>1855</v>
      </c>
      <c r="G366" t="s">
        <v>3</v>
      </c>
      <c r="H366" s="6">
        <v>27523</v>
      </c>
      <c r="I366" t="s">
        <v>4</v>
      </c>
      <c r="J366" t="s">
        <v>1101</v>
      </c>
      <c r="K366" t="s">
        <v>9782</v>
      </c>
      <c r="L366" s="151" t="s">
        <v>1568</v>
      </c>
      <c r="M366" s="151" t="s">
        <v>1569</v>
      </c>
      <c r="N366" s="151">
        <v>0</v>
      </c>
      <c r="O366" s="148">
        <v>0</v>
      </c>
      <c r="P366" s="151">
        <v>0</v>
      </c>
      <c r="Q366" s="148">
        <v>0</v>
      </c>
      <c r="R366" t="s">
        <v>9843</v>
      </c>
      <c r="S366" s="117" t="s">
        <v>7</v>
      </c>
      <c r="T366" t="s">
        <v>1572</v>
      </c>
      <c r="U366" t="s">
        <v>36</v>
      </c>
      <c r="V366" t="s">
        <v>9843</v>
      </c>
      <c r="W366" t="s">
        <v>35</v>
      </c>
      <c r="X366" t="s">
        <v>1199</v>
      </c>
      <c r="Y366" t="s">
        <v>1100</v>
      </c>
      <c r="Z366" t="s">
        <v>1097</v>
      </c>
      <c r="AA366" t="s">
        <v>7</v>
      </c>
      <c r="AB366" t="s">
        <v>1937</v>
      </c>
      <c r="AC366" s="117" t="s">
        <v>7</v>
      </c>
      <c r="AD366" t="s">
        <v>1570</v>
      </c>
      <c r="AE366" t="s">
        <v>35</v>
      </c>
      <c r="AF366" t="s">
        <v>35</v>
      </c>
      <c r="AG366" t="s">
        <v>1570</v>
      </c>
      <c r="AH366" s="117" t="s">
        <v>35</v>
      </c>
      <c r="AI366" s="125" t="s">
        <v>1849</v>
      </c>
    </row>
    <row r="367" spans="1:35">
      <c r="A367" t="s">
        <v>423</v>
      </c>
      <c r="B367" s="79" t="s">
        <v>556</v>
      </c>
      <c r="C367" s="78" t="s">
        <v>603</v>
      </c>
      <c r="D367" t="s">
        <v>426</v>
      </c>
      <c r="E367" s="4" t="s">
        <v>990</v>
      </c>
      <c r="F367" t="s">
        <v>1855</v>
      </c>
      <c r="G367" t="s">
        <v>3</v>
      </c>
      <c r="H367" s="6">
        <v>23864</v>
      </c>
      <c r="I367" t="s">
        <v>4</v>
      </c>
      <c r="J367" t="s">
        <v>1074</v>
      </c>
      <c r="K367" t="s">
        <v>9782</v>
      </c>
      <c r="L367" s="151" t="s">
        <v>1568</v>
      </c>
      <c r="M367" s="151" t="s">
        <v>1569</v>
      </c>
      <c r="N367" s="151">
        <v>0</v>
      </c>
      <c r="O367" s="148">
        <v>0</v>
      </c>
      <c r="P367" s="151">
        <v>0</v>
      </c>
      <c r="Q367" s="148">
        <v>0</v>
      </c>
      <c r="R367" t="s">
        <v>9843</v>
      </c>
      <c r="S367" s="117" t="s">
        <v>7</v>
      </c>
      <c r="T367" t="s">
        <v>1571</v>
      </c>
      <c r="U367" t="s">
        <v>36</v>
      </c>
      <c r="V367" t="s">
        <v>9843</v>
      </c>
      <c r="W367" t="s">
        <v>35</v>
      </c>
      <c r="X367" t="s">
        <v>1199</v>
      </c>
      <c r="Y367" t="s">
        <v>1100</v>
      </c>
      <c r="Z367" t="s">
        <v>7</v>
      </c>
      <c r="AA367" s="117" t="s">
        <v>1111</v>
      </c>
      <c r="AB367" t="s">
        <v>1937</v>
      </c>
      <c r="AC367" s="117" t="s">
        <v>7</v>
      </c>
      <c r="AD367" t="s">
        <v>1100</v>
      </c>
      <c r="AE367" t="s">
        <v>35</v>
      </c>
      <c r="AF367" t="s">
        <v>35</v>
      </c>
      <c r="AG367" t="s">
        <v>1100</v>
      </c>
      <c r="AH367" s="117" t="s">
        <v>35</v>
      </c>
      <c r="AI367" s="125" t="s">
        <v>1849</v>
      </c>
    </row>
    <row r="368" spans="1:35">
      <c r="A368" t="s">
        <v>424</v>
      </c>
      <c r="B368" s="81" t="s">
        <v>528</v>
      </c>
      <c r="C368" s="80" t="s">
        <v>477</v>
      </c>
      <c r="D368" t="s">
        <v>426</v>
      </c>
      <c r="E368" s="4" t="s">
        <v>991</v>
      </c>
      <c r="F368" t="s">
        <v>1855</v>
      </c>
      <c r="G368" t="s">
        <v>515</v>
      </c>
      <c r="H368" s="6">
        <v>33396</v>
      </c>
      <c r="I368" t="s">
        <v>4</v>
      </c>
      <c r="J368" t="s">
        <v>77</v>
      </c>
      <c r="K368" t="s">
        <v>1573</v>
      </c>
      <c r="L368" s="151" t="s">
        <v>1575</v>
      </c>
      <c r="M368" s="151" t="s">
        <v>1576</v>
      </c>
      <c r="N368" s="151" t="s">
        <v>1574</v>
      </c>
      <c r="O368" s="148">
        <v>0</v>
      </c>
      <c r="P368" s="151">
        <v>0</v>
      </c>
      <c r="Q368" s="148">
        <v>0</v>
      </c>
      <c r="R368" t="s">
        <v>9843</v>
      </c>
      <c r="S368" t="s">
        <v>7</v>
      </c>
      <c r="T368" t="s">
        <v>1577</v>
      </c>
      <c r="U368" t="s">
        <v>36</v>
      </c>
      <c r="V368" t="s">
        <v>9843</v>
      </c>
      <c r="W368" t="s">
        <v>35</v>
      </c>
      <c r="X368" t="s">
        <v>7</v>
      </c>
      <c r="Y368" t="s">
        <v>9</v>
      </c>
      <c r="Z368" t="s">
        <v>7</v>
      </c>
      <c r="AA368" t="s">
        <v>7</v>
      </c>
      <c r="AB368" t="s">
        <v>7</v>
      </c>
      <c r="AC368" s="117" t="s">
        <v>7</v>
      </c>
      <c r="AD368" t="s">
        <v>9</v>
      </c>
      <c r="AE368" t="s">
        <v>35</v>
      </c>
      <c r="AF368" t="s">
        <v>35</v>
      </c>
      <c r="AG368" t="s">
        <v>9</v>
      </c>
      <c r="AH368" s="117" t="s">
        <v>35</v>
      </c>
      <c r="AI368" s="125" t="s">
        <v>1849</v>
      </c>
    </row>
    <row r="369" spans="1:35">
      <c r="A369" t="s">
        <v>425</v>
      </c>
      <c r="B369" s="83" t="s">
        <v>29</v>
      </c>
      <c r="C369" s="82" t="s">
        <v>603</v>
      </c>
      <c r="D369" t="s">
        <v>426</v>
      </c>
      <c r="E369" s="4" t="s">
        <v>992</v>
      </c>
      <c r="F369" t="s">
        <v>1855</v>
      </c>
      <c r="G369" t="s">
        <v>3</v>
      </c>
      <c r="H369" s="6">
        <v>30287</v>
      </c>
      <c r="I369" t="s">
        <v>4</v>
      </c>
      <c r="J369" t="s">
        <v>77</v>
      </c>
      <c r="K369" t="s">
        <v>1578</v>
      </c>
      <c r="L369" s="151" t="s">
        <v>1579</v>
      </c>
      <c r="M369" s="151">
        <v>0</v>
      </c>
      <c r="N369" s="151" t="s">
        <v>1580</v>
      </c>
      <c r="O369" s="148">
        <v>0</v>
      </c>
      <c r="P369" s="151">
        <v>0</v>
      </c>
      <c r="Q369" s="148">
        <v>0</v>
      </c>
      <c r="R369" t="s">
        <v>9843</v>
      </c>
      <c r="S369" t="s">
        <v>7</v>
      </c>
      <c r="T369" t="s">
        <v>1150</v>
      </c>
      <c r="U369" t="s">
        <v>36</v>
      </c>
      <c r="V369" t="s">
        <v>9843</v>
      </c>
      <c r="W369" t="s">
        <v>35</v>
      </c>
      <c r="X369" t="s">
        <v>7</v>
      </c>
      <c r="Y369" t="s">
        <v>9</v>
      </c>
      <c r="Z369" t="s">
        <v>7</v>
      </c>
      <c r="AA369" t="s">
        <v>7</v>
      </c>
      <c r="AB369" t="s">
        <v>7</v>
      </c>
      <c r="AC369" s="117" t="s">
        <v>7</v>
      </c>
      <c r="AD369" t="s">
        <v>9</v>
      </c>
      <c r="AE369" t="s">
        <v>35</v>
      </c>
      <c r="AF369" t="s">
        <v>35</v>
      </c>
      <c r="AG369" t="s">
        <v>9</v>
      </c>
      <c r="AH369" s="117" t="s">
        <v>35</v>
      </c>
      <c r="AI369" s="125" t="s">
        <v>1849</v>
      </c>
    </row>
    <row r="370" spans="1:35">
      <c r="A370" t="s">
        <v>981</v>
      </c>
      <c r="B370" s="85" t="s">
        <v>987</v>
      </c>
      <c r="C370" s="84" t="s">
        <v>477</v>
      </c>
      <c r="D370" t="s">
        <v>426</v>
      </c>
      <c r="E370" s="4" t="s">
        <v>993</v>
      </c>
      <c r="F370" t="s">
        <v>1855</v>
      </c>
      <c r="G370" t="s">
        <v>3</v>
      </c>
      <c r="H370" s="6">
        <v>30783</v>
      </c>
      <c r="I370" t="s">
        <v>4</v>
      </c>
      <c r="J370" t="s">
        <v>48</v>
      </c>
      <c r="K370" t="s">
        <v>1186</v>
      </c>
      <c r="L370" s="151">
        <v>0</v>
      </c>
      <c r="M370" s="151" t="s">
        <v>1581</v>
      </c>
      <c r="N370" s="151">
        <v>0</v>
      </c>
      <c r="O370" s="148">
        <v>0</v>
      </c>
      <c r="P370" s="151">
        <v>0</v>
      </c>
      <c r="Q370" s="148">
        <v>0</v>
      </c>
      <c r="R370" t="s">
        <v>9843</v>
      </c>
      <c r="S370" t="s">
        <v>1272</v>
      </c>
      <c r="T370" t="s">
        <v>1173</v>
      </c>
      <c r="U370" t="s">
        <v>36</v>
      </c>
      <c r="V370" t="s">
        <v>9843</v>
      </c>
      <c r="W370" t="s">
        <v>1272</v>
      </c>
      <c r="X370" t="s">
        <v>7</v>
      </c>
      <c r="Y370" t="s">
        <v>9</v>
      </c>
      <c r="Z370" t="s">
        <v>1097</v>
      </c>
      <c r="AA370" t="s">
        <v>7</v>
      </c>
      <c r="AB370" t="s">
        <v>7</v>
      </c>
      <c r="AC370" s="117" t="s">
        <v>9872</v>
      </c>
      <c r="AD370" t="s">
        <v>1100</v>
      </c>
      <c r="AE370" t="s">
        <v>35</v>
      </c>
      <c r="AF370" t="s">
        <v>1582</v>
      </c>
      <c r="AG370" t="s">
        <v>1080</v>
      </c>
      <c r="AH370" s="117" t="s">
        <v>35</v>
      </c>
      <c r="AI370" s="125" t="s">
        <v>1849</v>
      </c>
    </row>
    <row r="371" spans="1:35">
      <c r="A371" s="123" t="s">
        <v>427</v>
      </c>
      <c r="B371" s="124" t="s">
        <v>921</v>
      </c>
      <c r="C371" s="86" t="s">
        <v>994</v>
      </c>
      <c r="D371" s="123" t="s">
        <v>433</v>
      </c>
      <c r="E371" s="86" t="s">
        <v>995</v>
      </c>
      <c r="F371" t="s">
        <v>1855</v>
      </c>
      <c r="G371" s="123" t="s">
        <v>3</v>
      </c>
      <c r="H371" s="126">
        <v>35693</v>
      </c>
      <c r="I371" s="125" t="s">
        <v>18</v>
      </c>
      <c r="J371" s="125" t="s">
        <v>48</v>
      </c>
      <c r="K371" s="125" t="s">
        <v>1883</v>
      </c>
      <c r="L371" s="154" t="s">
        <v>10033</v>
      </c>
      <c r="M371" s="151">
        <v>0</v>
      </c>
      <c r="N371" s="151">
        <v>0</v>
      </c>
      <c r="O371" s="149" t="s">
        <v>10034</v>
      </c>
      <c r="P371" s="151">
        <v>0</v>
      </c>
      <c r="Q371" s="148">
        <v>0</v>
      </c>
      <c r="R371" t="s">
        <v>9843</v>
      </c>
      <c r="S371" s="125" t="s">
        <v>1974</v>
      </c>
      <c r="T371" s="125" t="s">
        <v>1122</v>
      </c>
      <c r="U371" s="125" t="s">
        <v>36</v>
      </c>
      <c r="V371" t="s">
        <v>9843</v>
      </c>
      <c r="W371" s="125" t="s">
        <v>1974</v>
      </c>
      <c r="X371" s="125" t="s">
        <v>7</v>
      </c>
      <c r="Y371" s="125" t="s">
        <v>9</v>
      </c>
      <c r="Z371" s="125" t="s">
        <v>7</v>
      </c>
      <c r="AA371" s="125" t="s">
        <v>7</v>
      </c>
      <c r="AB371" s="125" t="s">
        <v>7</v>
      </c>
      <c r="AC371" t="s">
        <v>9870</v>
      </c>
      <c r="AD371" s="125" t="s">
        <v>10</v>
      </c>
      <c r="AE371" s="125" t="s">
        <v>35</v>
      </c>
      <c r="AF371" s="125" t="s">
        <v>7</v>
      </c>
      <c r="AG371" s="125" t="s">
        <v>10</v>
      </c>
      <c r="AH371" t="s">
        <v>9851</v>
      </c>
      <c r="AI371" s="117" t="s">
        <v>35</v>
      </c>
    </row>
    <row r="372" spans="1:35">
      <c r="A372" s="123" t="s">
        <v>428</v>
      </c>
      <c r="B372" s="124" t="s">
        <v>997</v>
      </c>
      <c r="C372" s="86" t="s">
        <v>564</v>
      </c>
      <c r="D372" s="123" t="s">
        <v>433</v>
      </c>
      <c r="E372" s="86" t="s">
        <v>996</v>
      </c>
      <c r="F372" t="s">
        <v>1855</v>
      </c>
      <c r="G372" s="125" t="s">
        <v>3</v>
      </c>
      <c r="H372" s="126">
        <v>32264</v>
      </c>
      <c r="I372" s="125" t="s">
        <v>5</v>
      </c>
      <c r="J372" s="125" t="s">
        <v>48</v>
      </c>
      <c r="K372" s="125" t="s">
        <v>1884</v>
      </c>
      <c r="L372" s="151" t="s">
        <v>1964</v>
      </c>
      <c r="M372" s="151" t="s">
        <v>1972</v>
      </c>
      <c r="N372" s="151">
        <v>0</v>
      </c>
      <c r="O372" s="148">
        <v>0</v>
      </c>
      <c r="P372" s="151">
        <v>0</v>
      </c>
      <c r="Q372" s="148">
        <v>0</v>
      </c>
      <c r="R372" t="s">
        <v>9843</v>
      </c>
      <c r="S372" s="125" t="s">
        <v>7</v>
      </c>
      <c r="T372" s="125" t="s">
        <v>1885</v>
      </c>
      <c r="U372" s="125" t="s">
        <v>36</v>
      </c>
      <c r="V372" t="s">
        <v>9843</v>
      </c>
      <c r="W372" s="125" t="s">
        <v>35</v>
      </c>
      <c r="X372" s="125" t="s">
        <v>1643</v>
      </c>
      <c r="Y372" s="125" t="s">
        <v>8</v>
      </c>
      <c r="Z372" s="125" t="s">
        <v>7</v>
      </c>
      <c r="AA372" s="117" t="s">
        <v>1111</v>
      </c>
      <c r="AB372" s="125" t="s">
        <v>7</v>
      </c>
      <c r="AC372" t="s">
        <v>9870</v>
      </c>
      <c r="AD372" s="125" t="s">
        <v>10</v>
      </c>
      <c r="AE372" s="125" t="s">
        <v>35</v>
      </c>
      <c r="AF372" s="125" t="s">
        <v>35</v>
      </c>
      <c r="AG372" s="125" t="s">
        <v>10</v>
      </c>
      <c r="AH372" t="s">
        <v>9851</v>
      </c>
      <c r="AI372" s="117" t="s">
        <v>35</v>
      </c>
    </row>
    <row r="373" spans="1:35">
      <c r="A373" s="123" t="s">
        <v>429</v>
      </c>
      <c r="B373" s="124" t="s">
        <v>558</v>
      </c>
      <c r="C373" s="86" t="s">
        <v>998</v>
      </c>
      <c r="D373" s="123" t="s">
        <v>433</v>
      </c>
      <c r="E373" s="86" t="s">
        <v>999</v>
      </c>
      <c r="F373" t="s">
        <v>1855</v>
      </c>
      <c r="G373" s="123" t="s">
        <v>3</v>
      </c>
      <c r="H373" s="126">
        <v>32735</v>
      </c>
      <c r="I373" s="125" t="s">
        <v>5</v>
      </c>
      <c r="J373" s="125" t="s">
        <v>48</v>
      </c>
      <c r="K373" s="125" t="s">
        <v>1886</v>
      </c>
      <c r="L373" s="151" t="s">
        <v>1965</v>
      </c>
      <c r="M373" s="151">
        <v>0</v>
      </c>
      <c r="N373" s="151">
        <v>0</v>
      </c>
      <c r="O373" s="148">
        <v>0</v>
      </c>
      <c r="P373" s="151">
        <v>0</v>
      </c>
      <c r="Q373" s="148">
        <v>0</v>
      </c>
      <c r="R373" t="s">
        <v>9843</v>
      </c>
      <c r="S373" s="125" t="s">
        <v>7</v>
      </c>
      <c r="T373" s="125" t="s">
        <v>1173</v>
      </c>
      <c r="U373" s="125" t="s">
        <v>36</v>
      </c>
      <c r="V373" t="s">
        <v>9843</v>
      </c>
      <c r="W373" s="125" t="s">
        <v>35</v>
      </c>
      <c r="X373" s="125" t="s">
        <v>7</v>
      </c>
      <c r="Y373" s="125" t="s">
        <v>9</v>
      </c>
      <c r="Z373" t="s">
        <v>1097</v>
      </c>
      <c r="AA373" s="125" t="s">
        <v>7</v>
      </c>
      <c r="AB373" s="125" t="s">
        <v>7</v>
      </c>
      <c r="AC373" s="117" t="s">
        <v>9872</v>
      </c>
      <c r="AD373" s="125" t="s">
        <v>1100</v>
      </c>
      <c r="AE373" s="125" t="s">
        <v>35</v>
      </c>
      <c r="AF373" s="125" t="s">
        <v>35</v>
      </c>
      <c r="AG373" s="125" t="s">
        <v>1100</v>
      </c>
      <c r="AH373" s="117" t="s">
        <v>35</v>
      </c>
      <c r="AI373" s="125" t="s">
        <v>1849</v>
      </c>
    </row>
    <row r="374" spans="1:35">
      <c r="A374" s="123" t="s">
        <v>430</v>
      </c>
      <c r="B374" s="124" t="s">
        <v>940</v>
      </c>
      <c r="C374" s="86" t="s">
        <v>994</v>
      </c>
      <c r="D374" s="123" t="s">
        <v>433</v>
      </c>
      <c r="E374" s="86" t="s">
        <v>1000</v>
      </c>
      <c r="F374" t="s">
        <v>1855</v>
      </c>
      <c r="G374" s="123" t="s">
        <v>3</v>
      </c>
      <c r="H374" s="126">
        <v>31462</v>
      </c>
      <c r="I374" s="125" t="s">
        <v>5</v>
      </c>
      <c r="J374" s="125" t="s">
        <v>1101</v>
      </c>
      <c r="K374" s="125" t="s">
        <v>1186</v>
      </c>
      <c r="L374" s="151">
        <v>0</v>
      </c>
      <c r="M374" s="151" t="s">
        <v>1971</v>
      </c>
      <c r="N374" s="151">
        <v>0</v>
      </c>
      <c r="O374" s="148">
        <v>0</v>
      </c>
      <c r="P374" s="151">
        <v>0</v>
      </c>
      <c r="Q374" s="148">
        <v>0</v>
      </c>
      <c r="R374" t="s">
        <v>9843</v>
      </c>
      <c r="S374" s="125" t="s">
        <v>7</v>
      </c>
      <c r="T374" s="125" t="s">
        <v>1572</v>
      </c>
      <c r="U374" s="125" t="s">
        <v>36</v>
      </c>
      <c r="V374" t="s">
        <v>9843</v>
      </c>
      <c r="W374" s="125" t="s">
        <v>35</v>
      </c>
      <c r="X374" s="125" t="s">
        <v>7</v>
      </c>
      <c r="Y374" s="125" t="s">
        <v>1549</v>
      </c>
      <c r="Z374" t="s">
        <v>1097</v>
      </c>
      <c r="AA374" s="125" t="s">
        <v>7</v>
      </c>
      <c r="AB374" s="125" t="s">
        <v>7</v>
      </c>
      <c r="AC374" s="117" t="s">
        <v>9872</v>
      </c>
      <c r="AD374" s="125" t="s">
        <v>1100</v>
      </c>
      <c r="AE374" s="125" t="s">
        <v>35</v>
      </c>
      <c r="AF374" s="125" t="s">
        <v>35</v>
      </c>
      <c r="AG374" s="125" t="s">
        <v>1100</v>
      </c>
      <c r="AH374" s="117" t="s">
        <v>35</v>
      </c>
      <c r="AI374" s="125" t="s">
        <v>1849</v>
      </c>
    </row>
    <row r="375" spans="1:35">
      <c r="A375" s="123" t="s">
        <v>431</v>
      </c>
      <c r="B375" s="124" t="s">
        <v>832</v>
      </c>
      <c r="C375" s="86" t="s">
        <v>994</v>
      </c>
      <c r="D375" s="123" t="s">
        <v>433</v>
      </c>
      <c r="E375" s="86" t="s">
        <v>1001</v>
      </c>
      <c r="F375" t="s">
        <v>1855</v>
      </c>
      <c r="G375" s="123" t="s">
        <v>3</v>
      </c>
      <c r="H375" s="126">
        <v>33832</v>
      </c>
      <c r="I375" s="125" t="s">
        <v>1093</v>
      </c>
      <c r="J375" s="125" t="s">
        <v>48</v>
      </c>
      <c r="K375" s="125" t="s">
        <v>1420</v>
      </c>
      <c r="L375" s="151" t="s">
        <v>1966</v>
      </c>
      <c r="M375" s="151" t="s">
        <v>1970</v>
      </c>
      <c r="N375" s="151" t="s">
        <v>10079</v>
      </c>
      <c r="O375" s="148">
        <v>0</v>
      </c>
      <c r="P375" s="151">
        <v>0</v>
      </c>
      <c r="Q375" s="149" t="s">
        <v>10035</v>
      </c>
      <c r="R375" t="s">
        <v>9843</v>
      </c>
      <c r="S375" s="125" t="s">
        <v>7</v>
      </c>
      <c r="T375" s="125" t="s">
        <v>1173</v>
      </c>
      <c r="U375" s="125" t="s">
        <v>36</v>
      </c>
      <c r="V375" t="s">
        <v>9843</v>
      </c>
      <c r="W375" s="125" t="s">
        <v>35</v>
      </c>
      <c r="X375" s="125" t="s">
        <v>1104</v>
      </c>
      <c r="Y375" s="125" t="s">
        <v>1100</v>
      </c>
      <c r="Z375" s="125" t="s">
        <v>7</v>
      </c>
      <c r="AA375" s="125" t="s">
        <v>7</v>
      </c>
      <c r="AB375" s="125" t="s">
        <v>7</v>
      </c>
      <c r="AC375" t="s">
        <v>9871</v>
      </c>
      <c r="AD375" s="125" t="s">
        <v>1758</v>
      </c>
      <c r="AE375" s="125" t="s">
        <v>35</v>
      </c>
      <c r="AF375" s="125" t="s">
        <v>35</v>
      </c>
      <c r="AG375" s="125" t="s">
        <v>1758</v>
      </c>
      <c r="AH375" s="117" t="s">
        <v>7</v>
      </c>
      <c r="AI375" s="117" t="s">
        <v>1114</v>
      </c>
    </row>
    <row r="376" spans="1:35" s="127" customFormat="1" ht="15.75" customHeight="1">
      <c r="A376" s="123" t="s">
        <v>432</v>
      </c>
      <c r="B376" s="124" t="s">
        <v>685</v>
      </c>
      <c r="C376" s="86" t="s">
        <v>998</v>
      </c>
      <c r="D376" s="123" t="s">
        <v>433</v>
      </c>
      <c r="E376" s="86" t="s">
        <v>1003</v>
      </c>
      <c r="F376" t="s">
        <v>1855</v>
      </c>
      <c r="G376" s="123" t="s">
        <v>3</v>
      </c>
      <c r="H376" s="126">
        <v>35973</v>
      </c>
      <c r="I376" s="125" t="s">
        <v>4</v>
      </c>
      <c r="J376" s="125" t="s">
        <v>1101</v>
      </c>
      <c r="K376" s="125" t="s">
        <v>1186</v>
      </c>
      <c r="L376" s="151" t="s">
        <v>1967</v>
      </c>
      <c r="M376" s="151" t="s">
        <v>1969</v>
      </c>
      <c r="N376" s="151" t="s">
        <v>1973</v>
      </c>
      <c r="O376" s="148">
        <v>0</v>
      </c>
      <c r="P376" s="151">
        <v>0</v>
      </c>
      <c r="Q376" s="148">
        <v>0</v>
      </c>
      <c r="R376" t="s">
        <v>9843</v>
      </c>
      <c r="S376" s="125" t="s">
        <v>7</v>
      </c>
      <c r="T376" s="125" t="s">
        <v>1975</v>
      </c>
      <c r="U376" s="125" t="s">
        <v>36</v>
      </c>
      <c r="V376" t="s">
        <v>9843</v>
      </c>
      <c r="W376" s="125" t="s">
        <v>35</v>
      </c>
      <c r="X376" s="125" t="s">
        <v>7</v>
      </c>
      <c r="Y376" s="125" t="s">
        <v>9</v>
      </c>
      <c r="Z376" s="125" t="s">
        <v>7</v>
      </c>
      <c r="AA376" s="125" t="s">
        <v>7</v>
      </c>
      <c r="AB376" s="125" t="s">
        <v>7</v>
      </c>
      <c r="AC376" s="117" t="s">
        <v>7</v>
      </c>
      <c r="AD376" s="125" t="s">
        <v>9</v>
      </c>
      <c r="AE376" s="125" t="s">
        <v>35</v>
      </c>
      <c r="AF376" s="125" t="s">
        <v>35</v>
      </c>
      <c r="AG376" s="125" t="s">
        <v>9</v>
      </c>
      <c r="AH376" s="117" t="s">
        <v>35</v>
      </c>
      <c r="AI376" s="125" t="s">
        <v>1849</v>
      </c>
    </row>
    <row r="377" spans="1:35" s="127" customFormat="1" ht="15.75" customHeight="1">
      <c r="A377" s="123" t="s">
        <v>1002</v>
      </c>
      <c r="B377" s="124" t="s">
        <v>606</v>
      </c>
      <c r="C377" s="86" t="s">
        <v>998</v>
      </c>
      <c r="D377" s="123" t="s">
        <v>433</v>
      </c>
      <c r="E377" s="86" t="s">
        <v>1004</v>
      </c>
      <c r="F377" t="s">
        <v>1855</v>
      </c>
      <c r="G377" s="123" t="s">
        <v>515</v>
      </c>
      <c r="H377" s="126">
        <v>33816</v>
      </c>
      <c r="I377" s="125" t="s">
        <v>5</v>
      </c>
      <c r="J377" s="125" t="s">
        <v>18</v>
      </c>
      <c r="K377" s="125" t="s">
        <v>1186</v>
      </c>
      <c r="L377" s="151">
        <v>0</v>
      </c>
      <c r="M377" s="151">
        <v>0</v>
      </c>
      <c r="N377" s="151" t="s">
        <v>1968</v>
      </c>
      <c r="O377" s="148">
        <v>0</v>
      </c>
      <c r="P377" s="151">
        <v>0</v>
      </c>
      <c r="Q377" s="148">
        <v>0</v>
      </c>
      <c r="R377" t="s">
        <v>9843</v>
      </c>
      <c r="S377" s="125" t="s">
        <v>7</v>
      </c>
      <c r="T377" s="125" t="s">
        <v>1173</v>
      </c>
      <c r="U377" s="125" t="s">
        <v>36</v>
      </c>
      <c r="V377" t="s">
        <v>9843</v>
      </c>
      <c r="W377" s="125" t="s">
        <v>35</v>
      </c>
      <c r="X377" s="125" t="s">
        <v>7</v>
      </c>
      <c r="Y377" s="125" t="s">
        <v>9</v>
      </c>
      <c r="Z377" s="125" t="s">
        <v>7</v>
      </c>
      <c r="AA377" s="125" t="s">
        <v>7</v>
      </c>
      <c r="AB377" s="125" t="s">
        <v>7</v>
      </c>
      <c r="AC377" s="117" t="s">
        <v>9872</v>
      </c>
      <c r="AD377" s="125" t="s">
        <v>9</v>
      </c>
      <c r="AE377" s="125" t="s">
        <v>35</v>
      </c>
      <c r="AF377" s="125" t="s">
        <v>35</v>
      </c>
      <c r="AG377" s="125" t="s">
        <v>9</v>
      </c>
      <c r="AH377" s="117" t="s">
        <v>35</v>
      </c>
      <c r="AI377" s="125" t="s">
        <v>1849</v>
      </c>
    </row>
    <row r="378" spans="1:35">
      <c r="A378" t="s">
        <v>434</v>
      </c>
      <c r="B378" s="115" t="s">
        <v>735</v>
      </c>
      <c r="C378" s="114" t="s">
        <v>1018</v>
      </c>
      <c r="D378" t="s">
        <v>443</v>
      </c>
      <c r="E378" s="4" t="s">
        <v>1019</v>
      </c>
      <c r="F378" t="s">
        <v>1855</v>
      </c>
      <c r="G378" t="s">
        <v>3</v>
      </c>
      <c r="H378" s="6">
        <v>34539</v>
      </c>
      <c r="I378" t="s">
        <v>4</v>
      </c>
      <c r="J378" t="s">
        <v>48</v>
      </c>
      <c r="K378" t="s">
        <v>1210</v>
      </c>
      <c r="L378" s="151" t="s">
        <v>1411</v>
      </c>
      <c r="M378" s="151" t="s">
        <v>1413</v>
      </c>
      <c r="N378" s="151" t="s">
        <v>1412</v>
      </c>
      <c r="O378" s="148">
        <v>0</v>
      </c>
      <c r="P378" s="151">
        <v>0</v>
      </c>
      <c r="Q378" s="148">
        <v>0</v>
      </c>
      <c r="R378" t="s">
        <v>9843</v>
      </c>
      <c r="S378" t="s">
        <v>7</v>
      </c>
      <c r="T378" t="s">
        <v>1132</v>
      </c>
      <c r="U378" t="s">
        <v>36</v>
      </c>
      <c r="V378" t="s">
        <v>9843</v>
      </c>
      <c r="W378" t="s">
        <v>35</v>
      </c>
      <c r="X378" t="s">
        <v>1104</v>
      </c>
      <c r="Y378" t="s">
        <v>1100</v>
      </c>
      <c r="Z378" t="s">
        <v>7</v>
      </c>
      <c r="AA378" t="s">
        <v>7</v>
      </c>
      <c r="AB378" t="s">
        <v>7</v>
      </c>
      <c r="AC378" t="s">
        <v>9870</v>
      </c>
      <c r="AD378" t="s">
        <v>1182</v>
      </c>
      <c r="AE378" t="s">
        <v>35</v>
      </c>
      <c r="AF378" t="s">
        <v>35</v>
      </c>
      <c r="AG378" t="s">
        <v>1182</v>
      </c>
      <c r="AH378" s="117" t="s">
        <v>7</v>
      </c>
      <c r="AI378" s="117" t="s">
        <v>1114</v>
      </c>
    </row>
    <row r="379" spans="1:35">
      <c r="A379" t="s">
        <v>435</v>
      </c>
      <c r="B379" s="115" t="s">
        <v>592</v>
      </c>
      <c r="C379" s="114" t="s">
        <v>1020</v>
      </c>
      <c r="D379" t="s">
        <v>443</v>
      </c>
      <c r="E379" s="4" t="s">
        <v>1021</v>
      </c>
      <c r="F379" t="s">
        <v>1855</v>
      </c>
      <c r="G379" t="s">
        <v>3</v>
      </c>
      <c r="H379" s="6">
        <v>31371</v>
      </c>
      <c r="I379" t="s">
        <v>5</v>
      </c>
      <c r="J379" t="s">
        <v>1101</v>
      </c>
      <c r="K379" t="s">
        <v>1094</v>
      </c>
      <c r="L379" s="154" t="s">
        <v>10036</v>
      </c>
      <c r="M379" s="151">
        <v>0</v>
      </c>
      <c r="N379" s="151">
        <v>0</v>
      </c>
      <c r="O379" s="148">
        <v>0</v>
      </c>
      <c r="P379" s="151">
        <v>0</v>
      </c>
      <c r="Q379" s="148">
        <v>0</v>
      </c>
      <c r="R379" t="s">
        <v>9843</v>
      </c>
      <c r="S379" t="s">
        <v>7</v>
      </c>
      <c r="T379" t="s">
        <v>1414</v>
      </c>
      <c r="U379" t="s">
        <v>36</v>
      </c>
      <c r="V379" t="s">
        <v>9843</v>
      </c>
      <c r="W379" t="s">
        <v>35</v>
      </c>
      <c r="X379" t="s">
        <v>7</v>
      </c>
      <c r="Y379" t="s">
        <v>9</v>
      </c>
      <c r="Z379" t="s">
        <v>1097</v>
      </c>
      <c r="AA379" t="s">
        <v>7</v>
      </c>
      <c r="AB379" t="s">
        <v>7</v>
      </c>
      <c r="AC379" s="117" t="s">
        <v>9872</v>
      </c>
      <c r="AD379" t="s">
        <v>1100</v>
      </c>
      <c r="AE379" t="s">
        <v>35</v>
      </c>
      <c r="AF379" t="s">
        <v>35</v>
      </c>
      <c r="AG379" t="s">
        <v>1100</v>
      </c>
      <c r="AH379" s="117" t="s">
        <v>35</v>
      </c>
      <c r="AI379" s="125" t="s">
        <v>1849</v>
      </c>
    </row>
    <row r="380" spans="1:35">
      <c r="A380" t="s">
        <v>436</v>
      </c>
      <c r="B380" s="115" t="s">
        <v>806</v>
      </c>
      <c r="C380" s="114" t="s">
        <v>1018</v>
      </c>
      <c r="D380" t="s">
        <v>443</v>
      </c>
      <c r="E380" s="4" t="s">
        <v>1022</v>
      </c>
      <c r="F380" t="s">
        <v>1855</v>
      </c>
      <c r="G380" t="s">
        <v>3</v>
      </c>
      <c r="H380" s="6">
        <v>30534</v>
      </c>
      <c r="I380" t="s">
        <v>5</v>
      </c>
      <c r="J380" t="s">
        <v>1101</v>
      </c>
      <c r="K380" t="s">
        <v>1415</v>
      </c>
      <c r="L380" s="151">
        <v>0</v>
      </c>
      <c r="M380" s="151" t="s">
        <v>1417</v>
      </c>
      <c r="N380" s="151" t="s">
        <v>1416</v>
      </c>
      <c r="O380" s="148">
        <v>0</v>
      </c>
      <c r="P380" s="151">
        <v>0</v>
      </c>
      <c r="Q380" s="148">
        <v>0</v>
      </c>
      <c r="R380" t="s">
        <v>9843</v>
      </c>
      <c r="S380" t="s">
        <v>7</v>
      </c>
      <c r="T380" t="s">
        <v>1132</v>
      </c>
      <c r="U380" t="s">
        <v>36</v>
      </c>
      <c r="V380" t="s">
        <v>9843</v>
      </c>
      <c r="W380" t="s">
        <v>35</v>
      </c>
      <c r="X380" t="s">
        <v>1199</v>
      </c>
      <c r="Y380" t="s">
        <v>1418</v>
      </c>
      <c r="Z380" t="s">
        <v>7</v>
      </c>
      <c r="AA380" t="s">
        <v>7</v>
      </c>
      <c r="AB380" t="s">
        <v>7</v>
      </c>
      <c r="AC380" s="117" t="s">
        <v>9872</v>
      </c>
      <c r="AD380" t="s">
        <v>1100</v>
      </c>
      <c r="AE380" t="s">
        <v>35</v>
      </c>
      <c r="AF380" t="s">
        <v>35</v>
      </c>
      <c r="AG380" t="s">
        <v>1100</v>
      </c>
      <c r="AH380" s="117" t="s">
        <v>35</v>
      </c>
      <c r="AI380" s="125" t="s">
        <v>1849</v>
      </c>
    </row>
    <row r="381" spans="1:35">
      <c r="A381" t="s">
        <v>437</v>
      </c>
      <c r="B381" s="115" t="s">
        <v>765</v>
      </c>
      <c r="C381" s="114" t="s">
        <v>1020</v>
      </c>
      <c r="D381" t="s">
        <v>443</v>
      </c>
      <c r="E381" s="4" t="s">
        <v>1023</v>
      </c>
      <c r="F381" t="s">
        <v>1855</v>
      </c>
      <c r="G381" t="s">
        <v>3</v>
      </c>
      <c r="H381" s="6">
        <v>33280</v>
      </c>
      <c r="I381" t="s">
        <v>1419</v>
      </c>
      <c r="J381" t="s">
        <v>48</v>
      </c>
      <c r="K381" t="s">
        <v>1420</v>
      </c>
      <c r="L381" s="151">
        <v>0</v>
      </c>
      <c r="M381" s="151" t="s">
        <v>1421</v>
      </c>
      <c r="N381" s="151">
        <v>0</v>
      </c>
      <c r="O381" s="148">
        <v>0</v>
      </c>
      <c r="P381" s="151">
        <v>0</v>
      </c>
      <c r="Q381" s="148">
        <v>0</v>
      </c>
      <c r="R381" t="s">
        <v>9843</v>
      </c>
      <c r="S381" t="s">
        <v>7</v>
      </c>
      <c r="T381" t="s">
        <v>1137</v>
      </c>
      <c r="U381" t="s">
        <v>36</v>
      </c>
      <c r="V381" t="s">
        <v>9843</v>
      </c>
      <c r="W381" t="s">
        <v>35</v>
      </c>
      <c r="X381" t="s">
        <v>1104</v>
      </c>
      <c r="Y381" t="s">
        <v>1080</v>
      </c>
      <c r="Z381" t="s">
        <v>1097</v>
      </c>
      <c r="AA381" t="s">
        <v>7</v>
      </c>
      <c r="AB381" t="s">
        <v>7</v>
      </c>
      <c r="AC381" s="117" t="s">
        <v>9872</v>
      </c>
      <c r="AD381" t="s">
        <v>1163</v>
      </c>
      <c r="AE381" t="s">
        <v>35</v>
      </c>
      <c r="AF381" t="s">
        <v>35</v>
      </c>
      <c r="AG381" t="s">
        <v>1163</v>
      </c>
      <c r="AH381" s="117" t="s">
        <v>35</v>
      </c>
      <c r="AI381" s="125" t="s">
        <v>1849</v>
      </c>
    </row>
    <row r="382" spans="1:35">
      <c r="A382" t="s">
        <v>438</v>
      </c>
      <c r="B382" s="115" t="s">
        <v>1024</v>
      </c>
      <c r="C382" s="114" t="s">
        <v>1018</v>
      </c>
      <c r="D382" t="s">
        <v>443</v>
      </c>
      <c r="E382" s="4" t="s">
        <v>1025</v>
      </c>
      <c r="F382" t="s">
        <v>1855</v>
      </c>
      <c r="G382" t="s">
        <v>3</v>
      </c>
      <c r="H382" s="6">
        <v>35345</v>
      </c>
      <c r="I382" t="s">
        <v>5</v>
      </c>
      <c r="J382" t="s">
        <v>1101</v>
      </c>
      <c r="K382" t="s">
        <v>1429</v>
      </c>
      <c r="L382" s="151">
        <v>0</v>
      </c>
      <c r="M382" s="151" t="s">
        <v>1427</v>
      </c>
      <c r="N382" s="151">
        <v>0</v>
      </c>
      <c r="O382" s="148">
        <v>0</v>
      </c>
      <c r="P382" s="151">
        <v>0</v>
      </c>
      <c r="Q382" s="148">
        <v>0</v>
      </c>
      <c r="R382" t="s">
        <v>9846</v>
      </c>
      <c r="S382" t="s">
        <v>7</v>
      </c>
      <c r="T382" t="s">
        <v>1428</v>
      </c>
      <c r="U382" t="s">
        <v>78</v>
      </c>
      <c r="V382" t="s">
        <v>9843</v>
      </c>
      <c r="W382" t="s">
        <v>35</v>
      </c>
      <c r="X382" t="s">
        <v>7</v>
      </c>
      <c r="Y382" t="s">
        <v>9</v>
      </c>
      <c r="Z382" t="s">
        <v>7</v>
      </c>
      <c r="AA382" t="s">
        <v>7</v>
      </c>
      <c r="AB382" t="s">
        <v>7</v>
      </c>
      <c r="AC382" t="s">
        <v>9870</v>
      </c>
      <c r="AD382" t="s">
        <v>10</v>
      </c>
      <c r="AE382" t="s">
        <v>35</v>
      </c>
      <c r="AF382" t="s">
        <v>35</v>
      </c>
      <c r="AG382" t="s">
        <v>10</v>
      </c>
      <c r="AH382" s="117" t="s">
        <v>7</v>
      </c>
      <c r="AI382" t="s">
        <v>37</v>
      </c>
    </row>
    <row r="383" spans="1:35">
      <c r="A383" t="s">
        <v>438</v>
      </c>
      <c r="B383" s="115" t="s">
        <v>1024</v>
      </c>
      <c r="C383" s="114" t="s">
        <v>1018</v>
      </c>
      <c r="D383" t="s">
        <v>443</v>
      </c>
      <c r="E383" s="4" t="s">
        <v>1026</v>
      </c>
      <c r="F383" t="s">
        <v>1855</v>
      </c>
      <c r="G383" t="s">
        <v>515</v>
      </c>
      <c r="H383" s="6">
        <v>34211</v>
      </c>
      <c r="I383" t="s">
        <v>4</v>
      </c>
      <c r="J383" t="s">
        <v>41</v>
      </c>
      <c r="K383" t="s">
        <v>1429</v>
      </c>
      <c r="L383" s="151">
        <v>0</v>
      </c>
      <c r="M383" s="151" t="s">
        <v>1427</v>
      </c>
      <c r="N383" s="151">
        <v>0</v>
      </c>
      <c r="O383" s="148">
        <v>0</v>
      </c>
      <c r="P383" s="151">
        <v>0</v>
      </c>
      <c r="Q383" s="148">
        <v>0</v>
      </c>
      <c r="R383" t="s">
        <v>9846</v>
      </c>
      <c r="S383" t="s">
        <v>7</v>
      </c>
      <c r="T383" t="s">
        <v>1428</v>
      </c>
      <c r="U383" t="s">
        <v>78</v>
      </c>
      <c r="V383" t="s">
        <v>9843</v>
      </c>
      <c r="W383" t="s">
        <v>35</v>
      </c>
      <c r="X383" t="s">
        <v>7</v>
      </c>
      <c r="Y383" t="s">
        <v>9</v>
      </c>
      <c r="Z383" t="s">
        <v>7</v>
      </c>
      <c r="AA383" t="s">
        <v>7</v>
      </c>
      <c r="AB383" t="s">
        <v>7</v>
      </c>
      <c r="AC383" t="s">
        <v>9870</v>
      </c>
      <c r="AD383" t="s">
        <v>10</v>
      </c>
      <c r="AE383" t="s">
        <v>35</v>
      </c>
      <c r="AF383" t="s">
        <v>35</v>
      </c>
      <c r="AG383" t="s">
        <v>10</v>
      </c>
      <c r="AH383" s="117" t="s">
        <v>7</v>
      </c>
      <c r="AI383" t="s">
        <v>37</v>
      </c>
    </row>
    <row r="384" spans="1:35">
      <c r="A384" s="86" t="s">
        <v>439</v>
      </c>
      <c r="B384" s="115" t="s">
        <v>904</v>
      </c>
      <c r="C384" s="114" t="s">
        <v>1018</v>
      </c>
      <c r="D384" t="s">
        <v>443</v>
      </c>
      <c r="E384" s="4" t="s">
        <v>1027</v>
      </c>
      <c r="F384" t="s">
        <v>1855</v>
      </c>
      <c r="G384" t="s">
        <v>515</v>
      </c>
      <c r="H384" s="6">
        <v>21180</v>
      </c>
      <c r="I384" t="s">
        <v>4</v>
      </c>
      <c r="J384" t="s">
        <v>48</v>
      </c>
      <c r="K384" t="s">
        <v>1143</v>
      </c>
      <c r="L384" s="151">
        <v>0</v>
      </c>
      <c r="M384" s="151" t="s">
        <v>1422</v>
      </c>
      <c r="N384" s="151">
        <v>0</v>
      </c>
      <c r="O384" s="148">
        <v>0</v>
      </c>
      <c r="P384" s="151">
        <v>0</v>
      </c>
      <c r="Q384" s="148">
        <v>0</v>
      </c>
      <c r="R384" t="s">
        <v>9843</v>
      </c>
      <c r="S384" t="s">
        <v>7</v>
      </c>
      <c r="T384" t="s">
        <v>1137</v>
      </c>
      <c r="U384" t="s">
        <v>36</v>
      </c>
      <c r="V384" t="s">
        <v>9843</v>
      </c>
      <c r="W384" t="s">
        <v>35</v>
      </c>
      <c r="X384" t="s">
        <v>1199</v>
      </c>
      <c r="Y384" t="s">
        <v>1418</v>
      </c>
      <c r="Z384" t="s">
        <v>7</v>
      </c>
      <c r="AA384" t="s">
        <v>7</v>
      </c>
      <c r="AB384" t="s">
        <v>7</v>
      </c>
      <c r="AC384" s="117" t="s">
        <v>9872</v>
      </c>
      <c r="AD384" t="s">
        <v>1100</v>
      </c>
      <c r="AE384" t="s">
        <v>35</v>
      </c>
      <c r="AF384" t="s">
        <v>35</v>
      </c>
      <c r="AG384" t="s">
        <v>1100</v>
      </c>
      <c r="AH384" s="117" t="s">
        <v>35</v>
      </c>
      <c r="AI384" s="125" t="s">
        <v>1849</v>
      </c>
    </row>
    <row r="385" spans="1:35">
      <c r="A385" t="s">
        <v>440</v>
      </c>
      <c r="B385" s="115" t="s">
        <v>1028</v>
      </c>
      <c r="C385" s="114" t="s">
        <v>1018</v>
      </c>
      <c r="D385" t="s">
        <v>443</v>
      </c>
      <c r="E385" s="4" t="s">
        <v>1029</v>
      </c>
      <c r="F385" t="s">
        <v>1855</v>
      </c>
      <c r="G385" t="s">
        <v>3</v>
      </c>
      <c r="H385" s="6">
        <v>24948</v>
      </c>
      <c r="I385" t="s">
        <v>4</v>
      </c>
      <c r="J385" t="s">
        <v>48</v>
      </c>
      <c r="K385" t="s">
        <v>1423</v>
      </c>
      <c r="L385" s="151" t="s">
        <v>1424</v>
      </c>
      <c r="M385" s="151" t="s">
        <v>1425</v>
      </c>
      <c r="N385" s="155" t="s">
        <v>1971</v>
      </c>
      <c r="O385" s="148">
        <v>0</v>
      </c>
      <c r="P385" s="151">
        <v>0</v>
      </c>
      <c r="Q385" s="148">
        <v>0</v>
      </c>
      <c r="R385" t="s">
        <v>9843</v>
      </c>
      <c r="S385" t="s">
        <v>7</v>
      </c>
      <c r="T385" t="s">
        <v>1426</v>
      </c>
      <c r="U385" t="s">
        <v>6</v>
      </c>
      <c r="V385" t="s">
        <v>35</v>
      </c>
      <c r="W385" t="s">
        <v>35</v>
      </c>
      <c r="X385" t="s">
        <v>35</v>
      </c>
      <c r="Y385" t="s">
        <v>35</v>
      </c>
      <c r="Z385" t="s">
        <v>35</v>
      </c>
      <c r="AA385" t="s">
        <v>35</v>
      </c>
      <c r="AB385" t="s">
        <v>35</v>
      </c>
      <c r="AC385" t="s">
        <v>35</v>
      </c>
      <c r="AD385" t="s">
        <v>35</v>
      </c>
      <c r="AE385" t="s">
        <v>35</v>
      </c>
      <c r="AF385" t="s">
        <v>35</v>
      </c>
      <c r="AG385" t="s">
        <v>35</v>
      </c>
      <c r="AH385" t="s">
        <v>35</v>
      </c>
      <c r="AI385" t="s">
        <v>35</v>
      </c>
    </row>
    <row r="386" spans="1:35">
      <c r="A386" t="s">
        <v>441</v>
      </c>
      <c r="B386" s="115" t="s">
        <v>1030</v>
      </c>
      <c r="C386" s="114" t="s">
        <v>1020</v>
      </c>
      <c r="D386" t="s">
        <v>443</v>
      </c>
      <c r="E386" s="4" t="s">
        <v>1031</v>
      </c>
      <c r="F386" t="s">
        <v>1855</v>
      </c>
      <c r="G386" t="s">
        <v>3</v>
      </c>
      <c r="H386" s="6">
        <v>33459</v>
      </c>
      <c r="I386" t="s">
        <v>5</v>
      </c>
      <c r="J386" t="s">
        <v>48</v>
      </c>
      <c r="K386" t="s">
        <v>1186</v>
      </c>
      <c r="L386" s="151" t="s">
        <v>1430</v>
      </c>
      <c r="M386" s="151" t="s">
        <v>1431</v>
      </c>
      <c r="N386" s="151">
        <v>0</v>
      </c>
      <c r="O386" s="148">
        <v>0</v>
      </c>
      <c r="P386" s="151">
        <v>0</v>
      </c>
      <c r="Q386" s="148">
        <v>0</v>
      </c>
      <c r="R386" t="s">
        <v>9843</v>
      </c>
      <c r="S386" t="s">
        <v>7</v>
      </c>
      <c r="T386" t="s">
        <v>1137</v>
      </c>
      <c r="U386" t="s">
        <v>36</v>
      </c>
      <c r="V386" t="s">
        <v>9843</v>
      </c>
      <c r="W386" t="s">
        <v>35</v>
      </c>
      <c r="X386" t="s">
        <v>7</v>
      </c>
      <c r="Y386" t="s">
        <v>9</v>
      </c>
      <c r="Z386" t="s">
        <v>1097</v>
      </c>
      <c r="AA386" t="s">
        <v>7</v>
      </c>
      <c r="AB386" t="s">
        <v>7</v>
      </c>
      <c r="AC386" s="117" t="s">
        <v>9872</v>
      </c>
      <c r="AD386" t="s">
        <v>1100</v>
      </c>
      <c r="AE386" t="s">
        <v>35</v>
      </c>
      <c r="AF386" t="s">
        <v>35</v>
      </c>
      <c r="AG386" t="s">
        <v>1100</v>
      </c>
      <c r="AH386" s="117" t="s">
        <v>35</v>
      </c>
      <c r="AI386" s="125" t="s">
        <v>1849</v>
      </c>
    </row>
    <row r="387" spans="1:35">
      <c r="A387" t="s">
        <v>442</v>
      </c>
      <c r="B387" s="115" t="s">
        <v>674</v>
      </c>
      <c r="C387" s="114" t="s">
        <v>1018</v>
      </c>
      <c r="D387" t="s">
        <v>443</v>
      </c>
      <c r="E387" s="4" t="s">
        <v>1032</v>
      </c>
      <c r="F387" t="s">
        <v>1598</v>
      </c>
      <c r="G387" t="s">
        <v>3</v>
      </c>
      <c r="H387" s="6">
        <v>32199</v>
      </c>
      <c r="I387" t="s">
        <v>5</v>
      </c>
      <c r="J387" t="s">
        <v>1101</v>
      </c>
      <c r="K387" t="s">
        <v>1432</v>
      </c>
      <c r="L387" s="151" t="s">
        <v>1434</v>
      </c>
      <c r="M387" s="151" t="s">
        <v>1433</v>
      </c>
      <c r="N387" s="151">
        <v>0</v>
      </c>
      <c r="O387" s="148">
        <v>0</v>
      </c>
      <c r="P387" s="151">
        <v>0</v>
      </c>
      <c r="Q387" s="148">
        <v>0</v>
      </c>
      <c r="R387" t="s">
        <v>9843</v>
      </c>
      <c r="S387" t="s">
        <v>7</v>
      </c>
      <c r="T387" t="s">
        <v>1435</v>
      </c>
      <c r="U387" t="s">
        <v>36</v>
      </c>
      <c r="V387" t="s">
        <v>9843</v>
      </c>
      <c r="W387" t="s">
        <v>35</v>
      </c>
      <c r="X387" t="s">
        <v>1199</v>
      </c>
      <c r="Y387" s="117" t="s">
        <v>1069</v>
      </c>
      <c r="Z387" t="s">
        <v>7</v>
      </c>
      <c r="AA387" s="117" t="s">
        <v>1111</v>
      </c>
      <c r="AB387" t="s">
        <v>7</v>
      </c>
      <c r="AC387" t="s">
        <v>9870</v>
      </c>
      <c r="AD387" t="s">
        <v>10</v>
      </c>
      <c r="AE387" t="s">
        <v>35</v>
      </c>
      <c r="AF387" t="s">
        <v>35</v>
      </c>
      <c r="AG387" t="s">
        <v>10</v>
      </c>
      <c r="AH387" s="117" t="s">
        <v>7</v>
      </c>
      <c r="AI387" t="s">
        <v>37</v>
      </c>
    </row>
    <row r="388" spans="1:35">
      <c r="A388" t="s">
        <v>1345</v>
      </c>
      <c r="B388" s="2" t="s">
        <v>39</v>
      </c>
      <c r="C388" t="s">
        <v>1018</v>
      </c>
      <c r="D388" t="s">
        <v>443</v>
      </c>
      <c r="E388" t="s">
        <v>1436</v>
      </c>
      <c r="F388" s="134" t="s">
        <v>1864</v>
      </c>
      <c r="G388" t="s">
        <v>3</v>
      </c>
      <c r="H388" s="6">
        <v>33012</v>
      </c>
      <c r="I388" t="s">
        <v>5</v>
      </c>
      <c r="J388" t="s">
        <v>48</v>
      </c>
      <c r="K388" t="s">
        <v>9784</v>
      </c>
      <c r="L388" s="151" t="s">
        <v>1438</v>
      </c>
      <c r="M388" s="151" t="s">
        <v>1437</v>
      </c>
      <c r="N388" s="151">
        <v>0</v>
      </c>
      <c r="O388" s="148" t="s">
        <v>1439</v>
      </c>
      <c r="P388" s="151">
        <v>0</v>
      </c>
      <c r="Q388" s="148">
        <v>0</v>
      </c>
      <c r="R388" t="s">
        <v>9846</v>
      </c>
      <c r="S388" t="s">
        <v>1271</v>
      </c>
      <c r="T388" t="s">
        <v>1440</v>
      </c>
      <c r="U388" t="s">
        <v>6</v>
      </c>
      <c r="V388" t="s">
        <v>35</v>
      </c>
      <c r="W388" t="s">
        <v>35</v>
      </c>
      <c r="X388" t="s">
        <v>35</v>
      </c>
      <c r="Y388" t="s">
        <v>35</v>
      </c>
      <c r="Z388" t="s">
        <v>35</v>
      </c>
      <c r="AA388" t="s">
        <v>35</v>
      </c>
      <c r="AB388" t="s">
        <v>35</v>
      </c>
      <c r="AC388" t="s">
        <v>35</v>
      </c>
      <c r="AD388" t="s">
        <v>35</v>
      </c>
      <c r="AE388" t="s">
        <v>35</v>
      </c>
      <c r="AF388" t="s">
        <v>35</v>
      </c>
      <c r="AG388" t="s">
        <v>35</v>
      </c>
      <c r="AH388" t="s">
        <v>35</v>
      </c>
      <c r="AI388" t="s">
        <v>35</v>
      </c>
    </row>
    <row r="389" spans="1:35">
      <c r="A389" s="133" t="s">
        <v>444</v>
      </c>
      <c r="B389" s="124" t="s">
        <v>1005</v>
      </c>
      <c r="C389" s="86" t="s">
        <v>1006</v>
      </c>
      <c r="D389" s="133" t="s">
        <v>450</v>
      </c>
      <c r="E389" s="86" t="s">
        <v>1007</v>
      </c>
      <c r="F389" t="s">
        <v>1855</v>
      </c>
      <c r="G389" s="133" t="s">
        <v>3</v>
      </c>
      <c r="H389" s="126">
        <v>33267</v>
      </c>
      <c r="I389" s="134" t="s">
        <v>5</v>
      </c>
      <c r="J389" s="134" t="s">
        <v>48</v>
      </c>
      <c r="K389" s="125" t="s">
        <v>1186</v>
      </c>
      <c r="L389" s="154" t="s">
        <v>10037</v>
      </c>
      <c r="M389" s="154" t="s">
        <v>10038</v>
      </c>
      <c r="N389" s="154" t="s">
        <v>10039</v>
      </c>
      <c r="O389" s="148">
        <v>0</v>
      </c>
      <c r="P389" s="151">
        <v>0</v>
      </c>
      <c r="Q389" s="149" t="s">
        <v>10040</v>
      </c>
      <c r="R389" t="s">
        <v>9846</v>
      </c>
      <c r="S389" s="125" t="s">
        <v>7</v>
      </c>
      <c r="T389" s="134" t="s">
        <v>1440</v>
      </c>
      <c r="U389" s="134" t="s">
        <v>78</v>
      </c>
      <c r="V389" t="s">
        <v>9843</v>
      </c>
      <c r="W389" s="134" t="s">
        <v>35</v>
      </c>
      <c r="X389" s="134" t="s">
        <v>1854</v>
      </c>
      <c r="Y389" s="134" t="s">
        <v>1100</v>
      </c>
      <c r="Z389" t="s">
        <v>1097</v>
      </c>
      <c r="AA389" s="134" t="s">
        <v>7</v>
      </c>
      <c r="AB389" t="s">
        <v>1937</v>
      </c>
      <c r="AC389" s="117" t="s">
        <v>9872</v>
      </c>
      <c r="AD389" s="125" t="s">
        <v>1099</v>
      </c>
      <c r="AE389" s="134" t="s">
        <v>35</v>
      </c>
      <c r="AF389" s="134" t="s">
        <v>35</v>
      </c>
      <c r="AG389" s="125" t="s">
        <v>1099</v>
      </c>
      <c r="AH389" s="117" t="s">
        <v>35</v>
      </c>
      <c r="AI389" s="125" t="s">
        <v>1849</v>
      </c>
    </row>
    <row r="390" spans="1:35">
      <c r="A390" s="133" t="s">
        <v>444</v>
      </c>
      <c r="B390" s="124" t="s">
        <v>1005</v>
      </c>
      <c r="C390" s="86" t="s">
        <v>1006</v>
      </c>
      <c r="D390" s="133" t="s">
        <v>450</v>
      </c>
      <c r="E390" s="86" t="s">
        <v>1008</v>
      </c>
      <c r="F390" t="s">
        <v>1855</v>
      </c>
      <c r="G390" s="133" t="s">
        <v>3</v>
      </c>
      <c r="H390" s="126">
        <v>34440</v>
      </c>
      <c r="I390" s="134" t="s">
        <v>5</v>
      </c>
      <c r="J390" s="134" t="s">
        <v>48</v>
      </c>
      <c r="K390" s="125" t="s">
        <v>1860</v>
      </c>
      <c r="L390" s="154" t="s">
        <v>10037</v>
      </c>
      <c r="M390" s="154" t="s">
        <v>10038</v>
      </c>
      <c r="N390" s="154" t="s">
        <v>10039</v>
      </c>
      <c r="O390" s="148">
        <v>0</v>
      </c>
      <c r="P390" s="151">
        <v>0</v>
      </c>
      <c r="Q390" s="149" t="s">
        <v>10040</v>
      </c>
      <c r="R390" t="s">
        <v>9846</v>
      </c>
      <c r="S390" s="125" t="s">
        <v>7</v>
      </c>
      <c r="T390" s="134" t="s">
        <v>1440</v>
      </c>
      <c r="U390" s="134" t="s">
        <v>78</v>
      </c>
      <c r="V390" t="s">
        <v>9843</v>
      </c>
      <c r="W390" s="134" t="s">
        <v>35</v>
      </c>
      <c r="X390" s="134" t="s">
        <v>7</v>
      </c>
      <c r="Y390" s="134" t="s">
        <v>9</v>
      </c>
      <c r="Z390" s="134" t="s">
        <v>7</v>
      </c>
      <c r="AA390" s="134" t="s">
        <v>7</v>
      </c>
      <c r="AB390" t="s">
        <v>1937</v>
      </c>
      <c r="AC390" t="s">
        <v>9870</v>
      </c>
      <c r="AD390" s="125" t="s">
        <v>1182</v>
      </c>
      <c r="AE390" s="134" t="s">
        <v>35</v>
      </c>
      <c r="AF390" s="134" t="s">
        <v>35</v>
      </c>
      <c r="AG390" s="125" t="s">
        <v>1182</v>
      </c>
      <c r="AH390" t="s">
        <v>9851</v>
      </c>
      <c r="AI390" s="117" t="s">
        <v>35</v>
      </c>
    </row>
    <row r="391" spans="1:35">
      <c r="A391" s="133" t="s">
        <v>445</v>
      </c>
      <c r="B391" s="124" t="s">
        <v>606</v>
      </c>
      <c r="C391" s="86" t="s">
        <v>1006</v>
      </c>
      <c r="D391" s="133" t="s">
        <v>450</v>
      </c>
      <c r="E391" s="86" t="s">
        <v>1009</v>
      </c>
      <c r="F391" t="s">
        <v>1855</v>
      </c>
      <c r="G391" s="133" t="s">
        <v>515</v>
      </c>
      <c r="H391" s="126">
        <v>32387</v>
      </c>
      <c r="I391" s="134" t="s">
        <v>4</v>
      </c>
      <c r="J391" s="134" t="s">
        <v>41</v>
      </c>
      <c r="K391" s="125" t="s">
        <v>1861</v>
      </c>
      <c r="L391" s="151">
        <v>0</v>
      </c>
      <c r="M391" s="151" t="s">
        <v>1954</v>
      </c>
      <c r="N391" s="151">
        <v>0</v>
      </c>
      <c r="O391" s="148">
        <v>0</v>
      </c>
      <c r="P391" s="151">
        <v>0</v>
      </c>
      <c r="Q391" s="148">
        <v>0</v>
      </c>
      <c r="R391" t="s">
        <v>9846</v>
      </c>
      <c r="S391" s="125" t="s">
        <v>7</v>
      </c>
      <c r="T391" s="125" t="s">
        <v>1935</v>
      </c>
      <c r="U391" s="134" t="s">
        <v>36</v>
      </c>
      <c r="V391" t="s">
        <v>9846</v>
      </c>
      <c r="W391" s="134" t="s">
        <v>35</v>
      </c>
      <c r="X391" s="125" t="s">
        <v>9863</v>
      </c>
      <c r="Y391" s="134" t="s">
        <v>1166</v>
      </c>
      <c r="Z391" s="134" t="s">
        <v>7</v>
      </c>
      <c r="AA391" s="134" t="s">
        <v>7</v>
      </c>
      <c r="AB391" s="134" t="s">
        <v>7</v>
      </c>
      <c r="AC391" t="s">
        <v>9871</v>
      </c>
      <c r="AD391" s="134" t="s">
        <v>1164</v>
      </c>
      <c r="AE391" s="134" t="s">
        <v>1162</v>
      </c>
      <c r="AF391" s="134" t="s">
        <v>35</v>
      </c>
      <c r="AG391" s="134" t="s">
        <v>1862</v>
      </c>
      <c r="AH391" s="117" t="s">
        <v>35</v>
      </c>
      <c r="AI391" s="125" t="s">
        <v>1849</v>
      </c>
    </row>
    <row r="392" spans="1:35">
      <c r="A392" s="133" t="s">
        <v>445</v>
      </c>
      <c r="B392" s="124" t="s">
        <v>606</v>
      </c>
      <c r="C392" s="86" t="s">
        <v>1006</v>
      </c>
      <c r="D392" s="133" t="s">
        <v>450</v>
      </c>
      <c r="E392" s="86" t="s">
        <v>1010</v>
      </c>
      <c r="F392" t="s">
        <v>1855</v>
      </c>
      <c r="G392" s="133" t="s">
        <v>3</v>
      </c>
      <c r="H392" s="126">
        <v>23781</v>
      </c>
      <c r="I392" s="134" t="s">
        <v>1093</v>
      </c>
      <c r="J392" s="134" t="s">
        <v>1101</v>
      </c>
      <c r="K392" s="125" t="s">
        <v>1863</v>
      </c>
      <c r="L392" s="151">
        <v>0</v>
      </c>
      <c r="M392" s="151" t="s">
        <v>1954</v>
      </c>
      <c r="N392" s="151">
        <v>0</v>
      </c>
      <c r="O392" s="148">
        <v>0</v>
      </c>
      <c r="P392" s="151">
        <v>0</v>
      </c>
      <c r="Q392" s="148">
        <v>0</v>
      </c>
      <c r="R392" t="s">
        <v>9846</v>
      </c>
      <c r="S392" s="125" t="s">
        <v>7</v>
      </c>
      <c r="T392" s="125" t="s">
        <v>1935</v>
      </c>
      <c r="U392" s="134" t="s">
        <v>36</v>
      </c>
      <c r="V392" t="s">
        <v>9846</v>
      </c>
      <c r="W392" s="134" t="s">
        <v>35</v>
      </c>
      <c r="X392" s="125" t="s">
        <v>9863</v>
      </c>
      <c r="Y392" s="134" t="s">
        <v>1166</v>
      </c>
      <c r="Z392" s="134" t="s">
        <v>7</v>
      </c>
      <c r="AA392" s="134" t="s">
        <v>7</v>
      </c>
      <c r="AB392" s="134" t="s">
        <v>7</v>
      </c>
      <c r="AC392" t="s">
        <v>9871</v>
      </c>
      <c r="AD392" s="134" t="s">
        <v>1164</v>
      </c>
      <c r="AE392" s="134" t="s">
        <v>1162</v>
      </c>
      <c r="AF392" s="134" t="s">
        <v>35</v>
      </c>
      <c r="AG392" s="134" t="s">
        <v>1862</v>
      </c>
      <c r="AH392" s="117" t="s">
        <v>35</v>
      </c>
      <c r="AI392" s="125" t="s">
        <v>1849</v>
      </c>
    </row>
    <row r="393" spans="1:35">
      <c r="A393" s="133" t="s">
        <v>446</v>
      </c>
      <c r="B393" s="124" t="s">
        <v>921</v>
      </c>
      <c r="C393" s="86" t="s">
        <v>1006</v>
      </c>
      <c r="D393" s="133" t="s">
        <v>450</v>
      </c>
      <c r="E393" s="86" t="s">
        <v>1011</v>
      </c>
      <c r="F393" t="s">
        <v>1855</v>
      </c>
      <c r="G393" s="133" t="s">
        <v>3</v>
      </c>
      <c r="H393" s="126">
        <v>34163</v>
      </c>
      <c r="I393" s="134" t="s">
        <v>5</v>
      </c>
      <c r="J393" s="134" t="s">
        <v>41</v>
      </c>
      <c r="K393" s="125" t="s">
        <v>1210</v>
      </c>
      <c r="L393" s="151">
        <v>0</v>
      </c>
      <c r="M393" s="151" t="s">
        <v>1953</v>
      </c>
      <c r="N393" s="151">
        <v>0</v>
      </c>
      <c r="O393" s="148">
        <v>0</v>
      </c>
      <c r="P393" s="151">
        <v>0</v>
      </c>
      <c r="Q393" s="148">
        <v>0</v>
      </c>
      <c r="R393" t="s">
        <v>9843</v>
      </c>
      <c r="S393" s="125" t="s">
        <v>7</v>
      </c>
      <c r="T393" s="125" t="s">
        <v>1098</v>
      </c>
      <c r="U393" s="134" t="s">
        <v>36</v>
      </c>
      <c r="V393" t="s">
        <v>9843</v>
      </c>
      <c r="W393" s="134" t="s">
        <v>35</v>
      </c>
      <c r="X393" s="134" t="s">
        <v>7</v>
      </c>
      <c r="Y393" s="134" t="s">
        <v>9</v>
      </c>
      <c r="Z393" s="134" t="s">
        <v>7</v>
      </c>
      <c r="AA393" s="134" t="s">
        <v>7</v>
      </c>
      <c r="AB393" s="134" t="s">
        <v>7</v>
      </c>
      <c r="AC393" t="s">
        <v>9870</v>
      </c>
      <c r="AD393" s="134" t="s">
        <v>10</v>
      </c>
      <c r="AE393" s="134" t="s">
        <v>35</v>
      </c>
      <c r="AF393" s="134" t="s">
        <v>35</v>
      </c>
      <c r="AG393" s="134" t="s">
        <v>10</v>
      </c>
      <c r="AH393" t="s">
        <v>9851</v>
      </c>
      <c r="AI393" s="117" t="s">
        <v>35</v>
      </c>
    </row>
    <row r="394" spans="1:35">
      <c r="A394" s="133" t="s">
        <v>446</v>
      </c>
      <c r="B394" s="124" t="s">
        <v>921</v>
      </c>
      <c r="C394" s="86" t="s">
        <v>1006</v>
      </c>
      <c r="D394" s="133" t="s">
        <v>450</v>
      </c>
      <c r="E394" s="86" t="s">
        <v>1012</v>
      </c>
      <c r="F394" t="s">
        <v>1855</v>
      </c>
      <c r="G394" s="133" t="s">
        <v>515</v>
      </c>
      <c r="H394" s="126">
        <v>35297</v>
      </c>
      <c r="I394" s="134" t="s">
        <v>5</v>
      </c>
      <c r="J394" s="134" t="s">
        <v>41</v>
      </c>
      <c r="K394" s="125" t="s">
        <v>1186</v>
      </c>
      <c r="L394" s="151">
        <v>0</v>
      </c>
      <c r="M394" s="151" t="s">
        <v>1953</v>
      </c>
      <c r="N394" s="151">
        <v>0</v>
      </c>
      <c r="O394" s="148">
        <v>0</v>
      </c>
      <c r="P394" s="151">
        <v>0</v>
      </c>
      <c r="Q394" s="148">
        <v>0</v>
      </c>
      <c r="R394" t="s">
        <v>9843</v>
      </c>
      <c r="S394" s="125" t="s">
        <v>7</v>
      </c>
      <c r="T394" s="125" t="s">
        <v>1428</v>
      </c>
      <c r="U394" s="134" t="s">
        <v>36</v>
      </c>
      <c r="V394" t="s">
        <v>9843</v>
      </c>
      <c r="W394" s="134" t="s">
        <v>35</v>
      </c>
      <c r="X394" s="134" t="s">
        <v>7</v>
      </c>
      <c r="Y394" s="134" t="s">
        <v>9</v>
      </c>
      <c r="Z394" s="134" t="s">
        <v>7</v>
      </c>
      <c r="AA394" s="134" t="s">
        <v>7</v>
      </c>
      <c r="AB394" s="134" t="s">
        <v>7</v>
      </c>
      <c r="AC394" t="s">
        <v>9870</v>
      </c>
      <c r="AD394" s="134" t="s">
        <v>10</v>
      </c>
      <c r="AE394" s="134" t="s">
        <v>35</v>
      </c>
      <c r="AF394" s="134" t="s">
        <v>35</v>
      </c>
      <c r="AG394" s="134" t="s">
        <v>10</v>
      </c>
      <c r="AH394" t="s">
        <v>9851</v>
      </c>
      <c r="AI394" s="117" t="s">
        <v>35</v>
      </c>
    </row>
    <row r="395" spans="1:35">
      <c r="A395" s="133" t="s">
        <v>447</v>
      </c>
      <c r="B395" s="124" t="s">
        <v>845</v>
      </c>
      <c r="C395" s="86" t="s">
        <v>1006</v>
      </c>
      <c r="D395" s="133" t="s">
        <v>450</v>
      </c>
      <c r="E395" s="86" t="s">
        <v>1013</v>
      </c>
      <c r="F395" t="s">
        <v>1855</v>
      </c>
      <c r="G395" s="133" t="s">
        <v>3</v>
      </c>
      <c r="H395" s="126">
        <v>30337</v>
      </c>
      <c r="I395" s="134" t="s">
        <v>5</v>
      </c>
      <c r="J395" s="134" t="s">
        <v>48</v>
      </c>
      <c r="K395" s="125" t="s">
        <v>1127</v>
      </c>
      <c r="L395" s="154" t="s">
        <v>10041</v>
      </c>
      <c r="M395" s="154" t="s">
        <v>10042</v>
      </c>
      <c r="N395" s="151">
        <v>0</v>
      </c>
      <c r="O395" s="148">
        <v>0</v>
      </c>
      <c r="P395" s="151">
        <v>0</v>
      </c>
      <c r="Q395" s="148">
        <v>0</v>
      </c>
      <c r="R395" t="s">
        <v>9843</v>
      </c>
      <c r="S395" s="125" t="s">
        <v>7</v>
      </c>
      <c r="T395" s="125" t="s">
        <v>1106</v>
      </c>
      <c r="U395" s="134" t="s">
        <v>36</v>
      </c>
      <c r="V395" t="s">
        <v>9843</v>
      </c>
      <c r="W395" s="134" t="s">
        <v>35</v>
      </c>
      <c r="X395" s="134" t="s">
        <v>7</v>
      </c>
      <c r="Y395" s="134" t="s">
        <v>9</v>
      </c>
      <c r="Z395" s="134" t="s">
        <v>7</v>
      </c>
      <c r="AA395" s="134" t="s">
        <v>7</v>
      </c>
      <c r="AB395" s="134" t="s">
        <v>7</v>
      </c>
      <c r="AC395" s="117" t="s">
        <v>9872</v>
      </c>
      <c r="AD395" s="134" t="s">
        <v>9</v>
      </c>
      <c r="AE395" s="134" t="s">
        <v>35</v>
      </c>
      <c r="AF395" s="134" t="s">
        <v>35</v>
      </c>
      <c r="AG395" s="134" t="s">
        <v>9</v>
      </c>
      <c r="AH395" s="117" t="s">
        <v>35</v>
      </c>
      <c r="AI395" s="125" t="s">
        <v>1849</v>
      </c>
    </row>
    <row r="396" spans="1:35">
      <c r="A396" s="133" t="s">
        <v>448</v>
      </c>
      <c r="B396" s="124" t="s">
        <v>912</v>
      </c>
      <c r="C396" s="86" t="s">
        <v>1006</v>
      </c>
      <c r="D396" s="133" t="s">
        <v>450</v>
      </c>
      <c r="E396" s="86" t="s">
        <v>1014</v>
      </c>
      <c r="F396" s="134" t="s">
        <v>1864</v>
      </c>
      <c r="G396" s="133" t="s">
        <v>3</v>
      </c>
      <c r="H396" s="126">
        <v>35222</v>
      </c>
      <c r="I396" s="134" t="s">
        <v>5</v>
      </c>
      <c r="J396" s="134" t="s">
        <v>1101</v>
      </c>
      <c r="K396" s="125" t="s">
        <v>1342</v>
      </c>
      <c r="L396" s="151" t="s">
        <v>1950</v>
      </c>
      <c r="M396" s="151" t="s">
        <v>1952</v>
      </c>
      <c r="N396" s="151" t="s">
        <v>1955</v>
      </c>
      <c r="O396" s="148">
        <v>0</v>
      </c>
      <c r="P396" s="151">
        <v>0</v>
      </c>
      <c r="Q396" s="148">
        <v>0</v>
      </c>
      <c r="R396" t="s">
        <v>9846</v>
      </c>
      <c r="S396" s="125" t="s">
        <v>7</v>
      </c>
      <c r="T396" s="125" t="s">
        <v>1936</v>
      </c>
      <c r="U396" s="134" t="s">
        <v>78</v>
      </c>
      <c r="V396" t="s">
        <v>9843</v>
      </c>
      <c r="W396" s="134" t="s">
        <v>35</v>
      </c>
      <c r="X396" s="134" t="s">
        <v>7</v>
      </c>
      <c r="Y396" s="134" t="s">
        <v>9</v>
      </c>
      <c r="Z396" t="s">
        <v>1097</v>
      </c>
      <c r="AA396" t="s">
        <v>1244</v>
      </c>
      <c r="AB396" s="134" t="s">
        <v>7</v>
      </c>
      <c r="AC396" s="117" t="s">
        <v>9872</v>
      </c>
      <c r="AD396" s="134" t="s">
        <v>9</v>
      </c>
      <c r="AE396" s="134" t="s">
        <v>35</v>
      </c>
      <c r="AF396" s="134" t="s">
        <v>35</v>
      </c>
      <c r="AG396" s="134" t="s">
        <v>9</v>
      </c>
      <c r="AH396" s="117" t="s">
        <v>35</v>
      </c>
      <c r="AI396" s="125" t="s">
        <v>1849</v>
      </c>
    </row>
    <row r="397" spans="1:35">
      <c r="A397" s="133" t="s">
        <v>448</v>
      </c>
      <c r="B397" s="124" t="s">
        <v>912</v>
      </c>
      <c r="C397" s="86" t="s">
        <v>1006</v>
      </c>
      <c r="D397" s="133" t="s">
        <v>450</v>
      </c>
      <c r="E397" s="86" t="s">
        <v>1015</v>
      </c>
      <c r="F397" s="134" t="s">
        <v>1864</v>
      </c>
      <c r="G397" s="133" t="s">
        <v>3</v>
      </c>
      <c r="H397" s="124" t="s">
        <v>1865</v>
      </c>
      <c r="I397" s="134" t="s">
        <v>1093</v>
      </c>
      <c r="J397" s="134" t="s">
        <v>1101</v>
      </c>
      <c r="K397" s="125" t="s">
        <v>1934</v>
      </c>
      <c r="L397" s="151" t="s">
        <v>1950</v>
      </c>
      <c r="M397" s="151" t="s">
        <v>1952</v>
      </c>
      <c r="N397" s="151" t="s">
        <v>1955</v>
      </c>
      <c r="O397" s="148">
        <v>0</v>
      </c>
      <c r="P397" s="151">
        <v>0</v>
      </c>
      <c r="Q397" s="148">
        <v>0</v>
      </c>
      <c r="R397" t="s">
        <v>9846</v>
      </c>
      <c r="S397" s="125" t="s">
        <v>9848</v>
      </c>
      <c r="T397" s="125" t="s">
        <v>1936</v>
      </c>
      <c r="U397" s="134" t="s">
        <v>78</v>
      </c>
      <c r="V397" t="s">
        <v>9843</v>
      </c>
      <c r="W397" s="125" t="s">
        <v>9848</v>
      </c>
      <c r="X397" s="134" t="s">
        <v>7</v>
      </c>
      <c r="Y397" s="134" t="s">
        <v>9</v>
      </c>
      <c r="Z397" s="134" t="s">
        <v>7</v>
      </c>
      <c r="AA397" s="134" t="s">
        <v>7</v>
      </c>
      <c r="AB397" s="134" t="s">
        <v>7</v>
      </c>
      <c r="AC397" s="117" t="s">
        <v>7</v>
      </c>
      <c r="AD397" s="134" t="s">
        <v>9</v>
      </c>
      <c r="AE397" s="134" t="s">
        <v>35</v>
      </c>
      <c r="AF397" s="134" t="s">
        <v>1162</v>
      </c>
      <c r="AG397" s="134" t="s">
        <v>1166</v>
      </c>
      <c r="AH397" s="117" t="s">
        <v>35</v>
      </c>
      <c r="AI397" s="125" t="s">
        <v>1849</v>
      </c>
    </row>
    <row r="398" spans="1:35">
      <c r="A398" s="133" t="s">
        <v>449</v>
      </c>
      <c r="B398" s="124" t="s">
        <v>1016</v>
      </c>
      <c r="C398" s="86" t="s">
        <v>1006</v>
      </c>
      <c r="D398" s="133" t="s">
        <v>450</v>
      </c>
      <c r="E398" s="86" t="s">
        <v>1017</v>
      </c>
      <c r="F398" t="s">
        <v>1855</v>
      </c>
      <c r="G398" s="133" t="s">
        <v>3</v>
      </c>
      <c r="H398" s="126">
        <v>33559</v>
      </c>
      <c r="I398" s="134" t="s">
        <v>5</v>
      </c>
      <c r="J398" s="134" t="s">
        <v>48</v>
      </c>
      <c r="K398" s="125" t="s">
        <v>1866</v>
      </c>
      <c r="L398" s="151" t="s">
        <v>1951</v>
      </c>
      <c r="M398" s="151">
        <v>0</v>
      </c>
      <c r="N398" s="151">
        <v>0</v>
      </c>
      <c r="O398" s="148">
        <v>0</v>
      </c>
      <c r="P398" s="151">
        <v>0</v>
      </c>
      <c r="Q398" s="148">
        <v>0</v>
      </c>
      <c r="R398" t="s">
        <v>9843</v>
      </c>
      <c r="S398" s="125" t="s">
        <v>7</v>
      </c>
      <c r="T398" s="134" t="s">
        <v>1933</v>
      </c>
      <c r="U398" s="134" t="s">
        <v>6</v>
      </c>
      <c r="V398" s="133" t="s">
        <v>35</v>
      </c>
      <c r="W398" s="133" t="s">
        <v>35</v>
      </c>
      <c r="X398" s="133" t="s">
        <v>35</v>
      </c>
      <c r="Y398" s="133" t="s">
        <v>35</v>
      </c>
      <c r="Z398" s="133" t="s">
        <v>35</v>
      </c>
      <c r="AA398" s="133" t="s">
        <v>35</v>
      </c>
      <c r="AB398" s="133" t="s">
        <v>35</v>
      </c>
      <c r="AC398" s="133" t="s">
        <v>35</v>
      </c>
      <c r="AD398" s="133" t="s">
        <v>35</v>
      </c>
      <c r="AE398" s="134" t="s">
        <v>35</v>
      </c>
      <c r="AF398" s="133" t="s">
        <v>35</v>
      </c>
      <c r="AG398" s="133" t="s">
        <v>35</v>
      </c>
      <c r="AH398" s="133" t="s">
        <v>35</v>
      </c>
      <c r="AI398" s="133" t="s">
        <v>35</v>
      </c>
    </row>
    <row r="399" spans="1:35">
      <c r="A399" t="s">
        <v>451</v>
      </c>
      <c r="B399" s="88" t="s">
        <v>1033</v>
      </c>
      <c r="C399" s="87" t="s">
        <v>1034</v>
      </c>
      <c r="D399" t="s">
        <v>461</v>
      </c>
      <c r="E399" s="4" t="s">
        <v>1035</v>
      </c>
      <c r="F399" t="s">
        <v>76</v>
      </c>
      <c r="G399" t="s">
        <v>3</v>
      </c>
      <c r="H399" s="6">
        <v>27653</v>
      </c>
      <c r="I399" t="s">
        <v>4</v>
      </c>
      <c r="J399" t="s">
        <v>1074</v>
      </c>
      <c r="K399" t="s">
        <v>1186</v>
      </c>
      <c r="L399" s="151" t="s">
        <v>1469</v>
      </c>
      <c r="M399" s="151">
        <v>0</v>
      </c>
      <c r="N399" s="151">
        <v>0</v>
      </c>
      <c r="O399" s="148">
        <v>0</v>
      </c>
      <c r="P399" s="151">
        <v>0</v>
      </c>
      <c r="Q399" s="148">
        <v>0</v>
      </c>
      <c r="R399" t="s">
        <v>9843</v>
      </c>
      <c r="S399" t="s">
        <v>7</v>
      </c>
      <c r="T399" t="s">
        <v>1132</v>
      </c>
      <c r="U399" t="s">
        <v>36</v>
      </c>
      <c r="V399" t="s">
        <v>9843</v>
      </c>
      <c r="W399" t="s">
        <v>35</v>
      </c>
      <c r="X399" t="s">
        <v>1470</v>
      </c>
      <c r="Y399" t="s">
        <v>1163</v>
      </c>
      <c r="Z399" t="s">
        <v>1097</v>
      </c>
      <c r="AA399" t="s">
        <v>7</v>
      </c>
      <c r="AB399" t="s">
        <v>7</v>
      </c>
      <c r="AC399" s="117" t="s">
        <v>9872</v>
      </c>
      <c r="AD399" t="s">
        <v>1081</v>
      </c>
      <c r="AE399" t="s">
        <v>35</v>
      </c>
      <c r="AF399" t="s">
        <v>35</v>
      </c>
      <c r="AG399" t="s">
        <v>1081</v>
      </c>
      <c r="AH399" s="117" t="s">
        <v>35</v>
      </c>
      <c r="AI399" s="125" t="s">
        <v>1849</v>
      </c>
    </row>
    <row r="400" spans="1:35">
      <c r="A400" t="s">
        <v>452</v>
      </c>
      <c r="B400" s="115" t="s">
        <v>98</v>
      </c>
      <c r="C400" s="89" t="s">
        <v>1036</v>
      </c>
      <c r="D400" t="s">
        <v>461</v>
      </c>
      <c r="E400" s="4" t="s">
        <v>1037</v>
      </c>
      <c r="F400" t="s">
        <v>1855</v>
      </c>
      <c r="G400" t="s">
        <v>3</v>
      </c>
      <c r="H400" s="6">
        <v>31806</v>
      </c>
      <c r="I400" t="s">
        <v>5</v>
      </c>
      <c r="J400" t="s">
        <v>1101</v>
      </c>
      <c r="K400" t="s">
        <v>1471</v>
      </c>
      <c r="L400" s="151" t="s">
        <v>1473</v>
      </c>
      <c r="M400" s="151" t="s">
        <v>1472</v>
      </c>
      <c r="N400" s="151" t="s">
        <v>1474</v>
      </c>
      <c r="O400" s="148">
        <v>0</v>
      </c>
      <c r="P400" s="151">
        <v>0</v>
      </c>
      <c r="Q400" s="148">
        <v>0</v>
      </c>
      <c r="R400" t="s">
        <v>9843</v>
      </c>
      <c r="S400" t="s">
        <v>7</v>
      </c>
      <c r="T400" t="s">
        <v>1475</v>
      </c>
      <c r="U400" t="s">
        <v>36</v>
      </c>
      <c r="V400" t="s">
        <v>9843</v>
      </c>
      <c r="W400" t="s">
        <v>35</v>
      </c>
      <c r="X400" t="s">
        <v>7</v>
      </c>
      <c r="Y400" t="s">
        <v>9</v>
      </c>
      <c r="Z400" t="s">
        <v>1097</v>
      </c>
      <c r="AA400" t="s">
        <v>7</v>
      </c>
      <c r="AB400" t="s">
        <v>7</v>
      </c>
      <c r="AC400" s="117" t="s">
        <v>9872</v>
      </c>
      <c r="AD400" t="s">
        <v>1476</v>
      </c>
      <c r="AE400" t="s">
        <v>35</v>
      </c>
      <c r="AF400" t="s">
        <v>35</v>
      </c>
      <c r="AG400" t="s">
        <v>1476</v>
      </c>
      <c r="AH400" s="117" t="s">
        <v>35</v>
      </c>
      <c r="AI400" s="125" t="s">
        <v>1849</v>
      </c>
    </row>
    <row r="401" spans="1:35">
      <c r="A401" t="s">
        <v>453</v>
      </c>
      <c r="B401" s="91" t="s">
        <v>921</v>
      </c>
      <c r="C401" s="90" t="s">
        <v>1036</v>
      </c>
      <c r="D401" t="s">
        <v>461</v>
      </c>
      <c r="E401" s="4" t="s">
        <v>1038</v>
      </c>
      <c r="F401" t="s">
        <v>76</v>
      </c>
      <c r="G401" t="s">
        <v>3</v>
      </c>
      <c r="H401" s="6">
        <v>34492</v>
      </c>
      <c r="I401" t="s">
        <v>1093</v>
      </c>
      <c r="J401" t="s">
        <v>48</v>
      </c>
      <c r="K401" t="s">
        <v>1186</v>
      </c>
      <c r="L401" s="151" t="s">
        <v>1479</v>
      </c>
      <c r="M401" s="151" t="s">
        <v>1478</v>
      </c>
      <c r="N401" s="151" t="s">
        <v>1477</v>
      </c>
      <c r="O401" s="148">
        <v>0</v>
      </c>
      <c r="P401" s="151">
        <v>0</v>
      </c>
      <c r="Q401" s="148">
        <v>0</v>
      </c>
      <c r="R401" t="s">
        <v>9843</v>
      </c>
      <c r="S401" t="s">
        <v>7</v>
      </c>
      <c r="T401" t="s">
        <v>1480</v>
      </c>
      <c r="U401" t="s">
        <v>36</v>
      </c>
      <c r="V401" t="s">
        <v>9843</v>
      </c>
      <c r="W401" t="s">
        <v>35</v>
      </c>
      <c r="X401" t="s">
        <v>7</v>
      </c>
      <c r="Y401" t="s">
        <v>9</v>
      </c>
      <c r="Z401" t="s">
        <v>1097</v>
      </c>
      <c r="AA401" t="s">
        <v>7</v>
      </c>
      <c r="AB401" t="s">
        <v>7</v>
      </c>
      <c r="AC401" s="117" t="s">
        <v>9872</v>
      </c>
      <c r="AD401" t="s">
        <v>1476</v>
      </c>
      <c r="AE401" t="s">
        <v>35</v>
      </c>
      <c r="AF401" t="s">
        <v>35</v>
      </c>
      <c r="AG401" t="s">
        <v>1476</v>
      </c>
      <c r="AH401" s="117" t="s">
        <v>35</v>
      </c>
      <c r="AI401" s="125" t="s">
        <v>1849</v>
      </c>
    </row>
    <row r="402" spans="1:35">
      <c r="A402" t="s">
        <v>455</v>
      </c>
      <c r="B402" s="93" t="s">
        <v>1039</v>
      </c>
      <c r="C402" s="92" t="s">
        <v>1036</v>
      </c>
      <c r="D402" t="s">
        <v>461</v>
      </c>
      <c r="E402" s="4" t="s">
        <v>1040</v>
      </c>
      <c r="F402" t="s">
        <v>1855</v>
      </c>
      <c r="G402" t="s">
        <v>515</v>
      </c>
      <c r="H402" s="6">
        <v>28893</v>
      </c>
      <c r="I402" t="s">
        <v>4</v>
      </c>
      <c r="J402" t="s">
        <v>48</v>
      </c>
      <c r="K402" t="s">
        <v>1481</v>
      </c>
      <c r="L402" s="151">
        <v>0</v>
      </c>
      <c r="M402" s="151" t="s">
        <v>1482</v>
      </c>
      <c r="N402" s="151">
        <v>0</v>
      </c>
      <c r="O402" s="148">
        <v>0</v>
      </c>
      <c r="P402" s="151">
        <v>0</v>
      </c>
      <c r="Q402" s="148">
        <v>0</v>
      </c>
      <c r="R402" t="s">
        <v>9843</v>
      </c>
      <c r="S402" t="s">
        <v>7</v>
      </c>
      <c r="T402" t="s">
        <v>1317</v>
      </c>
      <c r="U402" t="s">
        <v>36</v>
      </c>
      <c r="V402" t="s">
        <v>9843</v>
      </c>
      <c r="W402" t="s">
        <v>35</v>
      </c>
      <c r="X402" t="s">
        <v>7</v>
      </c>
      <c r="Y402" t="s">
        <v>9</v>
      </c>
      <c r="Z402" t="s">
        <v>7</v>
      </c>
      <c r="AA402" t="s">
        <v>7</v>
      </c>
      <c r="AB402" t="s">
        <v>7</v>
      </c>
      <c r="AC402" t="s">
        <v>9871</v>
      </c>
      <c r="AD402" t="s">
        <v>1185</v>
      </c>
      <c r="AE402" t="s">
        <v>35</v>
      </c>
      <c r="AF402" t="s">
        <v>35</v>
      </c>
      <c r="AG402" t="s">
        <v>1185</v>
      </c>
      <c r="AH402" s="117" t="s">
        <v>7</v>
      </c>
      <c r="AI402" s="117" t="s">
        <v>1114</v>
      </c>
    </row>
    <row r="403" spans="1:35">
      <c r="A403" t="s">
        <v>456</v>
      </c>
      <c r="B403" s="95" t="s">
        <v>98</v>
      </c>
      <c r="C403" s="94" t="s">
        <v>1036</v>
      </c>
      <c r="D403" t="s">
        <v>461</v>
      </c>
      <c r="E403" s="4" t="s">
        <v>1041</v>
      </c>
      <c r="F403" t="s">
        <v>1855</v>
      </c>
      <c r="G403" t="s">
        <v>3</v>
      </c>
      <c r="H403" s="6">
        <v>35528</v>
      </c>
      <c r="I403" t="s">
        <v>1093</v>
      </c>
      <c r="J403" t="s">
        <v>1101</v>
      </c>
      <c r="K403" t="s">
        <v>1127</v>
      </c>
      <c r="L403" s="151" t="s">
        <v>1483</v>
      </c>
      <c r="M403" s="151" t="s">
        <v>1484</v>
      </c>
      <c r="N403" s="151" t="s">
        <v>1151</v>
      </c>
      <c r="O403" s="148">
        <v>0</v>
      </c>
      <c r="P403" s="151">
        <v>0</v>
      </c>
      <c r="Q403" s="148" t="s">
        <v>1486</v>
      </c>
      <c r="R403" t="s">
        <v>9843</v>
      </c>
      <c r="S403" t="s">
        <v>7</v>
      </c>
      <c r="T403" t="s">
        <v>1485</v>
      </c>
      <c r="U403" t="s">
        <v>36</v>
      </c>
      <c r="V403" t="s">
        <v>9843</v>
      </c>
      <c r="W403" t="s">
        <v>35</v>
      </c>
      <c r="X403" t="s">
        <v>7</v>
      </c>
      <c r="Y403" t="s">
        <v>9</v>
      </c>
      <c r="Z403" t="s">
        <v>7</v>
      </c>
      <c r="AA403" t="s">
        <v>7</v>
      </c>
      <c r="AB403" t="s">
        <v>7</v>
      </c>
      <c r="AC403" t="s">
        <v>9870</v>
      </c>
      <c r="AD403" t="s">
        <v>10</v>
      </c>
      <c r="AE403" t="s">
        <v>35</v>
      </c>
      <c r="AF403" t="s">
        <v>35</v>
      </c>
      <c r="AG403" t="s">
        <v>10</v>
      </c>
      <c r="AH403" t="s">
        <v>9851</v>
      </c>
      <c r="AI403" s="117" t="s">
        <v>35</v>
      </c>
    </row>
    <row r="404" spans="1:35">
      <c r="A404" t="s">
        <v>457</v>
      </c>
      <c r="B404" s="97" t="s">
        <v>1042</v>
      </c>
      <c r="C404" s="96" t="s">
        <v>1036</v>
      </c>
      <c r="D404" t="s">
        <v>461</v>
      </c>
      <c r="E404" s="4" t="s">
        <v>1043</v>
      </c>
      <c r="F404" t="s">
        <v>1855</v>
      </c>
      <c r="G404" t="s">
        <v>3</v>
      </c>
      <c r="H404" s="6">
        <v>34312</v>
      </c>
      <c r="I404" t="s">
        <v>5</v>
      </c>
      <c r="J404" t="s">
        <v>1101</v>
      </c>
      <c r="K404" t="s">
        <v>1487</v>
      </c>
      <c r="L404" s="151" t="s">
        <v>1488</v>
      </c>
      <c r="M404" s="151" t="s">
        <v>1489</v>
      </c>
      <c r="N404" s="151" t="s">
        <v>1490</v>
      </c>
      <c r="O404" s="148">
        <v>0</v>
      </c>
      <c r="P404" s="151">
        <v>0</v>
      </c>
      <c r="Q404" s="148">
        <v>0</v>
      </c>
      <c r="R404" t="s">
        <v>9843</v>
      </c>
      <c r="S404" t="s">
        <v>7</v>
      </c>
      <c r="T404" t="s">
        <v>1281</v>
      </c>
      <c r="U404" t="s">
        <v>36</v>
      </c>
      <c r="V404" t="s">
        <v>9843</v>
      </c>
      <c r="W404" t="s">
        <v>35</v>
      </c>
      <c r="X404" t="s">
        <v>1199</v>
      </c>
      <c r="Y404" t="s">
        <v>1476</v>
      </c>
      <c r="Z404" t="s">
        <v>1097</v>
      </c>
      <c r="AA404" s="117" t="s">
        <v>1111</v>
      </c>
      <c r="AB404" t="s">
        <v>7</v>
      </c>
      <c r="AC404" s="117" t="s">
        <v>9872</v>
      </c>
      <c r="AD404" t="s">
        <v>1476</v>
      </c>
      <c r="AE404" t="s">
        <v>35</v>
      </c>
      <c r="AF404" t="s">
        <v>35</v>
      </c>
      <c r="AG404" t="s">
        <v>1476</v>
      </c>
      <c r="AH404" s="117" t="s">
        <v>35</v>
      </c>
      <c r="AI404" s="117" t="s">
        <v>1114</v>
      </c>
    </row>
    <row r="405" spans="1:35">
      <c r="A405" t="s">
        <v>458</v>
      </c>
      <c r="B405" s="99" t="s">
        <v>857</v>
      </c>
      <c r="C405" s="98" t="s">
        <v>1036</v>
      </c>
      <c r="D405" t="s">
        <v>461</v>
      </c>
      <c r="E405" s="4" t="s">
        <v>1044</v>
      </c>
      <c r="F405" t="s">
        <v>1855</v>
      </c>
      <c r="G405" t="s">
        <v>3</v>
      </c>
      <c r="H405" s="6">
        <v>35620</v>
      </c>
      <c r="I405" t="s">
        <v>5</v>
      </c>
      <c r="J405" t="s">
        <v>1101</v>
      </c>
      <c r="K405" t="s">
        <v>9792</v>
      </c>
      <c r="L405" s="151" t="s">
        <v>1492</v>
      </c>
      <c r="M405" s="151" t="s">
        <v>1491</v>
      </c>
      <c r="N405" s="151" t="s">
        <v>1493</v>
      </c>
      <c r="O405" s="149" t="s">
        <v>10043</v>
      </c>
      <c r="P405" s="154" t="s">
        <v>10044</v>
      </c>
      <c r="Q405" s="148">
        <v>0</v>
      </c>
      <c r="R405" t="s">
        <v>9843</v>
      </c>
      <c r="S405" t="s">
        <v>1272</v>
      </c>
      <c r="T405" t="s">
        <v>1494</v>
      </c>
      <c r="U405" t="s">
        <v>78</v>
      </c>
      <c r="V405" t="s">
        <v>9843</v>
      </c>
      <c r="W405" t="s">
        <v>7</v>
      </c>
      <c r="X405" t="s">
        <v>7</v>
      </c>
      <c r="Y405" t="s">
        <v>9</v>
      </c>
      <c r="Z405" t="s">
        <v>7</v>
      </c>
      <c r="AA405" t="s">
        <v>7</v>
      </c>
      <c r="AB405" t="s">
        <v>7</v>
      </c>
      <c r="AC405" t="s">
        <v>9871</v>
      </c>
      <c r="AD405" t="s">
        <v>1185</v>
      </c>
      <c r="AE405" t="s">
        <v>35</v>
      </c>
      <c r="AF405" t="s">
        <v>35</v>
      </c>
      <c r="AG405" t="s">
        <v>1185</v>
      </c>
      <c r="AH405" s="117" t="s">
        <v>7</v>
      </c>
      <c r="AI405" s="117" t="s">
        <v>1114</v>
      </c>
    </row>
    <row r="406" spans="1:35">
      <c r="A406" t="s">
        <v>459</v>
      </c>
      <c r="B406" s="101" t="s">
        <v>505</v>
      </c>
      <c r="C406" s="100" t="s">
        <v>1036</v>
      </c>
      <c r="D406" t="s">
        <v>461</v>
      </c>
      <c r="E406" s="4" t="s">
        <v>1045</v>
      </c>
      <c r="F406" t="s">
        <v>76</v>
      </c>
      <c r="G406" t="s">
        <v>3</v>
      </c>
      <c r="H406" s="6">
        <v>32518</v>
      </c>
      <c r="I406" t="s">
        <v>5</v>
      </c>
      <c r="J406" t="s">
        <v>77</v>
      </c>
      <c r="K406" t="s">
        <v>9790</v>
      </c>
      <c r="L406" s="151" t="s">
        <v>1496</v>
      </c>
      <c r="M406" s="151" t="s">
        <v>1495</v>
      </c>
      <c r="N406" s="151">
        <v>0</v>
      </c>
      <c r="O406" s="148">
        <v>0</v>
      </c>
      <c r="P406" s="151">
        <v>0</v>
      </c>
      <c r="Q406" s="148">
        <v>0</v>
      </c>
      <c r="R406" t="s">
        <v>9843</v>
      </c>
      <c r="S406" t="s">
        <v>9848</v>
      </c>
      <c r="T406" t="s">
        <v>1497</v>
      </c>
      <c r="U406" t="s">
        <v>36</v>
      </c>
      <c r="V406" t="s">
        <v>9843</v>
      </c>
      <c r="W406" s="125" t="s">
        <v>9848</v>
      </c>
      <c r="X406" t="s">
        <v>7</v>
      </c>
      <c r="Y406" t="s">
        <v>9</v>
      </c>
      <c r="Z406" t="s">
        <v>7</v>
      </c>
      <c r="AA406" t="s">
        <v>7</v>
      </c>
      <c r="AB406" t="s">
        <v>7</v>
      </c>
      <c r="AC406" t="s">
        <v>9871</v>
      </c>
      <c r="AD406" t="s">
        <v>1185</v>
      </c>
      <c r="AE406" t="s">
        <v>35</v>
      </c>
      <c r="AF406" t="s">
        <v>1162</v>
      </c>
      <c r="AG406" t="s">
        <v>1215</v>
      </c>
      <c r="AH406" s="117" t="s">
        <v>35</v>
      </c>
      <c r="AI406" s="117" t="s">
        <v>1114</v>
      </c>
    </row>
    <row r="407" spans="1:35">
      <c r="A407" t="s">
        <v>460</v>
      </c>
      <c r="B407" s="103" t="s">
        <v>690</v>
      </c>
      <c r="C407" s="102" t="s">
        <v>1036</v>
      </c>
      <c r="D407" t="s">
        <v>461</v>
      </c>
      <c r="E407" s="4" t="s">
        <v>1046</v>
      </c>
      <c r="F407" t="s">
        <v>1855</v>
      </c>
      <c r="G407" t="s">
        <v>3</v>
      </c>
      <c r="H407" s="6">
        <v>32314</v>
      </c>
      <c r="I407" t="s">
        <v>4</v>
      </c>
      <c r="J407" t="s">
        <v>48</v>
      </c>
      <c r="K407" t="s">
        <v>1120</v>
      </c>
      <c r="L407" s="151" t="s">
        <v>1498</v>
      </c>
      <c r="M407" s="151">
        <v>0</v>
      </c>
      <c r="N407" s="151" t="s">
        <v>1499</v>
      </c>
      <c r="O407" s="148">
        <v>0</v>
      </c>
      <c r="P407" s="151">
        <v>0</v>
      </c>
      <c r="Q407" s="148">
        <v>0</v>
      </c>
      <c r="R407" t="s">
        <v>9843</v>
      </c>
      <c r="S407" t="s">
        <v>1271</v>
      </c>
      <c r="T407" t="s">
        <v>1370</v>
      </c>
      <c r="U407" t="s">
        <v>78</v>
      </c>
      <c r="V407" t="s">
        <v>9843</v>
      </c>
      <c r="W407" t="s">
        <v>7</v>
      </c>
      <c r="X407" t="s">
        <v>7</v>
      </c>
      <c r="Y407" t="s">
        <v>9</v>
      </c>
      <c r="Z407" t="s">
        <v>7</v>
      </c>
      <c r="AA407" t="s">
        <v>7</v>
      </c>
      <c r="AB407" t="s">
        <v>7</v>
      </c>
      <c r="AC407" t="s">
        <v>9871</v>
      </c>
      <c r="AD407" t="s">
        <v>1185</v>
      </c>
      <c r="AE407" t="s">
        <v>35</v>
      </c>
      <c r="AF407" t="s">
        <v>35</v>
      </c>
      <c r="AG407" t="s">
        <v>1185</v>
      </c>
      <c r="AH407" s="117" t="s">
        <v>7</v>
      </c>
      <c r="AI407" s="117" t="s">
        <v>1114</v>
      </c>
    </row>
    <row r="408" spans="1:35">
      <c r="A408" t="s">
        <v>1379</v>
      </c>
      <c r="B408" s="2" t="s">
        <v>752</v>
      </c>
      <c r="C408" t="s">
        <v>1036</v>
      </c>
      <c r="D408" t="s">
        <v>461</v>
      </c>
      <c r="E408" s="4" t="s">
        <v>1467</v>
      </c>
      <c r="F408" t="s">
        <v>76</v>
      </c>
      <c r="G408" t="s">
        <v>3</v>
      </c>
      <c r="H408" s="6">
        <v>32645</v>
      </c>
      <c r="I408" t="s">
        <v>5</v>
      </c>
      <c r="J408" t="s">
        <v>41</v>
      </c>
      <c r="K408" t="s">
        <v>1500</v>
      </c>
      <c r="L408" s="151" t="s">
        <v>1501</v>
      </c>
      <c r="M408" s="151">
        <v>0</v>
      </c>
      <c r="N408" s="151">
        <v>0</v>
      </c>
      <c r="O408" s="148">
        <v>0</v>
      </c>
      <c r="P408" s="151">
        <v>0</v>
      </c>
      <c r="Q408" s="148">
        <v>0</v>
      </c>
      <c r="R408" t="s">
        <v>9843</v>
      </c>
      <c r="S408" t="s">
        <v>7</v>
      </c>
      <c r="T408" t="s">
        <v>1502</v>
      </c>
      <c r="U408" t="s">
        <v>51</v>
      </c>
      <c r="V408" t="s">
        <v>52</v>
      </c>
      <c r="W408" t="s">
        <v>35</v>
      </c>
      <c r="X408" t="s">
        <v>35</v>
      </c>
      <c r="Y408" t="s">
        <v>35</v>
      </c>
      <c r="Z408" t="s">
        <v>35</v>
      </c>
      <c r="AA408" t="s">
        <v>35</v>
      </c>
      <c r="AB408" t="s">
        <v>35</v>
      </c>
      <c r="AC408" t="s">
        <v>35</v>
      </c>
      <c r="AD408" t="s">
        <v>35</v>
      </c>
      <c r="AE408" t="s">
        <v>7</v>
      </c>
      <c r="AF408" t="s">
        <v>35</v>
      </c>
      <c r="AG408" t="s">
        <v>35</v>
      </c>
      <c r="AH408" t="s">
        <v>35</v>
      </c>
      <c r="AI408" t="s">
        <v>35</v>
      </c>
    </row>
    <row r="409" spans="1:35">
      <c r="A409" t="s">
        <v>1380</v>
      </c>
      <c r="B409" s="2" t="s">
        <v>1042</v>
      </c>
      <c r="C409" t="s">
        <v>1036</v>
      </c>
      <c r="D409" t="s">
        <v>461</v>
      </c>
      <c r="E409" t="s">
        <v>1468</v>
      </c>
      <c r="F409" t="s">
        <v>1855</v>
      </c>
      <c r="G409" t="s">
        <v>3</v>
      </c>
      <c r="H409" s="6">
        <v>25966</v>
      </c>
      <c r="I409" t="s">
        <v>5</v>
      </c>
      <c r="J409" t="s">
        <v>1101</v>
      </c>
      <c r="K409" t="s">
        <v>1503</v>
      </c>
      <c r="L409" s="151" t="s">
        <v>1506</v>
      </c>
      <c r="M409" s="151" t="s">
        <v>1505</v>
      </c>
      <c r="N409" s="151" t="s">
        <v>1504</v>
      </c>
      <c r="O409" s="148">
        <v>0</v>
      </c>
      <c r="P409" s="151">
        <v>0</v>
      </c>
      <c r="Q409" s="148">
        <v>0</v>
      </c>
      <c r="R409" t="s">
        <v>9843</v>
      </c>
      <c r="S409" t="s">
        <v>7</v>
      </c>
      <c r="T409" t="s">
        <v>1370</v>
      </c>
      <c r="U409" t="s">
        <v>36</v>
      </c>
      <c r="V409" t="s">
        <v>9843</v>
      </c>
      <c r="W409" t="s">
        <v>35</v>
      </c>
      <c r="X409" t="s">
        <v>1199</v>
      </c>
      <c r="Y409" t="s">
        <v>1476</v>
      </c>
      <c r="Z409" t="s">
        <v>1097</v>
      </c>
      <c r="AA409" t="s">
        <v>7</v>
      </c>
      <c r="AB409" t="s">
        <v>7</v>
      </c>
      <c r="AC409" s="117" t="s">
        <v>9872</v>
      </c>
      <c r="AD409" t="s">
        <v>1215</v>
      </c>
      <c r="AE409" t="s">
        <v>35</v>
      </c>
      <c r="AF409" t="s">
        <v>35</v>
      </c>
      <c r="AG409" t="s">
        <v>1215</v>
      </c>
      <c r="AH409" s="117" t="s">
        <v>35</v>
      </c>
      <c r="AI409" s="125" t="s">
        <v>1849</v>
      </c>
    </row>
    <row r="410" spans="1:35">
      <c r="A410" t="s">
        <v>462</v>
      </c>
      <c r="B410" s="105" t="s">
        <v>843</v>
      </c>
      <c r="C410" s="104" t="s">
        <v>1047</v>
      </c>
      <c r="D410" t="s">
        <v>473</v>
      </c>
      <c r="E410" s="4" t="s">
        <v>1048</v>
      </c>
      <c r="F410" t="s">
        <v>1855</v>
      </c>
      <c r="G410" t="s">
        <v>3</v>
      </c>
      <c r="H410" s="6">
        <v>31148</v>
      </c>
      <c r="I410" t="s">
        <v>5</v>
      </c>
      <c r="J410" t="s">
        <v>77</v>
      </c>
      <c r="K410" t="s">
        <v>1441</v>
      </c>
      <c r="L410" s="151" t="s">
        <v>1443</v>
      </c>
      <c r="M410" s="151" t="s">
        <v>1442</v>
      </c>
      <c r="N410" s="151">
        <v>0</v>
      </c>
      <c r="O410" s="148">
        <v>0</v>
      </c>
      <c r="P410" s="151">
        <v>0</v>
      </c>
      <c r="Q410" s="148">
        <v>0</v>
      </c>
      <c r="R410" t="s">
        <v>9843</v>
      </c>
      <c r="S410" t="s">
        <v>7</v>
      </c>
      <c r="T410" t="s">
        <v>80</v>
      </c>
      <c r="U410" t="s">
        <v>36</v>
      </c>
      <c r="V410" t="s">
        <v>9843</v>
      </c>
      <c r="W410" t="s">
        <v>35</v>
      </c>
      <c r="X410" t="s">
        <v>7</v>
      </c>
      <c r="Y410" t="s">
        <v>9</v>
      </c>
      <c r="Z410" t="s">
        <v>1097</v>
      </c>
      <c r="AA410" t="s">
        <v>7</v>
      </c>
      <c r="AB410" t="s">
        <v>7</v>
      </c>
      <c r="AC410" s="117" t="s">
        <v>9872</v>
      </c>
      <c r="AD410" t="s">
        <v>1100</v>
      </c>
      <c r="AE410" t="s">
        <v>35</v>
      </c>
      <c r="AF410" t="s">
        <v>35</v>
      </c>
      <c r="AG410" t="s">
        <v>1100</v>
      </c>
      <c r="AH410" s="117" t="s">
        <v>35</v>
      </c>
      <c r="AI410" s="125" t="s">
        <v>1849</v>
      </c>
    </row>
    <row r="411" spans="1:35">
      <c r="A411" t="s">
        <v>463</v>
      </c>
      <c r="B411" s="107" t="s">
        <v>1049</v>
      </c>
      <c r="C411" s="106" t="s">
        <v>1050</v>
      </c>
      <c r="D411" t="s">
        <v>473</v>
      </c>
      <c r="E411" s="4" t="s">
        <v>1051</v>
      </c>
      <c r="F411" t="s">
        <v>1855</v>
      </c>
      <c r="G411" t="s">
        <v>3</v>
      </c>
      <c r="H411" s="6">
        <v>35473</v>
      </c>
      <c r="I411" t="s">
        <v>5</v>
      </c>
      <c r="J411" t="s">
        <v>48</v>
      </c>
      <c r="K411" t="s">
        <v>1186</v>
      </c>
      <c r="L411" s="151">
        <v>0</v>
      </c>
      <c r="M411" s="151">
        <v>0</v>
      </c>
      <c r="N411" s="154" t="s">
        <v>10045</v>
      </c>
      <c r="O411" s="148">
        <v>0</v>
      </c>
      <c r="P411" s="151">
        <v>0</v>
      </c>
      <c r="Q411" s="148">
        <v>0</v>
      </c>
      <c r="R411" t="s">
        <v>9843</v>
      </c>
      <c r="S411" t="s">
        <v>7</v>
      </c>
      <c r="T411" t="s">
        <v>1173</v>
      </c>
      <c r="U411" t="s">
        <v>36</v>
      </c>
      <c r="V411" t="s">
        <v>9843</v>
      </c>
      <c r="W411" t="s">
        <v>35</v>
      </c>
      <c r="X411" t="s">
        <v>7</v>
      </c>
      <c r="Y411" t="s">
        <v>9</v>
      </c>
      <c r="Z411" t="s">
        <v>7</v>
      </c>
      <c r="AA411" t="s">
        <v>7</v>
      </c>
      <c r="AB411" t="s">
        <v>7</v>
      </c>
      <c r="AC411" t="s">
        <v>9870</v>
      </c>
      <c r="AD411" t="s">
        <v>10</v>
      </c>
      <c r="AE411" t="s">
        <v>35</v>
      </c>
      <c r="AF411" t="s">
        <v>35</v>
      </c>
      <c r="AG411" t="s">
        <v>10</v>
      </c>
      <c r="AH411" s="117" t="s">
        <v>7</v>
      </c>
      <c r="AI411" t="s">
        <v>37</v>
      </c>
    </row>
    <row r="412" spans="1:35">
      <c r="A412" t="s">
        <v>464</v>
      </c>
      <c r="B412" s="109" t="s">
        <v>1052</v>
      </c>
      <c r="C412" s="108" t="s">
        <v>1047</v>
      </c>
      <c r="D412" t="s">
        <v>473</v>
      </c>
      <c r="E412" s="4" t="s">
        <v>1053</v>
      </c>
      <c r="F412" t="s">
        <v>1855</v>
      </c>
      <c r="G412" t="s">
        <v>3</v>
      </c>
      <c r="H412" s="6">
        <v>35155</v>
      </c>
      <c r="I412" t="s">
        <v>5</v>
      </c>
      <c r="J412" t="s">
        <v>1074</v>
      </c>
      <c r="K412" t="s">
        <v>1444</v>
      </c>
      <c r="L412" s="151">
        <v>0</v>
      </c>
      <c r="M412" s="151" t="s">
        <v>1445</v>
      </c>
      <c r="N412" s="151">
        <v>0</v>
      </c>
      <c r="O412" s="148">
        <v>0</v>
      </c>
      <c r="P412" s="151">
        <v>0</v>
      </c>
      <c r="Q412" s="148">
        <v>0</v>
      </c>
      <c r="R412" t="s">
        <v>9843</v>
      </c>
      <c r="S412" t="s">
        <v>7</v>
      </c>
      <c r="T412" t="s">
        <v>1173</v>
      </c>
      <c r="U412" t="s">
        <v>36</v>
      </c>
      <c r="V412" t="s">
        <v>9843</v>
      </c>
      <c r="W412" t="s">
        <v>35</v>
      </c>
      <c r="X412" t="s">
        <v>7</v>
      </c>
      <c r="Y412" t="s">
        <v>9</v>
      </c>
      <c r="Z412" t="s">
        <v>7</v>
      </c>
      <c r="AA412" t="s">
        <v>7</v>
      </c>
      <c r="AB412" s="117" t="s">
        <v>9868</v>
      </c>
      <c r="AC412" s="117" t="s">
        <v>7</v>
      </c>
      <c r="AD412" t="s">
        <v>1100</v>
      </c>
      <c r="AE412" t="s">
        <v>35</v>
      </c>
      <c r="AF412" t="s">
        <v>35</v>
      </c>
      <c r="AG412" t="s">
        <v>1100</v>
      </c>
      <c r="AH412" s="117" t="s">
        <v>35</v>
      </c>
      <c r="AI412" s="125" t="s">
        <v>1849</v>
      </c>
    </row>
    <row r="413" spans="1:35">
      <c r="A413" t="s">
        <v>465</v>
      </c>
      <c r="B413" s="111" t="s">
        <v>1054</v>
      </c>
      <c r="C413" s="110" t="s">
        <v>1047</v>
      </c>
      <c r="D413" t="s">
        <v>473</v>
      </c>
      <c r="E413" s="4" t="s">
        <v>1055</v>
      </c>
      <c r="F413" t="s">
        <v>1085</v>
      </c>
      <c r="G413" t="s">
        <v>3</v>
      </c>
      <c r="H413" s="6">
        <v>31567</v>
      </c>
      <c r="I413" t="s">
        <v>5</v>
      </c>
      <c r="J413" t="s">
        <v>1101</v>
      </c>
      <c r="K413" t="s">
        <v>1446</v>
      </c>
      <c r="L413" s="151" t="s">
        <v>1448</v>
      </c>
      <c r="M413" s="151" t="s">
        <v>1447</v>
      </c>
      <c r="N413" s="151">
        <v>0</v>
      </c>
      <c r="O413" s="148">
        <v>0</v>
      </c>
      <c r="P413" s="151">
        <v>0</v>
      </c>
      <c r="Q413" s="148">
        <v>0</v>
      </c>
      <c r="R413" t="s">
        <v>9843</v>
      </c>
      <c r="S413" t="s">
        <v>7</v>
      </c>
      <c r="T413" t="s">
        <v>1173</v>
      </c>
      <c r="U413" t="s">
        <v>36</v>
      </c>
      <c r="V413" t="s">
        <v>9843</v>
      </c>
      <c r="W413" t="s">
        <v>35</v>
      </c>
      <c r="X413" t="s">
        <v>1455</v>
      </c>
      <c r="Y413" t="s">
        <v>1418</v>
      </c>
      <c r="Z413" t="s">
        <v>7</v>
      </c>
      <c r="AA413" t="s">
        <v>7</v>
      </c>
      <c r="AB413" t="s">
        <v>7</v>
      </c>
      <c r="AC413" t="s">
        <v>9870</v>
      </c>
      <c r="AD413" t="s">
        <v>1182</v>
      </c>
      <c r="AE413" t="s">
        <v>35</v>
      </c>
      <c r="AF413" t="s">
        <v>35</v>
      </c>
      <c r="AG413" t="s">
        <v>1182</v>
      </c>
      <c r="AH413" s="117" t="s">
        <v>7</v>
      </c>
      <c r="AI413" t="s">
        <v>37</v>
      </c>
    </row>
    <row r="414" spans="1:35">
      <c r="A414" t="s">
        <v>466</v>
      </c>
      <c r="B414" s="113" t="s">
        <v>623</v>
      </c>
      <c r="C414" s="112" t="s">
        <v>1047</v>
      </c>
      <c r="D414" t="s">
        <v>473</v>
      </c>
      <c r="E414" s="4" t="s">
        <v>1056</v>
      </c>
      <c r="F414" t="s">
        <v>1855</v>
      </c>
      <c r="G414" t="s">
        <v>3</v>
      </c>
      <c r="H414" s="6">
        <v>35923</v>
      </c>
      <c r="I414" t="s">
        <v>5</v>
      </c>
      <c r="J414" t="s">
        <v>48</v>
      </c>
      <c r="K414" t="s">
        <v>1449</v>
      </c>
      <c r="L414" s="151" t="s">
        <v>1450</v>
      </c>
      <c r="M414" s="154" t="s">
        <v>10046</v>
      </c>
      <c r="N414" s="151">
        <v>0</v>
      </c>
      <c r="O414" s="148">
        <v>0</v>
      </c>
      <c r="P414" s="151">
        <v>0</v>
      </c>
      <c r="Q414" s="148">
        <v>0</v>
      </c>
      <c r="R414" t="s">
        <v>9843</v>
      </c>
      <c r="S414" t="s">
        <v>7</v>
      </c>
      <c r="T414" t="s">
        <v>1173</v>
      </c>
      <c r="U414" t="s">
        <v>36</v>
      </c>
      <c r="V414" t="s">
        <v>9843</v>
      </c>
      <c r="W414" t="s">
        <v>35</v>
      </c>
      <c r="X414" t="s">
        <v>7</v>
      </c>
      <c r="Y414" t="s">
        <v>9</v>
      </c>
      <c r="Z414" t="s">
        <v>7</v>
      </c>
      <c r="AA414" t="s">
        <v>7</v>
      </c>
      <c r="AB414" t="s">
        <v>7</v>
      </c>
      <c r="AC414" s="117" t="s">
        <v>7</v>
      </c>
      <c r="AD414" t="s">
        <v>9</v>
      </c>
      <c r="AE414" t="s">
        <v>35</v>
      </c>
      <c r="AF414" t="s">
        <v>35</v>
      </c>
      <c r="AG414" t="s">
        <v>9</v>
      </c>
      <c r="AH414" s="117" t="s">
        <v>35</v>
      </c>
      <c r="AI414" s="125" t="s">
        <v>1849</v>
      </c>
    </row>
    <row r="415" spans="1:35">
      <c r="A415" t="s">
        <v>467</v>
      </c>
      <c r="B415" s="115" t="s">
        <v>1057</v>
      </c>
      <c r="C415" s="114" t="s">
        <v>1050</v>
      </c>
      <c r="D415" t="s">
        <v>473</v>
      </c>
      <c r="E415" s="4" t="s">
        <v>1058</v>
      </c>
      <c r="F415" t="s">
        <v>1855</v>
      </c>
      <c r="G415" t="s">
        <v>3</v>
      </c>
      <c r="H415" s="6">
        <v>34527</v>
      </c>
      <c r="I415" t="s">
        <v>5</v>
      </c>
      <c r="J415" t="s">
        <v>48</v>
      </c>
      <c r="K415" t="s">
        <v>1451</v>
      </c>
      <c r="L415" s="151" t="s">
        <v>1452</v>
      </c>
      <c r="M415" s="151" t="s">
        <v>1453</v>
      </c>
      <c r="N415" s="151" t="s">
        <v>1454</v>
      </c>
      <c r="O415" s="148">
        <v>0</v>
      </c>
      <c r="P415" s="151">
        <v>0</v>
      </c>
      <c r="Q415" s="148">
        <v>0</v>
      </c>
      <c r="R415" t="s">
        <v>9846</v>
      </c>
      <c r="S415" t="s">
        <v>7</v>
      </c>
      <c r="T415" t="s">
        <v>1173</v>
      </c>
      <c r="U415" t="s">
        <v>78</v>
      </c>
      <c r="V415" t="s">
        <v>9843</v>
      </c>
      <c r="W415" t="s">
        <v>35</v>
      </c>
      <c r="X415" t="s">
        <v>9865</v>
      </c>
      <c r="Y415" t="s">
        <v>1080</v>
      </c>
      <c r="Z415" t="s">
        <v>1097</v>
      </c>
      <c r="AA415" t="s">
        <v>7</v>
      </c>
      <c r="AB415" t="s">
        <v>7</v>
      </c>
      <c r="AC415" s="117" t="s">
        <v>9872</v>
      </c>
      <c r="AD415" t="s">
        <v>1163</v>
      </c>
      <c r="AE415" t="s">
        <v>35</v>
      </c>
      <c r="AF415" t="s">
        <v>35</v>
      </c>
      <c r="AG415" t="s">
        <v>1163</v>
      </c>
      <c r="AH415" s="117" t="s">
        <v>35</v>
      </c>
      <c r="AI415" s="125" t="s">
        <v>1849</v>
      </c>
    </row>
    <row r="416" spans="1:35">
      <c r="A416" t="s">
        <v>467</v>
      </c>
      <c r="B416" s="115" t="s">
        <v>1057</v>
      </c>
      <c r="C416" s="114" t="s">
        <v>1050</v>
      </c>
      <c r="D416" t="s">
        <v>473</v>
      </c>
      <c r="E416" s="4" t="s">
        <v>1059</v>
      </c>
      <c r="F416" t="s">
        <v>1855</v>
      </c>
      <c r="G416" t="s">
        <v>3</v>
      </c>
      <c r="H416" s="6">
        <v>32973</v>
      </c>
      <c r="I416" t="s">
        <v>5</v>
      </c>
      <c r="J416" t="s">
        <v>48</v>
      </c>
      <c r="K416" t="s">
        <v>1451</v>
      </c>
      <c r="L416" s="151">
        <v>0</v>
      </c>
      <c r="M416" s="151">
        <v>0</v>
      </c>
      <c r="N416" s="151">
        <v>0</v>
      </c>
      <c r="O416" s="148">
        <v>0</v>
      </c>
      <c r="P416" s="151">
        <v>0</v>
      </c>
      <c r="Q416" s="148">
        <v>0</v>
      </c>
      <c r="R416" t="s">
        <v>9846</v>
      </c>
      <c r="S416" t="s">
        <v>7</v>
      </c>
      <c r="T416" t="s">
        <v>1098</v>
      </c>
      <c r="U416" t="s">
        <v>78</v>
      </c>
      <c r="V416" t="s">
        <v>9843</v>
      </c>
      <c r="W416" t="s">
        <v>35</v>
      </c>
      <c r="X416" t="s">
        <v>1455</v>
      </c>
      <c r="Y416" t="s">
        <v>1418</v>
      </c>
      <c r="Z416" t="s">
        <v>7</v>
      </c>
      <c r="AA416" t="s">
        <v>7</v>
      </c>
      <c r="AB416" t="s">
        <v>7</v>
      </c>
      <c r="AC416" t="s">
        <v>9870</v>
      </c>
      <c r="AD416" t="s">
        <v>1182</v>
      </c>
      <c r="AE416" t="s">
        <v>35</v>
      </c>
      <c r="AF416" t="s">
        <v>35</v>
      </c>
      <c r="AG416" t="s">
        <v>1182</v>
      </c>
      <c r="AH416" s="117" t="s">
        <v>7</v>
      </c>
      <c r="AI416" t="s">
        <v>37</v>
      </c>
    </row>
    <row r="417" spans="1:35">
      <c r="A417" t="s">
        <v>468</v>
      </c>
      <c r="B417" s="115" t="s">
        <v>832</v>
      </c>
      <c r="C417" s="114" t="s">
        <v>1050</v>
      </c>
      <c r="D417" t="s">
        <v>473</v>
      </c>
      <c r="E417" s="4" t="s">
        <v>1060</v>
      </c>
      <c r="F417" t="s">
        <v>1855</v>
      </c>
      <c r="G417" t="s">
        <v>3</v>
      </c>
      <c r="H417" s="6">
        <v>32519</v>
      </c>
      <c r="I417" t="s">
        <v>4</v>
      </c>
      <c r="J417" t="s">
        <v>77</v>
      </c>
      <c r="K417" t="s">
        <v>1456</v>
      </c>
      <c r="L417" s="154" t="s">
        <v>10047</v>
      </c>
      <c r="M417" s="154" t="s">
        <v>10048</v>
      </c>
      <c r="N417" s="154" t="s">
        <v>10049</v>
      </c>
      <c r="O417" s="148">
        <v>0</v>
      </c>
      <c r="P417" s="151">
        <v>0</v>
      </c>
      <c r="Q417" s="148">
        <v>0</v>
      </c>
      <c r="R417" t="s">
        <v>9843</v>
      </c>
      <c r="S417" t="s">
        <v>7</v>
      </c>
      <c r="T417" t="s">
        <v>1173</v>
      </c>
      <c r="U417" t="s">
        <v>36</v>
      </c>
      <c r="V417" t="s">
        <v>9843</v>
      </c>
      <c r="W417" t="s">
        <v>35</v>
      </c>
      <c r="X417" t="s">
        <v>1455</v>
      </c>
      <c r="Y417" t="s">
        <v>1418</v>
      </c>
      <c r="Z417" t="s">
        <v>1097</v>
      </c>
      <c r="AA417" t="s">
        <v>7</v>
      </c>
      <c r="AB417" t="s">
        <v>7</v>
      </c>
      <c r="AC417" s="117" t="s">
        <v>9872</v>
      </c>
      <c r="AD417" t="s">
        <v>1099</v>
      </c>
      <c r="AE417" t="s">
        <v>35</v>
      </c>
      <c r="AF417" t="s">
        <v>35</v>
      </c>
      <c r="AG417" t="s">
        <v>1099</v>
      </c>
      <c r="AH417" s="117" t="s">
        <v>35</v>
      </c>
      <c r="AI417" s="125" t="s">
        <v>1849</v>
      </c>
    </row>
    <row r="418" spans="1:35">
      <c r="A418" t="s">
        <v>469</v>
      </c>
      <c r="B418" s="115" t="s">
        <v>931</v>
      </c>
      <c r="C418" s="114" t="s">
        <v>718</v>
      </c>
      <c r="D418" t="s">
        <v>473</v>
      </c>
      <c r="E418" s="4" t="s">
        <v>1061</v>
      </c>
      <c r="F418" t="s">
        <v>1855</v>
      </c>
      <c r="G418" t="s">
        <v>3</v>
      </c>
      <c r="H418" s="6">
        <v>32935</v>
      </c>
      <c r="I418" t="s">
        <v>4</v>
      </c>
      <c r="J418" t="s">
        <v>48</v>
      </c>
      <c r="K418" t="s">
        <v>1457</v>
      </c>
      <c r="L418" s="151" t="s">
        <v>1458</v>
      </c>
      <c r="M418" s="151" t="s">
        <v>1459</v>
      </c>
      <c r="N418" s="151">
        <v>0</v>
      </c>
      <c r="O418" s="148">
        <v>0</v>
      </c>
      <c r="P418" s="151">
        <v>0</v>
      </c>
      <c r="Q418" s="148">
        <v>0</v>
      </c>
      <c r="R418" t="s">
        <v>9843</v>
      </c>
      <c r="S418" t="s">
        <v>7</v>
      </c>
      <c r="T418" t="s">
        <v>1460</v>
      </c>
      <c r="U418" t="s">
        <v>36</v>
      </c>
      <c r="V418" t="s">
        <v>9843</v>
      </c>
      <c r="W418" t="s">
        <v>35</v>
      </c>
      <c r="X418" t="s">
        <v>7</v>
      </c>
      <c r="Y418" t="s">
        <v>9</v>
      </c>
      <c r="Z418" t="s">
        <v>7</v>
      </c>
      <c r="AA418" t="s">
        <v>7</v>
      </c>
      <c r="AB418" t="s">
        <v>7</v>
      </c>
      <c r="AC418" t="s">
        <v>9870</v>
      </c>
      <c r="AD418" t="s">
        <v>10</v>
      </c>
      <c r="AE418" t="s">
        <v>35</v>
      </c>
      <c r="AF418" t="s">
        <v>35</v>
      </c>
      <c r="AG418" t="s">
        <v>10</v>
      </c>
      <c r="AH418" s="117" t="s">
        <v>7</v>
      </c>
      <c r="AI418" s="117" t="s">
        <v>1114</v>
      </c>
    </row>
    <row r="419" spans="1:35">
      <c r="A419" t="s">
        <v>470</v>
      </c>
      <c r="B419" s="115" t="s">
        <v>1057</v>
      </c>
      <c r="C419" s="114" t="s">
        <v>1047</v>
      </c>
      <c r="D419" t="s">
        <v>473</v>
      </c>
      <c r="E419" s="4" t="s">
        <v>1062</v>
      </c>
      <c r="F419" t="s">
        <v>1855</v>
      </c>
      <c r="G419" t="s">
        <v>3</v>
      </c>
      <c r="H419" s="6">
        <v>32884</v>
      </c>
      <c r="I419" t="s">
        <v>5</v>
      </c>
      <c r="J419" t="s">
        <v>1101</v>
      </c>
      <c r="K419" t="s">
        <v>9793</v>
      </c>
      <c r="L419" s="151" t="s">
        <v>1461</v>
      </c>
      <c r="M419" s="151" t="s">
        <v>1462</v>
      </c>
      <c r="N419" s="151">
        <v>0</v>
      </c>
      <c r="O419" s="148">
        <v>0</v>
      </c>
      <c r="P419" s="151">
        <v>0</v>
      </c>
      <c r="Q419" s="148">
        <v>0</v>
      </c>
      <c r="R419" t="s">
        <v>9843</v>
      </c>
      <c r="S419" t="s">
        <v>7</v>
      </c>
      <c r="T419" t="s">
        <v>72</v>
      </c>
      <c r="U419" t="s">
        <v>36</v>
      </c>
      <c r="V419" t="s">
        <v>9843</v>
      </c>
      <c r="W419" t="s">
        <v>35</v>
      </c>
      <c r="X419" t="s">
        <v>7</v>
      </c>
      <c r="Y419" t="s">
        <v>9</v>
      </c>
      <c r="Z419" t="s">
        <v>7</v>
      </c>
      <c r="AA419" t="s">
        <v>7</v>
      </c>
      <c r="AB419" s="117" t="s">
        <v>9868</v>
      </c>
      <c r="AC419" s="117" t="s">
        <v>7</v>
      </c>
      <c r="AD419" t="s">
        <v>1100</v>
      </c>
      <c r="AE419" t="s">
        <v>35</v>
      </c>
      <c r="AF419" t="s">
        <v>35</v>
      </c>
      <c r="AG419" t="s">
        <v>1100</v>
      </c>
      <c r="AH419" s="117" t="s">
        <v>35</v>
      </c>
      <c r="AI419" s="125" t="s">
        <v>1849</v>
      </c>
    </row>
    <row r="420" spans="1:35">
      <c r="A420" t="s">
        <v>471</v>
      </c>
      <c r="B420" s="115" t="s">
        <v>525</v>
      </c>
      <c r="C420" s="114" t="s">
        <v>1050</v>
      </c>
      <c r="D420" t="s">
        <v>473</v>
      </c>
      <c r="E420" s="4" t="s">
        <v>1035</v>
      </c>
      <c r="F420" t="s">
        <v>1855</v>
      </c>
      <c r="G420" t="s">
        <v>3</v>
      </c>
      <c r="H420" s="6">
        <v>27653</v>
      </c>
      <c r="I420" t="s">
        <v>4</v>
      </c>
      <c r="J420" t="s">
        <v>41</v>
      </c>
      <c r="K420" t="s">
        <v>1463</v>
      </c>
      <c r="L420" s="151" t="s">
        <v>1464</v>
      </c>
      <c r="M420" s="151">
        <v>0</v>
      </c>
      <c r="N420" s="151">
        <v>0</v>
      </c>
      <c r="O420" s="148">
        <v>0</v>
      </c>
      <c r="P420" s="151">
        <v>0</v>
      </c>
      <c r="Q420" s="148">
        <v>0</v>
      </c>
      <c r="R420" t="s">
        <v>9843</v>
      </c>
      <c r="S420" t="s">
        <v>7</v>
      </c>
      <c r="T420" t="s">
        <v>80</v>
      </c>
      <c r="U420" t="s">
        <v>36</v>
      </c>
      <c r="V420" t="s">
        <v>9843</v>
      </c>
      <c r="W420" t="s">
        <v>35</v>
      </c>
      <c r="X420" s="117" t="s">
        <v>1104</v>
      </c>
      <c r="Y420" t="s">
        <v>1100</v>
      </c>
      <c r="Z420" t="s">
        <v>7</v>
      </c>
      <c r="AA420" t="s">
        <v>7</v>
      </c>
      <c r="AB420" t="s">
        <v>7</v>
      </c>
      <c r="AC420" s="117" t="s">
        <v>9872</v>
      </c>
      <c r="AD420" t="s">
        <v>1100</v>
      </c>
      <c r="AE420" t="s">
        <v>35</v>
      </c>
      <c r="AF420" t="s">
        <v>35</v>
      </c>
      <c r="AG420" t="s">
        <v>1100</v>
      </c>
      <c r="AH420" s="117" t="s">
        <v>35</v>
      </c>
      <c r="AI420" s="117" t="s">
        <v>1114</v>
      </c>
    </row>
    <row r="421" spans="1:35">
      <c r="A421" t="s">
        <v>472</v>
      </c>
      <c r="B421" s="115" t="s">
        <v>525</v>
      </c>
      <c r="C421" s="114" t="s">
        <v>1050</v>
      </c>
      <c r="D421" t="s">
        <v>473</v>
      </c>
      <c r="E421" s="4" t="s">
        <v>1063</v>
      </c>
      <c r="F421" t="s">
        <v>1855</v>
      </c>
      <c r="G421" t="s">
        <v>3</v>
      </c>
      <c r="H421" s="6">
        <v>31834</v>
      </c>
      <c r="I421" t="s">
        <v>5</v>
      </c>
      <c r="J421" t="s">
        <v>1101</v>
      </c>
      <c r="K421" t="s">
        <v>1420</v>
      </c>
      <c r="L421" s="151" t="s">
        <v>1465</v>
      </c>
      <c r="M421" s="151" t="s">
        <v>1466</v>
      </c>
      <c r="N421" s="151">
        <v>0</v>
      </c>
      <c r="O421" s="148">
        <v>0</v>
      </c>
      <c r="P421" s="151">
        <v>0</v>
      </c>
      <c r="Q421" s="148">
        <v>0</v>
      </c>
      <c r="R421" t="s">
        <v>9843</v>
      </c>
      <c r="S421" t="s">
        <v>7</v>
      </c>
      <c r="T421" t="s">
        <v>1150</v>
      </c>
      <c r="U421" t="s">
        <v>36</v>
      </c>
      <c r="V421" t="s">
        <v>9843</v>
      </c>
      <c r="W421" t="s">
        <v>35</v>
      </c>
      <c r="X421" t="s">
        <v>7</v>
      </c>
      <c r="Y421" t="s">
        <v>9</v>
      </c>
      <c r="Z421" t="s">
        <v>1097</v>
      </c>
      <c r="AA421" t="s">
        <v>7</v>
      </c>
      <c r="AB421" t="s">
        <v>7</v>
      </c>
      <c r="AC421" s="117" t="s">
        <v>9872</v>
      </c>
      <c r="AD421" t="s">
        <v>1100</v>
      </c>
      <c r="AE421" t="s">
        <v>35</v>
      </c>
      <c r="AF421" t="s">
        <v>35</v>
      </c>
      <c r="AG421" t="s">
        <v>1100</v>
      </c>
      <c r="AH421" s="117" t="s">
        <v>35</v>
      </c>
      <c r="AI421" s="125" t="s">
        <v>1849</v>
      </c>
    </row>
    <row r="423" spans="1:35">
      <c r="E423" s="4"/>
    </row>
    <row r="424" spans="1:35">
      <c r="C424" s="114"/>
      <c r="E424" s="4"/>
    </row>
    <row r="426" spans="1:35">
      <c r="C426" s="127"/>
      <c r="E426" s="4"/>
    </row>
    <row r="427" spans="1:35">
      <c r="C427" s="114"/>
      <c r="E427" s="4"/>
    </row>
    <row r="428" spans="1:35">
      <c r="E428" s="4"/>
    </row>
    <row r="429" spans="1:35">
      <c r="E429" s="4"/>
    </row>
    <row r="430" spans="1:35">
      <c r="C430" s="86"/>
      <c r="E430" s="86"/>
    </row>
    <row r="431" spans="1:35">
      <c r="C431" s="127"/>
      <c r="E431" s="86"/>
    </row>
    <row r="432" spans="1:35">
      <c r="E432" s="86"/>
    </row>
    <row r="433" spans="3:5">
      <c r="C433" s="114"/>
      <c r="E433" s="86"/>
    </row>
    <row r="434" spans="3:5">
      <c r="C434" s="114"/>
      <c r="E434" s="86"/>
    </row>
    <row r="435" spans="3:5">
      <c r="C435" s="114"/>
      <c r="E435" s="86"/>
    </row>
    <row r="436" spans="3:5">
      <c r="E436" s="86"/>
    </row>
    <row r="437" spans="3:5">
      <c r="C437" s="114"/>
      <c r="E437" s="4"/>
    </row>
    <row r="438" spans="3:5">
      <c r="E438" s="4"/>
    </row>
    <row r="439" spans="3:5">
      <c r="E439" s="4"/>
    </row>
    <row r="440" spans="3:5">
      <c r="E440" s="4"/>
    </row>
    <row r="441" spans="3:5">
      <c r="C441" s="86"/>
      <c r="E441" s="4"/>
    </row>
    <row r="442" spans="3:5">
      <c r="C442" s="114"/>
      <c r="E442" s="4"/>
    </row>
    <row r="443" spans="3:5">
      <c r="E443" s="4"/>
    </row>
    <row r="444" spans="3:5">
      <c r="E444" s="4"/>
    </row>
    <row r="445" spans="3:5">
      <c r="E445" s="4"/>
    </row>
    <row r="446" spans="3:5">
      <c r="C446" s="127"/>
      <c r="E446" s="4"/>
    </row>
    <row r="447" spans="3:5">
      <c r="C447" s="114"/>
      <c r="E447" s="4"/>
    </row>
    <row r="448" spans="3:5">
      <c r="C448" s="114"/>
      <c r="E448" s="4"/>
    </row>
    <row r="449" spans="3:5">
      <c r="C449" s="127"/>
      <c r="E449" s="4"/>
    </row>
    <row r="450" spans="3:5">
      <c r="E450" s="4"/>
    </row>
    <row r="451" spans="3:5">
      <c r="C451" s="114"/>
      <c r="E451" s="4"/>
    </row>
    <row r="452" spans="3:5">
      <c r="E452" s="4"/>
    </row>
    <row r="453" spans="3:5">
      <c r="E453" s="4"/>
    </row>
    <row r="454" spans="3:5">
      <c r="E454" s="4"/>
    </row>
    <row r="455" spans="3:5">
      <c r="C455" s="127"/>
      <c r="E455" s="4"/>
    </row>
    <row r="456" spans="3:5">
      <c r="C456" s="127"/>
      <c r="E456" s="4"/>
    </row>
    <row r="457" spans="3:5">
      <c r="C457" s="127"/>
      <c r="E457" s="4"/>
    </row>
    <row r="458" spans="3:5">
      <c r="C458" s="114"/>
      <c r="E458" s="4"/>
    </row>
    <row r="459" spans="3:5">
      <c r="C459" s="114"/>
      <c r="E459" s="4"/>
    </row>
    <row r="460" spans="3:5">
      <c r="E460" s="119"/>
    </row>
    <row r="461" spans="3:5">
      <c r="C461" s="114"/>
      <c r="E461" s="4"/>
    </row>
    <row r="462" spans="3:5">
      <c r="E462" s="4"/>
    </row>
    <row r="463" spans="3:5">
      <c r="C463" s="114"/>
      <c r="E463" s="4"/>
    </row>
    <row r="464" spans="3:5">
      <c r="C464" s="114"/>
      <c r="E464" s="4"/>
    </row>
    <row r="465" spans="3:5">
      <c r="E465" s="4"/>
    </row>
    <row r="466" spans="3:5">
      <c r="E466" s="4"/>
    </row>
    <row r="467" spans="3:5">
      <c r="C467" s="123"/>
      <c r="E467" s="4"/>
    </row>
    <row r="468" spans="3:5">
      <c r="E468" s="4"/>
    </row>
    <row r="469" spans="3:5">
      <c r="E469" s="4"/>
    </row>
    <row r="470" spans="3:5">
      <c r="E470" s="4"/>
    </row>
    <row r="471" spans="3:5">
      <c r="E471" s="4"/>
    </row>
    <row r="472" spans="3:5">
      <c r="E472" s="4"/>
    </row>
    <row r="473" spans="3:5">
      <c r="C473" s="114"/>
      <c r="E473" s="4"/>
    </row>
    <row r="474" spans="3:5">
      <c r="E474" s="4"/>
    </row>
    <row r="475" spans="3:5">
      <c r="C475" s="117"/>
      <c r="E475" s="4"/>
    </row>
    <row r="476" spans="3:5">
      <c r="E476" s="4"/>
    </row>
    <row r="477" spans="3:5">
      <c r="C477" s="127"/>
      <c r="E477" s="4"/>
    </row>
    <row r="478" spans="3:5">
      <c r="C478" s="114"/>
      <c r="E478" s="4"/>
    </row>
    <row r="479" spans="3:5">
      <c r="C479" s="86"/>
      <c r="E479" s="4"/>
    </row>
    <row r="480" spans="3:5">
      <c r="C480" s="114"/>
      <c r="E480" s="4"/>
    </row>
    <row r="481" spans="3:5">
      <c r="C481" s="86"/>
      <c r="E481" s="4"/>
    </row>
    <row r="482" spans="3:5">
      <c r="C482" s="114"/>
      <c r="E482" s="4"/>
    </row>
    <row r="483" spans="3:5">
      <c r="C483" s="127"/>
      <c r="E483" s="4"/>
    </row>
    <row r="484" spans="3:5">
      <c r="C484" s="86"/>
      <c r="E484" s="4"/>
    </row>
    <row r="485" spans="3:5">
      <c r="E485" s="4"/>
    </row>
    <row r="486" spans="3:5">
      <c r="E486" s="4"/>
    </row>
    <row r="487" spans="3:5">
      <c r="C487" s="123"/>
      <c r="E487" s="4"/>
    </row>
    <row r="488" spans="3:5">
      <c r="E488" s="4"/>
    </row>
    <row r="489" spans="3:5">
      <c r="E489" s="4"/>
    </row>
    <row r="490" spans="3:5">
      <c r="E490" s="4"/>
    </row>
    <row r="491" spans="3:5">
      <c r="C491" s="114"/>
      <c r="E491" s="4"/>
    </row>
    <row r="492" spans="3:5">
      <c r="C492" s="127"/>
      <c r="E492" s="4"/>
    </row>
    <row r="493" spans="3:5">
      <c r="C493" s="127"/>
      <c r="E493" s="4"/>
    </row>
    <row r="494" spans="3:5">
      <c r="C494" s="114"/>
      <c r="E494" s="4"/>
    </row>
    <row r="495" spans="3:5">
      <c r="E495" s="4"/>
    </row>
    <row r="496" spans="3:5">
      <c r="C496" s="123"/>
      <c r="E496" s="4"/>
    </row>
    <row r="497" spans="3:5">
      <c r="E497" s="4"/>
    </row>
    <row r="498" spans="3:5">
      <c r="E498" s="4"/>
    </row>
    <row r="499" spans="3:5">
      <c r="C499" s="123"/>
      <c r="E499" s="4"/>
    </row>
    <row r="500" spans="3:5">
      <c r="C500" s="114"/>
      <c r="E500" s="4"/>
    </row>
    <row r="501" spans="3:5">
      <c r="E501" s="4"/>
    </row>
    <row r="502" spans="3:5">
      <c r="E502" s="4"/>
    </row>
    <row r="503" spans="3:5">
      <c r="E503" s="4"/>
    </row>
    <row r="504" spans="3:5">
      <c r="E504" s="4"/>
    </row>
    <row r="505" spans="3:5">
      <c r="E505" s="4"/>
    </row>
    <row r="509" spans="3:5">
      <c r="E509" s="127"/>
    </row>
    <row r="510" spans="3:5">
      <c r="E510" s="127"/>
    </row>
    <row r="511" spans="3:5">
      <c r="E511" s="127"/>
    </row>
    <row r="512" spans="3:5">
      <c r="E512" s="127"/>
    </row>
    <row r="513" spans="5:5">
      <c r="E513" s="127"/>
    </row>
    <row r="514" spans="5:5">
      <c r="E514" s="127"/>
    </row>
    <row r="515" spans="5:5">
      <c r="E515" s="127"/>
    </row>
    <row r="516" spans="5:5">
      <c r="E516" s="127"/>
    </row>
    <row r="517" spans="5:5">
      <c r="E517" s="127"/>
    </row>
    <row r="518" spans="5:5">
      <c r="E518" s="127"/>
    </row>
    <row r="519" spans="5:5">
      <c r="E519" s="127"/>
    </row>
    <row r="520" spans="5:5">
      <c r="E520" s="127"/>
    </row>
    <row r="521" spans="5:5">
      <c r="E521" s="127"/>
    </row>
    <row r="522" spans="5:5">
      <c r="E522" s="127"/>
    </row>
    <row r="523" spans="5:5">
      <c r="E523" s="127"/>
    </row>
    <row r="524" spans="5:5">
      <c r="E524" s="4"/>
    </row>
    <row r="525" spans="5:5">
      <c r="E525" s="4"/>
    </row>
    <row r="526" spans="5:5">
      <c r="E526" s="4"/>
    </row>
    <row r="527" spans="5:5">
      <c r="E527" s="4"/>
    </row>
    <row r="528" spans="5:5">
      <c r="E528" s="4"/>
    </row>
    <row r="529" spans="5:5">
      <c r="E529" s="4"/>
    </row>
    <row r="530" spans="5:5">
      <c r="E530" s="4"/>
    </row>
    <row r="531" spans="5:5">
      <c r="E531" s="4"/>
    </row>
    <row r="532" spans="5:5">
      <c r="E532" s="4"/>
    </row>
    <row r="533" spans="5:5">
      <c r="E533" s="4"/>
    </row>
    <row r="534" spans="5:5">
      <c r="E534" s="4"/>
    </row>
    <row r="535" spans="5:5">
      <c r="E535" s="4"/>
    </row>
    <row r="536" spans="5:5">
      <c r="E536" s="4"/>
    </row>
    <row r="537" spans="5:5">
      <c r="E537" s="4"/>
    </row>
    <row r="538" spans="5:5">
      <c r="E538" s="4"/>
    </row>
    <row r="539" spans="5:5">
      <c r="E539" s="4"/>
    </row>
    <row r="540" spans="5:5">
      <c r="E540" s="4"/>
    </row>
    <row r="541" spans="5:5">
      <c r="E541" s="4"/>
    </row>
    <row r="542" spans="5:5">
      <c r="E542" s="4"/>
    </row>
    <row r="543" spans="5:5">
      <c r="E543" s="4"/>
    </row>
    <row r="544" spans="5:5">
      <c r="E544" s="4"/>
    </row>
    <row r="545" spans="5:5">
      <c r="E545" s="4"/>
    </row>
    <row r="546" spans="5:5">
      <c r="E546" s="4"/>
    </row>
    <row r="547" spans="5:5">
      <c r="E547" s="4"/>
    </row>
    <row r="548" spans="5:5">
      <c r="E548" s="4"/>
    </row>
    <row r="549" spans="5:5">
      <c r="E549" s="4"/>
    </row>
    <row r="550" spans="5:5">
      <c r="E550" s="4"/>
    </row>
    <row r="551" spans="5:5">
      <c r="E551" s="4"/>
    </row>
    <row r="552" spans="5:5">
      <c r="E552" s="4"/>
    </row>
    <row r="553" spans="5:5">
      <c r="E553" s="4"/>
    </row>
    <row r="554" spans="5:5">
      <c r="E554" s="4"/>
    </row>
    <row r="556" spans="5:5">
      <c r="E556" s="4"/>
    </row>
    <row r="557" spans="5:5">
      <c r="E557" s="4"/>
    </row>
    <row r="558" spans="5:5">
      <c r="E558" s="4"/>
    </row>
    <row r="559" spans="5:5">
      <c r="E559" s="4"/>
    </row>
    <row r="560" spans="5:5">
      <c r="E560" s="4"/>
    </row>
    <row r="561" spans="5:5">
      <c r="E561" s="119"/>
    </row>
    <row r="562" spans="5:5">
      <c r="E562" s="4"/>
    </row>
    <row r="563" spans="5:5">
      <c r="E563" s="4"/>
    </row>
    <row r="564" spans="5:5">
      <c r="E564" s="4"/>
    </row>
    <row r="565" spans="5:5">
      <c r="E565" s="4"/>
    </row>
    <row r="566" spans="5:5">
      <c r="E566" s="119"/>
    </row>
    <row r="567" spans="5:5">
      <c r="E567" s="4"/>
    </row>
    <row r="568" spans="5:5">
      <c r="E568" s="4"/>
    </row>
    <row r="569" spans="5:5">
      <c r="E569" s="4"/>
    </row>
    <row r="570" spans="5:5">
      <c r="E570" s="4"/>
    </row>
    <row r="571" spans="5:5">
      <c r="E571" s="4"/>
    </row>
    <row r="572" spans="5:5">
      <c r="E572" s="4"/>
    </row>
    <row r="573" spans="5:5">
      <c r="E573" s="4"/>
    </row>
    <row r="574" spans="5:5">
      <c r="E574" s="4"/>
    </row>
    <row r="575" spans="5:5">
      <c r="E575" s="4"/>
    </row>
    <row r="576" spans="5:5">
      <c r="E576" s="4"/>
    </row>
    <row r="577" spans="5:5">
      <c r="E577" s="4"/>
    </row>
    <row r="578" spans="5:5">
      <c r="E578" s="4"/>
    </row>
    <row r="579" spans="5:5">
      <c r="E579" s="4"/>
    </row>
    <row r="580" spans="5:5">
      <c r="E580" s="4"/>
    </row>
    <row r="581" spans="5:5">
      <c r="E581" s="4"/>
    </row>
    <row r="583" spans="5:5">
      <c r="E583" s="4"/>
    </row>
    <row r="584" spans="5:5">
      <c r="E584" s="4"/>
    </row>
    <row r="585" spans="5:5">
      <c r="E585" s="4"/>
    </row>
    <row r="587" spans="5:5">
      <c r="E587" s="4"/>
    </row>
    <row r="588" spans="5:5">
      <c r="E588" s="4"/>
    </row>
    <row r="589" spans="5:5">
      <c r="E589" s="4"/>
    </row>
    <row r="590" spans="5:5">
      <c r="E590" s="4"/>
    </row>
    <row r="591" spans="5:5">
      <c r="E591" s="4"/>
    </row>
    <row r="592" spans="5:5">
      <c r="E592" s="4"/>
    </row>
    <row r="593" spans="5:5">
      <c r="E593" s="4"/>
    </row>
    <row r="594" spans="5:5">
      <c r="E594" s="4"/>
    </row>
    <row r="595" spans="5:5">
      <c r="E595" s="4"/>
    </row>
    <row r="596" spans="5:5">
      <c r="E596" s="4"/>
    </row>
    <row r="597" spans="5:5">
      <c r="E597" s="4"/>
    </row>
    <row r="598" spans="5:5">
      <c r="E598" s="4"/>
    </row>
    <row r="599" spans="5:5">
      <c r="E599" s="4"/>
    </row>
    <row r="600" spans="5:5">
      <c r="E600" s="4"/>
    </row>
    <row r="601" spans="5:5">
      <c r="E601" s="4"/>
    </row>
    <row r="602" spans="5:5">
      <c r="E602" s="4"/>
    </row>
    <row r="603" spans="5:5">
      <c r="E603" s="4"/>
    </row>
    <row r="604" spans="5:5">
      <c r="E604" s="4"/>
    </row>
    <row r="605" spans="5:5">
      <c r="E605" s="4"/>
    </row>
    <row r="606" spans="5:5">
      <c r="E606" s="4"/>
    </row>
    <row r="607" spans="5:5">
      <c r="E607" s="4"/>
    </row>
    <row r="608" spans="5:5">
      <c r="E608" s="4"/>
    </row>
    <row r="609" spans="5:5">
      <c r="E609" s="4"/>
    </row>
    <row r="610" spans="5:5">
      <c r="E610" s="4"/>
    </row>
    <row r="611" spans="5:5">
      <c r="E611" s="4"/>
    </row>
    <row r="612" spans="5:5">
      <c r="E612" s="4"/>
    </row>
    <row r="613" spans="5:5">
      <c r="E613" s="4"/>
    </row>
    <row r="614" spans="5:5">
      <c r="E614" s="4"/>
    </row>
    <row r="615" spans="5:5">
      <c r="E615" s="4"/>
    </row>
    <row r="616" spans="5:5">
      <c r="E616" s="4"/>
    </row>
    <row r="617" spans="5:5">
      <c r="E617" s="4"/>
    </row>
    <row r="618" spans="5:5">
      <c r="E618" s="4"/>
    </row>
    <row r="619" spans="5:5">
      <c r="E619" s="4"/>
    </row>
    <row r="620" spans="5:5">
      <c r="E620" s="4"/>
    </row>
    <row r="621" spans="5:5">
      <c r="E621" s="4"/>
    </row>
    <row r="622" spans="5:5">
      <c r="E622" s="4"/>
    </row>
    <row r="623" spans="5:5">
      <c r="E623" s="4"/>
    </row>
    <row r="624" spans="5:5">
      <c r="E624" s="4"/>
    </row>
    <row r="625" spans="5:5">
      <c r="E625" s="4"/>
    </row>
    <row r="626" spans="5:5">
      <c r="E626" s="127"/>
    </row>
    <row r="627" spans="5:5">
      <c r="E627" s="127"/>
    </row>
    <row r="628" spans="5:5">
      <c r="E628" s="127"/>
    </row>
    <row r="629" spans="5:5">
      <c r="E629" s="127"/>
    </row>
    <row r="630" spans="5:5">
      <c r="E630" s="127"/>
    </row>
    <row r="631" spans="5:5">
      <c r="E631" s="127"/>
    </row>
    <row r="632" spans="5:5">
      <c r="E632" s="127"/>
    </row>
    <row r="633" spans="5:5">
      <c r="E633" s="127"/>
    </row>
    <row r="634" spans="5:5">
      <c r="E634" s="127"/>
    </row>
    <row r="635" spans="5:5">
      <c r="E635" s="127"/>
    </row>
    <row r="636" spans="5:5">
      <c r="E636" s="127"/>
    </row>
    <row r="637" spans="5:5">
      <c r="E637" s="127"/>
    </row>
    <row r="638" spans="5:5">
      <c r="E638" s="127"/>
    </row>
    <row r="639" spans="5:5">
      <c r="E639" s="127"/>
    </row>
    <row r="640" spans="5:5">
      <c r="E640" s="127"/>
    </row>
    <row r="641" spans="5:5">
      <c r="E641" s="4"/>
    </row>
    <row r="642" spans="5:5">
      <c r="E642" s="4"/>
    </row>
    <row r="643" spans="5:5">
      <c r="E643" s="4"/>
    </row>
    <row r="644" spans="5:5">
      <c r="E644" s="4"/>
    </row>
    <row r="645" spans="5:5">
      <c r="E645" s="4"/>
    </row>
    <row r="646" spans="5:5">
      <c r="E646" s="4"/>
    </row>
    <row r="647" spans="5:5">
      <c r="E647" s="4"/>
    </row>
    <row r="648" spans="5:5">
      <c r="E648" s="4"/>
    </row>
    <row r="649" spans="5:5">
      <c r="E649" s="4"/>
    </row>
    <row r="650" spans="5:5">
      <c r="E650" s="4"/>
    </row>
    <row r="651" spans="5:5">
      <c r="E651" s="4"/>
    </row>
    <row r="652" spans="5:5">
      <c r="E652" s="4"/>
    </row>
    <row r="653" spans="5:5">
      <c r="E653" s="4"/>
    </row>
    <row r="654" spans="5:5">
      <c r="E654" s="4"/>
    </row>
    <row r="655" spans="5:5">
      <c r="E655" s="4"/>
    </row>
    <row r="656" spans="5:5">
      <c r="E656" s="127"/>
    </row>
    <row r="657" spans="5:5">
      <c r="E657" s="127"/>
    </row>
    <row r="658" spans="5:5">
      <c r="E658" s="127"/>
    </row>
    <row r="659" spans="5:5">
      <c r="E659" s="127"/>
    </row>
    <row r="660" spans="5:5">
      <c r="E660" s="127"/>
    </row>
    <row r="661" spans="5:5">
      <c r="E661" s="127"/>
    </row>
    <row r="662" spans="5:5">
      <c r="E662" s="127"/>
    </row>
    <row r="663" spans="5:5">
      <c r="E663" s="127"/>
    </row>
    <row r="664" spans="5:5">
      <c r="E664" s="127"/>
    </row>
    <row r="665" spans="5:5">
      <c r="E665" s="127"/>
    </row>
    <row r="666" spans="5:5">
      <c r="E666" s="127"/>
    </row>
    <row r="667" spans="5:5">
      <c r="E667" s="127"/>
    </row>
    <row r="668" spans="5:5">
      <c r="E668" s="86"/>
    </row>
    <row r="669" spans="5:5">
      <c r="E669" s="86"/>
    </row>
    <row r="670" spans="5:5">
      <c r="E670" s="127"/>
    </row>
    <row r="671" spans="5:5">
      <c r="E671" s="127"/>
    </row>
    <row r="672" spans="5:5">
      <c r="E672" s="127"/>
    </row>
    <row r="673" spans="5:5">
      <c r="E673" s="127"/>
    </row>
    <row r="674" spans="5:5">
      <c r="E674" s="136"/>
    </row>
    <row r="675" spans="5:5">
      <c r="E675" s="127"/>
    </row>
    <row r="676" spans="5:5">
      <c r="E676" s="127"/>
    </row>
    <row r="677" spans="5:5">
      <c r="E677" s="4"/>
    </row>
    <row r="678" spans="5:5">
      <c r="E678" s="4"/>
    </row>
    <row r="679" spans="5:5">
      <c r="E679" s="127"/>
    </row>
    <row r="680" spans="5:5">
      <c r="E680" s="127"/>
    </row>
    <row r="681" spans="5:5">
      <c r="E681" s="127"/>
    </row>
    <row r="682" spans="5:5">
      <c r="E682" s="127"/>
    </row>
    <row r="683" spans="5:5">
      <c r="E683" s="127"/>
    </row>
    <row r="684" spans="5:5">
      <c r="E684" s="127"/>
    </row>
    <row r="685" spans="5:5">
      <c r="E685" s="127"/>
    </row>
    <row r="686" spans="5:5">
      <c r="E686" s="127"/>
    </row>
    <row r="687" spans="5:5">
      <c r="E687" s="127"/>
    </row>
    <row r="688" spans="5:5">
      <c r="E688" s="127"/>
    </row>
    <row r="689" spans="5:5">
      <c r="E689" s="127"/>
    </row>
    <row r="690" spans="5:5">
      <c r="E690" s="127"/>
    </row>
    <row r="691" spans="5:5">
      <c r="E691" s="4"/>
    </row>
    <row r="692" spans="5:5">
      <c r="E692" s="4"/>
    </row>
    <row r="693" spans="5:5">
      <c r="E693" s="4"/>
    </row>
    <row r="694" spans="5:5">
      <c r="E694" s="4"/>
    </row>
    <row r="695" spans="5:5">
      <c r="E695" s="4"/>
    </row>
    <row r="696" spans="5:5">
      <c r="E696" s="4"/>
    </row>
    <row r="697" spans="5:5">
      <c r="E697" s="4"/>
    </row>
    <row r="698" spans="5:5">
      <c r="E698" s="4"/>
    </row>
    <row r="699" spans="5:5">
      <c r="E699" s="4"/>
    </row>
    <row r="700" spans="5:5">
      <c r="E700" s="4"/>
    </row>
    <row r="702" spans="5:5">
      <c r="E702" s="4"/>
    </row>
    <row r="703" spans="5:5">
      <c r="E703" s="4"/>
    </row>
    <row r="704" spans="5:5">
      <c r="E704" s="4"/>
    </row>
    <row r="705" spans="5:5">
      <c r="E705" s="4"/>
    </row>
    <row r="706" spans="5:5">
      <c r="E706" s="4"/>
    </row>
    <row r="707" spans="5:5">
      <c r="E707" s="4"/>
    </row>
    <row r="708" spans="5:5">
      <c r="E708" s="4"/>
    </row>
    <row r="709" spans="5:5">
      <c r="E709" s="4"/>
    </row>
    <row r="710" spans="5:5">
      <c r="E710" s="4"/>
    </row>
    <row r="711" spans="5:5">
      <c r="E711" s="4"/>
    </row>
    <row r="712" spans="5:5">
      <c r="E712" s="4"/>
    </row>
    <row r="713" spans="5:5">
      <c r="E713" s="4"/>
    </row>
    <row r="714" spans="5:5">
      <c r="E714" s="4"/>
    </row>
    <row r="715" spans="5:5">
      <c r="E715" s="4"/>
    </row>
    <row r="716" spans="5:5">
      <c r="E716" s="4"/>
    </row>
    <row r="717" spans="5:5">
      <c r="E717" s="4"/>
    </row>
    <row r="718" spans="5:5">
      <c r="E718" s="4"/>
    </row>
    <row r="719" spans="5:5">
      <c r="E719" s="4"/>
    </row>
    <row r="720" spans="5:5">
      <c r="E720" s="4"/>
    </row>
    <row r="721" spans="5:5">
      <c r="E721" s="4"/>
    </row>
    <row r="722" spans="5:5">
      <c r="E722" s="4"/>
    </row>
    <row r="723" spans="5:5">
      <c r="E723" s="4"/>
    </row>
    <row r="724" spans="5:5">
      <c r="E724" s="4"/>
    </row>
    <row r="725" spans="5:5">
      <c r="E725" s="4"/>
    </row>
    <row r="726" spans="5:5">
      <c r="E726" s="4"/>
    </row>
    <row r="727" spans="5:5">
      <c r="E727" s="4"/>
    </row>
    <row r="728" spans="5:5">
      <c r="E728" s="4"/>
    </row>
    <row r="729" spans="5:5">
      <c r="E729" s="4"/>
    </row>
    <row r="730" spans="5:5">
      <c r="E730" s="4"/>
    </row>
    <row r="731" spans="5:5">
      <c r="E731" s="4"/>
    </row>
    <row r="732" spans="5:5">
      <c r="E732" s="4"/>
    </row>
    <row r="733" spans="5:5">
      <c r="E733" s="4"/>
    </row>
    <row r="734" spans="5:5">
      <c r="E734" s="4"/>
    </row>
    <row r="735" spans="5:5">
      <c r="E735" s="4"/>
    </row>
    <row r="736" spans="5:5">
      <c r="E736" s="4"/>
    </row>
    <row r="737" spans="5:5">
      <c r="E737" s="4"/>
    </row>
    <row r="738" spans="5:5">
      <c r="E738" s="4"/>
    </row>
    <row r="739" spans="5:5">
      <c r="E739" s="4"/>
    </row>
    <row r="741" spans="5:5">
      <c r="E741" s="4"/>
    </row>
    <row r="742" spans="5:5">
      <c r="E742" s="4"/>
    </row>
    <row r="743" spans="5:5">
      <c r="E743" s="4"/>
    </row>
    <row r="744" spans="5:5">
      <c r="E744" s="4"/>
    </row>
    <row r="745" spans="5:5">
      <c r="E745" s="4"/>
    </row>
    <row r="746" spans="5:5">
      <c r="E746" s="4"/>
    </row>
    <row r="747" spans="5:5">
      <c r="E747" s="4"/>
    </row>
    <row r="748" spans="5:5">
      <c r="E748" s="4"/>
    </row>
    <row r="749" spans="5:5">
      <c r="E749" s="4"/>
    </row>
    <row r="750" spans="5:5">
      <c r="E750" s="4"/>
    </row>
    <row r="751" spans="5:5">
      <c r="E751" s="4"/>
    </row>
    <row r="752" spans="5:5">
      <c r="E752" s="4"/>
    </row>
    <row r="753" spans="5:5">
      <c r="E753" s="4"/>
    </row>
    <row r="754" spans="5:5">
      <c r="E754" s="4"/>
    </row>
    <row r="755" spans="5:5">
      <c r="E755" s="4"/>
    </row>
    <row r="756" spans="5:5">
      <c r="E756" s="4"/>
    </row>
    <row r="757" spans="5:5">
      <c r="E757" s="4"/>
    </row>
    <row r="758" spans="5:5">
      <c r="E758" s="4"/>
    </row>
    <row r="759" spans="5:5">
      <c r="E759" s="4"/>
    </row>
    <row r="760" spans="5:5">
      <c r="E760" s="4"/>
    </row>
    <row r="761" spans="5:5">
      <c r="E761" s="4"/>
    </row>
    <row r="762" spans="5:5">
      <c r="E762" s="4"/>
    </row>
    <row r="763" spans="5:5">
      <c r="E763" s="4"/>
    </row>
    <row r="764" spans="5:5">
      <c r="E764" s="4"/>
    </row>
    <row r="765" spans="5:5">
      <c r="E765" s="4"/>
    </row>
    <row r="766" spans="5:5">
      <c r="E766" s="119"/>
    </row>
    <row r="767" spans="5:5">
      <c r="E767" s="4"/>
    </row>
    <row r="768" spans="5:5">
      <c r="E768" s="4"/>
    </row>
    <row r="769" spans="5:5">
      <c r="E769" s="4"/>
    </row>
    <row r="770" spans="5:5">
      <c r="E770" s="4"/>
    </row>
    <row r="771" spans="5:5">
      <c r="E771" s="4"/>
    </row>
    <row r="772" spans="5:5">
      <c r="E772" s="4"/>
    </row>
    <row r="773" spans="5:5">
      <c r="E773" s="4"/>
    </row>
    <row r="774" spans="5:5">
      <c r="E774" s="4"/>
    </row>
    <row r="775" spans="5:5">
      <c r="E775" s="4"/>
    </row>
    <row r="777" spans="5:5">
      <c r="E777" s="4"/>
    </row>
    <row r="778" spans="5:5">
      <c r="E778" s="4"/>
    </row>
    <row r="779" spans="5:5">
      <c r="E779" s="4"/>
    </row>
    <row r="780" spans="5:5">
      <c r="E780" s="4"/>
    </row>
    <row r="781" spans="5:5">
      <c r="E781" s="4"/>
    </row>
    <row r="782" spans="5:5">
      <c r="E782" s="4"/>
    </row>
    <row r="783" spans="5:5">
      <c r="E783" s="4"/>
    </row>
    <row r="784" spans="5:5">
      <c r="E784" s="4"/>
    </row>
    <row r="785" spans="5:5">
      <c r="E785" s="4"/>
    </row>
    <row r="786" spans="5:5">
      <c r="E786" s="4"/>
    </row>
    <row r="787" spans="5:5">
      <c r="E787" s="4"/>
    </row>
    <row r="788" spans="5:5">
      <c r="E788" s="4"/>
    </row>
    <row r="789" spans="5:5">
      <c r="E789" s="4"/>
    </row>
    <row r="790" spans="5:5">
      <c r="E790" s="4"/>
    </row>
    <row r="791" spans="5:5">
      <c r="E791" s="4"/>
    </row>
    <row r="792" spans="5:5">
      <c r="E792" s="86"/>
    </row>
    <row r="793" spans="5:5">
      <c r="E793" s="86"/>
    </row>
    <row r="794" spans="5:5">
      <c r="E794" s="86"/>
    </row>
    <row r="795" spans="5:5">
      <c r="E795" s="86"/>
    </row>
    <row r="796" spans="5:5">
      <c r="E796" s="86"/>
    </row>
    <row r="797" spans="5:5">
      <c r="E797" s="86"/>
    </row>
    <row r="798" spans="5:5">
      <c r="E798" s="86"/>
    </row>
    <row r="799" spans="5:5">
      <c r="E799" s="4"/>
    </row>
    <row r="800" spans="5:5">
      <c r="E800" s="4"/>
    </row>
    <row r="801" spans="5:5">
      <c r="E801" s="4"/>
    </row>
    <row r="802" spans="5:5">
      <c r="E802" s="4"/>
    </row>
    <row r="803" spans="5:5">
      <c r="E803" s="4"/>
    </row>
    <row r="804" spans="5:5">
      <c r="E804" s="4"/>
    </row>
    <row r="805" spans="5:5">
      <c r="E805" s="4"/>
    </row>
    <row r="806" spans="5:5">
      <c r="E806" s="4"/>
    </row>
    <row r="807" spans="5:5">
      <c r="E807" s="4"/>
    </row>
    <row r="808" spans="5:5">
      <c r="E808" s="4"/>
    </row>
    <row r="810" spans="5:5">
      <c r="E810" s="86"/>
    </row>
    <row r="811" spans="5:5">
      <c r="E811" s="86"/>
    </row>
    <row r="812" spans="5:5">
      <c r="E812" s="86"/>
    </row>
    <row r="813" spans="5:5">
      <c r="E813" s="86"/>
    </row>
    <row r="814" spans="5:5">
      <c r="E814" s="86"/>
    </row>
    <row r="815" spans="5:5">
      <c r="E815" s="86"/>
    </row>
    <row r="816" spans="5:5">
      <c r="E816" s="86"/>
    </row>
    <row r="817" spans="5:5">
      <c r="E817" s="86"/>
    </row>
    <row r="818" spans="5:5">
      <c r="E818" s="86"/>
    </row>
    <row r="819" spans="5:5">
      <c r="E819" s="86"/>
    </row>
    <row r="820" spans="5:5">
      <c r="E820" s="4"/>
    </row>
    <row r="821" spans="5:5">
      <c r="E821" s="4"/>
    </row>
    <row r="822" spans="5:5">
      <c r="E822" s="4"/>
    </row>
    <row r="823" spans="5:5">
      <c r="E823" s="4"/>
    </row>
    <row r="824" spans="5:5">
      <c r="E824" s="4"/>
    </row>
    <row r="825" spans="5:5">
      <c r="E825" s="4"/>
    </row>
    <row r="826" spans="5:5">
      <c r="E826" s="4"/>
    </row>
    <row r="827" spans="5:5">
      <c r="E827" s="4"/>
    </row>
    <row r="828" spans="5:5">
      <c r="E828" s="4"/>
    </row>
    <row r="829" spans="5:5">
      <c r="E829" s="4"/>
    </row>
    <row r="831" spans="5:5">
      <c r="E831" s="4"/>
    </row>
    <row r="832" spans="5:5">
      <c r="E832" s="4"/>
    </row>
    <row r="833" spans="5:5">
      <c r="E833" s="4"/>
    </row>
    <row r="834" spans="5:5">
      <c r="E834" s="4"/>
    </row>
    <row r="835" spans="5:5">
      <c r="E835" s="4"/>
    </row>
    <row r="836" spans="5:5">
      <c r="E836" s="4"/>
    </row>
    <row r="837" spans="5:5">
      <c r="E837" s="4"/>
    </row>
    <row r="838" spans="5:5">
      <c r="E838" s="4"/>
    </row>
    <row r="839" spans="5:5">
      <c r="E839" s="4"/>
    </row>
    <row r="840" spans="5:5">
      <c r="E840" s="4"/>
    </row>
    <row r="841" spans="5:5">
      <c r="E841" s="4"/>
    </row>
  </sheetData>
  <sortState ref="C423:C501">
    <sortCondition ref="C423"/>
  </sortState>
  <conditionalFormatting sqref="G1">
    <cfRule type="duplicateValues" dxfId="19" priority="50"/>
  </conditionalFormatting>
  <conditionalFormatting sqref="B372">
    <cfRule type="duplicateValues" dxfId="18" priority="29"/>
  </conditionalFormatting>
  <conditionalFormatting sqref="C376">
    <cfRule type="duplicateValues" dxfId="17" priority="27"/>
  </conditionalFormatting>
  <conditionalFormatting sqref="E6">
    <cfRule type="duplicateValues" dxfId="16" priority="17"/>
  </conditionalFormatting>
  <conditionalFormatting sqref="E422 C402 E280 E1:E5 E103:E133 E88:E101 E7:E84 E162:E204 E135:E160 E424:E1048576">
    <cfRule type="duplicateValues" dxfId="15" priority="190"/>
  </conditionalFormatting>
  <conditionalFormatting sqref="A410:A1048576 A389:A408 A320:A387 A258:A318 A220:A254 A162:A218 A135:A160 A103:A133 A88:A101 A1:A85">
    <cfRule type="duplicateValues" dxfId="14" priority="11"/>
  </conditionalFormatting>
  <conditionalFormatting sqref="A256">
    <cfRule type="duplicateValues" dxfId="13" priority="6"/>
  </conditionalFormatting>
  <conditionalFormatting sqref="E220:E422 E1:E218 E424:E1048576">
    <cfRule type="duplicateValues" dxfId="12" priority="4"/>
  </conditionalFormatting>
  <conditionalFormatting sqref="E320:E421 E258:E318 E220:E254 E162:E218 E135:E160 E103:E133 E1:E101">
    <cfRule type="duplicateValues" dxfId="11" priority="451"/>
  </conditionalFormatting>
  <conditionalFormatting sqref="A257:A421 A220:A255 A103:A218 A2:A101">
    <cfRule type="duplicateValues" dxfId="10" priority="535"/>
  </conditionalFormatting>
  <conditionalFormatting sqref="A220:A421 A2:A218">
    <cfRule type="duplicateValues" dxfId="9" priority="688"/>
  </conditionalFormatting>
  <conditionalFormatting sqref="E423">
    <cfRule type="duplicateValues" dxfId="8" priority="2"/>
  </conditionalFormatting>
  <conditionalFormatting sqref="E423">
    <cfRule type="duplicateValues" dxfId="7" priority="1"/>
  </conditionalFormatting>
  <conditionalFormatting sqref="E423">
    <cfRule type="duplicateValues" dxfId="6" priority="3"/>
  </conditionalFormatting>
  <pageMargins left="0.51181102362204722" right="0.51181102362204722" top="0.78740157480314965" bottom="0.78740157480314965" header="0.31496062992125984" footer="0.31496062992125984"/>
  <pageSetup paperSize="9" scale="90"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87"/>
  <sheetViews>
    <sheetView workbookViewId="0">
      <selection activeCell="D4597" sqref="D4597"/>
    </sheetView>
  </sheetViews>
  <sheetFormatPr defaultRowHeight="15"/>
  <cols>
    <col min="1" max="1" width="21.42578125" style="5" bestFit="1" customWidth="1"/>
    <col min="2" max="2" width="31.28515625" bestFit="1" customWidth="1"/>
    <col min="3" max="3" width="18.42578125" bestFit="1" customWidth="1"/>
    <col min="4" max="4" width="70.85546875" bestFit="1" customWidth="1"/>
    <col min="5" max="5" width="13" customWidth="1"/>
    <col min="6" max="6" width="15" customWidth="1"/>
    <col min="7" max="7" width="11.28515625" customWidth="1"/>
  </cols>
  <sheetData>
    <row r="1" spans="1:7">
      <c r="A1" s="5" t="s">
        <v>5153</v>
      </c>
      <c r="B1" t="s">
        <v>5154</v>
      </c>
      <c r="C1" t="s">
        <v>5155</v>
      </c>
      <c r="D1" t="s">
        <v>5156</v>
      </c>
      <c r="E1" t="s">
        <v>5157</v>
      </c>
      <c r="F1" t="s">
        <v>5158</v>
      </c>
      <c r="G1" t="s">
        <v>5159</v>
      </c>
    </row>
    <row r="2" spans="1:7" hidden="1">
      <c r="A2" s="5" t="s">
        <v>5160</v>
      </c>
      <c r="B2" t="s">
        <v>5161</v>
      </c>
      <c r="C2" t="s">
        <v>120</v>
      </c>
      <c r="D2" t="s">
        <v>5162</v>
      </c>
      <c r="E2">
        <v>18</v>
      </c>
      <c r="F2" t="s">
        <v>5163</v>
      </c>
      <c r="G2" t="s">
        <v>5164</v>
      </c>
    </row>
    <row r="3" spans="1:7" hidden="1">
      <c r="A3" s="5" t="s">
        <v>5165</v>
      </c>
      <c r="B3" t="s">
        <v>5161</v>
      </c>
      <c r="C3" t="s">
        <v>120</v>
      </c>
      <c r="D3" t="s">
        <v>5166</v>
      </c>
      <c r="E3">
        <v>0</v>
      </c>
      <c r="F3" t="s">
        <v>5163</v>
      </c>
      <c r="G3" t="s">
        <v>1905</v>
      </c>
    </row>
    <row r="4" spans="1:7" hidden="1">
      <c r="A4" s="5" t="s">
        <v>5167</v>
      </c>
      <c r="B4" t="s">
        <v>5161</v>
      </c>
      <c r="C4" t="s">
        <v>120</v>
      </c>
      <c r="D4" t="s">
        <v>5168</v>
      </c>
      <c r="E4">
        <v>19</v>
      </c>
      <c r="F4" t="s">
        <v>5163</v>
      </c>
      <c r="G4" t="s">
        <v>5169</v>
      </c>
    </row>
    <row r="5" spans="1:7" hidden="1">
      <c r="A5" s="5" t="s">
        <v>5170</v>
      </c>
      <c r="B5" t="s">
        <v>5161</v>
      </c>
      <c r="C5" t="s">
        <v>120</v>
      </c>
      <c r="D5" t="s">
        <v>5171</v>
      </c>
      <c r="E5">
        <v>35</v>
      </c>
      <c r="F5" t="s">
        <v>5172</v>
      </c>
      <c r="G5" t="s">
        <v>5164</v>
      </c>
    </row>
    <row r="6" spans="1:7" hidden="1">
      <c r="A6" s="5" t="s">
        <v>5170</v>
      </c>
      <c r="B6" t="s">
        <v>5161</v>
      </c>
      <c r="C6" t="s">
        <v>120</v>
      </c>
      <c r="D6" t="s">
        <v>5173</v>
      </c>
      <c r="E6">
        <v>23</v>
      </c>
      <c r="F6" t="s">
        <v>5163</v>
      </c>
      <c r="G6" t="s">
        <v>5164</v>
      </c>
    </row>
    <row r="7" spans="1:7" hidden="1">
      <c r="A7" s="5" t="s">
        <v>5174</v>
      </c>
      <c r="B7" t="s">
        <v>5161</v>
      </c>
      <c r="C7" t="s">
        <v>120</v>
      </c>
      <c r="D7" t="s">
        <v>5175</v>
      </c>
      <c r="E7">
        <v>42</v>
      </c>
      <c r="F7" t="s">
        <v>5163</v>
      </c>
      <c r="G7" t="s">
        <v>1905</v>
      </c>
    </row>
    <row r="8" spans="1:7" hidden="1">
      <c r="A8" s="5" t="s">
        <v>5174</v>
      </c>
      <c r="B8" t="s">
        <v>5161</v>
      </c>
      <c r="C8" t="s">
        <v>120</v>
      </c>
      <c r="D8" t="s">
        <v>5176</v>
      </c>
      <c r="E8">
        <v>41</v>
      </c>
      <c r="F8" t="s">
        <v>5163</v>
      </c>
      <c r="G8" t="s">
        <v>5164</v>
      </c>
    </row>
    <row r="9" spans="1:7" hidden="1">
      <c r="A9" s="5" t="s">
        <v>5177</v>
      </c>
      <c r="B9" t="s">
        <v>5161</v>
      </c>
      <c r="C9" t="s">
        <v>120</v>
      </c>
      <c r="D9" t="s">
        <v>5178</v>
      </c>
      <c r="E9">
        <v>31</v>
      </c>
      <c r="F9" t="s">
        <v>5163</v>
      </c>
      <c r="G9" t="s">
        <v>5164</v>
      </c>
    </row>
    <row r="10" spans="1:7" hidden="1">
      <c r="A10" s="5" t="s">
        <v>5177</v>
      </c>
      <c r="B10" t="s">
        <v>5161</v>
      </c>
      <c r="C10" t="s">
        <v>120</v>
      </c>
      <c r="D10" t="s">
        <v>5179</v>
      </c>
      <c r="E10">
        <v>26</v>
      </c>
      <c r="F10" t="s">
        <v>5163</v>
      </c>
      <c r="G10" t="s">
        <v>5164</v>
      </c>
    </row>
    <row r="11" spans="1:7" hidden="1">
      <c r="A11" s="5" t="s">
        <v>5180</v>
      </c>
      <c r="B11" t="s">
        <v>5161</v>
      </c>
      <c r="C11" t="s">
        <v>120</v>
      </c>
      <c r="D11" t="s">
        <v>5181</v>
      </c>
      <c r="E11">
        <v>24</v>
      </c>
      <c r="F11" t="s">
        <v>5163</v>
      </c>
      <c r="G11" t="s">
        <v>5182</v>
      </c>
    </row>
    <row r="12" spans="1:7" hidden="1">
      <c r="A12" s="5" t="s">
        <v>5180</v>
      </c>
      <c r="B12" t="s">
        <v>5161</v>
      </c>
      <c r="C12" t="s">
        <v>120</v>
      </c>
      <c r="D12" t="s">
        <v>5183</v>
      </c>
      <c r="E12">
        <v>20</v>
      </c>
      <c r="F12" t="s">
        <v>5163</v>
      </c>
      <c r="G12" t="s">
        <v>5182</v>
      </c>
    </row>
    <row r="13" spans="1:7" hidden="1">
      <c r="A13" s="5" t="s">
        <v>5184</v>
      </c>
      <c r="B13" t="s">
        <v>5161</v>
      </c>
      <c r="C13" t="s">
        <v>120</v>
      </c>
      <c r="D13" t="s">
        <v>5185</v>
      </c>
      <c r="E13">
        <v>31</v>
      </c>
      <c r="F13" t="s">
        <v>5163</v>
      </c>
      <c r="G13" t="s">
        <v>5164</v>
      </c>
    </row>
    <row r="14" spans="1:7" hidden="1">
      <c r="A14" s="5" t="s">
        <v>5186</v>
      </c>
      <c r="B14" t="s">
        <v>5161</v>
      </c>
      <c r="C14" t="s">
        <v>120</v>
      </c>
      <c r="D14" t="s">
        <v>5187</v>
      </c>
      <c r="E14">
        <v>18</v>
      </c>
      <c r="F14" t="s">
        <v>5172</v>
      </c>
      <c r="G14" t="s">
        <v>1905</v>
      </c>
    </row>
    <row r="15" spans="1:7" hidden="1">
      <c r="A15" s="5" t="s">
        <v>5188</v>
      </c>
      <c r="B15" t="s">
        <v>5161</v>
      </c>
      <c r="C15" t="s">
        <v>120</v>
      </c>
      <c r="D15" t="s">
        <v>5189</v>
      </c>
      <c r="E15">
        <v>32</v>
      </c>
      <c r="F15" t="s">
        <v>5163</v>
      </c>
      <c r="G15" t="s">
        <v>5164</v>
      </c>
    </row>
    <row r="16" spans="1:7" hidden="1">
      <c r="A16" s="5" t="s">
        <v>5188</v>
      </c>
      <c r="B16" t="s">
        <v>5161</v>
      </c>
      <c r="C16" t="s">
        <v>120</v>
      </c>
      <c r="D16" t="s">
        <v>5190</v>
      </c>
      <c r="E16">
        <v>38</v>
      </c>
      <c r="F16" t="s">
        <v>5163</v>
      </c>
      <c r="G16" t="s">
        <v>5164</v>
      </c>
    </row>
    <row r="17" spans="1:7" hidden="1">
      <c r="A17" s="5" t="s">
        <v>5191</v>
      </c>
      <c r="B17" t="s">
        <v>5161</v>
      </c>
      <c r="C17" t="s">
        <v>120</v>
      </c>
      <c r="D17" t="s">
        <v>5192</v>
      </c>
      <c r="E17">
        <v>33</v>
      </c>
      <c r="F17" t="s">
        <v>5163</v>
      </c>
      <c r="G17" t="s">
        <v>1905</v>
      </c>
    </row>
    <row r="18" spans="1:7" hidden="1">
      <c r="A18" s="5" t="s">
        <v>5193</v>
      </c>
      <c r="B18" t="s">
        <v>5161</v>
      </c>
      <c r="C18" t="s">
        <v>120</v>
      </c>
      <c r="D18" t="s">
        <v>5194</v>
      </c>
      <c r="E18">
        <v>23</v>
      </c>
      <c r="F18" t="s">
        <v>5163</v>
      </c>
      <c r="G18" t="s">
        <v>1905</v>
      </c>
    </row>
    <row r="19" spans="1:7" hidden="1">
      <c r="A19" s="5" t="s">
        <v>5195</v>
      </c>
      <c r="B19" t="s">
        <v>5161</v>
      </c>
      <c r="C19" t="s">
        <v>120</v>
      </c>
      <c r="D19" t="s">
        <v>5196</v>
      </c>
      <c r="E19">
        <v>19</v>
      </c>
      <c r="F19" t="s">
        <v>5163</v>
      </c>
      <c r="G19" t="s">
        <v>1905</v>
      </c>
    </row>
    <row r="20" spans="1:7" hidden="1">
      <c r="A20" s="5" t="s">
        <v>5197</v>
      </c>
      <c r="B20" t="s">
        <v>5161</v>
      </c>
      <c r="C20" t="s">
        <v>120</v>
      </c>
      <c r="D20" t="s">
        <v>5198</v>
      </c>
      <c r="E20">
        <v>18</v>
      </c>
      <c r="F20" t="s">
        <v>5163</v>
      </c>
      <c r="G20" t="s">
        <v>5164</v>
      </c>
    </row>
    <row r="21" spans="1:7" hidden="1">
      <c r="A21" s="5" t="s">
        <v>5199</v>
      </c>
      <c r="B21" t="s">
        <v>5161</v>
      </c>
      <c r="C21" t="s">
        <v>120</v>
      </c>
      <c r="D21" t="s">
        <v>5200</v>
      </c>
      <c r="E21">
        <v>26</v>
      </c>
      <c r="F21" t="s">
        <v>5163</v>
      </c>
      <c r="G21" t="s">
        <v>5164</v>
      </c>
    </row>
    <row r="22" spans="1:7" hidden="1">
      <c r="A22" s="5" t="s">
        <v>5201</v>
      </c>
      <c r="B22" t="s">
        <v>5161</v>
      </c>
      <c r="C22" t="s">
        <v>120</v>
      </c>
      <c r="D22" t="s">
        <v>5202</v>
      </c>
      <c r="E22">
        <v>19</v>
      </c>
      <c r="F22" t="s">
        <v>5163</v>
      </c>
      <c r="G22" t="s">
        <v>5164</v>
      </c>
    </row>
    <row r="23" spans="1:7" hidden="1">
      <c r="A23" s="5" t="s">
        <v>5203</v>
      </c>
      <c r="B23" t="s">
        <v>5161</v>
      </c>
      <c r="C23" t="s">
        <v>120</v>
      </c>
      <c r="D23" t="s">
        <v>5204</v>
      </c>
      <c r="E23">
        <v>38</v>
      </c>
      <c r="F23" t="s">
        <v>5163</v>
      </c>
      <c r="G23" t="s">
        <v>1905</v>
      </c>
    </row>
    <row r="24" spans="1:7" hidden="1">
      <c r="A24" s="5" t="s">
        <v>5203</v>
      </c>
      <c r="B24" t="s">
        <v>5161</v>
      </c>
      <c r="C24" t="s">
        <v>120</v>
      </c>
      <c r="D24" t="s">
        <v>5205</v>
      </c>
      <c r="E24">
        <v>48</v>
      </c>
      <c r="F24" t="s">
        <v>5163</v>
      </c>
      <c r="G24" t="s">
        <v>1905</v>
      </c>
    </row>
    <row r="25" spans="1:7" hidden="1">
      <c r="A25" s="5" t="s">
        <v>5206</v>
      </c>
      <c r="B25" t="s">
        <v>5161</v>
      </c>
      <c r="C25" t="s">
        <v>120</v>
      </c>
      <c r="D25" t="s">
        <v>5207</v>
      </c>
      <c r="E25">
        <v>19</v>
      </c>
      <c r="F25" t="s">
        <v>5163</v>
      </c>
      <c r="G25" t="s">
        <v>5164</v>
      </c>
    </row>
    <row r="26" spans="1:7" hidden="1">
      <c r="A26" s="5" t="s">
        <v>5208</v>
      </c>
      <c r="B26" t="s">
        <v>5161</v>
      </c>
      <c r="C26" t="s">
        <v>120</v>
      </c>
      <c r="D26" t="s">
        <v>5209</v>
      </c>
      <c r="E26">
        <v>36</v>
      </c>
      <c r="F26" t="s">
        <v>5163</v>
      </c>
      <c r="G26" t="s">
        <v>1905</v>
      </c>
    </row>
    <row r="27" spans="1:7" hidden="1">
      <c r="A27" s="5" t="s">
        <v>5208</v>
      </c>
      <c r="B27" t="s">
        <v>5161</v>
      </c>
      <c r="C27" t="s">
        <v>120</v>
      </c>
      <c r="D27" t="s">
        <v>5210</v>
      </c>
      <c r="E27">
        <v>46</v>
      </c>
      <c r="F27" t="s">
        <v>5163</v>
      </c>
      <c r="G27" t="s">
        <v>1905</v>
      </c>
    </row>
    <row r="28" spans="1:7" hidden="1">
      <c r="A28" s="5" t="s">
        <v>5211</v>
      </c>
      <c r="B28" t="s">
        <v>5161</v>
      </c>
      <c r="C28" t="s">
        <v>120</v>
      </c>
      <c r="D28" t="s">
        <v>5212</v>
      </c>
      <c r="E28">
        <v>18</v>
      </c>
      <c r="F28" t="s">
        <v>5163</v>
      </c>
      <c r="G28" t="s">
        <v>5164</v>
      </c>
    </row>
    <row r="29" spans="1:7" hidden="1">
      <c r="A29" s="5" t="s">
        <v>5213</v>
      </c>
      <c r="B29" t="s">
        <v>5161</v>
      </c>
      <c r="C29" t="s">
        <v>120</v>
      </c>
      <c r="D29" t="s">
        <v>5214</v>
      </c>
      <c r="E29">
        <v>21</v>
      </c>
      <c r="F29" t="s">
        <v>5163</v>
      </c>
      <c r="G29" t="s">
        <v>5164</v>
      </c>
    </row>
    <row r="30" spans="1:7" hidden="1">
      <c r="A30" s="5" t="s">
        <v>5213</v>
      </c>
      <c r="B30" t="s">
        <v>5161</v>
      </c>
      <c r="C30" t="s">
        <v>120</v>
      </c>
      <c r="D30" t="s">
        <v>5215</v>
      </c>
      <c r="E30">
        <v>19</v>
      </c>
      <c r="F30" t="s">
        <v>5163</v>
      </c>
      <c r="G30" t="s">
        <v>5182</v>
      </c>
    </row>
    <row r="31" spans="1:7" hidden="1">
      <c r="A31" s="5" t="s">
        <v>5216</v>
      </c>
      <c r="B31" t="s">
        <v>5161</v>
      </c>
      <c r="C31" t="s">
        <v>120</v>
      </c>
      <c r="D31" t="s">
        <v>5217</v>
      </c>
      <c r="E31">
        <v>19</v>
      </c>
      <c r="F31" t="s">
        <v>5163</v>
      </c>
      <c r="G31" t="s">
        <v>5164</v>
      </c>
    </row>
    <row r="32" spans="1:7" hidden="1">
      <c r="A32" s="5" t="s">
        <v>5218</v>
      </c>
      <c r="B32" t="s">
        <v>5161</v>
      </c>
      <c r="C32" t="s">
        <v>120</v>
      </c>
      <c r="D32" t="s">
        <v>5219</v>
      </c>
      <c r="E32">
        <v>28</v>
      </c>
      <c r="F32" t="s">
        <v>5163</v>
      </c>
      <c r="G32" t="s">
        <v>1905</v>
      </c>
    </row>
    <row r="33" spans="1:7" hidden="1">
      <c r="A33" s="5" t="s">
        <v>5218</v>
      </c>
      <c r="B33" t="s">
        <v>5161</v>
      </c>
      <c r="C33" t="s">
        <v>120</v>
      </c>
      <c r="D33" t="s">
        <v>5220</v>
      </c>
      <c r="E33">
        <v>22</v>
      </c>
      <c r="F33" t="s">
        <v>5163</v>
      </c>
      <c r="G33" t="s">
        <v>1905</v>
      </c>
    </row>
    <row r="34" spans="1:7" hidden="1">
      <c r="A34" s="5" t="s">
        <v>5218</v>
      </c>
      <c r="B34" t="s">
        <v>5161</v>
      </c>
      <c r="C34" t="s">
        <v>120</v>
      </c>
      <c r="D34" t="s">
        <v>478</v>
      </c>
      <c r="E34">
        <v>32</v>
      </c>
      <c r="F34" t="s">
        <v>5163</v>
      </c>
      <c r="G34" t="s">
        <v>1905</v>
      </c>
    </row>
    <row r="35" spans="1:7" hidden="1">
      <c r="A35" s="5" t="s">
        <v>5221</v>
      </c>
      <c r="B35" t="s">
        <v>5161</v>
      </c>
      <c r="C35" t="s">
        <v>120</v>
      </c>
      <c r="D35" t="s">
        <v>5222</v>
      </c>
      <c r="E35">
        <v>33</v>
      </c>
      <c r="F35" t="s">
        <v>5172</v>
      </c>
      <c r="G35" t="s">
        <v>1905</v>
      </c>
    </row>
    <row r="36" spans="1:7" hidden="1">
      <c r="A36" s="5" t="s">
        <v>5221</v>
      </c>
      <c r="B36" t="s">
        <v>5161</v>
      </c>
      <c r="C36" t="s">
        <v>120</v>
      </c>
      <c r="D36" t="s">
        <v>5223</v>
      </c>
      <c r="E36">
        <v>41</v>
      </c>
      <c r="F36" t="s">
        <v>5163</v>
      </c>
      <c r="G36" t="s">
        <v>1905</v>
      </c>
    </row>
    <row r="37" spans="1:7" hidden="1">
      <c r="A37" s="5" t="s">
        <v>5224</v>
      </c>
      <c r="B37" t="s">
        <v>5161</v>
      </c>
      <c r="C37" t="s">
        <v>120</v>
      </c>
      <c r="D37" t="s">
        <v>5225</v>
      </c>
      <c r="E37">
        <v>21</v>
      </c>
      <c r="F37" t="s">
        <v>5163</v>
      </c>
      <c r="G37" t="s">
        <v>1905</v>
      </c>
    </row>
    <row r="38" spans="1:7" hidden="1">
      <c r="A38" s="5" t="s">
        <v>5226</v>
      </c>
      <c r="B38" t="s">
        <v>5161</v>
      </c>
      <c r="C38" t="s">
        <v>120</v>
      </c>
      <c r="D38" t="s">
        <v>5227</v>
      </c>
      <c r="E38">
        <v>39</v>
      </c>
      <c r="F38" t="s">
        <v>5163</v>
      </c>
      <c r="G38" t="s">
        <v>1905</v>
      </c>
    </row>
    <row r="39" spans="1:7" hidden="1">
      <c r="A39" s="5" t="s">
        <v>5226</v>
      </c>
      <c r="B39" t="s">
        <v>5161</v>
      </c>
      <c r="C39" t="s">
        <v>120</v>
      </c>
      <c r="D39" t="s">
        <v>5228</v>
      </c>
      <c r="E39">
        <v>44</v>
      </c>
      <c r="F39" t="s">
        <v>5163</v>
      </c>
      <c r="G39" t="s">
        <v>1905</v>
      </c>
    </row>
    <row r="40" spans="1:7" hidden="1">
      <c r="A40" s="5" t="s">
        <v>5229</v>
      </c>
      <c r="B40" t="s">
        <v>5161</v>
      </c>
      <c r="C40" t="s">
        <v>120</v>
      </c>
      <c r="D40" t="s">
        <v>5230</v>
      </c>
      <c r="E40">
        <v>18</v>
      </c>
      <c r="F40" t="s">
        <v>5163</v>
      </c>
      <c r="G40" t="s">
        <v>1905</v>
      </c>
    </row>
    <row r="41" spans="1:7" hidden="1">
      <c r="A41" s="5" t="s">
        <v>5231</v>
      </c>
      <c r="B41" t="s">
        <v>5161</v>
      </c>
      <c r="C41" t="s">
        <v>120</v>
      </c>
      <c r="D41" t="s">
        <v>5232</v>
      </c>
      <c r="E41">
        <v>18</v>
      </c>
      <c r="F41" t="s">
        <v>5163</v>
      </c>
      <c r="G41" t="s">
        <v>5164</v>
      </c>
    </row>
    <row r="42" spans="1:7" hidden="1">
      <c r="A42" s="5" t="s">
        <v>5233</v>
      </c>
      <c r="B42" t="s">
        <v>5161</v>
      </c>
      <c r="C42" t="s">
        <v>120</v>
      </c>
      <c r="D42" t="s">
        <v>5234</v>
      </c>
      <c r="E42">
        <v>19</v>
      </c>
      <c r="F42" t="s">
        <v>5163</v>
      </c>
      <c r="G42" t="s">
        <v>1905</v>
      </c>
    </row>
    <row r="43" spans="1:7" hidden="1">
      <c r="A43" s="5" t="s">
        <v>5235</v>
      </c>
      <c r="B43" t="s">
        <v>5161</v>
      </c>
      <c r="C43" t="s">
        <v>120</v>
      </c>
      <c r="D43" t="s">
        <v>5236</v>
      </c>
      <c r="E43">
        <v>31</v>
      </c>
      <c r="F43" t="s">
        <v>5163</v>
      </c>
      <c r="G43" t="s">
        <v>5164</v>
      </c>
    </row>
    <row r="44" spans="1:7" hidden="1">
      <c r="A44" s="5" t="s">
        <v>5237</v>
      </c>
      <c r="B44" t="s">
        <v>5161</v>
      </c>
      <c r="C44" t="s">
        <v>120</v>
      </c>
      <c r="D44" t="s">
        <v>5238</v>
      </c>
      <c r="E44">
        <v>33</v>
      </c>
      <c r="F44" t="s">
        <v>5163</v>
      </c>
      <c r="G44" t="s">
        <v>1905</v>
      </c>
    </row>
    <row r="45" spans="1:7" hidden="1">
      <c r="A45" s="5" t="s">
        <v>5239</v>
      </c>
      <c r="B45" t="s">
        <v>5161</v>
      </c>
      <c r="C45" t="s">
        <v>120</v>
      </c>
      <c r="D45" t="s">
        <v>5240</v>
      </c>
      <c r="E45">
        <v>19</v>
      </c>
      <c r="F45" t="s">
        <v>5163</v>
      </c>
      <c r="G45" t="s">
        <v>1905</v>
      </c>
    </row>
    <row r="46" spans="1:7" hidden="1">
      <c r="A46" s="5" t="s">
        <v>5241</v>
      </c>
      <c r="B46" t="s">
        <v>5161</v>
      </c>
      <c r="C46" t="s">
        <v>120</v>
      </c>
      <c r="D46" t="s">
        <v>5242</v>
      </c>
      <c r="E46">
        <v>20</v>
      </c>
      <c r="F46" t="s">
        <v>5163</v>
      </c>
      <c r="G46" t="s">
        <v>1905</v>
      </c>
    </row>
    <row r="47" spans="1:7" hidden="1">
      <c r="A47" s="5" t="s">
        <v>5243</v>
      </c>
      <c r="B47" t="s">
        <v>5161</v>
      </c>
      <c r="C47" t="s">
        <v>120</v>
      </c>
      <c r="D47" t="s">
        <v>5244</v>
      </c>
      <c r="E47">
        <v>43</v>
      </c>
      <c r="F47" t="s">
        <v>5172</v>
      </c>
      <c r="G47" t="s">
        <v>1905</v>
      </c>
    </row>
    <row r="48" spans="1:7" hidden="1">
      <c r="A48" s="5" t="s">
        <v>5245</v>
      </c>
      <c r="B48" t="s">
        <v>5161</v>
      </c>
      <c r="C48" t="s">
        <v>120</v>
      </c>
      <c r="D48" t="s">
        <v>5246</v>
      </c>
      <c r="E48">
        <v>25</v>
      </c>
      <c r="F48" t="s">
        <v>5163</v>
      </c>
      <c r="G48" t="s">
        <v>5164</v>
      </c>
    </row>
    <row r="49" spans="1:7" hidden="1">
      <c r="A49" s="5" t="s">
        <v>5247</v>
      </c>
      <c r="B49" t="s">
        <v>5161</v>
      </c>
      <c r="C49" t="s">
        <v>120</v>
      </c>
      <c r="D49" t="s">
        <v>5248</v>
      </c>
      <c r="E49">
        <v>57</v>
      </c>
      <c r="F49" t="s">
        <v>5163</v>
      </c>
      <c r="G49" t="s">
        <v>1905</v>
      </c>
    </row>
    <row r="50" spans="1:7" hidden="1">
      <c r="A50" s="5" t="s">
        <v>5249</v>
      </c>
      <c r="B50" t="s">
        <v>5161</v>
      </c>
      <c r="C50" t="s">
        <v>120</v>
      </c>
      <c r="D50" t="s">
        <v>5250</v>
      </c>
      <c r="E50">
        <v>21</v>
      </c>
      <c r="F50" t="s">
        <v>5163</v>
      </c>
      <c r="G50" t="s">
        <v>5164</v>
      </c>
    </row>
    <row r="51" spans="1:7" hidden="1">
      <c r="A51" s="5" t="s">
        <v>5251</v>
      </c>
      <c r="B51" t="s">
        <v>5161</v>
      </c>
      <c r="C51" t="s">
        <v>120</v>
      </c>
      <c r="D51" t="s">
        <v>5252</v>
      </c>
      <c r="E51">
        <v>26</v>
      </c>
      <c r="F51" t="s">
        <v>5163</v>
      </c>
      <c r="G51" t="s">
        <v>5164</v>
      </c>
    </row>
    <row r="52" spans="1:7" hidden="1">
      <c r="A52" s="5" t="s">
        <v>5253</v>
      </c>
      <c r="B52" t="s">
        <v>5161</v>
      </c>
      <c r="C52" t="s">
        <v>120</v>
      </c>
      <c r="D52" t="s">
        <v>5254</v>
      </c>
      <c r="E52">
        <v>34</v>
      </c>
      <c r="F52" t="s">
        <v>5163</v>
      </c>
      <c r="G52" t="s">
        <v>5164</v>
      </c>
    </row>
    <row r="53" spans="1:7" hidden="1">
      <c r="A53" s="5" t="s">
        <v>5255</v>
      </c>
      <c r="B53" t="s">
        <v>5161</v>
      </c>
      <c r="C53" t="s">
        <v>120</v>
      </c>
      <c r="D53" t="s">
        <v>5256</v>
      </c>
      <c r="E53">
        <v>19</v>
      </c>
      <c r="F53" t="s">
        <v>5163</v>
      </c>
      <c r="G53" t="s">
        <v>1905</v>
      </c>
    </row>
    <row r="54" spans="1:7" hidden="1">
      <c r="A54" s="5" t="s">
        <v>5257</v>
      </c>
      <c r="B54" t="s">
        <v>5161</v>
      </c>
      <c r="C54" t="s">
        <v>120</v>
      </c>
      <c r="D54" t="s">
        <v>5258</v>
      </c>
      <c r="E54">
        <v>50</v>
      </c>
      <c r="F54" t="s">
        <v>5163</v>
      </c>
      <c r="G54" t="s">
        <v>1905</v>
      </c>
    </row>
    <row r="55" spans="1:7" hidden="1">
      <c r="A55" s="5" t="s">
        <v>5259</v>
      </c>
      <c r="B55" t="s">
        <v>5161</v>
      </c>
      <c r="C55" t="s">
        <v>120</v>
      </c>
      <c r="D55" t="s">
        <v>5260</v>
      </c>
      <c r="E55">
        <v>24</v>
      </c>
      <c r="F55" t="s">
        <v>5163</v>
      </c>
      <c r="G55" t="s">
        <v>1905</v>
      </c>
    </row>
    <row r="56" spans="1:7" hidden="1">
      <c r="A56" s="5" t="s">
        <v>5259</v>
      </c>
      <c r="B56" t="s">
        <v>5161</v>
      </c>
      <c r="C56" t="s">
        <v>120</v>
      </c>
      <c r="D56" t="s">
        <v>5261</v>
      </c>
      <c r="E56">
        <v>33</v>
      </c>
      <c r="F56" t="s">
        <v>5163</v>
      </c>
      <c r="G56" t="s">
        <v>1905</v>
      </c>
    </row>
    <row r="57" spans="1:7" hidden="1">
      <c r="A57" s="5" t="s">
        <v>5259</v>
      </c>
      <c r="B57" t="s">
        <v>5161</v>
      </c>
      <c r="C57" t="s">
        <v>120</v>
      </c>
      <c r="D57" t="s">
        <v>5262</v>
      </c>
      <c r="E57">
        <v>20</v>
      </c>
      <c r="F57" t="s">
        <v>5172</v>
      </c>
      <c r="G57" t="s">
        <v>1905</v>
      </c>
    </row>
    <row r="58" spans="1:7" hidden="1">
      <c r="A58" s="5" t="s">
        <v>5259</v>
      </c>
      <c r="B58" t="s">
        <v>5161</v>
      </c>
      <c r="C58" t="s">
        <v>120</v>
      </c>
      <c r="D58" t="s">
        <v>5263</v>
      </c>
      <c r="E58">
        <v>20</v>
      </c>
      <c r="F58" t="s">
        <v>5163</v>
      </c>
      <c r="G58" t="s">
        <v>5169</v>
      </c>
    </row>
    <row r="59" spans="1:7" hidden="1">
      <c r="A59" s="5" t="s">
        <v>5264</v>
      </c>
      <c r="B59" t="s">
        <v>5161</v>
      </c>
      <c r="C59" t="s">
        <v>120</v>
      </c>
      <c r="D59" t="s">
        <v>5265</v>
      </c>
      <c r="E59">
        <v>21</v>
      </c>
      <c r="F59" t="s">
        <v>5163</v>
      </c>
      <c r="G59" t="s">
        <v>5169</v>
      </c>
    </row>
    <row r="60" spans="1:7" hidden="1">
      <c r="A60" s="5" t="s">
        <v>5266</v>
      </c>
      <c r="B60" t="s">
        <v>5161</v>
      </c>
      <c r="C60" t="s">
        <v>120</v>
      </c>
      <c r="D60" t="s">
        <v>5267</v>
      </c>
      <c r="E60">
        <v>30</v>
      </c>
      <c r="F60" t="s">
        <v>5163</v>
      </c>
      <c r="G60" t="s">
        <v>1905</v>
      </c>
    </row>
    <row r="61" spans="1:7" hidden="1">
      <c r="A61" s="5" t="s">
        <v>5268</v>
      </c>
      <c r="B61" t="s">
        <v>5161</v>
      </c>
      <c r="C61" t="s">
        <v>120</v>
      </c>
      <c r="D61" t="s">
        <v>5269</v>
      </c>
      <c r="E61">
        <v>25</v>
      </c>
      <c r="F61" t="s">
        <v>5163</v>
      </c>
      <c r="G61" t="s">
        <v>5164</v>
      </c>
    </row>
    <row r="62" spans="1:7" hidden="1">
      <c r="A62" s="5" t="s">
        <v>5270</v>
      </c>
      <c r="B62" t="s">
        <v>5161</v>
      </c>
      <c r="C62" t="s">
        <v>120</v>
      </c>
      <c r="D62" t="s">
        <v>5271</v>
      </c>
      <c r="E62">
        <v>32</v>
      </c>
      <c r="F62" t="s">
        <v>5163</v>
      </c>
      <c r="G62" t="s">
        <v>1905</v>
      </c>
    </row>
    <row r="63" spans="1:7" hidden="1">
      <c r="A63" s="5" t="s">
        <v>5272</v>
      </c>
      <c r="B63" t="s">
        <v>5161</v>
      </c>
      <c r="C63" t="s">
        <v>120</v>
      </c>
      <c r="D63" t="s">
        <v>5273</v>
      </c>
      <c r="E63">
        <v>29</v>
      </c>
      <c r="F63" t="s">
        <v>5163</v>
      </c>
      <c r="G63" t="s">
        <v>5182</v>
      </c>
    </row>
    <row r="64" spans="1:7" hidden="1">
      <c r="A64" s="5" t="s">
        <v>5274</v>
      </c>
      <c r="B64" t="s">
        <v>5161</v>
      </c>
      <c r="C64" t="s">
        <v>120</v>
      </c>
      <c r="D64" t="s">
        <v>5275</v>
      </c>
      <c r="E64" t="s">
        <v>5182</v>
      </c>
      <c r="F64" t="s">
        <v>5172</v>
      </c>
      <c r="G64" t="s">
        <v>5182</v>
      </c>
    </row>
    <row r="65" spans="1:7" hidden="1">
      <c r="A65" s="5" t="s">
        <v>5274</v>
      </c>
      <c r="B65" t="s">
        <v>5161</v>
      </c>
      <c r="C65" t="s">
        <v>120</v>
      </c>
      <c r="D65" t="s">
        <v>5276</v>
      </c>
      <c r="E65" t="s">
        <v>5182</v>
      </c>
      <c r="F65" t="s">
        <v>5163</v>
      </c>
      <c r="G65" t="s">
        <v>1905</v>
      </c>
    </row>
    <row r="66" spans="1:7" hidden="1">
      <c r="A66" s="5" t="s">
        <v>5274</v>
      </c>
      <c r="B66" t="s">
        <v>5161</v>
      </c>
      <c r="C66" t="s">
        <v>120</v>
      </c>
      <c r="D66" t="s">
        <v>5277</v>
      </c>
      <c r="E66" t="s">
        <v>5182</v>
      </c>
      <c r="F66" t="s">
        <v>5163</v>
      </c>
      <c r="G66" t="s">
        <v>5182</v>
      </c>
    </row>
    <row r="67" spans="1:7" hidden="1">
      <c r="A67" s="5" t="s">
        <v>5274</v>
      </c>
      <c r="B67" t="s">
        <v>5161</v>
      </c>
      <c r="C67" t="s">
        <v>120</v>
      </c>
      <c r="D67" t="s">
        <v>5278</v>
      </c>
      <c r="E67">
        <v>34</v>
      </c>
      <c r="F67" t="s">
        <v>5163</v>
      </c>
      <c r="G67" t="s">
        <v>5182</v>
      </c>
    </row>
    <row r="68" spans="1:7" hidden="1">
      <c r="A68" s="5" t="s">
        <v>5274</v>
      </c>
      <c r="B68" t="s">
        <v>5161</v>
      </c>
      <c r="C68" t="s">
        <v>120</v>
      </c>
      <c r="D68" t="s">
        <v>5279</v>
      </c>
      <c r="E68">
        <v>30</v>
      </c>
      <c r="F68" t="s">
        <v>5163</v>
      </c>
      <c r="G68" t="s">
        <v>5182</v>
      </c>
    </row>
    <row r="69" spans="1:7" hidden="1">
      <c r="A69" s="5" t="s">
        <v>5274</v>
      </c>
      <c r="B69" t="s">
        <v>5161</v>
      </c>
      <c r="C69" t="s">
        <v>120</v>
      </c>
      <c r="D69" t="s">
        <v>5280</v>
      </c>
      <c r="E69">
        <v>33</v>
      </c>
      <c r="F69" t="s">
        <v>5163</v>
      </c>
      <c r="G69" t="s">
        <v>5164</v>
      </c>
    </row>
    <row r="70" spans="1:7" hidden="1">
      <c r="A70" s="5" t="s">
        <v>5274</v>
      </c>
      <c r="B70" t="s">
        <v>5161</v>
      </c>
      <c r="C70" t="s">
        <v>120</v>
      </c>
      <c r="D70" t="s">
        <v>5281</v>
      </c>
      <c r="E70" t="s">
        <v>5182</v>
      </c>
      <c r="F70" t="s">
        <v>5163</v>
      </c>
      <c r="G70" t="s">
        <v>5182</v>
      </c>
    </row>
    <row r="71" spans="1:7" hidden="1">
      <c r="A71" s="5" t="s">
        <v>5274</v>
      </c>
      <c r="B71" t="s">
        <v>5161</v>
      </c>
      <c r="C71" t="s">
        <v>120</v>
      </c>
      <c r="D71" t="s">
        <v>5282</v>
      </c>
      <c r="E71" t="s">
        <v>5182</v>
      </c>
      <c r="F71" t="s">
        <v>5163</v>
      </c>
      <c r="G71" t="s">
        <v>5182</v>
      </c>
    </row>
    <row r="72" spans="1:7" hidden="1">
      <c r="A72" s="5" t="s">
        <v>5274</v>
      </c>
      <c r="B72" t="s">
        <v>5161</v>
      </c>
      <c r="C72" t="s">
        <v>120</v>
      </c>
      <c r="D72" t="s">
        <v>5283</v>
      </c>
      <c r="E72">
        <v>28</v>
      </c>
      <c r="F72" t="s">
        <v>5163</v>
      </c>
      <c r="G72" t="s">
        <v>5182</v>
      </c>
    </row>
    <row r="73" spans="1:7" hidden="1">
      <c r="A73" s="5" t="s">
        <v>5284</v>
      </c>
      <c r="B73" t="s">
        <v>5161</v>
      </c>
      <c r="C73" t="s">
        <v>120</v>
      </c>
      <c r="D73" t="s">
        <v>5285</v>
      </c>
      <c r="E73">
        <v>20</v>
      </c>
      <c r="F73" t="s">
        <v>5163</v>
      </c>
      <c r="G73" t="s">
        <v>5164</v>
      </c>
    </row>
    <row r="74" spans="1:7" hidden="1">
      <c r="A74" s="5" t="s">
        <v>5286</v>
      </c>
      <c r="B74" t="s">
        <v>5161</v>
      </c>
      <c r="C74" t="s">
        <v>120</v>
      </c>
      <c r="D74" t="s">
        <v>5287</v>
      </c>
      <c r="E74">
        <v>27</v>
      </c>
      <c r="F74" t="s">
        <v>5163</v>
      </c>
      <c r="G74" t="s">
        <v>1905</v>
      </c>
    </row>
    <row r="75" spans="1:7" hidden="1">
      <c r="A75" s="5" t="s">
        <v>5288</v>
      </c>
      <c r="B75" t="s">
        <v>5161</v>
      </c>
      <c r="C75" t="s">
        <v>120</v>
      </c>
      <c r="D75" t="s">
        <v>5289</v>
      </c>
      <c r="E75">
        <v>32</v>
      </c>
      <c r="F75" t="s">
        <v>5163</v>
      </c>
      <c r="G75" t="s">
        <v>5164</v>
      </c>
    </row>
    <row r="76" spans="1:7" hidden="1">
      <c r="A76" s="5" t="s">
        <v>5290</v>
      </c>
      <c r="B76" t="s">
        <v>5161</v>
      </c>
      <c r="C76" t="s">
        <v>120</v>
      </c>
      <c r="D76" t="s">
        <v>5291</v>
      </c>
      <c r="E76">
        <v>26</v>
      </c>
      <c r="F76" t="s">
        <v>5163</v>
      </c>
      <c r="G76" t="s">
        <v>5164</v>
      </c>
    </row>
    <row r="77" spans="1:7" hidden="1">
      <c r="A77" s="5" t="s">
        <v>5292</v>
      </c>
      <c r="B77" t="s">
        <v>5161</v>
      </c>
      <c r="C77" t="s">
        <v>120</v>
      </c>
      <c r="D77" t="s">
        <v>5293</v>
      </c>
      <c r="E77">
        <v>21</v>
      </c>
      <c r="F77" t="s">
        <v>5163</v>
      </c>
      <c r="G77" t="s">
        <v>5182</v>
      </c>
    </row>
    <row r="78" spans="1:7" hidden="1">
      <c r="A78" s="5" t="s">
        <v>5292</v>
      </c>
      <c r="B78" t="s">
        <v>5161</v>
      </c>
      <c r="C78" t="s">
        <v>120</v>
      </c>
      <c r="D78" t="s">
        <v>5294</v>
      </c>
      <c r="E78">
        <v>34</v>
      </c>
      <c r="F78" t="s">
        <v>5163</v>
      </c>
      <c r="G78" t="s">
        <v>5182</v>
      </c>
    </row>
    <row r="79" spans="1:7" hidden="1">
      <c r="A79" s="5" t="s">
        <v>5295</v>
      </c>
      <c r="B79" t="s">
        <v>5161</v>
      </c>
      <c r="C79" t="s">
        <v>120</v>
      </c>
      <c r="D79" t="s">
        <v>5296</v>
      </c>
      <c r="E79">
        <v>38</v>
      </c>
      <c r="F79" t="s">
        <v>5163</v>
      </c>
      <c r="G79" t="s">
        <v>1905</v>
      </c>
    </row>
    <row r="80" spans="1:7" hidden="1">
      <c r="A80" s="5" t="s">
        <v>5297</v>
      </c>
      <c r="B80" t="s">
        <v>5161</v>
      </c>
      <c r="C80" t="s">
        <v>120</v>
      </c>
      <c r="D80" t="s">
        <v>5298</v>
      </c>
      <c r="E80">
        <v>25</v>
      </c>
      <c r="F80" t="s">
        <v>5163</v>
      </c>
      <c r="G80" t="s">
        <v>1905</v>
      </c>
    </row>
    <row r="81" spans="1:7" hidden="1">
      <c r="A81" s="5" t="s">
        <v>5299</v>
      </c>
      <c r="B81" t="s">
        <v>5161</v>
      </c>
      <c r="C81" t="s">
        <v>120</v>
      </c>
      <c r="D81" t="s">
        <v>5300</v>
      </c>
      <c r="E81">
        <v>22</v>
      </c>
      <c r="F81" t="s">
        <v>5163</v>
      </c>
      <c r="G81" t="s">
        <v>5164</v>
      </c>
    </row>
    <row r="82" spans="1:7" hidden="1">
      <c r="A82" s="5" t="s">
        <v>5301</v>
      </c>
      <c r="B82" t="s">
        <v>5161</v>
      </c>
      <c r="C82" t="s">
        <v>120</v>
      </c>
      <c r="D82" t="s">
        <v>5302</v>
      </c>
      <c r="E82">
        <v>31</v>
      </c>
      <c r="F82" t="s">
        <v>5163</v>
      </c>
      <c r="G82" t="s">
        <v>1905</v>
      </c>
    </row>
    <row r="83" spans="1:7" hidden="1">
      <c r="A83" s="5" t="s">
        <v>5301</v>
      </c>
      <c r="B83" t="s">
        <v>5161</v>
      </c>
      <c r="C83" t="s">
        <v>120</v>
      </c>
      <c r="D83" t="s">
        <v>5303</v>
      </c>
      <c r="E83">
        <v>21</v>
      </c>
      <c r="F83" t="s">
        <v>5172</v>
      </c>
      <c r="G83" t="s">
        <v>1905</v>
      </c>
    </row>
    <row r="84" spans="1:7" hidden="1">
      <c r="A84" s="5" t="s">
        <v>5304</v>
      </c>
      <c r="B84" t="s">
        <v>5161</v>
      </c>
      <c r="C84" t="s">
        <v>120</v>
      </c>
      <c r="D84" t="s">
        <v>5305</v>
      </c>
      <c r="E84">
        <v>18</v>
      </c>
      <c r="F84" t="s">
        <v>5163</v>
      </c>
      <c r="G84" t="s">
        <v>5182</v>
      </c>
    </row>
    <row r="85" spans="1:7" hidden="1">
      <c r="A85" s="5" t="s">
        <v>5306</v>
      </c>
      <c r="B85" t="s">
        <v>5161</v>
      </c>
      <c r="C85" t="s">
        <v>120</v>
      </c>
      <c r="D85" t="s">
        <v>5307</v>
      </c>
      <c r="E85">
        <v>21</v>
      </c>
      <c r="F85" t="s">
        <v>5163</v>
      </c>
      <c r="G85" t="s">
        <v>1905</v>
      </c>
    </row>
    <row r="86" spans="1:7" hidden="1">
      <c r="A86" s="5" t="s">
        <v>5308</v>
      </c>
      <c r="B86" t="s">
        <v>5161</v>
      </c>
      <c r="C86" t="s">
        <v>120</v>
      </c>
      <c r="D86" t="s">
        <v>5309</v>
      </c>
      <c r="E86">
        <v>28</v>
      </c>
      <c r="F86" t="s">
        <v>5163</v>
      </c>
      <c r="G86" t="s">
        <v>5164</v>
      </c>
    </row>
    <row r="87" spans="1:7" hidden="1">
      <c r="A87" s="5" t="s">
        <v>5310</v>
      </c>
      <c r="B87" t="s">
        <v>5161</v>
      </c>
      <c r="C87" t="s">
        <v>120</v>
      </c>
      <c r="D87" t="s">
        <v>5311</v>
      </c>
      <c r="E87">
        <v>18</v>
      </c>
      <c r="F87" t="s">
        <v>5163</v>
      </c>
      <c r="G87" t="s">
        <v>5182</v>
      </c>
    </row>
    <row r="88" spans="1:7" hidden="1">
      <c r="A88" s="5" t="s">
        <v>5312</v>
      </c>
      <c r="B88" t="s">
        <v>5161</v>
      </c>
      <c r="C88" t="s">
        <v>120</v>
      </c>
      <c r="D88" t="s">
        <v>5313</v>
      </c>
      <c r="E88">
        <v>31</v>
      </c>
      <c r="F88" t="s">
        <v>5163</v>
      </c>
      <c r="G88" t="s">
        <v>5164</v>
      </c>
    </row>
    <row r="89" spans="1:7" hidden="1">
      <c r="A89" s="5" t="s">
        <v>5314</v>
      </c>
      <c r="B89" t="s">
        <v>5161</v>
      </c>
      <c r="C89" t="s">
        <v>120</v>
      </c>
      <c r="D89" t="s">
        <v>5315</v>
      </c>
      <c r="E89">
        <v>26</v>
      </c>
      <c r="F89" t="s">
        <v>5163</v>
      </c>
      <c r="G89" t="s">
        <v>1905</v>
      </c>
    </row>
    <row r="90" spans="1:7" hidden="1">
      <c r="A90" s="5" t="s">
        <v>5316</v>
      </c>
      <c r="B90" t="s">
        <v>5161</v>
      </c>
      <c r="C90" t="s">
        <v>120</v>
      </c>
      <c r="D90" t="s">
        <v>5317</v>
      </c>
      <c r="E90">
        <v>23</v>
      </c>
      <c r="F90" t="s">
        <v>5163</v>
      </c>
      <c r="G90" t="s">
        <v>1905</v>
      </c>
    </row>
    <row r="91" spans="1:7" hidden="1">
      <c r="A91" s="5" t="s">
        <v>5318</v>
      </c>
      <c r="B91" t="s">
        <v>5161</v>
      </c>
      <c r="C91" t="s">
        <v>120</v>
      </c>
      <c r="D91" t="s">
        <v>5319</v>
      </c>
      <c r="E91">
        <v>18</v>
      </c>
      <c r="F91" t="s">
        <v>5163</v>
      </c>
      <c r="G91" t="s">
        <v>5164</v>
      </c>
    </row>
    <row r="92" spans="1:7" hidden="1">
      <c r="A92" s="5" t="s">
        <v>5320</v>
      </c>
      <c r="B92" t="s">
        <v>5161</v>
      </c>
      <c r="C92" t="s">
        <v>120</v>
      </c>
      <c r="D92" t="s">
        <v>5321</v>
      </c>
      <c r="E92">
        <v>18</v>
      </c>
      <c r="F92" t="s">
        <v>5163</v>
      </c>
      <c r="G92" t="s">
        <v>5164</v>
      </c>
    </row>
    <row r="93" spans="1:7" hidden="1">
      <c r="A93" s="5" t="s">
        <v>5322</v>
      </c>
      <c r="B93" t="s">
        <v>5161</v>
      </c>
      <c r="C93" t="s">
        <v>120</v>
      </c>
      <c r="D93" t="s">
        <v>5323</v>
      </c>
      <c r="E93">
        <v>33</v>
      </c>
      <c r="F93" t="s">
        <v>5163</v>
      </c>
      <c r="G93" t="s">
        <v>1905</v>
      </c>
    </row>
    <row r="94" spans="1:7" hidden="1">
      <c r="A94" s="5" t="s">
        <v>5324</v>
      </c>
      <c r="B94" t="s">
        <v>5161</v>
      </c>
      <c r="C94" t="s">
        <v>120</v>
      </c>
      <c r="D94" t="s">
        <v>5325</v>
      </c>
      <c r="E94">
        <v>19</v>
      </c>
      <c r="F94" t="s">
        <v>5163</v>
      </c>
      <c r="G94" t="s">
        <v>5164</v>
      </c>
    </row>
    <row r="95" spans="1:7" hidden="1">
      <c r="A95" s="5" t="s">
        <v>5326</v>
      </c>
      <c r="B95" t="s">
        <v>5161</v>
      </c>
      <c r="C95" t="s">
        <v>120</v>
      </c>
      <c r="D95" t="s">
        <v>5327</v>
      </c>
      <c r="E95">
        <v>21</v>
      </c>
      <c r="F95" t="s">
        <v>5163</v>
      </c>
      <c r="G95" t="s">
        <v>5164</v>
      </c>
    </row>
    <row r="96" spans="1:7" hidden="1">
      <c r="A96" s="5" t="s">
        <v>5326</v>
      </c>
      <c r="B96" t="s">
        <v>5161</v>
      </c>
      <c r="C96" t="s">
        <v>120</v>
      </c>
      <c r="D96" t="s">
        <v>5328</v>
      </c>
      <c r="E96">
        <v>20</v>
      </c>
      <c r="F96" t="s">
        <v>5163</v>
      </c>
      <c r="G96" t="s">
        <v>1905</v>
      </c>
    </row>
    <row r="97" spans="1:7" hidden="1">
      <c r="A97" s="5" t="s">
        <v>5329</v>
      </c>
      <c r="B97" t="s">
        <v>5161</v>
      </c>
      <c r="C97" t="s">
        <v>120</v>
      </c>
      <c r="D97" t="s">
        <v>5330</v>
      </c>
      <c r="E97">
        <v>35</v>
      </c>
      <c r="F97" t="s">
        <v>5163</v>
      </c>
      <c r="G97" t="s">
        <v>5182</v>
      </c>
    </row>
    <row r="98" spans="1:7" hidden="1">
      <c r="A98" s="5" t="s">
        <v>5329</v>
      </c>
      <c r="B98" t="s">
        <v>5161</v>
      </c>
      <c r="C98" t="s">
        <v>120</v>
      </c>
      <c r="D98" t="s">
        <v>5331</v>
      </c>
      <c r="E98">
        <v>30</v>
      </c>
      <c r="F98" t="s">
        <v>5163</v>
      </c>
      <c r="G98" t="s">
        <v>5182</v>
      </c>
    </row>
    <row r="99" spans="1:7" hidden="1">
      <c r="A99" s="5" t="s">
        <v>5332</v>
      </c>
      <c r="B99" t="s">
        <v>5161</v>
      </c>
      <c r="C99" t="s">
        <v>120</v>
      </c>
      <c r="D99" t="s">
        <v>5333</v>
      </c>
      <c r="E99">
        <v>25</v>
      </c>
      <c r="F99" t="s">
        <v>5163</v>
      </c>
      <c r="G99" t="s">
        <v>1905</v>
      </c>
    </row>
    <row r="100" spans="1:7" hidden="1">
      <c r="A100" s="5" t="s">
        <v>5334</v>
      </c>
      <c r="B100" t="s">
        <v>5161</v>
      </c>
      <c r="C100" t="s">
        <v>120</v>
      </c>
      <c r="D100" t="s">
        <v>5335</v>
      </c>
      <c r="E100">
        <v>19</v>
      </c>
      <c r="F100" t="s">
        <v>5163</v>
      </c>
      <c r="G100" t="s">
        <v>5164</v>
      </c>
    </row>
    <row r="101" spans="1:7" hidden="1">
      <c r="A101" s="5" t="s">
        <v>5336</v>
      </c>
      <c r="B101" t="s">
        <v>5161</v>
      </c>
      <c r="C101" t="s">
        <v>120</v>
      </c>
      <c r="D101" t="s">
        <v>5337</v>
      </c>
      <c r="E101">
        <v>18</v>
      </c>
      <c r="F101" t="s">
        <v>5163</v>
      </c>
      <c r="G101" t="s">
        <v>5169</v>
      </c>
    </row>
    <row r="102" spans="1:7" hidden="1">
      <c r="A102" s="5" t="s">
        <v>5338</v>
      </c>
      <c r="B102" t="s">
        <v>5161</v>
      </c>
      <c r="C102" t="s">
        <v>120</v>
      </c>
      <c r="D102" t="s">
        <v>5339</v>
      </c>
      <c r="E102">
        <v>20</v>
      </c>
      <c r="F102" t="s">
        <v>5163</v>
      </c>
      <c r="G102" t="s">
        <v>1905</v>
      </c>
    </row>
    <row r="103" spans="1:7" hidden="1">
      <c r="A103" s="5" t="s">
        <v>5340</v>
      </c>
      <c r="B103" t="s">
        <v>5161</v>
      </c>
      <c r="C103" t="s">
        <v>120</v>
      </c>
      <c r="D103" t="s">
        <v>5341</v>
      </c>
      <c r="E103">
        <v>19</v>
      </c>
      <c r="F103" t="s">
        <v>5163</v>
      </c>
      <c r="G103" t="s">
        <v>5164</v>
      </c>
    </row>
    <row r="104" spans="1:7" hidden="1">
      <c r="A104" s="5" t="s">
        <v>5342</v>
      </c>
      <c r="B104" t="s">
        <v>5161</v>
      </c>
      <c r="C104" t="s">
        <v>120</v>
      </c>
      <c r="D104" t="s">
        <v>5343</v>
      </c>
      <c r="E104">
        <v>30</v>
      </c>
      <c r="F104" t="s">
        <v>5163</v>
      </c>
      <c r="G104" t="s">
        <v>1905</v>
      </c>
    </row>
    <row r="105" spans="1:7" hidden="1">
      <c r="A105" s="5" t="s">
        <v>5344</v>
      </c>
      <c r="B105" t="s">
        <v>5161</v>
      </c>
      <c r="C105" t="s">
        <v>120</v>
      </c>
      <c r="D105" t="s">
        <v>5345</v>
      </c>
      <c r="E105">
        <v>44</v>
      </c>
      <c r="F105" t="s">
        <v>5172</v>
      </c>
      <c r="G105" t="s">
        <v>5164</v>
      </c>
    </row>
    <row r="106" spans="1:7" hidden="1">
      <c r="A106" s="5" t="s">
        <v>5346</v>
      </c>
      <c r="B106" t="s">
        <v>5161</v>
      </c>
      <c r="C106" t="s">
        <v>120</v>
      </c>
      <c r="D106" t="s">
        <v>5347</v>
      </c>
      <c r="E106">
        <v>47</v>
      </c>
      <c r="F106" t="s">
        <v>5163</v>
      </c>
      <c r="G106" t="s">
        <v>5164</v>
      </c>
    </row>
    <row r="107" spans="1:7" hidden="1">
      <c r="A107" s="5" t="s">
        <v>5348</v>
      </c>
      <c r="B107" t="s">
        <v>5161</v>
      </c>
      <c r="C107" t="s">
        <v>120</v>
      </c>
      <c r="D107" t="s">
        <v>5349</v>
      </c>
      <c r="E107">
        <v>18</v>
      </c>
      <c r="F107" t="s">
        <v>5163</v>
      </c>
      <c r="G107" t="s">
        <v>5164</v>
      </c>
    </row>
    <row r="108" spans="1:7" hidden="1">
      <c r="A108" s="5" t="s">
        <v>5350</v>
      </c>
      <c r="B108" t="s">
        <v>5161</v>
      </c>
      <c r="C108" t="s">
        <v>120</v>
      </c>
      <c r="D108" t="s">
        <v>5351</v>
      </c>
      <c r="E108">
        <v>22</v>
      </c>
      <c r="F108" t="s">
        <v>5163</v>
      </c>
      <c r="G108" t="s">
        <v>5169</v>
      </c>
    </row>
    <row r="109" spans="1:7" hidden="1">
      <c r="A109" s="5" t="s">
        <v>5352</v>
      </c>
      <c r="B109" t="s">
        <v>5161</v>
      </c>
      <c r="C109" t="s">
        <v>120</v>
      </c>
      <c r="D109" t="s">
        <v>5353</v>
      </c>
      <c r="E109">
        <v>29</v>
      </c>
      <c r="F109" t="s">
        <v>5163</v>
      </c>
      <c r="G109" t="s">
        <v>1905</v>
      </c>
    </row>
    <row r="110" spans="1:7" hidden="1">
      <c r="A110" s="5" t="s">
        <v>5354</v>
      </c>
      <c r="B110" t="s">
        <v>5161</v>
      </c>
      <c r="C110" t="s">
        <v>120</v>
      </c>
      <c r="D110" t="s">
        <v>5355</v>
      </c>
      <c r="E110">
        <v>26</v>
      </c>
      <c r="F110" t="s">
        <v>5163</v>
      </c>
      <c r="G110" t="s">
        <v>5169</v>
      </c>
    </row>
    <row r="111" spans="1:7" hidden="1">
      <c r="A111" s="5" t="s">
        <v>5356</v>
      </c>
      <c r="B111" t="s">
        <v>5161</v>
      </c>
      <c r="C111" t="s">
        <v>120</v>
      </c>
      <c r="D111" t="s">
        <v>5357</v>
      </c>
      <c r="E111">
        <v>26</v>
      </c>
      <c r="F111" t="s">
        <v>5163</v>
      </c>
      <c r="G111" t="s">
        <v>5164</v>
      </c>
    </row>
    <row r="112" spans="1:7" hidden="1">
      <c r="A112" s="5" t="s">
        <v>5358</v>
      </c>
      <c r="B112" t="s">
        <v>5161</v>
      </c>
      <c r="C112" t="s">
        <v>120</v>
      </c>
      <c r="D112" t="s">
        <v>5359</v>
      </c>
      <c r="E112">
        <v>44</v>
      </c>
      <c r="F112" t="s">
        <v>5163</v>
      </c>
      <c r="G112" t="s">
        <v>5169</v>
      </c>
    </row>
    <row r="113" spans="1:7" hidden="1">
      <c r="A113" s="5" t="s">
        <v>5360</v>
      </c>
      <c r="B113" t="s">
        <v>5161</v>
      </c>
      <c r="C113" t="s">
        <v>120</v>
      </c>
      <c r="D113" t="s">
        <v>5361</v>
      </c>
      <c r="E113">
        <v>19</v>
      </c>
      <c r="F113" t="s">
        <v>5163</v>
      </c>
      <c r="G113" t="s">
        <v>5164</v>
      </c>
    </row>
    <row r="114" spans="1:7" hidden="1">
      <c r="A114" s="5" t="s">
        <v>5362</v>
      </c>
      <c r="B114" t="s">
        <v>5161</v>
      </c>
      <c r="C114" t="s">
        <v>120</v>
      </c>
      <c r="D114" t="s">
        <v>942</v>
      </c>
      <c r="E114">
        <v>18</v>
      </c>
      <c r="F114" t="s">
        <v>5163</v>
      </c>
      <c r="G114" t="s">
        <v>1905</v>
      </c>
    </row>
    <row r="115" spans="1:7" hidden="1">
      <c r="A115" s="5" t="s">
        <v>5363</v>
      </c>
      <c r="B115" t="s">
        <v>5161</v>
      </c>
      <c r="C115" t="s">
        <v>120</v>
      </c>
      <c r="D115" t="s">
        <v>5364</v>
      </c>
      <c r="E115">
        <v>23</v>
      </c>
      <c r="F115" t="s">
        <v>5163</v>
      </c>
      <c r="G115" t="s">
        <v>1905</v>
      </c>
    </row>
    <row r="116" spans="1:7" hidden="1">
      <c r="A116" s="5" t="s">
        <v>5363</v>
      </c>
      <c r="B116" t="s">
        <v>5161</v>
      </c>
      <c r="C116" t="s">
        <v>120</v>
      </c>
      <c r="D116" t="s">
        <v>5365</v>
      </c>
      <c r="E116">
        <v>22</v>
      </c>
      <c r="F116" t="s">
        <v>5163</v>
      </c>
      <c r="G116" t="s">
        <v>1905</v>
      </c>
    </row>
    <row r="117" spans="1:7" hidden="1">
      <c r="A117" s="5" t="s">
        <v>5366</v>
      </c>
      <c r="B117" t="s">
        <v>5161</v>
      </c>
      <c r="C117" t="s">
        <v>120</v>
      </c>
      <c r="D117" t="s">
        <v>5367</v>
      </c>
      <c r="E117">
        <v>20</v>
      </c>
      <c r="F117" t="s">
        <v>5163</v>
      </c>
      <c r="G117" t="s">
        <v>1905</v>
      </c>
    </row>
    <row r="118" spans="1:7" hidden="1">
      <c r="A118" s="5" t="s">
        <v>5368</v>
      </c>
      <c r="B118" t="s">
        <v>5161</v>
      </c>
      <c r="C118" t="s">
        <v>120</v>
      </c>
      <c r="D118" t="s">
        <v>5369</v>
      </c>
      <c r="E118">
        <v>23</v>
      </c>
      <c r="F118" t="s">
        <v>5163</v>
      </c>
      <c r="G118" t="s">
        <v>5164</v>
      </c>
    </row>
    <row r="119" spans="1:7" hidden="1">
      <c r="A119" s="5" t="s">
        <v>5370</v>
      </c>
      <c r="B119" t="s">
        <v>5161</v>
      </c>
      <c r="C119" t="s">
        <v>120</v>
      </c>
      <c r="D119" t="s">
        <v>5371</v>
      </c>
      <c r="E119">
        <v>18</v>
      </c>
      <c r="F119" t="s">
        <v>5163</v>
      </c>
      <c r="G119" t="s">
        <v>5164</v>
      </c>
    </row>
    <row r="120" spans="1:7" hidden="1">
      <c r="A120" s="5" t="s">
        <v>5372</v>
      </c>
      <c r="B120" t="s">
        <v>5161</v>
      </c>
      <c r="C120" t="s">
        <v>120</v>
      </c>
      <c r="D120" t="s">
        <v>5373</v>
      </c>
      <c r="E120">
        <v>24</v>
      </c>
      <c r="F120" t="s">
        <v>5163</v>
      </c>
      <c r="G120" t="s">
        <v>5164</v>
      </c>
    </row>
    <row r="121" spans="1:7" hidden="1">
      <c r="A121" s="5" t="s">
        <v>5372</v>
      </c>
      <c r="B121" t="s">
        <v>5161</v>
      </c>
      <c r="C121" t="s">
        <v>120</v>
      </c>
      <c r="D121" t="s">
        <v>5374</v>
      </c>
      <c r="E121">
        <v>19</v>
      </c>
      <c r="F121" t="s">
        <v>5163</v>
      </c>
      <c r="G121" t="s">
        <v>5164</v>
      </c>
    </row>
    <row r="122" spans="1:7" hidden="1">
      <c r="A122" s="5" t="s">
        <v>5375</v>
      </c>
      <c r="B122" t="s">
        <v>5161</v>
      </c>
      <c r="C122" t="s">
        <v>120</v>
      </c>
      <c r="D122" t="s">
        <v>5376</v>
      </c>
      <c r="E122">
        <v>28</v>
      </c>
      <c r="F122" t="s">
        <v>5163</v>
      </c>
      <c r="G122" t="s">
        <v>1905</v>
      </c>
    </row>
    <row r="123" spans="1:7" hidden="1">
      <c r="A123" s="5" t="s">
        <v>2408</v>
      </c>
      <c r="B123" t="s">
        <v>5161</v>
      </c>
      <c r="C123" t="s">
        <v>131</v>
      </c>
      <c r="D123" t="s">
        <v>5377</v>
      </c>
      <c r="E123">
        <v>25</v>
      </c>
      <c r="F123" t="s">
        <v>5163</v>
      </c>
      <c r="G123" t="s">
        <v>1905</v>
      </c>
    </row>
    <row r="124" spans="1:7" hidden="1">
      <c r="A124" s="5" t="s">
        <v>3192</v>
      </c>
      <c r="B124" t="s">
        <v>5161</v>
      </c>
      <c r="C124" t="s">
        <v>131</v>
      </c>
      <c r="D124" t="s">
        <v>5378</v>
      </c>
      <c r="E124">
        <v>30</v>
      </c>
      <c r="F124" t="s">
        <v>5163</v>
      </c>
      <c r="G124" t="s">
        <v>5164</v>
      </c>
    </row>
    <row r="125" spans="1:7" hidden="1">
      <c r="A125" s="5" t="s">
        <v>129</v>
      </c>
      <c r="B125" t="s">
        <v>5161</v>
      </c>
      <c r="C125" t="s">
        <v>131</v>
      </c>
      <c r="D125" t="s">
        <v>509</v>
      </c>
      <c r="E125">
        <v>35</v>
      </c>
      <c r="F125" t="s">
        <v>5163</v>
      </c>
      <c r="G125" t="s">
        <v>5164</v>
      </c>
    </row>
    <row r="126" spans="1:7" hidden="1">
      <c r="A126" s="5" t="s">
        <v>3477</v>
      </c>
      <c r="B126" t="s">
        <v>5161</v>
      </c>
      <c r="C126" t="s">
        <v>131</v>
      </c>
      <c r="D126" t="s">
        <v>5379</v>
      </c>
      <c r="E126">
        <v>21</v>
      </c>
      <c r="F126" t="s">
        <v>5163</v>
      </c>
      <c r="G126" t="s">
        <v>5164</v>
      </c>
    </row>
    <row r="127" spans="1:7" hidden="1">
      <c r="A127" s="5" t="s">
        <v>2697</v>
      </c>
      <c r="B127" t="s">
        <v>5161</v>
      </c>
      <c r="C127" t="s">
        <v>131</v>
      </c>
      <c r="D127" t="s">
        <v>5380</v>
      </c>
      <c r="E127">
        <v>18</v>
      </c>
      <c r="F127" t="s">
        <v>5163</v>
      </c>
      <c r="G127" t="s">
        <v>5164</v>
      </c>
    </row>
    <row r="128" spans="1:7" hidden="1">
      <c r="A128" s="5" t="s">
        <v>2693</v>
      </c>
      <c r="B128" t="s">
        <v>5161</v>
      </c>
      <c r="C128" t="s">
        <v>131</v>
      </c>
      <c r="D128" t="s">
        <v>5381</v>
      </c>
      <c r="E128">
        <v>19</v>
      </c>
      <c r="F128" t="s">
        <v>5163</v>
      </c>
      <c r="G128" t="s">
        <v>5164</v>
      </c>
    </row>
    <row r="129" spans="1:7" hidden="1">
      <c r="A129" s="5" t="s">
        <v>3424</v>
      </c>
      <c r="B129" t="s">
        <v>5161</v>
      </c>
      <c r="C129" t="s">
        <v>131</v>
      </c>
      <c r="D129" t="s">
        <v>5382</v>
      </c>
      <c r="E129">
        <v>18</v>
      </c>
      <c r="F129" t="s">
        <v>5163</v>
      </c>
      <c r="G129" t="s">
        <v>1905</v>
      </c>
    </row>
    <row r="130" spans="1:7" hidden="1">
      <c r="A130" s="5" t="s">
        <v>5069</v>
      </c>
      <c r="B130" t="s">
        <v>5161</v>
      </c>
      <c r="C130" t="s">
        <v>131</v>
      </c>
      <c r="D130" t="s">
        <v>5383</v>
      </c>
      <c r="E130">
        <v>27</v>
      </c>
      <c r="F130" t="s">
        <v>5163</v>
      </c>
      <c r="G130" t="s">
        <v>1905</v>
      </c>
    </row>
    <row r="131" spans="1:7" hidden="1">
      <c r="A131" s="5" t="s">
        <v>5069</v>
      </c>
      <c r="B131" t="s">
        <v>5161</v>
      </c>
      <c r="C131" t="s">
        <v>131</v>
      </c>
      <c r="D131" t="s">
        <v>5384</v>
      </c>
      <c r="E131">
        <v>19</v>
      </c>
      <c r="F131" t="s">
        <v>5163</v>
      </c>
      <c r="G131" t="s">
        <v>5164</v>
      </c>
    </row>
    <row r="132" spans="1:7" hidden="1">
      <c r="A132" s="5" t="s">
        <v>3004</v>
      </c>
      <c r="B132" t="s">
        <v>5161</v>
      </c>
      <c r="C132" t="s">
        <v>131</v>
      </c>
      <c r="D132" t="s">
        <v>5385</v>
      </c>
      <c r="E132">
        <v>29</v>
      </c>
      <c r="F132" t="s">
        <v>5163</v>
      </c>
      <c r="G132" t="s">
        <v>1905</v>
      </c>
    </row>
    <row r="133" spans="1:7" hidden="1">
      <c r="A133" s="5" t="s">
        <v>2790</v>
      </c>
      <c r="B133" t="s">
        <v>5161</v>
      </c>
      <c r="C133" t="s">
        <v>131</v>
      </c>
      <c r="D133" t="s">
        <v>5386</v>
      </c>
      <c r="E133">
        <v>52</v>
      </c>
      <c r="F133" t="s">
        <v>5163</v>
      </c>
      <c r="G133" t="s">
        <v>1905</v>
      </c>
    </row>
    <row r="134" spans="1:7" hidden="1">
      <c r="A134" s="5" t="s">
        <v>4668</v>
      </c>
      <c r="B134" t="s">
        <v>5161</v>
      </c>
      <c r="C134" t="s">
        <v>131</v>
      </c>
      <c r="D134" t="s">
        <v>5387</v>
      </c>
      <c r="E134">
        <v>20</v>
      </c>
      <c r="F134" t="s">
        <v>5163</v>
      </c>
      <c r="G134" t="s">
        <v>1905</v>
      </c>
    </row>
    <row r="135" spans="1:7" hidden="1">
      <c r="A135" s="5" t="s">
        <v>4668</v>
      </c>
      <c r="B135" t="s">
        <v>5161</v>
      </c>
      <c r="C135" t="s">
        <v>131</v>
      </c>
      <c r="D135" t="s">
        <v>5388</v>
      </c>
      <c r="E135">
        <v>21</v>
      </c>
      <c r="F135" t="s">
        <v>5163</v>
      </c>
      <c r="G135" t="s">
        <v>5164</v>
      </c>
    </row>
    <row r="136" spans="1:7" hidden="1">
      <c r="A136" s="5" t="s">
        <v>2535</v>
      </c>
      <c r="B136" t="s">
        <v>5161</v>
      </c>
      <c r="C136" t="s">
        <v>131</v>
      </c>
      <c r="D136" t="s">
        <v>5389</v>
      </c>
      <c r="E136">
        <v>25</v>
      </c>
      <c r="F136" t="s">
        <v>5163</v>
      </c>
      <c r="G136" t="s">
        <v>5169</v>
      </c>
    </row>
    <row r="137" spans="1:7" hidden="1">
      <c r="A137" s="5" t="s">
        <v>2694</v>
      </c>
      <c r="B137" t="s">
        <v>5161</v>
      </c>
      <c r="C137" t="s">
        <v>131</v>
      </c>
      <c r="D137" t="s">
        <v>5390</v>
      </c>
      <c r="E137">
        <v>20</v>
      </c>
      <c r="F137" t="s">
        <v>5163</v>
      </c>
      <c r="G137" t="s">
        <v>5164</v>
      </c>
    </row>
    <row r="138" spans="1:7" hidden="1">
      <c r="A138" s="5" t="s">
        <v>5072</v>
      </c>
      <c r="B138" t="s">
        <v>5161</v>
      </c>
      <c r="C138" t="s">
        <v>131</v>
      </c>
      <c r="D138" t="s">
        <v>5391</v>
      </c>
      <c r="E138">
        <v>19</v>
      </c>
      <c r="F138" t="s">
        <v>5172</v>
      </c>
      <c r="G138" t="s">
        <v>1905</v>
      </c>
    </row>
    <row r="139" spans="1:7" hidden="1">
      <c r="A139" s="5" t="s">
        <v>3246</v>
      </c>
      <c r="B139" t="s">
        <v>5161</v>
      </c>
      <c r="C139" t="s">
        <v>131</v>
      </c>
      <c r="D139" t="s">
        <v>5392</v>
      </c>
      <c r="E139">
        <v>24</v>
      </c>
      <c r="F139" t="s">
        <v>5163</v>
      </c>
      <c r="G139" t="s">
        <v>5164</v>
      </c>
    </row>
    <row r="140" spans="1:7" hidden="1">
      <c r="A140" s="5" t="s">
        <v>3568</v>
      </c>
      <c r="B140" t="s">
        <v>5161</v>
      </c>
      <c r="C140" t="s">
        <v>131</v>
      </c>
      <c r="D140" t="s">
        <v>5393</v>
      </c>
      <c r="E140">
        <v>22</v>
      </c>
      <c r="F140" t="s">
        <v>5163</v>
      </c>
      <c r="G140" t="s">
        <v>5169</v>
      </c>
    </row>
    <row r="141" spans="1:7" hidden="1">
      <c r="A141" s="5" t="s">
        <v>4677</v>
      </c>
      <c r="B141" t="s">
        <v>5161</v>
      </c>
      <c r="C141" t="s">
        <v>131</v>
      </c>
      <c r="D141" t="s">
        <v>5394</v>
      </c>
      <c r="E141">
        <v>18</v>
      </c>
      <c r="F141" t="s">
        <v>5163</v>
      </c>
      <c r="G141" t="s">
        <v>5164</v>
      </c>
    </row>
    <row r="142" spans="1:7" hidden="1">
      <c r="A142" s="5" t="s">
        <v>4677</v>
      </c>
      <c r="B142" t="s">
        <v>5161</v>
      </c>
      <c r="C142" t="s">
        <v>131</v>
      </c>
      <c r="D142" t="s">
        <v>5395</v>
      </c>
      <c r="E142">
        <v>22</v>
      </c>
      <c r="F142" t="s">
        <v>5163</v>
      </c>
      <c r="G142" t="s">
        <v>1905</v>
      </c>
    </row>
    <row r="143" spans="1:7" hidden="1">
      <c r="A143" s="5" t="s">
        <v>3387</v>
      </c>
      <c r="B143" t="s">
        <v>5161</v>
      </c>
      <c r="C143" t="s">
        <v>131</v>
      </c>
      <c r="D143" t="s">
        <v>5396</v>
      </c>
      <c r="E143">
        <v>19</v>
      </c>
      <c r="F143" t="s">
        <v>5163</v>
      </c>
      <c r="G143" t="s">
        <v>1905</v>
      </c>
    </row>
    <row r="144" spans="1:7" hidden="1">
      <c r="A144" s="5" t="s">
        <v>3627</v>
      </c>
      <c r="B144" t="s">
        <v>5161</v>
      </c>
      <c r="C144" t="s">
        <v>131</v>
      </c>
      <c r="D144" t="s">
        <v>5397</v>
      </c>
      <c r="E144">
        <v>26</v>
      </c>
      <c r="F144" t="s">
        <v>5163</v>
      </c>
      <c r="G144" t="s">
        <v>5164</v>
      </c>
    </row>
    <row r="145" spans="1:7" hidden="1">
      <c r="A145" s="5" t="s">
        <v>2403</v>
      </c>
      <c r="B145" t="s">
        <v>5161</v>
      </c>
      <c r="C145" t="s">
        <v>131</v>
      </c>
      <c r="D145" t="s">
        <v>5398</v>
      </c>
      <c r="E145">
        <v>22</v>
      </c>
      <c r="F145" t="s">
        <v>5163</v>
      </c>
      <c r="G145" t="s">
        <v>5164</v>
      </c>
    </row>
    <row r="146" spans="1:7" hidden="1">
      <c r="A146" s="5" t="s">
        <v>2403</v>
      </c>
      <c r="B146" t="s">
        <v>5161</v>
      </c>
      <c r="C146" t="s">
        <v>131</v>
      </c>
      <c r="D146" t="s">
        <v>5399</v>
      </c>
      <c r="E146">
        <v>34</v>
      </c>
      <c r="F146" t="s">
        <v>5163</v>
      </c>
      <c r="G146" t="s">
        <v>1905</v>
      </c>
    </row>
    <row r="147" spans="1:7" hidden="1">
      <c r="A147" s="5" t="s">
        <v>4009</v>
      </c>
      <c r="B147" t="s">
        <v>5161</v>
      </c>
      <c r="C147" t="s">
        <v>131</v>
      </c>
      <c r="D147" t="s">
        <v>5400</v>
      </c>
      <c r="E147">
        <v>27</v>
      </c>
      <c r="F147" t="s">
        <v>5163</v>
      </c>
      <c r="G147" t="s">
        <v>5164</v>
      </c>
    </row>
    <row r="148" spans="1:7" hidden="1">
      <c r="A148" s="5" t="s">
        <v>127</v>
      </c>
      <c r="B148" t="s">
        <v>5161</v>
      </c>
      <c r="C148" t="s">
        <v>131</v>
      </c>
      <c r="D148" t="s">
        <v>506</v>
      </c>
      <c r="E148">
        <v>20</v>
      </c>
      <c r="F148" t="s">
        <v>5163</v>
      </c>
      <c r="G148" t="s">
        <v>5164</v>
      </c>
    </row>
    <row r="149" spans="1:7" hidden="1">
      <c r="A149" s="5" t="s">
        <v>5401</v>
      </c>
      <c r="B149" t="s">
        <v>5161</v>
      </c>
      <c r="C149" t="s">
        <v>131</v>
      </c>
      <c r="D149" t="s">
        <v>5402</v>
      </c>
      <c r="E149">
        <v>37</v>
      </c>
      <c r="F149" t="s">
        <v>5172</v>
      </c>
      <c r="G149" t="s">
        <v>5169</v>
      </c>
    </row>
    <row r="150" spans="1:7" hidden="1">
      <c r="A150" s="5" t="s">
        <v>4282</v>
      </c>
      <c r="B150" t="s">
        <v>5161</v>
      </c>
      <c r="C150" t="s">
        <v>131</v>
      </c>
      <c r="D150" t="s">
        <v>5403</v>
      </c>
      <c r="E150">
        <v>38</v>
      </c>
      <c r="F150" t="s">
        <v>5163</v>
      </c>
      <c r="G150" t="s">
        <v>1905</v>
      </c>
    </row>
    <row r="151" spans="1:7" hidden="1">
      <c r="A151" s="5" t="s">
        <v>4282</v>
      </c>
      <c r="B151" t="s">
        <v>5161</v>
      </c>
      <c r="C151" t="s">
        <v>131</v>
      </c>
      <c r="D151" t="s">
        <v>5404</v>
      </c>
      <c r="E151">
        <v>41</v>
      </c>
      <c r="F151" t="s">
        <v>5163</v>
      </c>
      <c r="G151" t="s">
        <v>5164</v>
      </c>
    </row>
    <row r="152" spans="1:7" hidden="1">
      <c r="A152" s="5" t="s">
        <v>4246</v>
      </c>
      <c r="B152" t="s">
        <v>5161</v>
      </c>
      <c r="C152" t="s">
        <v>131</v>
      </c>
      <c r="D152" t="s">
        <v>5405</v>
      </c>
      <c r="E152">
        <v>26</v>
      </c>
      <c r="F152" t="s">
        <v>5163</v>
      </c>
      <c r="G152" t="s">
        <v>1905</v>
      </c>
    </row>
    <row r="153" spans="1:7" hidden="1">
      <c r="A153" s="5" t="s">
        <v>3392</v>
      </c>
      <c r="B153" t="s">
        <v>5161</v>
      </c>
      <c r="C153" t="s">
        <v>131</v>
      </c>
      <c r="D153" t="s">
        <v>5406</v>
      </c>
      <c r="E153">
        <v>21</v>
      </c>
      <c r="F153" t="s">
        <v>5163</v>
      </c>
      <c r="G153" t="s">
        <v>5169</v>
      </c>
    </row>
    <row r="154" spans="1:7" hidden="1">
      <c r="A154" s="5" t="s">
        <v>3519</v>
      </c>
      <c r="B154" t="s">
        <v>5161</v>
      </c>
      <c r="C154" t="s">
        <v>131</v>
      </c>
      <c r="D154" t="s">
        <v>5407</v>
      </c>
      <c r="E154">
        <v>23</v>
      </c>
      <c r="F154" t="s">
        <v>5163</v>
      </c>
      <c r="G154" t="s">
        <v>1905</v>
      </c>
    </row>
    <row r="155" spans="1:7" hidden="1">
      <c r="A155" s="5" t="s">
        <v>4988</v>
      </c>
      <c r="B155" t="s">
        <v>5161</v>
      </c>
      <c r="C155" t="s">
        <v>131</v>
      </c>
      <c r="D155" t="s">
        <v>5408</v>
      </c>
      <c r="E155">
        <v>19</v>
      </c>
      <c r="F155" t="s">
        <v>5172</v>
      </c>
      <c r="G155" t="s">
        <v>5169</v>
      </c>
    </row>
    <row r="156" spans="1:7" hidden="1">
      <c r="A156" s="5" t="s">
        <v>4988</v>
      </c>
      <c r="B156" t="s">
        <v>5161</v>
      </c>
      <c r="C156" t="s">
        <v>131</v>
      </c>
      <c r="D156" t="s">
        <v>5409</v>
      </c>
      <c r="E156">
        <v>22</v>
      </c>
      <c r="F156" t="s">
        <v>5163</v>
      </c>
      <c r="G156" t="s">
        <v>1905</v>
      </c>
    </row>
    <row r="157" spans="1:7" hidden="1">
      <c r="A157" s="5" t="s">
        <v>3951</v>
      </c>
      <c r="B157" t="s">
        <v>5161</v>
      </c>
      <c r="C157" t="s">
        <v>131</v>
      </c>
      <c r="D157" t="s">
        <v>5410</v>
      </c>
      <c r="E157">
        <v>34</v>
      </c>
      <c r="F157" t="s">
        <v>5163</v>
      </c>
      <c r="G157" t="s">
        <v>5164</v>
      </c>
    </row>
    <row r="158" spans="1:7" hidden="1">
      <c r="A158" s="5" t="s">
        <v>122</v>
      </c>
      <c r="B158" t="s">
        <v>5161</v>
      </c>
      <c r="C158" t="s">
        <v>131</v>
      </c>
      <c r="D158" t="s">
        <v>493</v>
      </c>
      <c r="E158">
        <v>20</v>
      </c>
      <c r="F158" t="s">
        <v>5163</v>
      </c>
      <c r="G158" t="s">
        <v>5164</v>
      </c>
    </row>
    <row r="159" spans="1:7" hidden="1">
      <c r="A159" s="5" t="s">
        <v>4552</v>
      </c>
      <c r="B159" t="s">
        <v>5161</v>
      </c>
      <c r="C159" t="s">
        <v>131</v>
      </c>
      <c r="D159" t="s">
        <v>5411</v>
      </c>
      <c r="E159">
        <v>18</v>
      </c>
      <c r="F159" t="s">
        <v>5163</v>
      </c>
      <c r="G159" t="s">
        <v>1905</v>
      </c>
    </row>
    <row r="160" spans="1:7" hidden="1">
      <c r="A160" s="5" t="s">
        <v>4321</v>
      </c>
      <c r="B160" t="s">
        <v>5161</v>
      </c>
      <c r="C160" t="s">
        <v>131</v>
      </c>
      <c r="D160" t="s">
        <v>5412</v>
      </c>
      <c r="E160">
        <v>19</v>
      </c>
      <c r="F160" t="s">
        <v>5163</v>
      </c>
      <c r="G160" t="s">
        <v>5169</v>
      </c>
    </row>
    <row r="161" spans="1:7" hidden="1">
      <c r="A161" s="5" t="s">
        <v>4105</v>
      </c>
      <c r="B161" t="s">
        <v>5161</v>
      </c>
      <c r="C161" t="s">
        <v>131</v>
      </c>
      <c r="D161" t="s">
        <v>5413</v>
      </c>
      <c r="E161">
        <v>56</v>
      </c>
      <c r="F161" t="s">
        <v>5163</v>
      </c>
      <c r="G161" t="s">
        <v>1905</v>
      </c>
    </row>
    <row r="162" spans="1:7" hidden="1">
      <c r="A162" s="5" t="s">
        <v>125</v>
      </c>
      <c r="B162" t="s">
        <v>5161</v>
      </c>
      <c r="C162" t="s">
        <v>131</v>
      </c>
      <c r="D162" t="s">
        <v>502</v>
      </c>
      <c r="E162">
        <v>31</v>
      </c>
      <c r="F162" t="s">
        <v>5163</v>
      </c>
      <c r="G162" t="s">
        <v>5164</v>
      </c>
    </row>
    <row r="163" spans="1:7" hidden="1">
      <c r="A163" s="5" t="s">
        <v>4363</v>
      </c>
      <c r="B163" t="s">
        <v>5161</v>
      </c>
      <c r="C163" t="s">
        <v>131</v>
      </c>
      <c r="D163" t="s">
        <v>5414</v>
      </c>
      <c r="E163">
        <v>29</v>
      </c>
      <c r="F163" t="s">
        <v>5163</v>
      </c>
      <c r="G163" t="s">
        <v>1905</v>
      </c>
    </row>
    <row r="164" spans="1:7" hidden="1">
      <c r="A164" s="5" t="s">
        <v>3612</v>
      </c>
      <c r="B164" t="s">
        <v>5161</v>
      </c>
      <c r="C164" t="s">
        <v>131</v>
      </c>
      <c r="D164" t="s">
        <v>5415</v>
      </c>
      <c r="E164">
        <v>36</v>
      </c>
      <c r="F164" t="s">
        <v>5163</v>
      </c>
      <c r="G164" t="s">
        <v>5169</v>
      </c>
    </row>
    <row r="165" spans="1:7" hidden="1">
      <c r="A165" s="5" t="s">
        <v>3612</v>
      </c>
      <c r="B165" t="s">
        <v>5161</v>
      </c>
      <c r="C165" t="s">
        <v>131</v>
      </c>
      <c r="D165" t="s">
        <v>5416</v>
      </c>
      <c r="E165">
        <v>40</v>
      </c>
      <c r="F165" t="s">
        <v>5163</v>
      </c>
      <c r="G165" t="s">
        <v>1905</v>
      </c>
    </row>
    <row r="166" spans="1:7" hidden="1">
      <c r="A166" s="5" t="s">
        <v>121</v>
      </c>
      <c r="B166" t="s">
        <v>5161</v>
      </c>
      <c r="C166" t="s">
        <v>131</v>
      </c>
      <c r="D166" t="s">
        <v>491</v>
      </c>
      <c r="E166">
        <v>22</v>
      </c>
      <c r="F166" t="s">
        <v>5163</v>
      </c>
      <c r="G166" t="s">
        <v>5164</v>
      </c>
    </row>
    <row r="167" spans="1:7" hidden="1">
      <c r="A167" s="5" t="s">
        <v>3482</v>
      </c>
      <c r="B167" t="s">
        <v>5161</v>
      </c>
      <c r="C167" t="s">
        <v>131</v>
      </c>
      <c r="D167" t="s">
        <v>5417</v>
      </c>
      <c r="E167">
        <v>25</v>
      </c>
      <c r="F167" t="s">
        <v>5163</v>
      </c>
      <c r="G167" t="s">
        <v>5164</v>
      </c>
    </row>
    <row r="168" spans="1:7" hidden="1">
      <c r="A168" s="5" t="s">
        <v>3175</v>
      </c>
      <c r="B168" t="s">
        <v>5161</v>
      </c>
      <c r="C168" t="s">
        <v>131</v>
      </c>
      <c r="D168" t="s">
        <v>5418</v>
      </c>
      <c r="E168">
        <v>49</v>
      </c>
      <c r="F168" t="s">
        <v>5163</v>
      </c>
      <c r="G168" t="s">
        <v>1905</v>
      </c>
    </row>
    <row r="169" spans="1:7" hidden="1">
      <c r="A169" s="5" t="s">
        <v>2375</v>
      </c>
      <c r="B169" t="s">
        <v>5161</v>
      </c>
      <c r="C169" t="s">
        <v>131</v>
      </c>
      <c r="D169" t="s">
        <v>5419</v>
      </c>
      <c r="E169">
        <v>23</v>
      </c>
      <c r="F169" t="s">
        <v>5163</v>
      </c>
      <c r="G169" t="s">
        <v>1905</v>
      </c>
    </row>
    <row r="170" spans="1:7" hidden="1">
      <c r="A170" s="5" t="s">
        <v>123</v>
      </c>
      <c r="B170" t="s">
        <v>5161</v>
      </c>
      <c r="C170" t="s">
        <v>131</v>
      </c>
      <c r="D170" t="s">
        <v>497</v>
      </c>
      <c r="E170">
        <v>31</v>
      </c>
      <c r="F170" t="s">
        <v>5163</v>
      </c>
      <c r="G170" t="s">
        <v>5164</v>
      </c>
    </row>
    <row r="171" spans="1:7" hidden="1">
      <c r="A171" s="5" t="s">
        <v>123</v>
      </c>
      <c r="B171" t="s">
        <v>5161</v>
      </c>
      <c r="C171" t="s">
        <v>131</v>
      </c>
      <c r="D171" t="s">
        <v>5420</v>
      </c>
      <c r="E171">
        <v>28</v>
      </c>
      <c r="F171" t="s">
        <v>5163</v>
      </c>
      <c r="G171" t="s">
        <v>5164</v>
      </c>
    </row>
    <row r="172" spans="1:7" hidden="1">
      <c r="A172" s="5" t="s">
        <v>4853</v>
      </c>
      <c r="B172" t="s">
        <v>5161</v>
      </c>
      <c r="C172" t="s">
        <v>131</v>
      </c>
      <c r="D172" t="s">
        <v>5421</v>
      </c>
      <c r="E172">
        <v>19</v>
      </c>
      <c r="F172" t="s">
        <v>5163</v>
      </c>
      <c r="G172" t="s">
        <v>5164</v>
      </c>
    </row>
    <row r="173" spans="1:7" hidden="1">
      <c r="A173" s="5" t="s">
        <v>2481</v>
      </c>
      <c r="B173" t="s">
        <v>5161</v>
      </c>
      <c r="C173" t="s">
        <v>131</v>
      </c>
      <c r="D173" t="s">
        <v>5422</v>
      </c>
      <c r="E173">
        <v>26</v>
      </c>
      <c r="F173" t="s">
        <v>5163</v>
      </c>
      <c r="G173" t="s">
        <v>5164</v>
      </c>
    </row>
    <row r="174" spans="1:7" hidden="1">
      <c r="A174" s="5" t="s">
        <v>3557</v>
      </c>
      <c r="B174" t="s">
        <v>5161</v>
      </c>
      <c r="C174" t="s">
        <v>131</v>
      </c>
      <c r="D174" t="s">
        <v>5423</v>
      </c>
      <c r="E174">
        <v>22</v>
      </c>
      <c r="F174" t="s">
        <v>5163</v>
      </c>
      <c r="G174" t="s">
        <v>1905</v>
      </c>
    </row>
    <row r="175" spans="1:7" hidden="1">
      <c r="A175" s="5" t="s">
        <v>126</v>
      </c>
      <c r="B175" t="s">
        <v>5161</v>
      </c>
      <c r="C175" t="s">
        <v>131</v>
      </c>
      <c r="D175" t="s">
        <v>504</v>
      </c>
      <c r="E175">
        <v>20</v>
      </c>
      <c r="F175" t="s">
        <v>5163</v>
      </c>
      <c r="G175" t="s">
        <v>1905</v>
      </c>
    </row>
    <row r="176" spans="1:7" hidden="1">
      <c r="A176" s="5" t="s">
        <v>3467</v>
      </c>
      <c r="B176" t="s">
        <v>5161</v>
      </c>
      <c r="C176" t="s">
        <v>131</v>
      </c>
      <c r="D176" t="s">
        <v>5424</v>
      </c>
      <c r="E176">
        <v>19</v>
      </c>
      <c r="F176" t="s">
        <v>5163</v>
      </c>
      <c r="G176" t="s">
        <v>1905</v>
      </c>
    </row>
    <row r="177" spans="1:7" hidden="1">
      <c r="A177" s="5" t="s">
        <v>3493</v>
      </c>
      <c r="B177" t="s">
        <v>5161</v>
      </c>
      <c r="C177" t="s">
        <v>131</v>
      </c>
      <c r="D177" t="s">
        <v>5425</v>
      </c>
      <c r="E177">
        <v>20</v>
      </c>
      <c r="F177" t="s">
        <v>5163</v>
      </c>
      <c r="G177" t="s">
        <v>1905</v>
      </c>
    </row>
    <row r="178" spans="1:7" hidden="1">
      <c r="A178" s="5" t="s">
        <v>3035</v>
      </c>
      <c r="B178" t="s">
        <v>5161</v>
      </c>
      <c r="C178" t="s">
        <v>131</v>
      </c>
      <c r="D178" t="s">
        <v>5426</v>
      </c>
      <c r="E178">
        <v>21</v>
      </c>
      <c r="F178" t="s">
        <v>5163</v>
      </c>
      <c r="G178" t="s">
        <v>5169</v>
      </c>
    </row>
    <row r="179" spans="1:7" hidden="1">
      <c r="A179" s="5" t="s">
        <v>4852</v>
      </c>
      <c r="B179" t="s">
        <v>5161</v>
      </c>
      <c r="C179" t="s">
        <v>131</v>
      </c>
      <c r="D179" t="s">
        <v>5427</v>
      </c>
      <c r="E179">
        <v>20</v>
      </c>
      <c r="F179" t="s">
        <v>5163</v>
      </c>
      <c r="G179" t="s">
        <v>1905</v>
      </c>
    </row>
    <row r="180" spans="1:7" hidden="1">
      <c r="A180" s="5" t="s">
        <v>3702</v>
      </c>
      <c r="B180" t="s">
        <v>5161</v>
      </c>
      <c r="C180" t="s">
        <v>131</v>
      </c>
      <c r="D180" t="s">
        <v>5428</v>
      </c>
      <c r="E180">
        <v>22</v>
      </c>
      <c r="F180" t="s">
        <v>5163</v>
      </c>
      <c r="G180" t="s">
        <v>5164</v>
      </c>
    </row>
    <row r="181" spans="1:7" hidden="1">
      <c r="A181" s="5" t="s">
        <v>128</v>
      </c>
      <c r="B181" t="s">
        <v>5161</v>
      </c>
      <c r="C181" t="s">
        <v>131</v>
      </c>
      <c r="D181" t="s">
        <v>507</v>
      </c>
      <c r="E181">
        <v>19</v>
      </c>
      <c r="F181" t="s">
        <v>5163</v>
      </c>
      <c r="G181" t="s">
        <v>5164</v>
      </c>
    </row>
    <row r="182" spans="1:7" hidden="1">
      <c r="A182" s="5" t="s">
        <v>2355</v>
      </c>
      <c r="B182" t="s">
        <v>5161</v>
      </c>
      <c r="C182" t="s">
        <v>131</v>
      </c>
      <c r="D182" t="s">
        <v>5429</v>
      </c>
      <c r="E182">
        <v>22</v>
      </c>
      <c r="F182" t="s">
        <v>5163</v>
      </c>
      <c r="G182" t="s">
        <v>5164</v>
      </c>
    </row>
    <row r="183" spans="1:7" hidden="1">
      <c r="A183" s="5" t="s">
        <v>4615</v>
      </c>
      <c r="B183" t="s">
        <v>5161</v>
      </c>
      <c r="C183" t="s">
        <v>131</v>
      </c>
      <c r="D183" t="s">
        <v>5430</v>
      </c>
      <c r="E183">
        <v>19</v>
      </c>
      <c r="F183" t="s">
        <v>5163</v>
      </c>
      <c r="G183" t="s">
        <v>1905</v>
      </c>
    </row>
    <row r="184" spans="1:7" hidden="1">
      <c r="A184" s="5" t="s">
        <v>4759</v>
      </c>
      <c r="B184" t="s">
        <v>5161</v>
      </c>
      <c r="C184" t="s">
        <v>131</v>
      </c>
      <c r="D184" t="s">
        <v>5431</v>
      </c>
      <c r="E184">
        <v>27</v>
      </c>
      <c r="F184" t="s">
        <v>5163</v>
      </c>
      <c r="G184" t="s">
        <v>1905</v>
      </c>
    </row>
    <row r="185" spans="1:7" hidden="1">
      <c r="A185" s="5" t="s">
        <v>3193</v>
      </c>
      <c r="B185" t="s">
        <v>5161</v>
      </c>
      <c r="C185" t="s">
        <v>131</v>
      </c>
      <c r="D185" t="s">
        <v>5432</v>
      </c>
      <c r="E185">
        <v>19</v>
      </c>
      <c r="F185" t="s">
        <v>5163</v>
      </c>
      <c r="G185" t="s">
        <v>5169</v>
      </c>
    </row>
    <row r="186" spans="1:7" hidden="1">
      <c r="A186" s="5" t="s">
        <v>2412</v>
      </c>
      <c r="B186" t="s">
        <v>5161</v>
      </c>
      <c r="C186" t="s">
        <v>131</v>
      </c>
      <c r="D186" t="s">
        <v>5433</v>
      </c>
      <c r="E186">
        <v>23</v>
      </c>
      <c r="F186" t="s">
        <v>5172</v>
      </c>
      <c r="G186" t="s">
        <v>5164</v>
      </c>
    </row>
    <row r="187" spans="1:7" hidden="1">
      <c r="A187" s="5" t="s">
        <v>4476</v>
      </c>
      <c r="B187" t="s">
        <v>5161</v>
      </c>
      <c r="C187" t="s">
        <v>131</v>
      </c>
      <c r="D187" t="s">
        <v>5434</v>
      </c>
      <c r="E187">
        <v>31</v>
      </c>
      <c r="F187" t="s">
        <v>5163</v>
      </c>
      <c r="G187" t="s">
        <v>5169</v>
      </c>
    </row>
    <row r="188" spans="1:7" hidden="1">
      <c r="A188" s="5" t="s">
        <v>3159</v>
      </c>
      <c r="B188" t="s">
        <v>5161</v>
      </c>
      <c r="C188" t="s">
        <v>131</v>
      </c>
      <c r="D188" t="s">
        <v>5435</v>
      </c>
      <c r="E188">
        <v>20</v>
      </c>
      <c r="F188" t="s">
        <v>5163</v>
      </c>
      <c r="G188" t="s">
        <v>5164</v>
      </c>
    </row>
    <row r="189" spans="1:7" hidden="1">
      <c r="A189" s="5" t="s">
        <v>4854</v>
      </c>
      <c r="B189" t="s">
        <v>5161</v>
      </c>
      <c r="C189" t="s">
        <v>131</v>
      </c>
      <c r="D189" t="s">
        <v>5436</v>
      </c>
      <c r="E189">
        <v>31</v>
      </c>
      <c r="F189" t="s">
        <v>5163</v>
      </c>
      <c r="G189" t="s">
        <v>5164</v>
      </c>
    </row>
    <row r="190" spans="1:7" hidden="1">
      <c r="A190" s="5" t="s">
        <v>4854</v>
      </c>
      <c r="B190" t="s">
        <v>5161</v>
      </c>
      <c r="C190" t="s">
        <v>131</v>
      </c>
      <c r="D190" t="s">
        <v>5437</v>
      </c>
      <c r="E190">
        <v>38</v>
      </c>
      <c r="F190" t="s">
        <v>5163</v>
      </c>
      <c r="G190" t="s">
        <v>1905</v>
      </c>
    </row>
    <row r="191" spans="1:7" hidden="1">
      <c r="A191" s="5" t="s">
        <v>2141</v>
      </c>
      <c r="B191" t="s">
        <v>5161</v>
      </c>
      <c r="C191" t="s">
        <v>131</v>
      </c>
      <c r="D191" t="s">
        <v>5438</v>
      </c>
      <c r="E191">
        <v>30</v>
      </c>
      <c r="F191" t="s">
        <v>5163</v>
      </c>
      <c r="G191" t="s">
        <v>5164</v>
      </c>
    </row>
    <row r="192" spans="1:7" hidden="1">
      <c r="A192" s="5" t="s">
        <v>2994</v>
      </c>
      <c r="B192" t="s">
        <v>5161</v>
      </c>
      <c r="C192" t="s">
        <v>131</v>
      </c>
      <c r="D192" t="s">
        <v>5439</v>
      </c>
      <c r="E192">
        <v>27</v>
      </c>
      <c r="F192" t="s">
        <v>5163</v>
      </c>
      <c r="G192" t="s">
        <v>5169</v>
      </c>
    </row>
    <row r="193" spans="1:7" hidden="1">
      <c r="A193" s="5" t="s">
        <v>2920</v>
      </c>
      <c r="B193" t="s">
        <v>5161</v>
      </c>
      <c r="C193" t="s">
        <v>131</v>
      </c>
      <c r="D193" t="s">
        <v>5175</v>
      </c>
      <c r="E193">
        <v>42</v>
      </c>
      <c r="F193" t="s">
        <v>5163</v>
      </c>
      <c r="G193" t="s">
        <v>5164</v>
      </c>
    </row>
    <row r="194" spans="1:7" hidden="1">
      <c r="A194" s="5" t="s">
        <v>3815</v>
      </c>
      <c r="B194" t="s">
        <v>5161</v>
      </c>
      <c r="C194" t="s">
        <v>131</v>
      </c>
      <c r="D194" t="s">
        <v>5440</v>
      </c>
      <c r="E194">
        <v>35</v>
      </c>
      <c r="F194" t="s">
        <v>5163</v>
      </c>
      <c r="G194" t="s">
        <v>1905</v>
      </c>
    </row>
    <row r="195" spans="1:7" hidden="1">
      <c r="A195" s="5" t="s">
        <v>124</v>
      </c>
      <c r="B195" t="s">
        <v>5161</v>
      </c>
      <c r="C195" t="s">
        <v>131</v>
      </c>
      <c r="D195" t="s">
        <v>500</v>
      </c>
      <c r="E195">
        <v>32</v>
      </c>
      <c r="F195" t="s">
        <v>5163</v>
      </c>
      <c r="G195" t="s">
        <v>5164</v>
      </c>
    </row>
    <row r="196" spans="1:7" hidden="1">
      <c r="A196" s="5" t="s">
        <v>4812</v>
      </c>
      <c r="B196" t="s">
        <v>5161</v>
      </c>
      <c r="C196" t="s">
        <v>131</v>
      </c>
      <c r="D196" t="s">
        <v>5441</v>
      </c>
      <c r="E196">
        <v>29</v>
      </c>
      <c r="F196" t="s">
        <v>5163</v>
      </c>
      <c r="G196" t="s">
        <v>5169</v>
      </c>
    </row>
    <row r="197" spans="1:7" hidden="1">
      <c r="A197" s="5" t="s">
        <v>3063</v>
      </c>
      <c r="B197" t="s">
        <v>5161</v>
      </c>
      <c r="C197" t="s">
        <v>131</v>
      </c>
      <c r="D197" t="s">
        <v>5442</v>
      </c>
      <c r="E197">
        <v>20</v>
      </c>
      <c r="F197" t="s">
        <v>5163</v>
      </c>
      <c r="G197" t="s">
        <v>5164</v>
      </c>
    </row>
    <row r="198" spans="1:7" hidden="1">
      <c r="A198" s="5" t="s">
        <v>4416</v>
      </c>
      <c r="B198" t="s">
        <v>5161</v>
      </c>
      <c r="C198" t="s">
        <v>131</v>
      </c>
      <c r="D198" t="s">
        <v>5443</v>
      </c>
      <c r="E198">
        <v>19</v>
      </c>
      <c r="F198" t="s">
        <v>5163</v>
      </c>
      <c r="G198" t="s">
        <v>5164</v>
      </c>
    </row>
    <row r="199" spans="1:7" hidden="1">
      <c r="A199" s="5" t="s">
        <v>2600</v>
      </c>
      <c r="B199" t="s">
        <v>5161</v>
      </c>
      <c r="C199" t="s">
        <v>131</v>
      </c>
      <c r="D199" t="s">
        <v>5444</v>
      </c>
      <c r="E199">
        <v>719</v>
      </c>
      <c r="F199" t="s">
        <v>5172</v>
      </c>
      <c r="G199" t="s">
        <v>5169</v>
      </c>
    </row>
    <row r="200" spans="1:7" hidden="1">
      <c r="A200" s="5" t="s">
        <v>5445</v>
      </c>
      <c r="B200" t="s">
        <v>5161</v>
      </c>
      <c r="C200" t="s">
        <v>131</v>
      </c>
      <c r="D200" t="s">
        <v>5446</v>
      </c>
      <c r="E200">
        <v>24</v>
      </c>
      <c r="F200" t="s">
        <v>5163</v>
      </c>
      <c r="G200" t="s">
        <v>5164</v>
      </c>
    </row>
    <row r="201" spans="1:7" hidden="1">
      <c r="A201" s="5" t="s">
        <v>3345</v>
      </c>
      <c r="B201" t="s">
        <v>5161</v>
      </c>
      <c r="C201" t="s">
        <v>131</v>
      </c>
      <c r="D201" t="s">
        <v>5447</v>
      </c>
      <c r="E201">
        <v>21</v>
      </c>
      <c r="F201" t="s">
        <v>5163</v>
      </c>
      <c r="G201" t="s">
        <v>1905</v>
      </c>
    </row>
    <row r="202" spans="1:7" hidden="1">
      <c r="A202" s="5" t="s">
        <v>3345</v>
      </c>
      <c r="B202" t="s">
        <v>5161</v>
      </c>
      <c r="C202" t="s">
        <v>131</v>
      </c>
      <c r="D202" t="s">
        <v>5448</v>
      </c>
      <c r="E202">
        <v>18</v>
      </c>
      <c r="F202" t="s">
        <v>5163</v>
      </c>
      <c r="G202" t="s">
        <v>5164</v>
      </c>
    </row>
    <row r="203" spans="1:7" hidden="1">
      <c r="A203" s="5" t="s">
        <v>5449</v>
      </c>
      <c r="B203" t="s">
        <v>5161</v>
      </c>
      <c r="C203" t="s">
        <v>131</v>
      </c>
      <c r="D203" t="s">
        <v>5450</v>
      </c>
      <c r="E203" t="s">
        <v>5182</v>
      </c>
      <c r="F203" t="s">
        <v>5163</v>
      </c>
      <c r="G203" t="s">
        <v>5182</v>
      </c>
    </row>
    <row r="204" spans="1:7" hidden="1">
      <c r="A204" s="5" t="s">
        <v>3065</v>
      </c>
      <c r="B204" t="s">
        <v>5161</v>
      </c>
      <c r="C204" t="s">
        <v>131</v>
      </c>
      <c r="D204" t="s">
        <v>5451</v>
      </c>
      <c r="E204">
        <v>54</v>
      </c>
      <c r="F204" t="s">
        <v>5163</v>
      </c>
      <c r="G204" t="s">
        <v>5169</v>
      </c>
    </row>
    <row r="205" spans="1:7" hidden="1">
      <c r="A205" s="5" t="s">
        <v>4228</v>
      </c>
      <c r="B205" t="s">
        <v>5161</v>
      </c>
      <c r="C205" t="s">
        <v>131</v>
      </c>
      <c r="D205" t="s">
        <v>5452</v>
      </c>
      <c r="E205">
        <v>25</v>
      </c>
      <c r="F205" t="s">
        <v>5163</v>
      </c>
      <c r="G205" t="s">
        <v>1905</v>
      </c>
    </row>
    <row r="206" spans="1:7" hidden="1">
      <c r="A206" s="5" t="s">
        <v>3600</v>
      </c>
      <c r="B206" t="s">
        <v>5161</v>
      </c>
      <c r="C206" t="s">
        <v>131</v>
      </c>
      <c r="D206" t="s">
        <v>5453</v>
      </c>
      <c r="E206">
        <v>22</v>
      </c>
      <c r="F206" t="s">
        <v>5163</v>
      </c>
      <c r="G206" t="s">
        <v>1905</v>
      </c>
    </row>
    <row r="207" spans="1:7" hidden="1">
      <c r="A207" s="5" t="s">
        <v>5045</v>
      </c>
      <c r="B207" t="s">
        <v>5161</v>
      </c>
      <c r="C207" t="s">
        <v>131</v>
      </c>
      <c r="D207" t="s">
        <v>5454</v>
      </c>
      <c r="E207">
        <v>33</v>
      </c>
      <c r="F207" t="s">
        <v>5163</v>
      </c>
      <c r="G207" t="s">
        <v>5164</v>
      </c>
    </row>
    <row r="208" spans="1:7" hidden="1">
      <c r="A208" s="5" t="s">
        <v>2133</v>
      </c>
      <c r="B208" t="s">
        <v>5161</v>
      </c>
      <c r="C208" t="s">
        <v>131</v>
      </c>
      <c r="D208" t="s">
        <v>5455</v>
      </c>
      <c r="E208">
        <v>36</v>
      </c>
      <c r="F208" t="s">
        <v>5163</v>
      </c>
      <c r="G208" t="s">
        <v>1905</v>
      </c>
    </row>
    <row r="209" spans="1:7" hidden="1">
      <c r="A209" s="5" t="s">
        <v>4211</v>
      </c>
      <c r="B209" t="s">
        <v>5161</v>
      </c>
      <c r="C209" t="s">
        <v>131</v>
      </c>
      <c r="D209" t="s">
        <v>5456</v>
      </c>
      <c r="E209">
        <v>19</v>
      </c>
      <c r="F209" t="s">
        <v>5163</v>
      </c>
      <c r="G209" t="s">
        <v>1905</v>
      </c>
    </row>
    <row r="210" spans="1:7" hidden="1">
      <c r="A210" s="5" t="s">
        <v>3833</v>
      </c>
      <c r="B210" t="s">
        <v>5161</v>
      </c>
      <c r="C210" t="s">
        <v>131</v>
      </c>
      <c r="D210" t="s">
        <v>5457</v>
      </c>
      <c r="E210">
        <v>25</v>
      </c>
      <c r="F210" t="s">
        <v>5163</v>
      </c>
      <c r="G210" t="s">
        <v>1905</v>
      </c>
    </row>
    <row r="211" spans="1:7" hidden="1">
      <c r="A211" s="5" t="s">
        <v>2956</v>
      </c>
      <c r="B211" t="s">
        <v>5161</v>
      </c>
      <c r="C211" t="s">
        <v>131</v>
      </c>
      <c r="D211" t="s">
        <v>5458</v>
      </c>
      <c r="E211">
        <v>20</v>
      </c>
      <c r="F211" t="s">
        <v>5163</v>
      </c>
      <c r="G211" t="s">
        <v>5164</v>
      </c>
    </row>
    <row r="212" spans="1:7" hidden="1">
      <c r="A212" s="5" t="s">
        <v>5044</v>
      </c>
      <c r="B212" t="s">
        <v>5161</v>
      </c>
      <c r="C212" t="s">
        <v>131</v>
      </c>
      <c r="D212" t="s">
        <v>5459</v>
      </c>
      <c r="E212">
        <v>26</v>
      </c>
      <c r="F212" t="s">
        <v>5163</v>
      </c>
      <c r="G212" t="s">
        <v>5164</v>
      </c>
    </row>
    <row r="213" spans="1:7" hidden="1">
      <c r="A213" s="5" t="s">
        <v>3649</v>
      </c>
      <c r="B213" t="s">
        <v>5161</v>
      </c>
      <c r="C213" t="s">
        <v>131</v>
      </c>
      <c r="D213" t="s">
        <v>5460</v>
      </c>
      <c r="E213">
        <v>28</v>
      </c>
      <c r="F213" t="s">
        <v>5163</v>
      </c>
      <c r="G213" t="s">
        <v>5164</v>
      </c>
    </row>
    <row r="214" spans="1:7" hidden="1">
      <c r="A214" s="5" t="s">
        <v>3325</v>
      </c>
      <c r="B214" t="s">
        <v>5161</v>
      </c>
      <c r="C214" t="s">
        <v>131</v>
      </c>
      <c r="D214" t="s">
        <v>5461</v>
      </c>
      <c r="E214">
        <v>20</v>
      </c>
      <c r="F214" t="s">
        <v>5163</v>
      </c>
      <c r="G214" t="s">
        <v>1905</v>
      </c>
    </row>
    <row r="215" spans="1:7" hidden="1">
      <c r="A215" s="5" t="s">
        <v>4973</v>
      </c>
      <c r="B215" t="s">
        <v>5161</v>
      </c>
      <c r="C215" t="s">
        <v>131</v>
      </c>
      <c r="D215" t="s">
        <v>5462</v>
      </c>
      <c r="E215">
        <v>37</v>
      </c>
      <c r="F215" t="s">
        <v>5172</v>
      </c>
      <c r="G215" t="s">
        <v>5164</v>
      </c>
    </row>
    <row r="216" spans="1:7" hidden="1">
      <c r="A216" s="5" t="s">
        <v>2214</v>
      </c>
      <c r="B216" t="s">
        <v>5161</v>
      </c>
      <c r="C216" t="s">
        <v>131</v>
      </c>
      <c r="D216" t="s">
        <v>5463</v>
      </c>
      <c r="E216">
        <v>18</v>
      </c>
      <c r="F216" t="s">
        <v>5172</v>
      </c>
      <c r="G216" t="s">
        <v>1905</v>
      </c>
    </row>
    <row r="217" spans="1:7" hidden="1">
      <c r="A217" s="5" t="s">
        <v>2243</v>
      </c>
      <c r="B217" t="s">
        <v>5161</v>
      </c>
      <c r="C217" t="s">
        <v>131</v>
      </c>
      <c r="D217" t="s">
        <v>5464</v>
      </c>
      <c r="E217">
        <v>31</v>
      </c>
      <c r="F217" t="s">
        <v>5163</v>
      </c>
      <c r="G217" t="s">
        <v>5169</v>
      </c>
    </row>
    <row r="218" spans="1:7" hidden="1">
      <c r="A218" s="5" t="s">
        <v>4247</v>
      </c>
      <c r="B218" t="s">
        <v>5161</v>
      </c>
      <c r="C218" t="s">
        <v>131</v>
      </c>
      <c r="D218" t="s">
        <v>5465</v>
      </c>
      <c r="E218">
        <v>19</v>
      </c>
      <c r="F218" t="s">
        <v>5163</v>
      </c>
      <c r="G218" t="s">
        <v>5169</v>
      </c>
    </row>
    <row r="219" spans="1:7" hidden="1">
      <c r="A219" s="5" t="s">
        <v>4925</v>
      </c>
      <c r="B219" t="s">
        <v>5161</v>
      </c>
      <c r="C219" t="s">
        <v>131</v>
      </c>
      <c r="D219" t="s">
        <v>5466</v>
      </c>
      <c r="E219">
        <v>20</v>
      </c>
      <c r="F219" t="s">
        <v>5163</v>
      </c>
      <c r="G219" t="s">
        <v>5164</v>
      </c>
    </row>
    <row r="220" spans="1:7" hidden="1">
      <c r="A220" s="5" t="s">
        <v>3987</v>
      </c>
      <c r="B220" t="s">
        <v>5161</v>
      </c>
      <c r="C220" t="s">
        <v>131</v>
      </c>
      <c r="D220" t="s">
        <v>5467</v>
      </c>
      <c r="E220">
        <v>26</v>
      </c>
      <c r="F220" t="s">
        <v>5163</v>
      </c>
      <c r="G220" t="s">
        <v>5169</v>
      </c>
    </row>
    <row r="221" spans="1:7" hidden="1">
      <c r="A221" s="5" t="s">
        <v>4675</v>
      </c>
      <c r="B221" t="s">
        <v>5161</v>
      </c>
      <c r="C221" t="s">
        <v>131</v>
      </c>
      <c r="D221" t="s">
        <v>5468</v>
      </c>
      <c r="E221">
        <v>21</v>
      </c>
      <c r="F221" t="s">
        <v>5163</v>
      </c>
      <c r="G221" t="s">
        <v>1905</v>
      </c>
    </row>
    <row r="222" spans="1:7" hidden="1">
      <c r="A222" s="5" t="s">
        <v>4675</v>
      </c>
      <c r="B222" t="s">
        <v>5161</v>
      </c>
      <c r="C222" t="s">
        <v>131</v>
      </c>
      <c r="D222" t="s">
        <v>5469</v>
      </c>
      <c r="E222">
        <v>33</v>
      </c>
      <c r="F222" t="s">
        <v>5163</v>
      </c>
      <c r="G222" t="s">
        <v>5164</v>
      </c>
    </row>
    <row r="223" spans="1:7" hidden="1">
      <c r="A223" s="5" t="s">
        <v>4675</v>
      </c>
      <c r="B223" t="s">
        <v>5161</v>
      </c>
      <c r="C223" t="s">
        <v>131</v>
      </c>
      <c r="D223" t="s">
        <v>5470</v>
      </c>
      <c r="E223">
        <v>32</v>
      </c>
      <c r="F223" t="s">
        <v>5163</v>
      </c>
      <c r="G223" t="s">
        <v>1905</v>
      </c>
    </row>
    <row r="224" spans="1:7" hidden="1">
      <c r="A224" s="5" t="s">
        <v>4084</v>
      </c>
      <c r="B224" t="s">
        <v>5161</v>
      </c>
      <c r="C224" t="s">
        <v>131</v>
      </c>
      <c r="D224" t="s">
        <v>5471</v>
      </c>
      <c r="E224">
        <v>26</v>
      </c>
      <c r="F224" t="s">
        <v>5163</v>
      </c>
      <c r="G224" t="s">
        <v>5164</v>
      </c>
    </row>
    <row r="225" spans="1:7" hidden="1">
      <c r="A225" s="5" t="s">
        <v>4758</v>
      </c>
      <c r="B225" t="s">
        <v>5161</v>
      </c>
      <c r="C225" t="s">
        <v>131</v>
      </c>
      <c r="D225" t="s">
        <v>5472</v>
      </c>
      <c r="E225">
        <v>25</v>
      </c>
      <c r="F225" t="s">
        <v>5163</v>
      </c>
      <c r="G225" t="s">
        <v>5164</v>
      </c>
    </row>
    <row r="226" spans="1:7" hidden="1">
      <c r="A226" s="5" t="s">
        <v>4649</v>
      </c>
      <c r="B226" t="s">
        <v>5161</v>
      </c>
      <c r="C226" t="s">
        <v>131</v>
      </c>
      <c r="D226" t="s">
        <v>5473</v>
      </c>
      <c r="E226">
        <v>24</v>
      </c>
      <c r="F226" t="s">
        <v>5163</v>
      </c>
      <c r="G226" t="s">
        <v>5164</v>
      </c>
    </row>
    <row r="227" spans="1:7" hidden="1">
      <c r="A227" s="5" t="s">
        <v>3971</v>
      </c>
      <c r="B227" t="s">
        <v>5161</v>
      </c>
      <c r="C227" t="s">
        <v>131</v>
      </c>
      <c r="D227" t="s">
        <v>5474</v>
      </c>
      <c r="E227">
        <v>29</v>
      </c>
      <c r="F227" t="s">
        <v>5163</v>
      </c>
      <c r="G227" t="s">
        <v>1905</v>
      </c>
    </row>
    <row r="228" spans="1:7" hidden="1">
      <c r="A228" s="5" t="s">
        <v>3971</v>
      </c>
      <c r="B228" t="s">
        <v>5161</v>
      </c>
      <c r="C228" t="s">
        <v>131</v>
      </c>
      <c r="D228" t="s">
        <v>5475</v>
      </c>
      <c r="E228">
        <v>37</v>
      </c>
      <c r="F228" t="s">
        <v>5163</v>
      </c>
      <c r="G228" t="s">
        <v>5164</v>
      </c>
    </row>
    <row r="229" spans="1:7" hidden="1">
      <c r="A229" s="5" t="s">
        <v>3611</v>
      </c>
      <c r="B229" t="s">
        <v>5161</v>
      </c>
      <c r="C229" t="s">
        <v>131</v>
      </c>
      <c r="D229" t="s">
        <v>5476</v>
      </c>
      <c r="E229">
        <v>27</v>
      </c>
      <c r="F229" t="s">
        <v>5163</v>
      </c>
      <c r="G229" t="s">
        <v>5164</v>
      </c>
    </row>
    <row r="230" spans="1:7" hidden="1">
      <c r="A230" s="5" t="s">
        <v>4076</v>
      </c>
      <c r="B230" t="s">
        <v>5161</v>
      </c>
      <c r="C230" t="s">
        <v>131</v>
      </c>
      <c r="D230" t="s">
        <v>5477</v>
      </c>
      <c r="E230">
        <v>27</v>
      </c>
      <c r="F230" t="s">
        <v>5163</v>
      </c>
      <c r="G230" t="s">
        <v>5169</v>
      </c>
    </row>
    <row r="231" spans="1:7" hidden="1">
      <c r="A231" s="5" t="s">
        <v>3503</v>
      </c>
      <c r="B231" t="s">
        <v>5161</v>
      </c>
      <c r="C231" t="s">
        <v>131</v>
      </c>
      <c r="D231" t="s">
        <v>5478</v>
      </c>
      <c r="E231">
        <v>19</v>
      </c>
      <c r="F231" t="s">
        <v>5163</v>
      </c>
      <c r="G231" t="s">
        <v>5164</v>
      </c>
    </row>
    <row r="232" spans="1:7" hidden="1">
      <c r="A232" s="5" t="s">
        <v>3849</v>
      </c>
      <c r="B232" t="s">
        <v>5161</v>
      </c>
      <c r="C232" t="s">
        <v>131</v>
      </c>
      <c r="D232" t="s">
        <v>5479</v>
      </c>
      <c r="E232">
        <v>32</v>
      </c>
      <c r="F232" t="s">
        <v>5163</v>
      </c>
      <c r="G232" t="s">
        <v>1905</v>
      </c>
    </row>
    <row r="233" spans="1:7" hidden="1">
      <c r="A233" s="5" t="s">
        <v>2974</v>
      </c>
      <c r="B233" t="s">
        <v>5161</v>
      </c>
      <c r="C233" t="s">
        <v>131</v>
      </c>
      <c r="D233" t="s">
        <v>5480</v>
      </c>
      <c r="E233">
        <v>24</v>
      </c>
      <c r="F233" t="s">
        <v>5163</v>
      </c>
      <c r="G233" t="s">
        <v>1905</v>
      </c>
    </row>
    <row r="234" spans="1:7" hidden="1">
      <c r="A234" s="5" t="s">
        <v>2142</v>
      </c>
      <c r="B234" t="s">
        <v>5161</v>
      </c>
      <c r="C234" t="s">
        <v>131</v>
      </c>
      <c r="D234" t="s">
        <v>5481</v>
      </c>
      <c r="E234">
        <v>27</v>
      </c>
      <c r="F234" t="s">
        <v>5172</v>
      </c>
      <c r="G234" t="s">
        <v>1905</v>
      </c>
    </row>
    <row r="235" spans="1:7" hidden="1">
      <c r="A235" s="5" t="s">
        <v>4633</v>
      </c>
      <c r="B235" t="s">
        <v>5161</v>
      </c>
      <c r="C235" t="s">
        <v>131</v>
      </c>
      <c r="D235" t="s">
        <v>5482</v>
      </c>
      <c r="E235">
        <v>24</v>
      </c>
      <c r="F235" t="s">
        <v>5163</v>
      </c>
      <c r="G235" t="s">
        <v>5164</v>
      </c>
    </row>
    <row r="236" spans="1:7" hidden="1">
      <c r="A236" s="5" t="s">
        <v>3716</v>
      </c>
      <c r="B236" t="s">
        <v>5161</v>
      </c>
      <c r="C236" t="s">
        <v>131</v>
      </c>
      <c r="D236" t="s">
        <v>5483</v>
      </c>
      <c r="E236">
        <v>21</v>
      </c>
      <c r="F236" t="s">
        <v>5163</v>
      </c>
      <c r="G236" t="s">
        <v>5484</v>
      </c>
    </row>
    <row r="237" spans="1:7" hidden="1">
      <c r="A237" s="5" t="s">
        <v>2143</v>
      </c>
      <c r="B237" t="s">
        <v>5161</v>
      </c>
      <c r="C237" t="s">
        <v>131</v>
      </c>
      <c r="D237" t="s">
        <v>5485</v>
      </c>
      <c r="E237">
        <v>18</v>
      </c>
      <c r="F237" t="s">
        <v>5163</v>
      </c>
      <c r="G237" t="s">
        <v>1905</v>
      </c>
    </row>
    <row r="238" spans="1:7" hidden="1">
      <c r="A238" s="5" t="s">
        <v>130</v>
      </c>
      <c r="B238" t="s">
        <v>5161</v>
      </c>
      <c r="C238" t="s">
        <v>131</v>
      </c>
      <c r="D238" t="s">
        <v>511</v>
      </c>
      <c r="E238">
        <v>20</v>
      </c>
      <c r="F238" t="s">
        <v>5172</v>
      </c>
      <c r="G238" t="s">
        <v>5164</v>
      </c>
    </row>
    <row r="239" spans="1:7" hidden="1">
      <c r="A239" s="5" t="s">
        <v>512</v>
      </c>
      <c r="B239" t="s">
        <v>5161</v>
      </c>
      <c r="C239" t="s">
        <v>131</v>
      </c>
      <c r="D239" t="s">
        <v>514</v>
      </c>
      <c r="E239">
        <v>34</v>
      </c>
      <c r="F239" t="s">
        <v>5163</v>
      </c>
      <c r="G239" t="s">
        <v>5164</v>
      </c>
    </row>
    <row r="240" spans="1:7" hidden="1">
      <c r="A240" s="5" t="s">
        <v>4470</v>
      </c>
      <c r="B240" t="s">
        <v>5161</v>
      </c>
      <c r="C240" t="s">
        <v>87</v>
      </c>
      <c r="D240" t="s">
        <v>5486</v>
      </c>
      <c r="E240">
        <v>27</v>
      </c>
      <c r="F240" t="s">
        <v>5163</v>
      </c>
      <c r="G240" t="s">
        <v>5164</v>
      </c>
    </row>
    <row r="241" spans="1:7" hidden="1">
      <c r="A241" s="5" t="s">
        <v>5487</v>
      </c>
      <c r="B241" t="s">
        <v>5161</v>
      </c>
      <c r="C241" t="s">
        <v>87</v>
      </c>
      <c r="D241" t="s">
        <v>5488</v>
      </c>
      <c r="E241">
        <v>18</v>
      </c>
      <c r="F241" t="s">
        <v>5163</v>
      </c>
      <c r="G241" t="s">
        <v>5164</v>
      </c>
    </row>
    <row r="242" spans="1:7" hidden="1">
      <c r="A242" s="5" t="s">
        <v>2881</v>
      </c>
      <c r="B242" t="s">
        <v>5161</v>
      </c>
      <c r="C242" t="s">
        <v>87</v>
      </c>
      <c r="D242" t="s">
        <v>5489</v>
      </c>
      <c r="E242">
        <v>22</v>
      </c>
      <c r="F242" t="s">
        <v>5163</v>
      </c>
      <c r="G242" t="s">
        <v>1905</v>
      </c>
    </row>
    <row r="243" spans="1:7" hidden="1">
      <c r="A243" s="5" t="s">
        <v>2189</v>
      </c>
      <c r="B243" t="s">
        <v>5161</v>
      </c>
      <c r="C243" t="s">
        <v>87</v>
      </c>
      <c r="D243" t="s">
        <v>5490</v>
      </c>
      <c r="E243">
        <v>29</v>
      </c>
      <c r="F243" t="s">
        <v>5163</v>
      </c>
      <c r="G243" t="s">
        <v>5164</v>
      </c>
    </row>
    <row r="244" spans="1:7" hidden="1">
      <c r="A244" s="5" t="s">
        <v>3862</v>
      </c>
      <c r="B244" t="s">
        <v>5161</v>
      </c>
      <c r="C244" t="s">
        <v>87</v>
      </c>
      <c r="D244" t="s">
        <v>5491</v>
      </c>
      <c r="E244">
        <v>19</v>
      </c>
      <c r="F244" t="s">
        <v>5163</v>
      </c>
      <c r="G244" t="s">
        <v>1905</v>
      </c>
    </row>
    <row r="245" spans="1:7" hidden="1">
      <c r="A245" s="5" t="s">
        <v>3796</v>
      </c>
      <c r="B245" t="s">
        <v>5161</v>
      </c>
      <c r="C245" t="s">
        <v>87</v>
      </c>
      <c r="D245" t="s">
        <v>5492</v>
      </c>
      <c r="E245">
        <v>22</v>
      </c>
      <c r="F245" t="s">
        <v>5163</v>
      </c>
      <c r="G245" t="s">
        <v>5164</v>
      </c>
    </row>
    <row r="246" spans="1:7" hidden="1">
      <c r="A246" s="5" t="s">
        <v>3573</v>
      </c>
      <c r="B246" t="s">
        <v>5161</v>
      </c>
      <c r="C246" t="s">
        <v>87</v>
      </c>
      <c r="D246" t="s">
        <v>5493</v>
      </c>
      <c r="E246">
        <v>24</v>
      </c>
      <c r="F246" t="s">
        <v>5172</v>
      </c>
      <c r="G246" t="s">
        <v>1905</v>
      </c>
    </row>
    <row r="247" spans="1:7" hidden="1">
      <c r="A247" s="5" t="s">
        <v>3399</v>
      </c>
      <c r="B247" t="s">
        <v>5161</v>
      </c>
      <c r="C247" t="s">
        <v>87</v>
      </c>
      <c r="D247" t="s">
        <v>5494</v>
      </c>
      <c r="E247">
        <v>46</v>
      </c>
      <c r="F247" t="s">
        <v>5163</v>
      </c>
      <c r="G247" t="s">
        <v>5164</v>
      </c>
    </row>
    <row r="248" spans="1:7" hidden="1">
      <c r="A248" s="5" t="s">
        <v>4161</v>
      </c>
      <c r="B248" t="s">
        <v>5161</v>
      </c>
      <c r="C248" t="s">
        <v>87</v>
      </c>
      <c r="D248" t="s">
        <v>5495</v>
      </c>
      <c r="E248">
        <v>21</v>
      </c>
      <c r="F248" t="s">
        <v>5163</v>
      </c>
      <c r="G248" t="s">
        <v>1905</v>
      </c>
    </row>
    <row r="249" spans="1:7" hidden="1">
      <c r="A249" s="5" t="s">
        <v>4921</v>
      </c>
      <c r="B249" t="s">
        <v>5161</v>
      </c>
      <c r="C249" t="s">
        <v>87</v>
      </c>
      <c r="D249" t="s">
        <v>5496</v>
      </c>
      <c r="E249">
        <v>23</v>
      </c>
      <c r="F249" t="s">
        <v>5163</v>
      </c>
      <c r="G249" t="s">
        <v>5164</v>
      </c>
    </row>
    <row r="250" spans="1:7" hidden="1">
      <c r="A250" s="5" t="s">
        <v>4921</v>
      </c>
      <c r="B250" t="s">
        <v>5161</v>
      </c>
      <c r="C250" t="s">
        <v>87</v>
      </c>
      <c r="D250" t="s">
        <v>5497</v>
      </c>
      <c r="E250">
        <v>28</v>
      </c>
      <c r="F250" t="s">
        <v>5163</v>
      </c>
      <c r="G250" t="s">
        <v>1905</v>
      </c>
    </row>
    <row r="251" spans="1:7" hidden="1">
      <c r="A251" s="5" t="s">
        <v>4921</v>
      </c>
      <c r="B251" t="s">
        <v>5161</v>
      </c>
      <c r="C251" t="s">
        <v>87</v>
      </c>
      <c r="D251" t="s">
        <v>5498</v>
      </c>
      <c r="E251">
        <v>28</v>
      </c>
      <c r="F251" t="s">
        <v>5163</v>
      </c>
      <c r="G251" t="s">
        <v>1905</v>
      </c>
    </row>
    <row r="252" spans="1:7" hidden="1">
      <c r="A252" s="5" t="s">
        <v>4921</v>
      </c>
      <c r="B252" t="s">
        <v>5161</v>
      </c>
      <c r="C252" t="s">
        <v>87</v>
      </c>
      <c r="D252" t="s">
        <v>5499</v>
      </c>
      <c r="E252">
        <v>25</v>
      </c>
      <c r="F252" t="s">
        <v>5163</v>
      </c>
      <c r="G252" t="s">
        <v>5164</v>
      </c>
    </row>
    <row r="253" spans="1:7" hidden="1">
      <c r="A253" s="5" t="s">
        <v>4921</v>
      </c>
      <c r="B253" t="s">
        <v>5161</v>
      </c>
      <c r="C253" t="s">
        <v>87</v>
      </c>
      <c r="D253" t="s">
        <v>5500</v>
      </c>
      <c r="E253">
        <v>32</v>
      </c>
      <c r="F253" t="s">
        <v>5163</v>
      </c>
      <c r="G253" t="s">
        <v>5169</v>
      </c>
    </row>
    <row r="254" spans="1:7" hidden="1">
      <c r="A254" s="5" t="s">
        <v>4921</v>
      </c>
      <c r="B254" t="s">
        <v>5161</v>
      </c>
      <c r="C254" t="s">
        <v>87</v>
      </c>
      <c r="D254" t="s">
        <v>5501</v>
      </c>
      <c r="E254">
        <v>25</v>
      </c>
      <c r="F254" t="s">
        <v>5163</v>
      </c>
      <c r="G254" t="s">
        <v>5164</v>
      </c>
    </row>
    <row r="255" spans="1:7" hidden="1">
      <c r="A255" s="5" t="s">
        <v>4921</v>
      </c>
      <c r="B255" t="s">
        <v>5161</v>
      </c>
      <c r="C255" t="s">
        <v>87</v>
      </c>
      <c r="D255" t="s">
        <v>5502</v>
      </c>
      <c r="E255">
        <v>31</v>
      </c>
      <c r="F255" t="s">
        <v>5163</v>
      </c>
      <c r="G255" t="s">
        <v>5484</v>
      </c>
    </row>
    <row r="256" spans="1:7" hidden="1">
      <c r="A256" s="5" t="s">
        <v>5503</v>
      </c>
      <c r="B256" t="s">
        <v>5161</v>
      </c>
      <c r="C256" t="s">
        <v>87</v>
      </c>
      <c r="D256" t="s">
        <v>5504</v>
      </c>
      <c r="E256">
        <v>20</v>
      </c>
      <c r="F256" t="s">
        <v>5163</v>
      </c>
      <c r="G256" t="s">
        <v>5164</v>
      </c>
    </row>
    <row r="257" spans="1:7" hidden="1">
      <c r="A257" s="5" t="s">
        <v>3640</v>
      </c>
      <c r="B257" t="s">
        <v>5161</v>
      </c>
      <c r="C257" t="s">
        <v>87</v>
      </c>
      <c r="D257" t="s">
        <v>5505</v>
      </c>
      <c r="E257">
        <v>33</v>
      </c>
      <c r="F257" t="s">
        <v>5163</v>
      </c>
      <c r="G257" t="s">
        <v>5164</v>
      </c>
    </row>
    <row r="258" spans="1:7" hidden="1">
      <c r="A258" s="5" t="s">
        <v>3037</v>
      </c>
      <c r="B258" t="s">
        <v>5161</v>
      </c>
      <c r="C258" t="s">
        <v>87</v>
      </c>
      <c r="D258" t="s">
        <v>5506</v>
      </c>
      <c r="E258">
        <v>33</v>
      </c>
      <c r="F258" t="s">
        <v>5163</v>
      </c>
      <c r="G258" t="s">
        <v>5164</v>
      </c>
    </row>
    <row r="259" spans="1:7" hidden="1">
      <c r="A259" s="5" t="s">
        <v>4270</v>
      </c>
      <c r="B259" t="s">
        <v>5161</v>
      </c>
      <c r="C259" t="s">
        <v>87</v>
      </c>
      <c r="D259" t="s">
        <v>5507</v>
      </c>
      <c r="E259">
        <v>29</v>
      </c>
      <c r="F259" t="s">
        <v>5163</v>
      </c>
      <c r="G259" t="s">
        <v>1905</v>
      </c>
    </row>
    <row r="260" spans="1:7" hidden="1">
      <c r="A260" s="5" t="s">
        <v>4855</v>
      </c>
      <c r="B260" t="s">
        <v>5161</v>
      </c>
      <c r="C260" t="s">
        <v>87</v>
      </c>
      <c r="D260" t="s">
        <v>5508</v>
      </c>
      <c r="E260">
        <v>34</v>
      </c>
      <c r="F260" t="s">
        <v>5163</v>
      </c>
      <c r="G260" t="s">
        <v>1905</v>
      </c>
    </row>
    <row r="261" spans="1:7" hidden="1">
      <c r="A261" s="5" t="s">
        <v>5008</v>
      </c>
      <c r="B261" t="s">
        <v>5161</v>
      </c>
      <c r="C261" t="s">
        <v>87</v>
      </c>
      <c r="D261" t="s">
        <v>5509</v>
      </c>
      <c r="E261">
        <v>20</v>
      </c>
      <c r="F261" t="s">
        <v>5163</v>
      </c>
      <c r="G261" t="s">
        <v>1905</v>
      </c>
    </row>
    <row r="262" spans="1:7" hidden="1">
      <c r="A262" s="5" t="s">
        <v>5009</v>
      </c>
      <c r="B262" t="s">
        <v>5161</v>
      </c>
      <c r="C262" t="s">
        <v>87</v>
      </c>
      <c r="D262" t="s">
        <v>5510</v>
      </c>
      <c r="E262">
        <v>31</v>
      </c>
      <c r="F262" t="s">
        <v>5163</v>
      </c>
      <c r="G262" t="s">
        <v>5169</v>
      </c>
    </row>
    <row r="263" spans="1:7" hidden="1">
      <c r="A263" s="5" t="s">
        <v>4613</v>
      </c>
      <c r="B263" t="s">
        <v>5161</v>
      </c>
      <c r="C263" t="s">
        <v>87</v>
      </c>
      <c r="D263" t="s">
        <v>5511</v>
      </c>
      <c r="E263">
        <v>24</v>
      </c>
      <c r="F263" t="s">
        <v>5163</v>
      </c>
      <c r="G263" t="s">
        <v>5164</v>
      </c>
    </row>
    <row r="264" spans="1:7" hidden="1">
      <c r="A264" s="5" t="s">
        <v>4613</v>
      </c>
      <c r="B264" t="s">
        <v>5161</v>
      </c>
      <c r="C264" t="s">
        <v>87</v>
      </c>
      <c r="D264" t="s">
        <v>5512</v>
      </c>
      <c r="E264">
        <v>19</v>
      </c>
      <c r="F264" t="s">
        <v>5163</v>
      </c>
      <c r="G264" t="s">
        <v>1905</v>
      </c>
    </row>
    <row r="265" spans="1:7" hidden="1">
      <c r="A265" s="5" t="s">
        <v>5513</v>
      </c>
      <c r="B265" t="s">
        <v>5161</v>
      </c>
      <c r="C265" t="s">
        <v>87</v>
      </c>
      <c r="D265" t="s">
        <v>5514</v>
      </c>
      <c r="E265">
        <v>19</v>
      </c>
      <c r="F265" t="s">
        <v>5163</v>
      </c>
      <c r="G265" t="s">
        <v>5164</v>
      </c>
    </row>
    <row r="266" spans="1:7" hidden="1">
      <c r="A266" s="5" t="s">
        <v>3628</v>
      </c>
      <c r="B266" t="s">
        <v>5161</v>
      </c>
      <c r="C266" t="s">
        <v>87</v>
      </c>
      <c r="D266" t="s">
        <v>5515</v>
      </c>
      <c r="E266">
        <v>18</v>
      </c>
      <c r="F266" t="s">
        <v>5163</v>
      </c>
      <c r="G266" t="s">
        <v>1905</v>
      </c>
    </row>
    <row r="267" spans="1:7" hidden="1">
      <c r="A267" s="5" t="s">
        <v>5006</v>
      </c>
      <c r="B267" t="s">
        <v>5161</v>
      </c>
      <c r="C267" t="s">
        <v>87</v>
      </c>
      <c r="D267" t="s">
        <v>5516</v>
      </c>
      <c r="E267">
        <v>19</v>
      </c>
      <c r="F267" t="s">
        <v>5163</v>
      </c>
      <c r="G267" t="s">
        <v>1905</v>
      </c>
    </row>
    <row r="268" spans="1:7" hidden="1">
      <c r="A268" s="5" t="s">
        <v>2696</v>
      </c>
      <c r="B268" t="s">
        <v>5161</v>
      </c>
      <c r="C268" t="s">
        <v>87</v>
      </c>
      <c r="D268" t="s">
        <v>5517</v>
      </c>
      <c r="E268">
        <v>29</v>
      </c>
      <c r="F268" t="s">
        <v>5163</v>
      </c>
      <c r="G268" t="s">
        <v>1905</v>
      </c>
    </row>
    <row r="269" spans="1:7" hidden="1">
      <c r="A269" s="5" t="s">
        <v>2696</v>
      </c>
      <c r="B269" t="s">
        <v>5161</v>
      </c>
      <c r="C269" t="s">
        <v>87</v>
      </c>
      <c r="D269" t="s">
        <v>5518</v>
      </c>
      <c r="E269">
        <v>36</v>
      </c>
      <c r="F269" t="s">
        <v>5163</v>
      </c>
      <c r="G269" t="s">
        <v>5164</v>
      </c>
    </row>
    <row r="270" spans="1:7" hidden="1">
      <c r="A270" s="5" t="s">
        <v>92</v>
      </c>
      <c r="B270" t="s">
        <v>5161</v>
      </c>
      <c r="C270" t="s">
        <v>87</v>
      </c>
      <c r="D270" t="s">
        <v>108</v>
      </c>
      <c r="E270">
        <v>44</v>
      </c>
      <c r="F270" t="s">
        <v>5163</v>
      </c>
      <c r="G270" t="s">
        <v>5169</v>
      </c>
    </row>
    <row r="271" spans="1:7" hidden="1">
      <c r="A271" s="5" t="s">
        <v>4056</v>
      </c>
      <c r="B271" t="s">
        <v>5161</v>
      </c>
      <c r="C271" t="s">
        <v>87</v>
      </c>
      <c r="D271" t="s">
        <v>5519</v>
      </c>
      <c r="E271">
        <v>28</v>
      </c>
      <c r="F271" t="s">
        <v>5163</v>
      </c>
      <c r="G271" t="s">
        <v>1905</v>
      </c>
    </row>
    <row r="272" spans="1:7" hidden="1">
      <c r="A272" s="5" t="s">
        <v>93</v>
      </c>
      <c r="B272" t="s">
        <v>5161</v>
      </c>
      <c r="C272" t="s">
        <v>87</v>
      </c>
      <c r="D272" t="s">
        <v>110</v>
      </c>
      <c r="E272">
        <v>35</v>
      </c>
      <c r="F272" t="s">
        <v>5163</v>
      </c>
      <c r="G272" t="s">
        <v>5164</v>
      </c>
    </row>
    <row r="273" spans="1:7" hidden="1">
      <c r="A273" s="5" t="s">
        <v>3619</v>
      </c>
      <c r="B273" t="s">
        <v>5161</v>
      </c>
      <c r="C273" t="s">
        <v>87</v>
      </c>
      <c r="D273" t="s">
        <v>5520</v>
      </c>
      <c r="E273">
        <v>30</v>
      </c>
      <c r="F273" t="s">
        <v>5163</v>
      </c>
      <c r="G273" t="s">
        <v>1905</v>
      </c>
    </row>
    <row r="274" spans="1:7" hidden="1">
      <c r="A274" s="5" t="s">
        <v>3893</v>
      </c>
      <c r="B274" t="s">
        <v>5161</v>
      </c>
      <c r="C274" t="s">
        <v>87</v>
      </c>
      <c r="D274" t="s">
        <v>5521</v>
      </c>
      <c r="E274">
        <v>33</v>
      </c>
      <c r="F274" t="s">
        <v>5163</v>
      </c>
      <c r="G274" t="s">
        <v>1905</v>
      </c>
    </row>
    <row r="275" spans="1:7" hidden="1">
      <c r="A275" s="5" t="s">
        <v>5522</v>
      </c>
      <c r="B275" t="s">
        <v>5161</v>
      </c>
      <c r="C275" t="s">
        <v>87</v>
      </c>
      <c r="D275" t="s">
        <v>5523</v>
      </c>
      <c r="E275">
        <v>20</v>
      </c>
      <c r="F275" t="s">
        <v>5163</v>
      </c>
      <c r="G275" t="s">
        <v>5164</v>
      </c>
    </row>
    <row r="276" spans="1:7" hidden="1">
      <c r="A276" s="5" t="s">
        <v>3190</v>
      </c>
      <c r="B276" t="s">
        <v>5161</v>
      </c>
      <c r="C276" t="s">
        <v>87</v>
      </c>
      <c r="D276" t="s">
        <v>5524</v>
      </c>
      <c r="E276">
        <v>28</v>
      </c>
      <c r="F276" t="s">
        <v>5163</v>
      </c>
      <c r="G276" t="s">
        <v>5164</v>
      </c>
    </row>
    <row r="277" spans="1:7" hidden="1">
      <c r="A277" s="5" t="s">
        <v>88</v>
      </c>
      <c r="B277" t="s">
        <v>5161</v>
      </c>
      <c r="C277" t="s">
        <v>87</v>
      </c>
      <c r="D277" t="s">
        <v>97</v>
      </c>
      <c r="E277">
        <v>24</v>
      </c>
      <c r="F277" t="s">
        <v>5163</v>
      </c>
      <c r="G277" t="s">
        <v>5169</v>
      </c>
    </row>
    <row r="278" spans="1:7" hidden="1">
      <c r="A278" s="5" t="s">
        <v>3913</v>
      </c>
      <c r="B278" t="s">
        <v>5161</v>
      </c>
      <c r="C278" t="s">
        <v>87</v>
      </c>
      <c r="D278" t="s">
        <v>5525</v>
      </c>
      <c r="E278">
        <v>18</v>
      </c>
      <c r="F278" t="s">
        <v>5163</v>
      </c>
      <c r="G278" t="s">
        <v>1905</v>
      </c>
    </row>
    <row r="279" spans="1:7" hidden="1">
      <c r="A279" s="5" t="s">
        <v>4152</v>
      </c>
      <c r="B279" t="s">
        <v>5161</v>
      </c>
      <c r="C279" t="s">
        <v>87</v>
      </c>
      <c r="D279" t="s">
        <v>5526</v>
      </c>
      <c r="E279">
        <v>18</v>
      </c>
      <c r="F279" t="s">
        <v>5163</v>
      </c>
      <c r="G279" t="s">
        <v>5164</v>
      </c>
    </row>
    <row r="280" spans="1:7" hidden="1">
      <c r="A280" s="5" t="s">
        <v>4219</v>
      </c>
      <c r="B280" t="s">
        <v>5161</v>
      </c>
      <c r="C280" t="s">
        <v>87</v>
      </c>
      <c r="D280" t="s">
        <v>5527</v>
      </c>
      <c r="E280">
        <v>20</v>
      </c>
      <c r="F280" t="s">
        <v>5163</v>
      </c>
      <c r="G280" t="s">
        <v>1905</v>
      </c>
    </row>
    <row r="281" spans="1:7" hidden="1">
      <c r="A281" s="5" t="s">
        <v>5528</v>
      </c>
      <c r="B281" t="s">
        <v>5161</v>
      </c>
      <c r="C281" t="s">
        <v>87</v>
      </c>
      <c r="D281" t="s">
        <v>5529</v>
      </c>
      <c r="E281">
        <v>35</v>
      </c>
      <c r="F281" t="s">
        <v>5163</v>
      </c>
      <c r="G281" t="s">
        <v>5164</v>
      </c>
    </row>
    <row r="282" spans="1:7" hidden="1">
      <c r="A282" s="5" t="s">
        <v>5530</v>
      </c>
      <c r="B282" t="s">
        <v>5161</v>
      </c>
      <c r="C282" t="s">
        <v>87</v>
      </c>
      <c r="D282" t="s">
        <v>5531</v>
      </c>
      <c r="E282">
        <v>28</v>
      </c>
      <c r="F282" t="s">
        <v>5163</v>
      </c>
      <c r="G282" t="s">
        <v>5164</v>
      </c>
    </row>
    <row r="283" spans="1:7" hidden="1">
      <c r="A283" s="5" t="s">
        <v>2988</v>
      </c>
      <c r="B283" t="s">
        <v>5161</v>
      </c>
      <c r="C283" t="s">
        <v>87</v>
      </c>
      <c r="D283" t="s">
        <v>5532</v>
      </c>
      <c r="E283">
        <v>22</v>
      </c>
      <c r="F283" t="s">
        <v>5172</v>
      </c>
      <c r="G283" t="s">
        <v>1905</v>
      </c>
    </row>
    <row r="284" spans="1:7" hidden="1">
      <c r="A284" s="5" t="s">
        <v>2988</v>
      </c>
      <c r="B284" t="s">
        <v>5161</v>
      </c>
      <c r="C284" t="s">
        <v>87</v>
      </c>
      <c r="D284" t="s">
        <v>5533</v>
      </c>
      <c r="E284">
        <v>20</v>
      </c>
      <c r="F284" t="s">
        <v>5172</v>
      </c>
      <c r="G284" t="s">
        <v>1905</v>
      </c>
    </row>
    <row r="285" spans="1:7" hidden="1">
      <c r="A285" s="5" t="s">
        <v>4465</v>
      </c>
      <c r="B285" t="s">
        <v>5161</v>
      </c>
      <c r="C285" t="s">
        <v>87</v>
      </c>
      <c r="D285" t="s">
        <v>5534</v>
      </c>
      <c r="E285">
        <v>35</v>
      </c>
      <c r="F285" t="s">
        <v>5163</v>
      </c>
      <c r="G285" t="s">
        <v>5164</v>
      </c>
    </row>
    <row r="286" spans="1:7" hidden="1">
      <c r="A286" s="5" t="s">
        <v>4611</v>
      </c>
      <c r="B286" t="s">
        <v>5161</v>
      </c>
      <c r="C286" t="s">
        <v>87</v>
      </c>
      <c r="D286" t="s">
        <v>5535</v>
      </c>
      <c r="E286">
        <v>30</v>
      </c>
      <c r="F286" t="s">
        <v>5163</v>
      </c>
      <c r="G286" t="s">
        <v>1905</v>
      </c>
    </row>
    <row r="287" spans="1:7" hidden="1">
      <c r="A287" s="5" t="s">
        <v>3759</v>
      </c>
      <c r="B287" t="s">
        <v>5161</v>
      </c>
      <c r="C287" t="s">
        <v>87</v>
      </c>
      <c r="D287" t="s">
        <v>5536</v>
      </c>
      <c r="E287">
        <v>21</v>
      </c>
      <c r="F287" t="s">
        <v>5163</v>
      </c>
      <c r="G287" t="s">
        <v>1905</v>
      </c>
    </row>
    <row r="288" spans="1:7" hidden="1">
      <c r="A288" s="5" t="s">
        <v>5537</v>
      </c>
      <c r="B288" t="s">
        <v>5161</v>
      </c>
      <c r="C288" t="s">
        <v>87</v>
      </c>
      <c r="D288" t="s">
        <v>5538</v>
      </c>
      <c r="E288" t="s">
        <v>5182</v>
      </c>
      <c r="F288" t="s">
        <v>5163</v>
      </c>
      <c r="G288" t="s">
        <v>1905</v>
      </c>
    </row>
    <row r="289" spans="1:7" hidden="1">
      <c r="A289" s="5" t="s">
        <v>5537</v>
      </c>
      <c r="B289" t="s">
        <v>5161</v>
      </c>
      <c r="C289" t="s">
        <v>87</v>
      </c>
      <c r="D289" t="s">
        <v>5539</v>
      </c>
      <c r="E289" t="s">
        <v>5182</v>
      </c>
      <c r="F289" t="s">
        <v>5163</v>
      </c>
      <c r="G289" t="s">
        <v>1905</v>
      </c>
    </row>
    <row r="290" spans="1:7" hidden="1">
      <c r="A290" s="5" t="s">
        <v>4018</v>
      </c>
      <c r="B290" t="s">
        <v>5161</v>
      </c>
      <c r="C290" t="s">
        <v>87</v>
      </c>
      <c r="D290" t="s">
        <v>5540</v>
      </c>
      <c r="E290">
        <v>27</v>
      </c>
      <c r="F290" t="s">
        <v>5163</v>
      </c>
      <c r="G290" t="s">
        <v>1905</v>
      </c>
    </row>
    <row r="291" spans="1:7" hidden="1">
      <c r="A291" s="5" t="s">
        <v>5004</v>
      </c>
      <c r="B291" t="s">
        <v>5161</v>
      </c>
      <c r="C291" t="s">
        <v>87</v>
      </c>
      <c r="D291" t="s">
        <v>5541</v>
      </c>
      <c r="E291">
        <v>29</v>
      </c>
      <c r="F291" t="s">
        <v>5163</v>
      </c>
      <c r="G291" t="s">
        <v>5164</v>
      </c>
    </row>
    <row r="292" spans="1:7" hidden="1">
      <c r="A292" s="5" t="s">
        <v>5542</v>
      </c>
      <c r="B292" t="s">
        <v>5161</v>
      </c>
      <c r="C292" t="s">
        <v>87</v>
      </c>
      <c r="D292" t="s">
        <v>5543</v>
      </c>
      <c r="E292">
        <v>49</v>
      </c>
      <c r="F292" t="s">
        <v>5172</v>
      </c>
      <c r="G292" t="s">
        <v>1905</v>
      </c>
    </row>
    <row r="293" spans="1:7" hidden="1">
      <c r="A293" s="5" t="s">
        <v>3778</v>
      </c>
      <c r="B293" t="s">
        <v>5161</v>
      </c>
      <c r="C293" t="s">
        <v>87</v>
      </c>
      <c r="D293" t="s">
        <v>5544</v>
      </c>
      <c r="E293">
        <v>52</v>
      </c>
      <c r="F293" t="s">
        <v>5163</v>
      </c>
      <c r="G293" t="s">
        <v>1905</v>
      </c>
    </row>
    <row r="294" spans="1:7" hidden="1">
      <c r="A294" s="5" t="s">
        <v>4527</v>
      </c>
      <c r="B294" t="s">
        <v>5161</v>
      </c>
      <c r="C294" t="s">
        <v>87</v>
      </c>
      <c r="D294" t="s">
        <v>5545</v>
      </c>
      <c r="E294">
        <v>34</v>
      </c>
      <c r="F294" t="s">
        <v>5163</v>
      </c>
      <c r="G294" t="s">
        <v>5164</v>
      </c>
    </row>
    <row r="295" spans="1:7" hidden="1">
      <c r="A295" s="5" t="s">
        <v>4702</v>
      </c>
      <c r="B295" t="s">
        <v>5161</v>
      </c>
      <c r="C295" t="s">
        <v>87</v>
      </c>
      <c r="D295" t="s">
        <v>5546</v>
      </c>
      <c r="E295">
        <v>29</v>
      </c>
      <c r="F295" t="s">
        <v>5163</v>
      </c>
      <c r="G295" t="s">
        <v>1905</v>
      </c>
    </row>
    <row r="296" spans="1:7" hidden="1">
      <c r="A296" s="5" t="s">
        <v>4697</v>
      </c>
      <c r="B296" t="s">
        <v>5161</v>
      </c>
      <c r="C296" t="s">
        <v>87</v>
      </c>
      <c r="D296" t="s">
        <v>5547</v>
      </c>
      <c r="E296">
        <v>19</v>
      </c>
      <c r="F296" t="s">
        <v>5163</v>
      </c>
      <c r="G296" t="s">
        <v>1905</v>
      </c>
    </row>
    <row r="297" spans="1:7" hidden="1">
      <c r="A297" s="5" t="s">
        <v>4929</v>
      </c>
      <c r="B297" t="s">
        <v>5161</v>
      </c>
      <c r="C297" t="s">
        <v>87</v>
      </c>
      <c r="D297" t="s">
        <v>5548</v>
      </c>
      <c r="E297">
        <v>35</v>
      </c>
      <c r="F297" t="s">
        <v>5163</v>
      </c>
      <c r="G297" t="s">
        <v>5164</v>
      </c>
    </row>
    <row r="298" spans="1:7" hidden="1">
      <c r="A298" s="5" t="s">
        <v>3332</v>
      </c>
      <c r="B298" t="s">
        <v>5161</v>
      </c>
      <c r="C298" t="s">
        <v>87</v>
      </c>
      <c r="D298" t="s">
        <v>5549</v>
      </c>
      <c r="E298">
        <v>55</v>
      </c>
      <c r="F298" t="s">
        <v>5163</v>
      </c>
      <c r="G298" t="s">
        <v>1905</v>
      </c>
    </row>
    <row r="299" spans="1:7" hidden="1">
      <c r="A299" s="5" t="s">
        <v>91</v>
      </c>
      <c r="B299" t="s">
        <v>5161</v>
      </c>
      <c r="C299" t="s">
        <v>87</v>
      </c>
      <c r="D299" t="s">
        <v>105</v>
      </c>
      <c r="E299">
        <v>26</v>
      </c>
      <c r="F299" t="s">
        <v>5163</v>
      </c>
      <c r="G299" t="s">
        <v>1905</v>
      </c>
    </row>
    <row r="300" spans="1:7" hidden="1">
      <c r="A300" s="5" t="s">
        <v>2883</v>
      </c>
      <c r="B300" t="s">
        <v>5161</v>
      </c>
      <c r="C300" t="s">
        <v>87</v>
      </c>
      <c r="D300" t="s">
        <v>5550</v>
      </c>
      <c r="E300">
        <v>31</v>
      </c>
      <c r="F300" t="s">
        <v>5172</v>
      </c>
      <c r="G300" t="s">
        <v>1905</v>
      </c>
    </row>
    <row r="301" spans="1:7" hidden="1">
      <c r="A301" s="5" t="s">
        <v>4704</v>
      </c>
      <c r="B301" t="s">
        <v>5161</v>
      </c>
      <c r="C301" t="s">
        <v>87</v>
      </c>
      <c r="D301" t="s">
        <v>5551</v>
      </c>
      <c r="E301">
        <v>19</v>
      </c>
      <c r="F301" t="s">
        <v>5163</v>
      </c>
      <c r="G301" t="s">
        <v>5164</v>
      </c>
    </row>
    <row r="302" spans="1:7" hidden="1">
      <c r="A302" s="5" t="s">
        <v>3975</v>
      </c>
      <c r="B302" t="s">
        <v>5161</v>
      </c>
      <c r="C302" t="s">
        <v>87</v>
      </c>
      <c r="D302" t="s">
        <v>5552</v>
      </c>
      <c r="E302">
        <v>34</v>
      </c>
      <c r="F302" t="s">
        <v>5163</v>
      </c>
      <c r="G302" t="s">
        <v>1905</v>
      </c>
    </row>
    <row r="303" spans="1:7" hidden="1">
      <c r="A303" s="5" t="s">
        <v>4443</v>
      </c>
      <c r="B303" t="s">
        <v>5161</v>
      </c>
      <c r="C303" t="s">
        <v>87</v>
      </c>
      <c r="D303" t="s">
        <v>5553</v>
      </c>
      <c r="E303">
        <v>24</v>
      </c>
      <c r="F303" t="s">
        <v>5163</v>
      </c>
      <c r="G303" t="s">
        <v>1905</v>
      </c>
    </row>
    <row r="304" spans="1:7" hidden="1">
      <c r="A304" s="5" t="s">
        <v>4907</v>
      </c>
      <c r="B304" t="s">
        <v>5161</v>
      </c>
      <c r="C304" t="s">
        <v>87</v>
      </c>
      <c r="D304" t="s">
        <v>5554</v>
      </c>
      <c r="E304">
        <v>19</v>
      </c>
      <c r="F304" t="s">
        <v>5163</v>
      </c>
      <c r="G304" t="s">
        <v>5164</v>
      </c>
    </row>
    <row r="305" spans="1:7" hidden="1">
      <c r="A305" s="5" t="s">
        <v>3978</v>
      </c>
      <c r="B305" t="s">
        <v>5161</v>
      </c>
      <c r="C305" t="s">
        <v>87</v>
      </c>
      <c r="D305" t="s">
        <v>5555</v>
      </c>
      <c r="E305">
        <v>26</v>
      </c>
      <c r="F305" t="s">
        <v>5163</v>
      </c>
      <c r="G305" t="s">
        <v>5164</v>
      </c>
    </row>
    <row r="306" spans="1:7" hidden="1">
      <c r="A306" s="5" t="s">
        <v>4449</v>
      </c>
      <c r="B306" t="s">
        <v>5161</v>
      </c>
      <c r="C306" t="s">
        <v>87</v>
      </c>
      <c r="D306" t="s">
        <v>5556</v>
      </c>
      <c r="E306">
        <v>22</v>
      </c>
      <c r="F306" t="s">
        <v>5163</v>
      </c>
      <c r="G306" t="s">
        <v>1905</v>
      </c>
    </row>
    <row r="307" spans="1:7" hidden="1">
      <c r="A307" s="5" t="s">
        <v>4449</v>
      </c>
      <c r="B307" t="s">
        <v>5161</v>
      </c>
      <c r="C307" t="s">
        <v>87</v>
      </c>
      <c r="D307" t="s">
        <v>5557</v>
      </c>
      <c r="E307">
        <v>20</v>
      </c>
      <c r="F307" t="s">
        <v>5163</v>
      </c>
      <c r="G307" t="s">
        <v>5164</v>
      </c>
    </row>
    <row r="308" spans="1:7" hidden="1">
      <c r="A308" s="5" t="s">
        <v>4970</v>
      </c>
      <c r="B308" t="s">
        <v>5161</v>
      </c>
      <c r="C308" t="s">
        <v>87</v>
      </c>
      <c r="D308" t="s">
        <v>5558</v>
      </c>
      <c r="E308">
        <v>18</v>
      </c>
      <c r="F308" t="s">
        <v>5163</v>
      </c>
      <c r="G308" t="s">
        <v>5164</v>
      </c>
    </row>
    <row r="309" spans="1:7" hidden="1">
      <c r="A309" s="5" t="s">
        <v>3562</v>
      </c>
      <c r="B309" t="s">
        <v>5161</v>
      </c>
      <c r="C309" t="s">
        <v>87</v>
      </c>
      <c r="D309" t="s">
        <v>5559</v>
      </c>
      <c r="E309">
        <v>28</v>
      </c>
      <c r="F309" t="s">
        <v>5163</v>
      </c>
      <c r="G309" t="s">
        <v>5164</v>
      </c>
    </row>
    <row r="310" spans="1:7" hidden="1">
      <c r="A310" s="5" t="s">
        <v>3562</v>
      </c>
      <c r="B310" t="s">
        <v>5161</v>
      </c>
      <c r="C310" t="s">
        <v>87</v>
      </c>
      <c r="D310" t="s">
        <v>5560</v>
      </c>
      <c r="E310">
        <v>27</v>
      </c>
      <c r="F310" t="s">
        <v>5163</v>
      </c>
      <c r="G310" t="s">
        <v>5164</v>
      </c>
    </row>
    <row r="311" spans="1:7" hidden="1">
      <c r="A311" s="5" t="s">
        <v>5561</v>
      </c>
      <c r="B311" t="s">
        <v>5161</v>
      </c>
      <c r="C311" t="s">
        <v>87</v>
      </c>
      <c r="D311" t="s">
        <v>5562</v>
      </c>
      <c r="E311">
        <v>26</v>
      </c>
      <c r="F311" t="s">
        <v>5163</v>
      </c>
      <c r="G311" t="s">
        <v>5164</v>
      </c>
    </row>
    <row r="312" spans="1:7" hidden="1">
      <c r="A312" s="5" t="s">
        <v>5561</v>
      </c>
      <c r="B312" t="s">
        <v>5161</v>
      </c>
      <c r="C312" t="s">
        <v>87</v>
      </c>
      <c r="D312" t="s">
        <v>5563</v>
      </c>
      <c r="E312">
        <v>25</v>
      </c>
      <c r="F312" t="s">
        <v>5163</v>
      </c>
      <c r="G312" t="s">
        <v>5164</v>
      </c>
    </row>
    <row r="313" spans="1:7" hidden="1">
      <c r="A313" s="5" t="s">
        <v>3363</v>
      </c>
      <c r="B313" t="s">
        <v>5161</v>
      </c>
      <c r="C313" t="s">
        <v>87</v>
      </c>
      <c r="D313" t="s">
        <v>5564</v>
      </c>
      <c r="E313">
        <v>19</v>
      </c>
      <c r="F313" t="s">
        <v>5163</v>
      </c>
      <c r="G313" t="s">
        <v>5164</v>
      </c>
    </row>
    <row r="314" spans="1:7" hidden="1">
      <c r="A314" s="5" t="s">
        <v>3363</v>
      </c>
      <c r="B314" t="s">
        <v>5161</v>
      </c>
      <c r="C314" t="s">
        <v>87</v>
      </c>
      <c r="D314" t="s">
        <v>5565</v>
      </c>
      <c r="E314">
        <v>23</v>
      </c>
      <c r="F314" t="s">
        <v>5163</v>
      </c>
      <c r="G314" t="s">
        <v>5164</v>
      </c>
    </row>
    <row r="315" spans="1:7" hidden="1">
      <c r="A315" s="5" t="s">
        <v>2291</v>
      </c>
      <c r="B315" t="s">
        <v>5161</v>
      </c>
      <c r="C315" t="s">
        <v>87</v>
      </c>
      <c r="D315" t="s">
        <v>5566</v>
      </c>
      <c r="E315">
        <v>28</v>
      </c>
      <c r="F315" t="s">
        <v>5163</v>
      </c>
      <c r="G315" t="s">
        <v>5164</v>
      </c>
    </row>
    <row r="316" spans="1:7" hidden="1">
      <c r="A316" s="5" t="s">
        <v>3602</v>
      </c>
      <c r="B316" t="s">
        <v>5161</v>
      </c>
      <c r="C316" t="s">
        <v>87</v>
      </c>
      <c r="D316" t="s">
        <v>5567</v>
      </c>
      <c r="E316">
        <v>22</v>
      </c>
      <c r="F316" t="s">
        <v>5163</v>
      </c>
      <c r="G316" t="s">
        <v>5164</v>
      </c>
    </row>
    <row r="317" spans="1:7" hidden="1">
      <c r="A317" s="5" t="s">
        <v>4875</v>
      </c>
      <c r="B317" t="s">
        <v>5161</v>
      </c>
      <c r="C317" t="s">
        <v>87</v>
      </c>
      <c r="D317" t="s">
        <v>5568</v>
      </c>
      <c r="E317">
        <v>19</v>
      </c>
      <c r="F317" t="s">
        <v>5163</v>
      </c>
      <c r="G317" t="s">
        <v>5164</v>
      </c>
    </row>
    <row r="318" spans="1:7" hidden="1">
      <c r="A318" s="5" t="s">
        <v>4336</v>
      </c>
      <c r="B318" t="s">
        <v>5161</v>
      </c>
      <c r="C318" t="s">
        <v>87</v>
      </c>
      <c r="D318" t="s">
        <v>5569</v>
      </c>
      <c r="E318">
        <v>21</v>
      </c>
      <c r="F318" t="s">
        <v>5163</v>
      </c>
      <c r="G318" t="s">
        <v>1905</v>
      </c>
    </row>
    <row r="319" spans="1:7" hidden="1">
      <c r="A319" s="5" t="s">
        <v>94</v>
      </c>
      <c r="B319" t="s">
        <v>5161</v>
      </c>
      <c r="C319" t="s">
        <v>87</v>
      </c>
      <c r="D319" t="s">
        <v>111</v>
      </c>
      <c r="E319">
        <v>24</v>
      </c>
      <c r="F319" t="s">
        <v>5163</v>
      </c>
      <c r="G319" t="s">
        <v>1905</v>
      </c>
    </row>
    <row r="320" spans="1:7" hidden="1">
      <c r="A320" s="5" t="s">
        <v>3402</v>
      </c>
      <c r="B320" t="s">
        <v>5161</v>
      </c>
      <c r="C320" t="s">
        <v>87</v>
      </c>
      <c r="D320" t="s">
        <v>5570</v>
      </c>
      <c r="E320">
        <v>41</v>
      </c>
      <c r="F320" t="s">
        <v>5163</v>
      </c>
      <c r="G320" t="s">
        <v>1905</v>
      </c>
    </row>
    <row r="321" spans="1:7" hidden="1">
      <c r="A321" s="5" t="s">
        <v>3402</v>
      </c>
      <c r="B321" t="s">
        <v>5161</v>
      </c>
      <c r="C321" t="s">
        <v>87</v>
      </c>
      <c r="D321" t="s">
        <v>5571</v>
      </c>
      <c r="E321">
        <v>61</v>
      </c>
      <c r="F321" t="s">
        <v>5163</v>
      </c>
      <c r="G321" t="s">
        <v>1905</v>
      </c>
    </row>
    <row r="322" spans="1:7" hidden="1">
      <c r="A322" s="5" t="s">
        <v>3402</v>
      </c>
      <c r="B322" t="s">
        <v>5161</v>
      </c>
      <c r="C322" t="s">
        <v>87</v>
      </c>
      <c r="D322" t="s">
        <v>5572</v>
      </c>
      <c r="E322">
        <v>51</v>
      </c>
      <c r="F322" t="s">
        <v>5163</v>
      </c>
      <c r="G322" t="s">
        <v>1905</v>
      </c>
    </row>
    <row r="323" spans="1:7" hidden="1">
      <c r="A323" s="5" t="s">
        <v>3402</v>
      </c>
      <c r="B323" t="s">
        <v>5161</v>
      </c>
      <c r="C323" t="s">
        <v>87</v>
      </c>
      <c r="D323" t="s">
        <v>5573</v>
      </c>
      <c r="E323">
        <v>36</v>
      </c>
      <c r="F323" t="s">
        <v>5163</v>
      </c>
      <c r="G323" t="s">
        <v>1905</v>
      </c>
    </row>
    <row r="324" spans="1:7" hidden="1">
      <c r="A324" s="5" t="s">
        <v>3402</v>
      </c>
      <c r="B324" t="s">
        <v>5161</v>
      </c>
      <c r="C324" t="s">
        <v>87</v>
      </c>
      <c r="D324" t="s">
        <v>5574</v>
      </c>
      <c r="E324">
        <v>53</v>
      </c>
      <c r="F324" t="s">
        <v>5163</v>
      </c>
      <c r="G324" t="s">
        <v>1905</v>
      </c>
    </row>
    <row r="325" spans="1:7" hidden="1">
      <c r="A325" s="5" t="s">
        <v>3402</v>
      </c>
      <c r="B325" t="s">
        <v>5161</v>
      </c>
      <c r="C325" t="s">
        <v>87</v>
      </c>
      <c r="D325" t="s">
        <v>5575</v>
      </c>
      <c r="E325">
        <v>43</v>
      </c>
      <c r="F325" t="s">
        <v>5163</v>
      </c>
      <c r="G325" t="s">
        <v>1905</v>
      </c>
    </row>
    <row r="326" spans="1:7" hidden="1">
      <c r="A326" s="5" t="s">
        <v>5576</v>
      </c>
      <c r="B326" t="s">
        <v>5161</v>
      </c>
      <c r="C326" t="s">
        <v>87</v>
      </c>
      <c r="D326" t="s">
        <v>5577</v>
      </c>
      <c r="E326">
        <v>25</v>
      </c>
      <c r="F326" t="s">
        <v>5163</v>
      </c>
      <c r="G326" t="s">
        <v>5164</v>
      </c>
    </row>
    <row r="327" spans="1:7" hidden="1">
      <c r="A327" s="5" t="s">
        <v>3346</v>
      </c>
      <c r="B327" t="s">
        <v>5161</v>
      </c>
      <c r="C327" t="s">
        <v>87</v>
      </c>
      <c r="D327" t="s">
        <v>5578</v>
      </c>
      <c r="E327">
        <v>24</v>
      </c>
      <c r="F327" t="s">
        <v>5163</v>
      </c>
      <c r="G327" t="s">
        <v>5169</v>
      </c>
    </row>
    <row r="328" spans="1:7" hidden="1">
      <c r="A328" s="5" t="s">
        <v>3346</v>
      </c>
      <c r="B328" t="s">
        <v>5161</v>
      </c>
      <c r="C328" t="s">
        <v>87</v>
      </c>
      <c r="D328" t="s">
        <v>5579</v>
      </c>
      <c r="E328">
        <v>37</v>
      </c>
      <c r="F328" t="s">
        <v>5163</v>
      </c>
      <c r="G328" t="s">
        <v>5164</v>
      </c>
    </row>
    <row r="329" spans="1:7" hidden="1">
      <c r="A329" s="5" t="s">
        <v>4227</v>
      </c>
      <c r="B329" t="s">
        <v>5161</v>
      </c>
      <c r="C329" t="s">
        <v>87</v>
      </c>
      <c r="D329" t="s">
        <v>5580</v>
      </c>
      <c r="E329">
        <v>32</v>
      </c>
      <c r="F329" t="s">
        <v>5163</v>
      </c>
      <c r="G329" t="s">
        <v>1905</v>
      </c>
    </row>
    <row r="330" spans="1:7" hidden="1">
      <c r="A330" s="5" t="s">
        <v>4399</v>
      </c>
      <c r="B330" t="s">
        <v>5161</v>
      </c>
      <c r="C330" t="s">
        <v>87</v>
      </c>
      <c r="D330" t="s">
        <v>5581</v>
      </c>
      <c r="E330">
        <v>19</v>
      </c>
      <c r="F330" t="s">
        <v>5163</v>
      </c>
      <c r="G330" t="s">
        <v>5164</v>
      </c>
    </row>
    <row r="331" spans="1:7" hidden="1">
      <c r="A331" s="5" t="s">
        <v>4983</v>
      </c>
      <c r="B331" t="s">
        <v>5161</v>
      </c>
      <c r="C331" t="s">
        <v>87</v>
      </c>
      <c r="D331" t="s">
        <v>5582</v>
      </c>
      <c r="E331">
        <v>24</v>
      </c>
      <c r="F331" t="s">
        <v>5163</v>
      </c>
      <c r="G331" t="s">
        <v>5164</v>
      </c>
    </row>
    <row r="332" spans="1:7" hidden="1">
      <c r="A332" s="5" t="s">
        <v>5583</v>
      </c>
      <c r="B332" t="s">
        <v>5161</v>
      </c>
      <c r="C332" t="s">
        <v>87</v>
      </c>
      <c r="D332" t="s">
        <v>5584</v>
      </c>
      <c r="E332">
        <v>39</v>
      </c>
      <c r="F332" t="s">
        <v>5163</v>
      </c>
      <c r="G332" t="s">
        <v>1905</v>
      </c>
    </row>
    <row r="333" spans="1:7" hidden="1">
      <c r="A333" s="5" t="s">
        <v>4452</v>
      </c>
      <c r="B333" t="s">
        <v>5161</v>
      </c>
      <c r="C333" t="s">
        <v>87</v>
      </c>
      <c r="D333" t="s">
        <v>5585</v>
      </c>
      <c r="E333">
        <v>29</v>
      </c>
      <c r="F333" t="s">
        <v>5163</v>
      </c>
      <c r="G333" t="s">
        <v>5169</v>
      </c>
    </row>
    <row r="334" spans="1:7" hidden="1">
      <c r="A334" s="5" t="s">
        <v>4720</v>
      </c>
      <c r="B334" t="s">
        <v>5161</v>
      </c>
      <c r="C334" t="s">
        <v>87</v>
      </c>
      <c r="D334" t="s">
        <v>5586</v>
      </c>
      <c r="E334">
        <v>19</v>
      </c>
      <c r="F334" t="s">
        <v>5163</v>
      </c>
      <c r="G334" t="s">
        <v>1905</v>
      </c>
    </row>
    <row r="335" spans="1:7" hidden="1">
      <c r="A335" s="5" t="s">
        <v>89</v>
      </c>
      <c r="B335" t="s">
        <v>5161</v>
      </c>
      <c r="C335" t="s">
        <v>87</v>
      </c>
      <c r="D335" t="s">
        <v>100</v>
      </c>
      <c r="E335">
        <v>27</v>
      </c>
      <c r="F335" t="s">
        <v>5163</v>
      </c>
      <c r="G335" t="s">
        <v>5164</v>
      </c>
    </row>
    <row r="336" spans="1:7" hidden="1">
      <c r="A336" s="5" t="s">
        <v>3976</v>
      </c>
      <c r="B336" t="s">
        <v>5161</v>
      </c>
      <c r="C336" t="s">
        <v>87</v>
      </c>
      <c r="D336" t="s">
        <v>5587</v>
      </c>
      <c r="E336">
        <v>39</v>
      </c>
      <c r="F336" t="s">
        <v>5163</v>
      </c>
      <c r="G336" t="s">
        <v>1905</v>
      </c>
    </row>
    <row r="337" spans="1:7" hidden="1">
      <c r="A337" s="5" t="s">
        <v>4239</v>
      </c>
      <c r="B337" t="s">
        <v>5161</v>
      </c>
      <c r="C337" t="s">
        <v>87</v>
      </c>
      <c r="D337" t="s">
        <v>5588</v>
      </c>
      <c r="E337">
        <v>27</v>
      </c>
      <c r="F337" t="s">
        <v>5163</v>
      </c>
      <c r="G337" t="s">
        <v>5164</v>
      </c>
    </row>
    <row r="338" spans="1:7" hidden="1">
      <c r="A338" s="5" t="s">
        <v>4376</v>
      </c>
      <c r="B338" t="s">
        <v>5161</v>
      </c>
      <c r="C338" t="s">
        <v>87</v>
      </c>
      <c r="D338" t="s">
        <v>5589</v>
      </c>
      <c r="E338">
        <v>27</v>
      </c>
      <c r="F338" t="s">
        <v>5163</v>
      </c>
      <c r="G338" t="s">
        <v>5164</v>
      </c>
    </row>
    <row r="339" spans="1:7" hidden="1">
      <c r="A339" s="5" t="s">
        <v>4376</v>
      </c>
      <c r="B339" t="s">
        <v>5161</v>
      </c>
      <c r="C339" t="s">
        <v>87</v>
      </c>
      <c r="D339" t="s">
        <v>5590</v>
      </c>
      <c r="E339">
        <v>29</v>
      </c>
      <c r="F339" t="s">
        <v>5163</v>
      </c>
      <c r="G339" t="s">
        <v>5169</v>
      </c>
    </row>
    <row r="340" spans="1:7" hidden="1">
      <c r="A340" s="5" t="s">
        <v>5591</v>
      </c>
      <c r="B340" t="s">
        <v>5161</v>
      </c>
      <c r="C340" t="s">
        <v>87</v>
      </c>
      <c r="D340" t="s">
        <v>5592</v>
      </c>
      <c r="E340">
        <v>19</v>
      </c>
      <c r="F340" t="s">
        <v>5163</v>
      </c>
      <c r="G340" t="s">
        <v>5164</v>
      </c>
    </row>
    <row r="341" spans="1:7" hidden="1">
      <c r="A341" s="5" t="s">
        <v>4526</v>
      </c>
      <c r="B341" t="s">
        <v>5161</v>
      </c>
      <c r="C341" t="s">
        <v>87</v>
      </c>
      <c r="D341" t="s">
        <v>5593</v>
      </c>
      <c r="E341">
        <v>26</v>
      </c>
      <c r="F341" t="s">
        <v>5163</v>
      </c>
      <c r="G341" t="s">
        <v>5169</v>
      </c>
    </row>
    <row r="342" spans="1:7" hidden="1">
      <c r="A342" s="5" t="s">
        <v>5594</v>
      </c>
      <c r="B342" t="s">
        <v>5161</v>
      </c>
      <c r="C342" t="s">
        <v>87</v>
      </c>
      <c r="D342" t="s">
        <v>5595</v>
      </c>
      <c r="E342" t="s">
        <v>5182</v>
      </c>
      <c r="F342" t="s">
        <v>5163</v>
      </c>
      <c r="G342" t="s">
        <v>1905</v>
      </c>
    </row>
    <row r="343" spans="1:7" hidden="1">
      <c r="A343" s="5" t="s">
        <v>5594</v>
      </c>
      <c r="B343" t="s">
        <v>5161</v>
      </c>
      <c r="C343" t="s">
        <v>87</v>
      </c>
      <c r="D343" t="s">
        <v>5596</v>
      </c>
      <c r="E343" t="s">
        <v>5182</v>
      </c>
      <c r="F343" t="s">
        <v>5163</v>
      </c>
      <c r="G343" t="s">
        <v>5164</v>
      </c>
    </row>
    <row r="344" spans="1:7" hidden="1">
      <c r="A344" s="5" t="s">
        <v>5594</v>
      </c>
      <c r="B344" t="s">
        <v>5161</v>
      </c>
      <c r="C344" t="s">
        <v>87</v>
      </c>
      <c r="D344" t="s">
        <v>5597</v>
      </c>
      <c r="E344" t="s">
        <v>5182</v>
      </c>
      <c r="F344" t="s">
        <v>5163</v>
      </c>
      <c r="G344" t="s">
        <v>1905</v>
      </c>
    </row>
    <row r="345" spans="1:7" hidden="1">
      <c r="A345" s="5" t="s">
        <v>5594</v>
      </c>
      <c r="B345" t="s">
        <v>5161</v>
      </c>
      <c r="C345" t="s">
        <v>87</v>
      </c>
      <c r="D345" t="s">
        <v>5598</v>
      </c>
      <c r="E345" t="s">
        <v>5182</v>
      </c>
      <c r="F345" t="s">
        <v>5163</v>
      </c>
      <c r="G345" t="s">
        <v>1905</v>
      </c>
    </row>
    <row r="346" spans="1:7" hidden="1">
      <c r="A346" s="5" t="s">
        <v>5594</v>
      </c>
      <c r="B346" t="s">
        <v>5161</v>
      </c>
      <c r="C346" t="s">
        <v>87</v>
      </c>
      <c r="D346" t="s">
        <v>5599</v>
      </c>
      <c r="E346" t="s">
        <v>5182</v>
      </c>
      <c r="F346" t="s">
        <v>5163</v>
      </c>
      <c r="G346" t="s">
        <v>5164</v>
      </c>
    </row>
    <row r="347" spans="1:7" hidden="1">
      <c r="A347" s="5" t="s">
        <v>4237</v>
      </c>
      <c r="B347" t="s">
        <v>5161</v>
      </c>
      <c r="C347" t="s">
        <v>87</v>
      </c>
      <c r="D347" t="s">
        <v>5600</v>
      </c>
      <c r="E347">
        <v>22</v>
      </c>
      <c r="F347" t="s">
        <v>5163</v>
      </c>
      <c r="G347" t="s">
        <v>1905</v>
      </c>
    </row>
    <row r="348" spans="1:7" hidden="1">
      <c r="A348" s="5" t="s">
        <v>5601</v>
      </c>
      <c r="B348" t="s">
        <v>5161</v>
      </c>
      <c r="C348" t="s">
        <v>87</v>
      </c>
      <c r="D348" t="s">
        <v>5602</v>
      </c>
      <c r="E348">
        <v>-70</v>
      </c>
      <c r="F348" t="s">
        <v>5163</v>
      </c>
      <c r="G348" t="s">
        <v>5164</v>
      </c>
    </row>
    <row r="349" spans="1:7" hidden="1">
      <c r="A349" s="5" t="s">
        <v>135</v>
      </c>
      <c r="B349" t="s">
        <v>5161</v>
      </c>
      <c r="C349" t="s">
        <v>140</v>
      </c>
      <c r="D349" t="s">
        <v>524</v>
      </c>
      <c r="E349">
        <v>27</v>
      </c>
      <c r="F349" t="s">
        <v>5163</v>
      </c>
      <c r="G349" t="s">
        <v>1905</v>
      </c>
    </row>
    <row r="350" spans="1:7" hidden="1">
      <c r="A350" s="5" t="s">
        <v>3359</v>
      </c>
      <c r="B350" t="s">
        <v>5161</v>
      </c>
      <c r="C350" t="s">
        <v>140</v>
      </c>
      <c r="D350" t="s">
        <v>5603</v>
      </c>
      <c r="E350">
        <v>31</v>
      </c>
      <c r="F350" t="s">
        <v>5163</v>
      </c>
      <c r="G350" t="s">
        <v>5169</v>
      </c>
    </row>
    <row r="351" spans="1:7" hidden="1">
      <c r="A351" s="5" t="s">
        <v>2597</v>
      </c>
      <c r="B351" t="s">
        <v>5161</v>
      </c>
      <c r="C351" t="s">
        <v>140</v>
      </c>
      <c r="D351" t="s">
        <v>5604</v>
      </c>
      <c r="E351">
        <v>18</v>
      </c>
      <c r="F351" t="s">
        <v>5163</v>
      </c>
      <c r="G351" t="s">
        <v>5169</v>
      </c>
    </row>
    <row r="352" spans="1:7" hidden="1">
      <c r="A352" s="5" t="s">
        <v>3820</v>
      </c>
      <c r="B352" t="s">
        <v>5161</v>
      </c>
      <c r="C352" t="s">
        <v>140</v>
      </c>
      <c r="D352" t="s">
        <v>5605</v>
      </c>
      <c r="E352">
        <v>26</v>
      </c>
      <c r="F352" t="s">
        <v>5163</v>
      </c>
      <c r="G352" t="s">
        <v>1905</v>
      </c>
    </row>
    <row r="353" spans="1:7" hidden="1">
      <c r="A353" s="5" t="s">
        <v>3820</v>
      </c>
      <c r="B353" t="s">
        <v>5161</v>
      </c>
      <c r="C353" t="s">
        <v>140</v>
      </c>
      <c r="D353" t="s">
        <v>5606</v>
      </c>
      <c r="E353">
        <v>30</v>
      </c>
      <c r="F353" t="s">
        <v>5163</v>
      </c>
      <c r="G353" t="s">
        <v>1905</v>
      </c>
    </row>
    <row r="354" spans="1:7" hidden="1">
      <c r="A354" s="5" t="s">
        <v>3528</v>
      </c>
      <c r="B354" t="s">
        <v>5161</v>
      </c>
      <c r="C354" t="s">
        <v>140</v>
      </c>
      <c r="D354" t="s">
        <v>5607</v>
      </c>
      <c r="E354">
        <v>22</v>
      </c>
      <c r="F354" t="s">
        <v>5163</v>
      </c>
      <c r="G354" t="s">
        <v>5169</v>
      </c>
    </row>
    <row r="355" spans="1:7" hidden="1">
      <c r="A355" s="5" t="s">
        <v>2758</v>
      </c>
      <c r="B355" t="s">
        <v>5161</v>
      </c>
      <c r="C355" t="s">
        <v>140</v>
      </c>
      <c r="D355" t="s">
        <v>5608</v>
      </c>
      <c r="E355">
        <v>53</v>
      </c>
      <c r="F355" t="s">
        <v>5163</v>
      </c>
      <c r="G355" t="s">
        <v>1905</v>
      </c>
    </row>
    <row r="356" spans="1:7" hidden="1">
      <c r="A356" s="5" t="s">
        <v>2758</v>
      </c>
      <c r="B356" t="s">
        <v>5161</v>
      </c>
      <c r="C356" t="s">
        <v>140</v>
      </c>
      <c r="D356" t="s">
        <v>5609</v>
      </c>
      <c r="E356">
        <v>31</v>
      </c>
      <c r="F356" t="s">
        <v>5163</v>
      </c>
      <c r="G356" t="s">
        <v>1905</v>
      </c>
    </row>
    <row r="357" spans="1:7" hidden="1">
      <c r="A357" s="5" t="s">
        <v>2758</v>
      </c>
      <c r="B357" t="s">
        <v>5161</v>
      </c>
      <c r="C357" t="s">
        <v>140</v>
      </c>
      <c r="D357" t="s">
        <v>5610</v>
      </c>
      <c r="E357">
        <v>37</v>
      </c>
      <c r="F357" t="s">
        <v>5163</v>
      </c>
      <c r="G357" t="s">
        <v>5164</v>
      </c>
    </row>
    <row r="358" spans="1:7" hidden="1">
      <c r="A358" s="5" t="s">
        <v>2791</v>
      </c>
      <c r="B358" t="s">
        <v>5161</v>
      </c>
      <c r="C358" t="s">
        <v>140</v>
      </c>
      <c r="D358" t="s">
        <v>5611</v>
      </c>
      <c r="E358">
        <v>25</v>
      </c>
      <c r="F358" t="s">
        <v>5163</v>
      </c>
      <c r="G358" t="s">
        <v>5164</v>
      </c>
    </row>
    <row r="359" spans="1:7" hidden="1">
      <c r="A359" s="5" t="s">
        <v>2791</v>
      </c>
      <c r="B359" t="s">
        <v>5161</v>
      </c>
      <c r="C359" t="s">
        <v>140</v>
      </c>
      <c r="D359" t="s">
        <v>5612</v>
      </c>
      <c r="E359">
        <v>31</v>
      </c>
      <c r="F359" t="s">
        <v>5172</v>
      </c>
      <c r="G359" t="s">
        <v>5164</v>
      </c>
    </row>
    <row r="360" spans="1:7" hidden="1">
      <c r="A360" s="5" t="s">
        <v>3150</v>
      </c>
      <c r="B360" t="s">
        <v>5161</v>
      </c>
      <c r="C360" t="s">
        <v>140</v>
      </c>
      <c r="D360" t="s">
        <v>5613</v>
      </c>
      <c r="E360">
        <v>22</v>
      </c>
      <c r="F360" t="s">
        <v>5163</v>
      </c>
      <c r="G360" t="s">
        <v>5164</v>
      </c>
    </row>
    <row r="361" spans="1:7" hidden="1">
      <c r="A361" s="5" t="s">
        <v>2814</v>
      </c>
      <c r="B361" t="s">
        <v>5161</v>
      </c>
      <c r="C361" t="s">
        <v>140</v>
      </c>
      <c r="D361" t="s">
        <v>5614</v>
      </c>
      <c r="E361">
        <v>18</v>
      </c>
      <c r="F361" t="s">
        <v>5163</v>
      </c>
      <c r="G361" t="s">
        <v>5164</v>
      </c>
    </row>
    <row r="362" spans="1:7" hidden="1">
      <c r="A362" s="5" t="s">
        <v>4598</v>
      </c>
      <c r="B362" t="s">
        <v>5161</v>
      </c>
      <c r="C362" t="s">
        <v>140</v>
      </c>
      <c r="D362" t="s">
        <v>5615</v>
      </c>
      <c r="E362">
        <v>32</v>
      </c>
      <c r="F362" t="s">
        <v>5172</v>
      </c>
      <c r="G362" t="s">
        <v>5164</v>
      </c>
    </row>
    <row r="363" spans="1:7" hidden="1">
      <c r="A363" s="5" t="s">
        <v>2751</v>
      </c>
      <c r="B363" t="s">
        <v>5161</v>
      </c>
      <c r="C363" t="s">
        <v>140</v>
      </c>
      <c r="D363" t="s">
        <v>5616</v>
      </c>
      <c r="E363">
        <v>18</v>
      </c>
      <c r="F363" t="s">
        <v>5163</v>
      </c>
      <c r="G363" t="s">
        <v>5169</v>
      </c>
    </row>
    <row r="364" spans="1:7" hidden="1">
      <c r="A364" s="5" t="s">
        <v>2343</v>
      </c>
      <c r="B364" t="s">
        <v>5161</v>
      </c>
      <c r="C364" t="s">
        <v>140</v>
      </c>
      <c r="D364" t="s">
        <v>5617</v>
      </c>
      <c r="E364">
        <v>15</v>
      </c>
      <c r="F364" t="s">
        <v>5163</v>
      </c>
      <c r="G364" t="s">
        <v>5164</v>
      </c>
    </row>
    <row r="365" spans="1:7" hidden="1">
      <c r="A365" s="5" t="s">
        <v>2365</v>
      </c>
      <c r="B365" t="s">
        <v>5161</v>
      </c>
      <c r="C365" t="s">
        <v>140</v>
      </c>
      <c r="D365" t="s">
        <v>5618</v>
      </c>
      <c r="E365">
        <v>20</v>
      </c>
      <c r="F365" t="s">
        <v>5163</v>
      </c>
      <c r="G365" t="s">
        <v>5169</v>
      </c>
    </row>
    <row r="366" spans="1:7" hidden="1">
      <c r="A366" s="5" t="s">
        <v>4217</v>
      </c>
      <c r="B366" t="s">
        <v>5161</v>
      </c>
      <c r="C366" t="s">
        <v>140</v>
      </c>
      <c r="D366" t="s">
        <v>5619</v>
      </c>
      <c r="E366">
        <v>39</v>
      </c>
      <c r="F366" t="s">
        <v>5163</v>
      </c>
      <c r="G366" t="s">
        <v>1905</v>
      </c>
    </row>
    <row r="367" spans="1:7" hidden="1">
      <c r="A367" s="5" t="s">
        <v>4175</v>
      </c>
      <c r="B367" t="s">
        <v>5161</v>
      </c>
      <c r="C367" t="s">
        <v>140</v>
      </c>
      <c r="D367" t="s">
        <v>5620</v>
      </c>
      <c r="E367">
        <v>22</v>
      </c>
      <c r="F367" t="s">
        <v>5163</v>
      </c>
      <c r="G367" t="s">
        <v>5164</v>
      </c>
    </row>
    <row r="368" spans="1:7" hidden="1">
      <c r="A368" s="5" t="s">
        <v>4745</v>
      </c>
      <c r="B368" t="s">
        <v>5161</v>
      </c>
      <c r="C368" t="s">
        <v>140</v>
      </c>
      <c r="D368" t="s">
        <v>5621</v>
      </c>
      <c r="E368">
        <v>35</v>
      </c>
      <c r="F368" t="s">
        <v>5163</v>
      </c>
      <c r="G368" t="s">
        <v>1905</v>
      </c>
    </row>
    <row r="369" spans="1:7" hidden="1">
      <c r="A369" s="5" t="s">
        <v>4745</v>
      </c>
      <c r="B369" t="s">
        <v>5161</v>
      </c>
      <c r="C369" t="s">
        <v>140</v>
      </c>
      <c r="D369" t="s">
        <v>5622</v>
      </c>
      <c r="E369">
        <v>27</v>
      </c>
      <c r="F369" t="s">
        <v>5163</v>
      </c>
      <c r="G369" t="s">
        <v>1905</v>
      </c>
    </row>
    <row r="370" spans="1:7" hidden="1">
      <c r="A370" s="5" t="s">
        <v>4111</v>
      </c>
      <c r="B370" t="s">
        <v>5161</v>
      </c>
      <c r="C370" t="s">
        <v>140</v>
      </c>
      <c r="D370" t="s">
        <v>5623</v>
      </c>
      <c r="E370">
        <v>46</v>
      </c>
      <c r="F370" t="s">
        <v>5163</v>
      </c>
      <c r="G370" t="s">
        <v>5164</v>
      </c>
    </row>
    <row r="371" spans="1:7" hidden="1">
      <c r="A371" s="5" t="s">
        <v>5624</v>
      </c>
      <c r="B371" t="s">
        <v>5161</v>
      </c>
      <c r="C371" t="s">
        <v>140</v>
      </c>
      <c r="D371" t="s">
        <v>5625</v>
      </c>
      <c r="E371">
        <v>26</v>
      </c>
      <c r="F371" t="s">
        <v>5163</v>
      </c>
      <c r="G371" t="s">
        <v>5164</v>
      </c>
    </row>
    <row r="372" spans="1:7" hidden="1">
      <c r="A372" s="5" t="s">
        <v>5624</v>
      </c>
      <c r="B372" t="s">
        <v>5161</v>
      </c>
      <c r="C372" t="s">
        <v>140</v>
      </c>
      <c r="D372" t="s">
        <v>5626</v>
      </c>
      <c r="E372">
        <v>32</v>
      </c>
      <c r="F372" t="s">
        <v>5163</v>
      </c>
      <c r="G372" t="s">
        <v>1905</v>
      </c>
    </row>
    <row r="373" spans="1:7" hidden="1">
      <c r="A373" s="5" t="s">
        <v>2822</v>
      </c>
      <c r="B373" t="s">
        <v>5161</v>
      </c>
      <c r="C373" t="s">
        <v>140</v>
      </c>
      <c r="D373" t="s">
        <v>5627</v>
      </c>
      <c r="E373">
        <v>18</v>
      </c>
      <c r="F373" t="s">
        <v>5163</v>
      </c>
      <c r="G373" t="s">
        <v>1905</v>
      </c>
    </row>
    <row r="374" spans="1:7" hidden="1">
      <c r="A374" s="5" t="s">
        <v>4284</v>
      </c>
      <c r="B374" t="s">
        <v>5161</v>
      </c>
      <c r="C374" t="s">
        <v>140</v>
      </c>
      <c r="D374" t="s">
        <v>5628</v>
      </c>
      <c r="E374">
        <v>19</v>
      </c>
      <c r="F374" t="s">
        <v>5163</v>
      </c>
      <c r="G374" t="s">
        <v>5164</v>
      </c>
    </row>
    <row r="375" spans="1:7" hidden="1">
      <c r="A375" s="5" t="s">
        <v>3514</v>
      </c>
      <c r="B375" t="s">
        <v>5161</v>
      </c>
      <c r="C375" t="s">
        <v>140</v>
      </c>
      <c r="D375" t="s">
        <v>5629</v>
      </c>
      <c r="E375">
        <v>19</v>
      </c>
      <c r="F375" t="s">
        <v>5172</v>
      </c>
      <c r="G375" t="s">
        <v>5164</v>
      </c>
    </row>
    <row r="376" spans="1:7" hidden="1">
      <c r="A376" s="5" t="s">
        <v>5630</v>
      </c>
      <c r="B376" t="s">
        <v>5161</v>
      </c>
      <c r="C376" t="s">
        <v>140</v>
      </c>
      <c r="D376" t="s">
        <v>5631</v>
      </c>
      <c r="E376">
        <v>47</v>
      </c>
      <c r="F376" t="s">
        <v>5163</v>
      </c>
      <c r="G376" t="s">
        <v>1905</v>
      </c>
    </row>
    <row r="377" spans="1:7" hidden="1">
      <c r="A377" s="5" t="s">
        <v>5630</v>
      </c>
      <c r="B377" t="s">
        <v>5161</v>
      </c>
      <c r="C377" t="s">
        <v>140</v>
      </c>
      <c r="D377" t="s">
        <v>5632</v>
      </c>
      <c r="E377" t="s">
        <v>5182</v>
      </c>
      <c r="F377" t="s">
        <v>5163</v>
      </c>
      <c r="G377" t="s">
        <v>1905</v>
      </c>
    </row>
    <row r="378" spans="1:7" hidden="1">
      <c r="A378" s="5" t="s">
        <v>3972</v>
      </c>
      <c r="B378" t="s">
        <v>5161</v>
      </c>
      <c r="C378" t="s">
        <v>140</v>
      </c>
      <c r="D378" t="s">
        <v>5633</v>
      </c>
      <c r="E378">
        <v>37</v>
      </c>
      <c r="F378" t="s">
        <v>5163</v>
      </c>
      <c r="G378" t="s">
        <v>1905</v>
      </c>
    </row>
    <row r="379" spans="1:7" hidden="1">
      <c r="A379" s="5" t="s">
        <v>4316</v>
      </c>
      <c r="B379" t="s">
        <v>5161</v>
      </c>
      <c r="C379" t="s">
        <v>140</v>
      </c>
      <c r="D379" t="s">
        <v>5634</v>
      </c>
      <c r="E379">
        <v>25</v>
      </c>
      <c r="F379" t="s">
        <v>5163</v>
      </c>
      <c r="G379" t="s">
        <v>5164</v>
      </c>
    </row>
    <row r="380" spans="1:7" hidden="1">
      <c r="A380" s="5" t="s">
        <v>3382</v>
      </c>
      <c r="B380" t="s">
        <v>5161</v>
      </c>
      <c r="C380" t="s">
        <v>140</v>
      </c>
      <c r="D380" t="s">
        <v>5635</v>
      </c>
      <c r="E380">
        <v>18</v>
      </c>
      <c r="F380" t="s">
        <v>5163</v>
      </c>
      <c r="G380" t="s">
        <v>5164</v>
      </c>
    </row>
    <row r="381" spans="1:7" hidden="1">
      <c r="A381" s="5" t="s">
        <v>3810</v>
      </c>
      <c r="B381" t="s">
        <v>5161</v>
      </c>
      <c r="C381" t="s">
        <v>140</v>
      </c>
      <c r="D381" t="s">
        <v>5636</v>
      </c>
      <c r="E381">
        <v>19</v>
      </c>
      <c r="F381" t="s">
        <v>5163</v>
      </c>
      <c r="G381" t="s">
        <v>1905</v>
      </c>
    </row>
    <row r="382" spans="1:7" hidden="1">
      <c r="A382" s="5" t="s">
        <v>4301</v>
      </c>
      <c r="B382" t="s">
        <v>5161</v>
      </c>
      <c r="C382" t="s">
        <v>140</v>
      </c>
      <c r="D382" t="s">
        <v>5637</v>
      </c>
      <c r="E382">
        <v>39</v>
      </c>
      <c r="F382" t="s">
        <v>5163</v>
      </c>
      <c r="G382" t="s">
        <v>5164</v>
      </c>
    </row>
    <row r="383" spans="1:7" hidden="1">
      <c r="A383" s="5" t="s">
        <v>3683</v>
      </c>
      <c r="B383" t="s">
        <v>5161</v>
      </c>
      <c r="C383" t="s">
        <v>140</v>
      </c>
      <c r="D383" t="s">
        <v>5638</v>
      </c>
      <c r="E383">
        <v>28</v>
      </c>
      <c r="F383" t="s">
        <v>5163</v>
      </c>
      <c r="G383" t="s">
        <v>5164</v>
      </c>
    </row>
    <row r="384" spans="1:7" hidden="1">
      <c r="A384" s="5" t="s">
        <v>3148</v>
      </c>
      <c r="B384" t="s">
        <v>5161</v>
      </c>
      <c r="C384" t="s">
        <v>140</v>
      </c>
      <c r="D384" t="s">
        <v>5639</v>
      </c>
      <c r="E384">
        <v>20</v>
      </c>
      <c r="F384" t="s">
        <v>5163</v>
      </c>
      <c r="G384" t="s">
        <v>5164</v>
      </c>
    </row>
    <row r="385" spans="1:7" hidden="1">
      <c r="A385" s="5" t="s">
        <v>5640</v>
      </c>
      <c r="B385" t="s">
        <v>5161</v>
      </c>
      <c r="C385" t="s">
        <v>140</v>
      </c>
      <c r="D385" t="s">
        <v>5641</v>
      </c>
      <c r="E385">
        <v>39</v>
      </c>
      <c r="F385" t="s">
        <v>5163</v>
      </c>
      <c r="G385" t="s">
        <v>1905</v>
      </c>
    </row>
    <row r="386" spans="1:7" hidden="1">
      <c r="A386" s="5" t="s">
        <v>5642</v>
      </c>
      <c r="B386" t="s">
        <v>5161</v>
      </c>
      <c r="C386" t="s">
        <v>140</v>
      </c>
      <c r="D386" t="s">
        <v>5643</v>
      </c>
      <c r="E386">
        <v>42</v>
      </c>
      <c r="F386" t="s">
        <v>5172</v>
      </c>
      <c r="G386" t="s">
        <v>5164</v>
      </c>
    </row>
    <row r="387" spans="1:7" hidden="1">
      <c r="A387" s="5" t="s">
        <v>2846</v>
      </c>
      <c r="B387" t="s">
        <v>5161</v>
      </c>
      <c r="C387" t="s">
        <v>140</v>
      </c>
      <c r="D387" t="s">
        <v>5644</v>
      </c>
      <c r="E387">
        <v>19</v>
      </c>
      <c r="F387" t="s">
        <v>5163</v>
      </c>
      <c r="G387" t="s">
        <v>5164</v>
      </c>
    </row>
    <row r="388" spans="1:7" hidden="1">
      <c r="A388" s="5" t="s">
        <v>5645</v>
      </c>
      <c r="B388" t="s">
        <v>5161</v>
      </c>
      <c r="C388" t="s">
        <v>140</v>
      </c>
      <c r="D388" t="s">
        <v>5646</v>
      </c>
      <c r="E388">
        <v>22</v>
      </c>
      <c r="F388" t="s">
        <v>5163</v>
      </c>
      <c r="G388" t="s">
        <v>1905</v>
      </c>
    </row>
    <row r="389" spans="1:7" hidden="1">
      <c r="A389" s="5" t="s">
        <v>5039</v>
      </c>
      <c r="B389" t="s">
        <v>5161</v>
      </c>
      <c r="C389" t="s">
        <v>140</v>
      </c>
      <c r="D389" t="s">
        <v>5647</v>
      </c>
      <c r="E389">
        <v>27</v>
      </c>
      <c r="F389" t="s">
        <v>5163</v>
      </c>
      <c r="G389" t="s">
        <v>5164</v>
      </c>
    </row>
    <row r="390" spans="1:7" hidden="1">
      <c r="A390" s="5" t="s">
        <v>2890</v>
      </c>
      <c r="B390" t="s">
        <v>5161</v>
      </c>
      <c r="C390" t="s">
        <v>140</v>
      </c>
      <c r="D390" t="s">
        <v>5648</v>
      </c>
      <c r="E390">
        <v>20</v>
      </c>
      <c r="F390" t="s">
        <v>5163</v>
      </c>
      <c r="G390" t="s">
        <v>5164</v>
      </c>
    </row>
    <row r="391" spans="1:7" hidden="1">
      <c r="A391" s="5" t="s">
        <v>139</v>
      </c>
      <c r="B391" t="s">
        <v>5161</v>
      </c>
      <c r="C391" t="s">
        <v>140</v>
      </c>
      <c r="D391" t="s">
        <v>535</v>
      </c>
      <c r="E391">
        <v>31</v>
      </c>
      <c r="F391" t="s">
        <v>5163</v>
      </c>
      <c r="G391" t="s">
        <v>1905</v>
      </c>
    </row>
    <row r="392" spans="1:7" hidden="1">
      <c r="A392" s="5" t="s">
        <v>3143</v>
      </c>
      <c r="B392" t="s">
        <v>5161</v>
      </c>
      <c r="C392" t="s">
        <v>140</v>
      </c>
      <c r="D392" t="s">
        <v>5649</v>
      </c>
      <c r="E392">
        <v>30</v>
      </c>
      <c r="F392" t="s">
        <v>5163</v>
      </c>
      <c r="G392" t="s">
        <v>5164</v>
      </c>
    </row>
    <row r="393" spans="1:7" hidden="1">
      <c r="A393" s="5" t="s">
        <v>3103</v>
      </c>
      <c r="B393" t="s">
        <v>5161</v>
      </c>
      <c r="C393" t="s">
        <v>140</v>
      </c>
      <c r="D393" t="s">
        <v>5650</v>
      </c>
      <c r="E393">
        <v>18</v>
      </c>
      <c r="F393" t="s">
        <v>5163</v>
      </c>
      <c r="G393" t="s">
        <v>5169</v>
      </c>
    </row>
    <row r="394" spans="1:7" hidden="1">
      <c r="A394" s="5" t="s">
        <v>4625</v>
      </c>
      <c r="B394" t="s">
        <v>5161</v>
      </c>
      <c r="C394" t="s">
        <v>140</v>
      </c>
      <c r="D394" t="s">
        <v>5651</v>
      </c>
      <c r="E394">
        <v>20</v>
      </c>
      <c r="F394" t="s">
        <v>5163</v>
      </c>
      <c r="G394" t="s">
        <v>1905</v>
      </c>
    </row>
    <row r="395" spans="1:7" hidden="1">
      <c r="A395" s="5" t="s">
        <v>5652</v>
      </c>
      <c r="B395" t="s">
        <v>5161</v>
      </c>
      <c r="C395" t="s">
        <v>140</v>
      </c>
      <c r="D395" t="s">
        <v>5653</v>
      </c>
      <c r="E395">
        <v>19</v>
      </c>
      <c r="F395" t="s">
        <v>5163</v>
      </c>
      <c r="G395" t="s">
        <v>5164</v>
      </c>
    </row>
    <row r="396" spans="1:7" hidden="1">
      <c r="A396" s="5" t="s">
        <v>5654</v>
      </c>
      <c r="B396" t="s">
        <v>5161</v>
      </c>
      <c r="C396" t="s">
        <v>140</v>
      </c>
      <c r="D396" t="s">
        <v>5655</v>
      </c>
      <c r="E396">
        <v>22</v>
      </c>
      <c r="F396" t="s">
        <v>5163</v>
      </c>
      <c r="G396" t="s">
        <v>5164</v>
      </c>
    </row>
    <row r="397" spans="1:7" hidden="1">
      <c r="A397" s="5" t="s">
        <v>138</v>
      </c>
      <c r="B397" t="s">
        <v>5161</v>
      </c>
      <c r="C397" t="s">
        <v>140</v>
      </c>
      <c r="D397" t="s">
        <v>531</v>
      </c>
      <c r="E397">
        <v>20</v>
      </c>
      <c r="F397" t="s">
        <v>5163</v>
      </c>
      <c r="G397" t="s">
        <v>1905</v>
      </c>
    </row>
    <row r="398" spans="1:7" hidden="1">
      <c r="A398" s="5" t="s">
        <v>3083</v>
      </c>
      <c r="B398" t="s">
        <v>5161</v>
      </c>
      <c r="C398" t="s">
        <v>140</v>
      </c>
      <c r="D398" t="s">
        <v>5656</v>
      </c>
      <c r="E398">
        <v>19</v>
      </c>
      <c r="F398" t="s">
        <v>5163</v>
      </c>
      <c r="G398" t="s">
        <v>5164</v>
      </c>
    </row>
    <row r="399" spans="1:7" hidden="1">
      <c r="A399" s="5" t="s">
        <v>2613</v>
      </c>
      <c r="B399" t="s">
        <v>5161</v>
      </c>
      <c r="C399" t="s">
        <v>140</v>
      </c>
      <c r="D399" t="s">
        <v>5657</v>
      </c>
      <c r="E399">
        <v>39</v>
      </c>
      <c r="F399" t="s">
        <v>5163</v>
      </c>
      <c r="G399" t="s">
        <v>5164</v>
      </c>
    </row>
    <row r="400" spans="1:7" hidden="1">
      <c r="A400" s="5" t="s">
        <v>5658</v>
      </c>
      <c r="B400" t="s">
        <v>5161</v>
      </c>
      <c r="C400" t="s">
        <v>140</v>
      </c>
      <c r="D400" t="s">
        <v>5659</v>
      </c>
      <c r="E400">
        <v>22</v>
      </c>
      <c r="F400" t="s">
        <v>5163</v>
      </c>
      <c r="G400" t="s">
        <v>1905</v>
      </c>
    </row>
    <row r="401" spans="1:7" hidden="1">
      <c r="A401" s="5" t="s">
        <v>5660</v>
      </c>
      <c r="B401" t="s">
        <v>5161</v>
      </c>
      <c r="C401" t="s">
        <v>140</v>
      </c>
      <c r="D401" t="s">
        <v>5661</v>
      </c>
      <c r="E401">
        <v>21</v>
      </c>
      <c r="F401" t="s">
        <v>5163</v>
      </c>
      <c r="G401" t="s">
        <v>5164</v>
      </c>
    </row>
    <row r="402" spans="1:7" hidden="1">
      <c r="A402" s="5" t="s">
        <v>137</v>
      </c>
      <c r="B402" t="s">
        <v>5161</v>
      </c>
      <c r="C402" t="s">
        <v>140</v>
      </c>
      <c r="D402" t="s">
        <v>529</v>
      </c>
      <c r="E402">
        <v>30</v>
      </c>
      <c r="F402" t="s">
        <v>5163</v>
      </c>
      <c r="G402" t="s">
        <v>5164</v>
      </c>
    </row>
    <row r="403" spans="1:7" hidden="1">
      <c r="A403" s="5" t="s">
        <v>2106</v>
      </c>
      <c r="B403" t="s">
        <v>5161</v>
      </c>
      <c r="C403" t="s">
        <v>140</v>
      </c>
      <c r="D403" t="s">
        <v>5662</v>
      </c>
      <c r="E403">
        <v>23</v>
      </c>
      <c r="F403" t="s">
        <v>5163</v>
      </c>
      <c r="G403" t="s">
        <v>5164</v>
      </c>
    </row>
    <row r="404" spans="1:7" hidden="1">
      <c r="A404" s="5" t="s">
        <v>2688</v>
      </c>
      <c r="B404" t="s">
        <v>5161</v>
      </c>
      <c r="C404" t="s">
        <v>140</v>
      </c>
      <c r="D404" t="s">
        <v>5663</v>
      </c>
      <c r="E404">
        <v>43</v>
      </c>
      <c r="F404" t="s">
        <v>5163</v>
      </c>
      <c r="G404" t="s">
        <v>5164</v>
      </c>
    </row>
    <row r="405" spans="1:7" hidden="1">
      <c r="A405" s="5" t="s">
        <v>2688</v>
      </c>
      <c r="B405" t="s">
        <v>5161</v>
      </c>
      <c r="C405" t="s">
        <v>140</v>
      </c>
      <c r="D405" t="s">
        <v>5664</v>
      </c>
      <c r="E405">
        <v>46</v>
      </c>
      <c r="F405" t="s">
        <v>5172</v>
      </c>
      <c r="G405" t="s">
        <v>5164</v>
      </c>
    </row>
    <row r="406" spans="1:7" hidden="1">
      <c r="A406" s="5" t="s">
        <v>2910</v>
      </c>
      <c r="B406" t="s">
        <v>5161</v>
      </c>
      <c r="C406" t="s">
        <v>140</v>
      </c>
      <c r="D406" t="s">
        <v>5665</v>
      </c>
      <c r="E406">
        <v>18</v>
      </c>
      <c r="F406" t="s">
        <v>5163</v>
      </c>
      <c r="G406" t="s">
        <v>5164</v>
      </c>
    </row>
    <row r="407" spans="1:7" hidden="1">
      <c r="A407" s="5" t="s">
        <v>4345</v>
      </c>
      <c r="B407" t="s">
        <v>5161</v>
      </c>
      <c r="C407" t="s">
        <v>140</v>
      </c>
      <c r="D407" t="s">
        <v>5666</v>
      </c>
      <c r="E407">
        <v>18</v>
      </c>
      <c r="F407" t="s">
        <v>5163</v>
      </c>
      <c r="G407" t="s">
        <v>1905</v>
      </c>
    </row>
    <row r="408" spans="1:7" hidden="1">
      <c r="A408" s="5" t="s">
        <v>4345</v>
      </c>
      <c r="B408" t="s">
        <v>5161</v>
      </c>
      <c r="C408" t="s">
        <v>140</v>
      </c>
      <c r="D408" t="s">
        <v>5667</v>
      </c>
      <c r="E408">
        <v>19</v>
      </c>
      <c r="F408" t="s">
        <v>5163</v>
      </c>
      <c r="G408" t="s">
        <v>5164</v>
      </c>
    </row>
    <row r="409" spans="1:7" hidden="1">
      <c r="A409" s="5" t="s">
        <v>2341</v>
      </c>
      <c r="B409" t="s">
        <v>5161</v>
      </c>
      <c r="C409" t="s">
        <v>140</v>
      </c>
      <c r="D409" t="s">
        <v>5668</v>
      </c>
      <c r="E409">
        <v>26</v>
      </c>
      <c r="F409" t="s">
        <v>5163</v>
      </c>
      <c r="G409" t="s">
        <v>5164</v>
      </c>
    </row>
    <row r="410" spans="1:7" hidden="1">
      <c r="A410" s="5" t="s">
        <v>2206</v>
      </c>
      <c r="B410" t="s">
        <v>5161</v>
      </c>
      <c r="C410" t="s">
        <v>140</v>
      </c>
      <c r="D410" t="s">
        <v>5669</v>
      </c>
      <c r="E410">
        <v>35</v>
      </c>
      <c r="F410" t="s">
        <v>5163</v>
      </c>
      <c r="G410" t="s">
        <v>1905</v>
      </c>
    </row>
    <row r="411" spans="1:7" hidden="1">
      <c r="A411" s="5" t="s">
        <v>3494</v>
      </c>
      <c r="B411" t="s">
        <v>5161</v>
      </c>
      <c r="C411" t="s">
        <v>140</v>
      </c>
      <c r="D411" t="s">
        <v>5670</v>
      </c>
      <c r="E411">
        <v>30</v>
      </c>
      <c r="F411" t="s">
        <v>5163</v>
      </c>
      <c r="G411" t="s">
        <v>5169</v>
      </c>
    </row>
    <row r="412" spans="1:7" hidden="1">
      <c r="A412" s="5" t="s">
        <v>2477</v>
      </c>
      <c r="B412" t="s">
        <v>5161</v>
      </c>
      <c r="C412" t="s">
        <v>140</v>
      </c>
      <c r="D412" t="s">
        <v>5671</v>
      </c>
      <c r="E412">
        <v>39</v>
      </c>
      <c r="F412" t="s">
        <v>5163</v>
      </c>
      <c r="G412" t="s">
        <v>1905</v>
      </c>
    </row>
    <row r="413" spans="1:7" hidden="1">
      <c r="A413" s="5" t="s">
        <v>3299</v>
      </c>
      <c r="B413" t="s">
        <v>5161</v>
      </c>
      <c r="C413" t="s">
        <v>140</v>
      </c>
      <c r="D413" t="s">
        <v>5672</v>
      </c>
      <c r="E413">
        <v>19</v>
      </c>
      <c r="F413" t="s">
        <v>5163</v>
      </c>
      <c r="G413" t="s">
        <v>5164</v>
      </c>
    </row>
    <row r="414" spans="1:7" hidden="1">
      <c r="A414" s="5" t="s">
        <v>4392</v>
      </c>
      <c r="B414" t="s">
        <v>5161</v>
      </c>
      <c r="C414" t="s">
        <v>140</v>
      </c>
      <c r="D414" t="s">
        <v>5673</v>
      </c>
      <c r="E414">
        <v>36</v>
      </c>
      <c r="F414" t="s">
        <v>5163</v>
      </c>
      <c r="G414" t="s">
        <v>5164</v>
      </c>
    </row>
    <row r="415" spans="1:7" hidden="1">
      <c r="A415" s="5" t="s">
        <v>4491</v>
      </c>
      <c r="B415" t="s">
        <v>5161</v>
      </c>
      <c r="C415" t="s">
        <v>140</v>
      </c>
      <c r="D415" t="s">
        <v>5674</v>
      </c>
      <c r="E415">
        <v>38</v>
      </c>
      <c r="F415" t="s">
        <v>5163</v>
      </c>
      <c r="G415" t="s">
        <v>1905</v>
      </c>
    </row>
    <row r="416" spans="1:7" hidden="1">
      <c r="A416" s="5" t="s">
        <v>3896</v>
      </c>
      <c r="B416" t="s">
        <v>5161</v>
      </c>
      <c r="C416" t="s">
        <v>140</v>
      </c>
      <c r="D416" t="s">
        <v>5675</v>
      </c>
      <c r="E416">
        <v>33</v>
      </c>
      <c r="F416" t="s">
        <v>5163</v>
      </c>
      <c r="G416" t="s">
        <v>1905</v>
      </c>
    </row>
    <row r="417" spans="1:7" hidden="1">
      <c r="A417" s="5" t="s">
        <v>4253</v>
      </c>
      <c r="B417" t="s">
        <v>5161</v>
      </c>
      <c r="C417" t="s">
        <v>140</v>
      </c>
      <c r="D417" t="s">
        <v>5676</v>
      </c>
      <c r="E417">
        <v>32</v>
      </c>
      <c r="F417" t="s">
        <v>5163</v>
      </c>
      <c r="G417" t="s">
        <v>1905</v>
      </c>
    </row>
    <row r="418" spans="1:7" hidden="1">
      <c r="A418" s="5" t="s">
        <v>4253</v>
      </c>
      <c r="B418" t="s">
        <v>5161</v>
      </c>
      <c r="C418" t="s">
        <v>140</v>
      </c>
      <c r="D418" t="s">
        <v>5677</v>
      </c>
      <c r="E418">
        <v>33</v>
      </c>
      <c r="F418" t="s">
        <v>5163</v>
      </c>
      <c r="G418" t="s">
        <v>5164</v>
      </c>
    </row>
    <row r="419" spans="1:7" hidden="1">
      <c r="A419" s="5" t="s">
        <v>4253</v>
      </c>
      <c r="B419" t="s">
        <v>5161</v>
      </c>
      <c r="C419" t="s">
        <v>140</v>
      </c>
      <c r="D419" t="s">
        <v>5678</v>
      </c>
      <c r="E419">
        <v>29</v>
      </c>
      <c r="F419" t="s">
        <v>5163</v>
      </c>
      <c r="G419" t="s">
        <v>5164</v>
      </c>
    </row>
    <row r="420" spans="1:7" hidden="1">
      <c r="A420" s="5" t="s">
        <v>4744</v>
      </c>
      <c r="B420" t="s">
        <v>5161</v>
      </c>
      <c r="C420" t="s">
        <v>140</v>
      </c>
      <c r="D420" t="s">
        <v>5679</v>
      </c>
      <c r="E420">
        <v>19</v>
      </c>
      <c r="F420" t="s">
        <v>5163</v>
      </c>
      <c r="G420" t="s">
        <v>5164</v>
      </c>
    </row>
    <row r="421" spans="1:7" hidden="1">
      <c r="A421" s="5" t="s">
        <v>2166</v>
      </c>
      <c r="B421" t="s">
        <v>5161</v>
      </c>
      <c r="C421" t="s">
        <v>140</v>
      </c>
      <c r="D421" t="s">
        <v>5680</v>
      </c>
      <c r="E421">
        <v>38</v>
      </c>
      <c r="F421" t="s">
        <v>5163</v>
      </c>
      <c r="G421" t="s">
        <v>5164</v>
      </c>
    </row>
    <row r="422" spans="1:7" hidden="1">
      <c r="A422" s="5" t="s">
        <v>4736</v>
      </c>
      <c r="B422" t="s">
        <v>5161</v>
      </c>
      <c r="C422" t="s">
        <v>140</v>
      </c>
      <c r="D422" t="s">
        <v>5681</v>
      </c>
      <c r="E422">
        <v>29</v>
      </c>
      <c r="F422" t="s">
        <v>5163</v>
      </c>
      <c r="G422" t="s">
        <v>1905</v>
      </c>
    </row>
    <row r="423" spans="1:7" hidden="1">
      <c r="A423" s="5" t="s">
        <v>3270</v>
      </c>
      <c r="B423" t="s">
        <v>5161</v>
      </c>
      <c r="C423" t="s">
        <v>140</v>
      </c>
      <c r="D423" t="s">
        <v>5682</v>
      </c>
      <c r="E423">
        <v>19</v>
      </c>
      <c r="F423" t="s">
        <v>5163</v>
      </c>
      <c r="G423" t="s">
        <v>5169</v>
      </c>
    </row>
    <row r="424" spans="1:7" hidden="1">
      <c r="A424" s="5" t="s">
        <v>4619</v>
      </c>
      <c r="B424" t="s">
        <v>5161</v>
      </c>
      <c r="C424" t="s">
        <v>140</v>
      </c>
      <c r="D424" t="s">
        <v>5683</v>
      </c>
      <c r="E424">
        <v>20</v>
      </c>
      <c r="F424" t="s">
        <v>5163</v>
      </c>
      <c r="G424" t="s">
        <v>5164</v>
      </c>
    </row>
    <row r="425" spans="1:7" hidden="1">
      <c r="A425" s="5" t="s">
        <v>4619</v>
      </c>
      <c r="B425" t="s">
        <v>5161</v>
      </c>
      <c r="C425" t="s">
        <v>140</v>
      </c>
      <c r="D425" t="s">
        <v>5684</v>
      </c>
      <c r="E425">
        <v>24</v>
      </c>
      <c r="F425" t="s">
        <v>5163</v>
      </c>
      <c r="G425" t="s">
        <v>1905</v>
      </c>
    </row>
    <row r="426" spans="1:7" hidden="1">
      <c r="A426" s="5" t="s">
        <v>4619</v>
      </c>
      <c r="B426" t="s">
        <v>5161</v>
      </c>
      <c r="C426" t="s">
        <v>140</v>
      </c>
      <c r="D426" t="s">
        <v>5685</v>
      </c>
      <c r="E426">
        <v>31</v>
      </c>
      <c r="F426" t="s">
        <v>5163</v>
      </c>
      <c r="G426" t="s">
        <v>5164</v>
      </c>
    </row>
    <row r="427" spans="1:7" hidden="1">
      <c r="A427" s="5" t="s">
        <v>4619</v>
      </c>
      <c r="B427" t="s">
        <v>5161</v>
      </c>
      <c r="C427" t="s">
        <v>140</v>
      </c>
      <c r="D427" t="s">
        <v>5686</v>
      </c>
      <c r="E427">
        <v>18</v>
      </c>
      <c r="F427" t="s">
        <v>5163</v>
      </c>
      <c r="G427" t="s">
        <v>5164</v>
      </c>
    </row>
    <row r="428" spans="1:7" hidden="1">
      <c r="A428" s="5" t="s">
        <v>4619</v>
      </c>
      <c r="B428" t="s">
        <v>5161</v>
      </c>
      <c r="C428" t="s">
        <v>140</v>
      </c>
      <c r="D428" t="s">
        <v>5687</v>
      </c>
      <c r="E428">
        <v>23</v>
      </c>
      <c r="F428" t="s">
        <v>5163</v>
      </c>
      <c r="G428" t="s">
        <v>5169</v>
      </c>
    </row>
    <row r="429" spans="1:7" hidden="1">
      <c r="A429" s="5" t="s">
        <v>4619</v>
      </c>
      <c r="B429" t="s">
        <v>5161</v>
      </c>
      <c r="C429" t="s">
        <v>140</v>
      </c>
      <c r="D429" t="s">
        <v>5688</v>
      </c>
      <c r="E429">
        <v>32</v>
      </c>
      <c r="F429" t="s">
        <v>5163</v>
      </c>
      <c r="G429" t="s">
        <v>5169</v>
      </c>
    </row>
    <row r="430" spans="1:7" hidden="1">
      <c r="A430" s="5" t="s">
        <v>3518</v>
      </c>
      <c r="B430" t="s">
        <v>5161</v>
      </c>
      <c r="C430" t="s">
        <v>140</v>
      </c>
      <c r="D430" t="s">
        <v>5689</v>
      </c>
      <c r="E430">
        <v>31</v>
      </c>
      <c r="F430" t="s">
        <v>5163</v>
      </c>
      <c r="G430" t="s">
        <v>5164</v>
      </c>
    </row>
    <row r="431" spans="1:7" hidden="1">
      <c r="A431" s="5" t="s">
        <v>4255</v>
      </c>
      <c r="B431" t="s">
        <v>5161</v>
      </c>
      <c r="C431" t="s">
        <v>140</v>
      </c>
      <c r="D431" t="s">
        <v>5690</v>
      </c>
      <c r="E431">
        <v>37</v>
      </c>
      <c r="F431" t="s">
        <v>5163</v>
      </c>
      <c r="G431" t="s">
        <v>5164</v>
      </c>
    </row>
    <row r="432" spans="1:7" hidden="1">
      <c r="A432" s="5" t="s">
        <v>4066</v>
      </c>
      <c r="B432" t="s">
        <v>5161</v>
      </c>
      <c r="C432" t="s">
        <v>140</v>
      </c>
      <c r="D432" t="s">
        <v>5691</v>
      </c>
      <c r="E432">
        <v>24</v>
      </c>
      <c r="F432" t="s">
        <v>5163</v>
      </c>
      <c r="G432" t="s">
        <v>5164</v>
      </c>
    </row>
    <row r="433" spans="1:7" hidden="1">
      <c r="A433" s="5" t="s">
        <v>3793</v>
      </c>
      <c r="B433" t="s">
        <v>5161</v>
      </c>
      <c r="C433" t="s">
        <v>140</v>
      </c>
      <c r="D433" t="s">
        <v>5692</v>
      </c>
      <c r="E433">
        <v>21</v>
      </c>
      <c r="F433" t="s">
        <v>5163</v>
      </c>
      <c r="G433" t="s">
        <v>5164</v>
      </c>
    </row>
    <row r="434" spans="1:7" hidden="1">
      <c r="A434" s="5" t="s">
        <v>3023</v>
      </c>
      <c r="B434" t="s">
        <v>5161</v>
      </c>
      <c r="C434" t="s">
        <v>140</v>
      </c>
      <c r="D434" t="s">
        <v>5693</v>
      </c>
      <c r="E434">
        <v>18</v>
      </c>
      <c r="F434" t="s">
        <v>5163</v>
      </c>
      <c r="G434" t="s">
        <v>5164</v>
      </c>
    </row>
    <row r="435" spans="1:7" hidden="1">
      <c r="A435" s="5" t="s">
        <v>3537</v>
      </c>
      <c r="B435" t="s">
        <v>5161</v>
      </c>
      <c r="C435" t="s">
        <v>140</v>
      </c>
      <c r="D435" t="s">
        <v>5694</v>
      </c>
      <c r="E435">
        <v>22</v>
      </c>
      <c r="F435" t="s">
        <v>5163</v>
      </c>
      <c r="G435" t="s">
        <v>5164</v>
      </c>
    </row>
    <row r="436" spans="1:7" hidden="1">
      <c r="A436" s="5" t="s">
        <v>3009</v>
      </c>
      <c r="B436" t="s">
        <v>5161</v>
      </c>
      <c r="C436" t="s">
        <v>140</v>
      </c>
      <c r="D436" t="s">
        <v>5695</v>
      </c>
      <c r="E436">
        <v>34</v>
      </c>
      <c r="F436" t="s">
        <v>5163</v>
      </c>
      <c r="G436" t="s">
        <v>5169</v>
      </c>
    </row>
    <row r="437" spans="1:7" hidden="1">
      <c r="A437" s="5" t="s">
        <v>3288</v>
      </c>
      <c r="B437" t="s">
        <v>5161</v>
      </c>
      <c r="C437" t="s">
        <v>140</v>
      </c>
      <c r="D437" t="s">
        <v>5696</v>
      </c>
      <c r="E437">
        <v>41</v>
      </c>
      <c r="F437" t="s">
        <v>5163</v>
      </c>
      <c r="G437" t="s">
        <v>5169</v>
      </c>
    </row>
    <row r="438" spans="1:7" hidden="1">
      <c r="A438" s="5" t="s">
        <v>3469</v>
      </c>
      <c r="B438" t="s">
        <v>5161</v>
      </c>
      <c r="C438" t="s">
        <v>140</v>
      </c>
      <c r="D438" t="s">
        <v>5697</v>
      </c>
      <c r="E438">
        <v>23</v>
      </c>
      <c r="F438" t="s">
        <v>5163</v>
      </c>
      <c r="G438" t="s">
        <v>5164</v>
      </c>
    </row>
    <row r="439" spans="1:7" hidden="1">
      <c r="A439" s="5" t="s">
        <v>4033</v>
      </c>
      <c r="B439" t="s">
        <v>5161</v>
      </c>
      <c r="C439" t="s">
        <v>140</v>
      </c>
      <c r="D439" t="s">
        <v>5698</v>
      </c>
      <c r="E439">
        <v>18</v>
      </c>
      <c r="F439" t="s">
        <v>5163</v>
      </c>
      <c r="G439" t="s">
        <v>5164</v>
      </c>
    </row>
    <row r="440" spans="1:7" hidden="1">
      <c r="A440" s="5" t="s">
        <v>133</v>
      </c>
      <c r="B440" t="s">
        <v>5161</v>
      </c>
      <c r="C440" t="s">
        <v>140</v>
      </c>
      <c r="D440" t="s">
        <v>5699</v>
      </c>
      <c r="E440">
        <v>25</v>
      </c>
      <c r="F440" t="s">
        <v>5163</v>
      </c>
      <c r="G440" t="s">
        <v>5164</v>
      </c>
    </row>
    <row r="441" spans="1:7" hidden="1">
      <c r="A441" s="5" t="s">
        <v>133</v>
      </c>
      <c r="B441" t="s">
        <v>5161</v>
      </c>
      <c r="C441" t="s">
        <v>140</v>
      </c>
      <c r="D441" t="s">
        <v>520</v>
      </c>
      <c r="E441">
        <v>23</v>
      </c>
      <c r="F441" t="s">
        <v>5163</v>
      </c>
      <c r="G441" t="s">
        <v>5164</v>
      </c>
    </row>
    <row r="442" spans="1:7" hidden="1">
      <c r="A442" s="5" t="s">
        <v>2470</v>
      </c>
      <c r="B442" t="s">
        <v>5161</v>
      </c>
      <c r="C442" t="s">
        <v>140</v>
      </c>
      <c r="D442" t="s">
        <v>5700</v>
      </c>
      <c r="E442">
        <v>29</v>
      </c>
      <c r="F442" t="s">
        <v>5163</v>
      </c>
      <c r="G442" t="s">
        <v>1905</v>
      </c>
    </row>
    <row r="443" spans="1:7" hidden="1">
      <c r="A443" s="5" t="s">
        <v>4342</v>
      </c>
      <c r="B443" t="s">
        <v>5161</v>
      </c>
      <c r="C443" t="s">
        <v>140</v>
      </c>
      <c r="D443" t="s">
        <v>5701</v>
      </c>
      <c r="E443">
        <v>21</v>
      </c>
      <c r="F443" t="s">
        <v>5163</v>
      </c>
      <c r="G443" t="s">
        <v>5164</v>
      </c>
    </row>
    <row r="444" spans="1:7" hidden="1">
      <c r="A444" s="5" t="s">
        <v>2192</v>
      </c>
      <c r="B444" t="s">
        <v>5161</v>
      </c>
      <c r="C444" t="s">
        <v>140</v>
      </c>
      <c r="D444" t="s">
        <v>5702</v>
      </c>
      <c r="E444">
        <v>44</v>
      </c>
      <c r="F444" t="s">
        <v>5172</v>
      </c>
      <c r="G444" t="s">
        <v>1905</v>
      </c>
    </row>
    <row r="445" spans="1:7" hidden="1">
      <c r="A445" s="5" t="s">
        <v>2192</v>
      </c>
      <c r="B445" t="s">
        <v>5161</v>
      </c>
      <c r="C445" t="s">
        <v>140</v>
      </c>
      <c r="D445" t="s">
        <v>5703</v>
      </c>
      <c r="E445">
        <v>22</v>
      </c>
      <c r="F445" t="s">
        <v>5172</v>
      </c>
      <c r="G445" t="s">
        <v>1905</v>
      </c>
    </row>
    <row r="446" spans="1:7" hidden="1">
      <c r="A446" s="5" t="s">
        <v>2192</v>
      </c>
      <c r="B446" t="s">
        <v>5161</v>
      </c>
      <c r="C446" t="s">
        <v>140</v>
      </c>
      <c r="D446" t="s">
        <v>5704</v>
      </c>
      <c r="E446">
        <v>25</v>
      </c>
      <c r="F446" t="s">
        <v>5163</v>
      </c>
      <c r="G446" t="s">
        <v>5164</v>
      </c>
    </row>
    <row r="447" spans="1:7" hidden="1">
      <c r="A447" s="5" t="s">
        <v>134</v>
      </c>
      <c r="B447" t="s">
        <v>5161</v>
      </c>
      <c r="C447" t="s">
        <v>140</v>
      </c>
      <c r="D447" t="s">
        <v>522</v>
      </c>
      <c r="E447">
        <v>33</v>
      </c>
      <c r="F447" t="s">
        <v>5163</v>
      </c>
      <c r="G447" t="s">
        <v>1905</v>
      </c>
    </row>
    <row r="448" spans="1:7" hidden="1">
      <c r="A448" s="5" t="s">
        <v>3921</v>
      </c>
      <c r="B448" t="s">
        <v>5161</v>
      </c>
      <c r="C448" t="s">
        <v>140</v>
      </c>
      <c r="D448" t="s">
        <v>5705</v>
      </c>
      <c r="E448">
        <v>25</v>
      </c>
      <c r="F448" t="s">
        <v>5163</v>
      </c>
      <c r="G448" t="s">
        <v>5164</v>
      </c>
    </row>
    <row r="449" spans="1:7" hidden="1">
      <c r="A449" s="5" t="s">
        <v>2812</v>
      </c>
      <c r="B449" t="s">
        <v>5161</v>
      </c>
      <c r="C449" t="s">
        <v>140</v>
      </c>
      <c r="D449" t="s">
        <v>5706</v>
      </c>
      <c r="E449">
        <v>26</v>
      </c>
      <c r="F449" t="s">
        <v>5163</v>
      </c>
      <c r="G449" t="s">
        <v>5164</v>
      </c>
    </row>
    <row r="450" spans="1:7" hidden="1">
      <c r="A450" s="5" t="s">
        <v>150</v>
      </c>
      <c r="B450" t="s">
        <v>5161</v>
      </c>
      <c r="C450" t="s">
        <v>155</v>
      </c>
      <c r="D450" t="s">
        <v>560</v>
      </c>
      <c r="E450">
        <v>30</v>
      </c>
      <c r="F450" t="s">
        <v>5163</v>
      </c>
      <c r="G450" t="s">
        <v>5164</v>
      </c>
    </row>
    <row r="451" spans="1:7" hidden="1">
      <c r="A451" s="5" t="s">
        <v>150</v>
      </c>
      <c r="B451" t="s">
        <v>5161</v>
      </c>
      <c r="C451" t="s">
        <v>155</v>
      </c>
      <c r="D451" t="s">
        <v>5707</v>
      </c>
      <c r="E451">
        <v>36</v>
      </c>
      <c r="F451" t="s">
        <v>5163</v>
      </c>
      <c r="G451" t="s">
        <v>5164</v>
      </c>
    </row>
    <row r="452" spans="1:7" hidden="1">
      <c r="A452" s="5" t="s">
        <v>4464</v>
      </c>
      <c r="B452" t="s">
        <v>5161</v>
      </c>
      <c r="C452" t="s">
        <v>155</v>
      </c>
      <c r="D452" t="s">
        <v>5708</v>
      </c>
      <c r="E452">
        <v>40</v>
      </c>
      <c r="F452" t="s">
        <v>5172</v>
      </c>
      <c r="G452" t="s">
        <v>1905</v>
      </c>
    </row>
    <row r="453" spans="1:7" hidden="1">
      <c r="A453" s="5" t="s">
        <v>4684</v>
      </c>
      <c r="B453" t="s">
        <v>5161</v>
      </c>
      <c r="C453" t="s">
        <v>155</v>
      </c>
      <c r="D453" t="s">
        <v>5709</v>
      </c>
      <c r="E453">
        <v>20</v>
      </c>
      <c r="F453" t="s">
        <v>5163</v>
      </c>
      <c r="G453" t="s">
        <v>1905</v>
      </c>
    </row>
    <row r="454" spans="1:7" hidden="1">
      <c r="A454" s="5" t="s">
        <v>4469</v>
      </c>
      <c r="B454" t="s">
        <v>5161</v>
      </c>
      <c r="C454" t="s">
        <v>155</v>
      </c>
      <c r="D454" t="s">
        <v>5710</v>
      </c>
      <c r="E454">
        <v>36</v>
      </c>
      <c r="F454" t="s">
        <v>5163</v>
      </c>
      <c r="G454" t="s">
        <v>5182</v>
      </c>
    </row>
    <row r="455" spans="1:7" hidden="1">
      <c r="A455" s="5" t="s">
        <v>4046</v>
      </c>
      <c r="B455" t="s">
        <v>5161</v>
      </c>
      <c r="C455" t="s">
        <v>155</v>
      </c>
      <c r="D455" t="s">
        <v>5711</v>
      </c>
      <c r="E455">
        <v>31</v>
      </c>
      <c r="F455" t="s">
        <v>5163</v>
      </c>
      <c r="G455" t="s">
        <v>1905</v>
      </c>
    </row>
    <row r="456" spans="1:7" hidden="1">
      <c r="A456" s="5" t="s">
        <v>4344</v>
      </c>
      <c r="B456" t="s">
        <v>5161</v>
      </c>
      <c r="C456" t="s">
        <v>155</v>
      </c>
      <c r="D456" t="s">
        <v>5712</v>
      </c>
      <c r="E456">
        <v>33</v>
      </c>
      <c r="F456" t="s">
        <v>5163</v>
      </c>
      <c r="G456" t="s">
        <v>5164</v>
      </c>
    </row>
    <row r="457" spans="1:7" hidden="1">
      <c r="A457" s="5" t="s">
        <v>144</v>
      </c>
      <c r="B457" t="s">
        <v>5161</v>
      </c>
      <c r="C457" t="s">
        <v>155</v>
      </c>
      <c r="D457" t="s">
        <v>545</v>
      </c>
      <c r="E457">
        <v>18</v>
      </c>
      <c r="F457" t="s">
        <v>5163</v>
      </c>
      <c r="G457" t="s">
        <v>5164</v>
      </c>
    </row>
    <row r="458" spans="1:7" hidden="1">
      <c r="A458" s="5" t="s">
        <v>4131</v>
      </c>
      <c r="B458" t="s">
        <v>5161</v>
      </c>
      <c r="C458" t="s">
        <v>155</v>
      </c>
      <c r="D458" t="s">
        <v>5713</v>
      </c>
      <c r="E458">
        <v>19</v>
      </c>
      <c r="F458" t="s">
        <v>5163</v>
      </c>
      <c r="G458" t="s">
        <v>1905</v>
      </c>
    </row>
    <row r="459" spans="1:7" hidden="1">
      <c r="A459" s="5" t="s">
        <v>4012</v>
      </c>
      <c r="B459" t="s">
        <v>5161</v>
      </c>
      <c r="C459" t="s">
        <v>155</v>
      </c>
      <c r="D459" t="s">
        <v>5714</v>
      </c>
      <c r="E459">
        <v>25</v>
      </c>
      <c r="F459" t="s">
        <v>5163</v>
      </c>
      <c r="G459" t="s">
        <v>5169</v>
      </c>
    </row>
    <row r="460" spans="1:7" hidden="1">
      <c r="A460" s="5" t="s">
        <v>3812</v>
      </c>
      <c r="B460" t="s">
        <v>5161</v>
      </c>
      <c r="C460" t="s">
        <v>155</v>
      </c>
      <c r="D460" t="s">
        <v>5715</v>
      </c>
      <c r="E460">
        <v>28</v>
      </c>
      <c r="F460" t="s">
        <v>5163</v>
      </c>
      <c r="G460" t="s">
        <v>1905</v>
      </c>
    </row>
    <row r="461" spans="1:7" hidden="1">
      <c r="A461" s="5" t="s">
        <v>3824</v>
      </c>
      <c r="B461" t="s">
        <v>5161</v>
      </c>
      <c r="C461" t="s">
        <v>155</v>
      </c>
      <c r="D461" t="s">
        <v>5716</v>
      </c>
      <c r="E461">
        <v>48</v>
      </c>
      <c r="F461" t="s">
        <v>5163</v>
      </c>
      <c r="G461" t="s">
        <v>5169</v>
      </c>
    </row>
    <row r="462" spans="1:7" hidden="1">
      <c r="A462" s="5" t="s">
        <v>3968</v>
      </c>
      <c r="B462" t="s">
        <v>5161</v>
      </c>
      <c r="C462" t="s">
        <v>155</v>
      </c>
      <c r="D462" t="s">
        <v>5717</v>
      </c>
      <c r="E462">
        <v>21</v>
      </c>
      <c r="F462" t="s">
        <v>5163</v>
      </c>
      <c r="G462" t="s">
        <v>5164</v>
      </c>
    </row>
    <row r="463" spans="1:7" hidden="1">
      <c r="A463" s="5" t="s">
        <v>3886</v>
      </c>
      <c r="B463" t="s">
        <v>5161</v>
      </c>
      <c r="C463" t="s">
        <v>155</v>
      </c>
      <c r="D463" t="s">
        <v>5718</v>
      </c>
      <c r="E463">
        <v>19</v>
      </c>
      <c r="F463" t="s">
        <v>5163</v>
      </c>
      <c r="G463" t="s">
        <v>5164</v>
      </c>
    </row>
    <row r="464" spans="1:7" hidden="1">
      <c r="A464" s="5" t="s">
        <v>4542</v>
      </c>
      <c r="B464" t="s">
        <v>5161</v>
      </c>
      <c r="C464" t="s">
        <v>155</v>
      </c>
      <c r="D464" t="s">
        <v>5719</v>
      </c>
      <c r="E464">
        <v>47</v>
      </c>
      <c r="F464" t="s">
        <v>5163</v>
      </c>
      <c r="G464" t="s">
        <v>5169</v>
      </c>
    </row>
    <row r="465" spans="1:7" hidden="1">
      <c r="A465" s="5" t="s">
        <v>3639</v>
      </c>
      <c r="B465" t="s">
        <v>5161</v>
      </c>
      <c r="C465" t="s">
        <v>155</v>
      </c>
      <c r="D465" t="s">
        <v>5720</v>
      </c>
      <c r="E465">
        <v>27</v>
      </c>
      <c r="F465" t="s">
        <v>5163</v>
      </c>
      <c r="G465" t="s">
        <v>5164</v>
      </c>
    </row>
    <row r="466" spans="1:7" hidden="1">
      <c r="A466" s="5" t="s">
        <v>4382</v>
      </c>
      <c r="B466" t="s">
        <v>5161</v>
      </c>
      <c r="C466" t="s">
        <v>155</v>
      </c>
      <c r="D466" t="s">
        <v>5721</v>
      </c>
      <c r="E466">
        <v>23</v>
      </c>
      <c r="F466" t="s">
        <v>5163</v>
      </c>
      <c r="G466" t="s">
        <v>5164</v>
      </c>
    </row>
    <row r="467" spans="1:7" hidden="1">
      <c r="A467" s="5" t="s">
        <v>2866</v>
      </c>
      <c r="B467" t="s">
        <v>5161</v>
      </c>
      <c r="C467" t="s">
        <v>155</v>
      </c>
      <c r="D467" t="s">
        <v>5722</v>
      </c>
      <c r="E467">
        <v>29</v>
      </c>
      <c r="F467" t="s">
        <v>5163</v>
      </c>
      <c r="G467" t="s">
        <v>1905</v>
      </c>
    </row>
    <row r="468" spans="1:7" hidden="1">
      <c r="A468" s="5" t="s">
        <v>2866</v>
      </c>
      <c r="B468" t="s">
        <v>5161</v>
      </c>
      <c r="C468" t="s">
        <v>155</v>
      </c>
      <c r="D468" t="s">
        <v>5723</v>
      </c>
      <c r="E468">
        <v>33</v>
      </c>
      <c r="F468" t="s">
        <v>5172</v>
      </c>
      <c r="G468" t="s">
        <v>5164</v>
      </c>
    </row>
    <row r="469" spans="1:7" hidden="1">
      <c r="A469" s="5" t="s">
        <v>2866</v>
      </c>
      <c r="B469" t="s">
        <v>5161</v>
      </c>
      <c r="C469" t="s">
        <v>155</v>
      </c>
      <c r="D469" t="s">
        <v>5724</v>
      </c>
      <c r="E469">
        <v>29</v>
      </c>
      <c r="F469" t="s">
        <v>5163</v>
      </c>
      <c r="G469" t="s">
        <v>1905</v>
      </c>
    </row>
    <row r="470" spans="1:7" hidden="1">
      <c r="A470" s="5" t="s">
        <v>2866</v>
      </c>
      <c r="B470" t="s">
        <v>5161</v>
      </c>
      <c r="C470" t="s">
        <v>155</v>
      </c>
      <c r="D470" t="s">
        <v>5725</v>
      </c>
      <c r="E470">
        <v>30</v>
      </c>
      <c r="F470" t="s">
        <v>5163</v>
      </c>
      <c r="G470" t="s">
        <v>5164</v>
      </c>
    </row>
    <row r="471" spans="1:7" hidden="1">
      <c r="A471" s="5" t="s">
        <v>4609</v>
      </c>
      <c r="B471" t="s">
        <v>5161</v>
      </c>
      <c r="C471" t="s">
        <v>155</v>
      </c>
      <c r="D471" t="s">
        <v>5726</v>
      </c>
      <c r="E471">
        <v>48</v>
      </c>
      <c r="F471" t="s">
        <v>5163</v>
      </c>
      <c r="G471" t="s">
        <v>5164</v>
      </c>
    </row>
    <row r="472" spans="1:7" hidden="1">
      <c r="A472" s="5" t="s">
        <v>5727</v>
      </c>
      <c r="B472" t="s">
        <v>5161</v>
      </c>
      <c r="C472" t="s">
        <v>155</v>
      </c>
      <c r="D472" t="s">
        <v>5728</v>
      </c>
      <c r="E472">
        <v>30</v>
      </c>
      <c r="F472" t="s">
        <v>5163</v>
      </c>
      <c r="G472" t="s">
        <v>5169</v>
      </c>
    </row>
    <row r="473" spans="1:7" hidden="1">
      <c r="A473" s="5" t="s">
        <v>3826</v>
      </c>
      <c r="B473" t="s">
        <v>5161</v>
      </c>
      <c r="C473" t="s">
        <v>155</v>
      </c>
      <c r="D473" t="s">
        <v>5729</v>
      </c>
      <c r="E473">
        <v>19</v>
      </c>
      <c r="F473" t="s">
        <v>5163</v>
      </c>
      <c r="G473" t="s">
        <v>1905</v>
      </c>
    </row>
    <row r="474" spans="1:7" hidden="1">
      <c r="A474" s="5" t="s">
        <v>3549</v>
      </c>
      <c r="B474" t="s">
        <v>5161</v>
      </c>
      <c r="C474" t="s">
        <v>155</v>
      </c>
      <c r="D474" t="s">
        <v>5730</v>
      </c>
      <c r="E474">
        <v>22</v>
      </c>
      <c r="F474" t="s">
        <v>5163</v>
      </c>
      <c r="G474" t="s">
        <v>1905</v>
      </c>
    </row>
    <row r="475" spans="1:7" hidden="1">
      <c r="A475" s="5" t="s">
        <v>3549</v>
      </c>
      <c r="B475" t="s">
        <v>5161</v>
      </c>
      <c r="C475" t="s">
        <v>155</v>
      </c>
      <c r="D475" t="s">
        <v>5731</v>
      </c>
      <c r="E475">
        <v>25</v>
      </c>
      <c r="F475" t="s">
        <v>5163</v>
      </c>
      <c r="G475" t="s">
        <v>5182</v>
      </c>
    </row>
    <row r="476" spans="1:7" hidden="1">
      <c r="A476" s="5" t="s">
        <v>3549</v>
      </c>
      <c r="B476" t="s">
        <v>5161</v>
      </c>
      <c r="C476" t="s">
        <v>155</v>
      </c>
      <c r="D476" t="s">
        <v>5732</v>
      </c>
      <c r="E476">
        <v>18</v>
      </c>
      <c r="F476" t="s">
        <v>5163</v>
      </c>
      <c r="G476" t="s">
        <v>5164</v>
      </c>
    </row>
    <row r="477" spans="1:7" hidden="1">
      <c r="A477" s="5" t="s">
        <v>153</v>
      </c>
      <c r="B477" t="s">
        <v>5161</v>
      </c>
      <c r="C477" t="s">
        <v>155</v>
      </c>
      <c r="D477" t="s">
        <v>565</v>
      </c>
      <c r="E477">
        <v>39</v>
      </c>
      <c r="F477" t="s">
        <v>5163</v>
      </c>
      <c r="G477" t="s">
        <v>1905</v>
      </c>
    </row>
    <row r="478" spans="1:7" hidden="1">
      <c r="A478" s="5" t="s">
        <v>4385</v>
      </c>
      <c r="B478" t="s">
        <v>5161</v>
      </c>
      <c r="C478" t="s">
        <v>155</v>
      </c>
      <c r="D478" t="s">
        <v>5733</v>
      </c>
      <c r="E478">
        <v>20</v>
      </c>
      <c r="F478" t="s">
        <v>5163</v>
      </c>
      <c r="G478" t="s">
        <v>1905</v>
      </c>
    </row>
    <row r="479" spans="1:7" hidden="1">
      <c r="A479" s="5" t="s">
        <v>4385</v>
      </c>
      <c r="B479" t="s">
        <v>5161</v>
      </c>
      <c r="C479" t="s">
        <v>155</v>
      </c>
      <c r="D479" t="s">
        <v>5734</v>
      </c>
      <c r="E479">
        <v>28</v>
      </c>
      <c r="F479" t="s">
        <v>5163</v>
      </c>
      <c r="G479" t="s">
        <v>5164</v>
      </c>
    </row>
    <row r="480" spans="1:7" hidden="1">
      <c r="A480" s="5" t="s">
        <v>5735</v>
      </c>
      <c r="B480" t="s">
        <v>5161</v>
      </c>
      <c r="C480" t="s">
        <v>155</v>
      </c>
      <c r="D480" t="s">
        <v>5736</v>
      </c>
      <c r="E480">
        <v>45</v>
      </c>
      <c r="F480" t="s">
        <v>5172</v>
      </c>
      <c r="G480" t="s">
        <v>5169</v>
      </c>
    </row>
    <row r="481" spans="1:7" hidden="1">
      <c r="A481" s="5" t="s">
        <v>3347</v>
      </c>
      <c r="B481" t="s">
        <v>5161</v>
      </c>
      <c r="C481" t="s">
        <v>155</v>
      </c>
      <c r="D481" t="s">
        <v>5737</v>
      </c>
      <c r="E481">
        <v>27</v>
      </c>
      <c r="F481" t="s">
        <v>5163</v>
      </c>
      <c r="G481" t="s">
        <v>5164</v>
      </c>
    </row>
    <row r="482" spans="1:7" hidden="1">
      <c r="A482" s="5" t="s">
        <v>3347</v>
      </c>
      <c r="B482" t="s">
        <v>5161</v>
      </c>
      <c r="C482" t="s">
        <v>155</v>
      </c>
      <c r="D482" t="s">
        <v>5738</v>
      </c>
      <c r="E482">
        <v>19</v>
      </c>
      <c r="F482" t="s">
        <v>5163</v>
      </c>
      <c r="G482" t="s">
        <v>5164</v>
      </c>
    </row>
    <row r="483" spans="1:7" hidden="1">
      <c r="A483" s="5" t="s">
        <v>3347</v>
      </c>
      <c r="B483" t="s">
        <v>5161</v>
      </c>
      <c r="C483" t="s">
        <v>155</v>
      </c>
      <c r="D483" t="s">
        <v>5739</v>
      </c>
      <c r="E483">
        <v>25</v>
      </c>
      <c r="F483" t="s">
        <v>5172</v>
      </c>
      <c r="G483" t="s">
        <v>1905</v>
      </c>
    </row>
    <row r="484" spans="1:7" hidden="1">
      <c r="A484" s="5" t="s">
        <v>3510</v>
      </c>
      <c r="B484" t="s">
        <v>5161</v>
      </c>
      <c r="C484" t="s">
        <v>155</v>
      </c>
      <c r="D484" t="s">
        <v>5740</v>
      </c>
      <c r="E484">
        <v>32</v>
      </c>
      <c r="F484" t="s">
        <v>5163</v>
      </c>
      <c r="G484" t="s">
        <v>5164</v>
      </c>
    </row>
    <row r="485" spans="1:7" hidden="1">
      <c r="A485" s="5" t="s">
        <v>4546</v>
      </c>
      <c r="B485" t="s">
        <v>5161</v>
      </c>
      <c r="C485" t="s">
        <v>155</v>
      </c>
      <c r="D485" t="s">
        <v>5741</v>
      </c>
      <c r="E485">
        <v>26</v>
      </c>
      <c r="F485" t="s">
        <v>5163</v>
      </c>
      <c r="G485" t="s">
        <v>1905</v>
      </c>
    </row>
    <row r="486" spans="1:7" hidden="1">
      <c r="A486" s="5" t="s">
        <v>148</v>
      </c>
      <c r="B486" t="s">
        <v>5161</v>
      </c>
      <c r="C486" t="s">
        <v>155</v>
      </c>
      <c r="D486" t="s">
        <v>555</v>
      </c>
      <c r="E486">
        <v>25</v>
      </c>
      <c r="F486" t="s">
        <v>5163</v>
      </c>
      <c r="G486" t="s">
        <v>5169</v>
      </c>
    </row>
    <row r="487" spans="1:7" hidden="1">
      <c r="A487" s="5" t="s">
        <v>5742</v>
      </c>
      <c r="B487" t="s">
        <v>5161</v>
      </c>
      <c r="C487" t="s">
        <v>155</v>
      </c>
      <c r="D487" t="s">
        <v>5743</v>
      </c>
      <c r="E487">
        <v>19</v>
      </c>
      <c r="F487" t="s">
        <v>5163</v>
      </c>
      <c r="G487" t="s">
        <v>1905</v>
      </c>
    </row>
    <row r="488" spans="1:7" hidden="1">
      <c r="A488" s="5" t="s">
        <v>5744</v>
      </c>
      <c r="B488" t="s">
        <v>5161</v>
      </c>
      <c r="C488" t="s">
        <v>155</v>
      </c>
      <c r="D488" t="s">
        <v>5745</v>
      </c>
      <c r="E488">
        <v>19</v>
      </c>
      <c r="F488" t="s">
        <v>5163</v>
      </c>
      <c r="G488" t="s">
        <v>1905</v>
      </c>
    </row>
    <row r="489" spans="1:7" hidden="1">
      <c r="A489" s="5" t="s">
        <v>5744</v>
      </c>
      <c r="B489" t="s">
        <v>5161</v>
      </c>
      <c r="C489" t="s">
        <v>155</v>
      </c>
      <c r="D489" t="s">
        <v>5746</v>
      </c>
      <c r="E489">
        <v>27</v>
      </c>
      <c r="F489" t="s">
        <v>5163</v>
      </c>
      <c r="G489" t="s">
        <v>1905</v>
      </c>
    </row>
    <row r="490" spans="1:7" hidden="1">
      <c r="A490" s="5" t="s">
        <v>2887</v>
      </c>
      <c r="B490" t="s">
        <v>5161</v>
      </c>
      <c r="C490" t="s">
        <v>155</v>
      </c>
      <c r="D490" t="s">
        <v>5747</v>
      </c>
      <c r="E490">
        <v>19</v>
      </c>
      <c r="F490" t="s">
        <v>5163</v>
      </c>
      <c r="G490" t="s">
        <v>5164</v>
      </c>
    </row>
    <row r="491" spans="1:7" hidden="1">
      <c r="A491" s="5" t="s">
        <v>2840</v>
      </c>
      <c r="B491" t="s">
        <v>5161</v>
      </c>
      <c r="C491" t="s">
        <v>155</v>
      </c>
      <c r="D491" t="s">
        <v>5748</v>
      </c>
      <c r="E491">
        <v>30</v>
      </c>
      <c r="F491" t="s">
        <v>5163</v>
      </c>
      <c r="G491" t="s">
        <v>5164</v>
      </c>
    </row>
    <row r="492" spans="1:7" hidden="1">
      <c r="A492" s="5" t="s">
        <v>2640</v>
      </c>
      <c r="B492" t="s">
        <v>5161</v>
      </c>
      <c r="C492" t="s">
        <v>155</v>
      </c>
      <c r="D492" t="s">
        <v>5749</v>
      </c>
      <c r="E492">
        <v>30</v>
      </c>
      <c r="F492" t="s">
        <v>5163</v>
      </c>
      <c r="G492" t="s">
        <v>5169</v>
      </c>
    </row>
    <row r="493" spans="1:7" hidden="1">
      <c r="A493" s="5" t="s">
        <v>2585</v>
      </c>
      <c r="B493" t="s">
        <v>5161</v>
      </c>
      <c r="C493" t="s">
        <v>155</v>
      </c>
      <c r="D493" t="s">
        <v>5750</v>
      </c>
      <c r="E493">
        <v>20</v>
      </c>
      <c r="F493" t="s">
        <v>5163</v>
      </c>
      <c r="G493" t="s">
        <v>1905</v>
      </c>
    </row>
    <row r="494" spans="1:7" hidden="1">
      <c r="A494" s="5" t="s">
        <v>2695</v>
      </c>
      <c r="B494" t="s">
        <v>5161</v>
      </c>
      <c r="C494" t="s">
        <v>155</v>
      </c>
      <c r="D494" t="s">
        <v>5751</v>
      </c>
      <c r="E494">
        <v>32</v>
      </c>
      <c r="F494" t="s">
        <v>5163</v>
      </c>
      <c r="G494" t="s">
        <v>5164</v>
      </c>
    </row>
    <row r="495" spans="1:7" hidden="1">
      <c r="A495" s="5" t="s">
        <v>2302</v>
      </c>
      <c r="B495" t="s">
        <v>5161</v>
      </c>
      <c r="C495" t="s">
        <v>155</v>
      </c>
      <c r="D495" t="s">
        <v>5752</v>
      </c>
      <c r="E495">
        <v>30</v>
      </c>
      <c r="F495" t="s">
        <v>5163</v>
      </c>
      <c r="G495" t="s">
        <v>5164</v>
      </c>
    </row>
    <row r="496" spans="1:7" hidden="1">
      <c r="A496" s="5" t="s">
        <v>4545</v>
      </c>
      <c r="B496" t="s">
        <v>5161</v>
      </c>
      <c r="C496" t="s">
        <v>155</v>
      </c>
      <c r="D496" t="s">
        <v>5753</v>
      </c>
      <c r="E496">
        <v>30</v>
      </c>
      <c r="F496" t="s">
        <v>5163</v>
      </c>
      <c r="G496" t="s">
        <v>5164</v>
      </c>
    </row>
    <row r="497" spans="1:7" hidden="1">
      <c r="A497" s="5" t="s">
        <v>5754</v>
      </c>
      <c r="B497" t="s">
        <v>5161</v>
      </c>
      <c r="C497" t="s">
        <v>155</v>
      </c>
      <c r="D497" t="s">
        <v>5755</v>
      </c>
      <c r="E497" t="s">
        <v>5182</v>
      </c>
      <c r="F497" t="s">
        <v>5163</v>
      </c>
      <c r="G497" t="s">
        <v>1905</v>
      </c>
    </row>
    <row r="498" spans="1:7" hidden="1">
      <c r="A498" s="5" t="s">
        <v>145</v>
      </c>
      <c r="B498" t="s">
        <v>5161</v>
      </c>
      <c r="C498" t="s">
        <v>155</v>
      </c>
      <c r="D498" t="s">
        <v>5756</v>
      </c>
      <c r="E498">
        <v>20</v>
      </c>
      <c r="F498" t="s">
        <v>5163</v>
      </c>
      <c r="G498" t="s">
        <v>5164</v>
      </c>
    </row>
    <row r="499" spans="1:7" hidden="1">
      <c r="A499" s="5" t="s">
        <v>4484</v>
      </c>
      <c r="B499" t="s">
        <v>5161</v>
      </c>
      <c r="C499" t="s">
        <v>155</v>
      </c>
      <c r="D499" t="s">
        <v>5757</v>
      </c>
      <c r="E499">
        <v>24</v>
      </c>
      <c r="F499" t="s">
        <v>5163</v>
      </c>
      <c r="G499" t="s">
        <v>5164</v>
      </c>
    </row>
    <row r="500" spans="1:7" hidden="1">
      <c r="A500" s="5" t="s">
        <v>2296</v>
      </c>
      <c r="B500" t="s">
        <v>5161</v>
      </c>
      <c r="C500" t="s">
        <v>155</v>
      </c>
      <c r="D500" t="s">
        <v>5758</v>
      </c>
      <c r="E500">
        <v>21</v>
      </c>
      <c r="F500" t="s">
        <v>5163</v>
      </c>
      <c r="G500" t="s">
        <v>5164</v>
      </c>
    </row>
    <row r="501" spans="1:7" hidden="1">
      <c r="A501" s="5" t="s">
        <v>4165</v>
      </c>
      <c r="B501" t="s">
        <v>5161</v>
      </c>
      <c r="C501" t="s">
        <v>155</v>
      </c>
      <c r="D501" t="s">
        <v>5759</v>
      </c>
      <c r="E501">
        <v>20</v>
      </c>
      <c r="F501" t="s">
        <v>5172</v>
      </c>
      <c r="G501" t="s">
        <v>1905</v>
      </c>
    </row>
    <row r="502" spans="1:7" hidden="1">
      <c r="A502" s="5" t="s">
        <v>4165</v>
      </c>
      <c r="B502" t="s">
        <v>5161</v>
      </c>
      <c r="C502" t="s">
        <v>155</v>
      </c>
      <c r="D502" t="s">
        <v>5760</v>
      </c>
      <c r="E502">
        <v>18</v>
      </c>
      <c r="F502" t="s">
        <v>5172</v>
      </c>
      <c r="G502" t="s">
        <v>1905</v>
      </c>
    </row>
    <row r="503" spans="1:7" hidden="1">
      <c r="A503" s="5" t="s">
        <v>5023</v>
      </c>
      <c r="B503" t="s">
        <v>5161</v>
      </c>
      <c r="C503" t="s">
        <v>155</v>
      </c>
      <c r="D503" t="s">
        <v>5761</v>
      </c>
      <c r="E503">
        <v>35</v>
      </c>
      <c r="F503" t="s">
        <v>5163</v>
      </c>
      <c r="G503" t="s">
        <v>5164</v>
      </c>
    </row>
    <row r="504" spans="1:7" hidden="1">
      <c r="A504" s="5" t="s">
        <v>5762</v>
      </c>
      <c r="B504" t="s">
        <v>5161</v>
      </c>
      <c r="C504" t="s">
        <v>155</v>
      </c>
      <c r="D504" t="s">
        <v>5763</v>
      </c>
      <c r="E504" t="s">
        <v>5182</v>
      </c>
      <c r="F504" t="s">
        <v>5172</v>
      </c>
      <c r="G504" t="s">
        <v>1905</v>
      </c>
    </row>
    <row r="505" spans="1:7" hidden="1">
      <c r="A505" s="5" t="s">
        <v>5762</v>
      </c>
      <c r="B505" t="s">
        <v>5161</v>
      </c>
      <c r="C505" t="s">
        <v>155</v>
      </c>
      <c r="D505" t="s">
        <v>5764</v>
      </c>
      <c r="E505">
        <v>24</v>
      </c>
      <c r="F505" t="s">
        <v>5163</v>
      </c>
      <c r="G505" t="s">
        <v>1905</v>
      </c>
    </row>
    <row r="506" spans="1:7" hidden="1">
      <c r="A506" s="5" t="s">
        <v>5762</v>
      </c>
      <c r="B506" t="s">
        <v>5161</v>
      </c>
      <c r="C506" t="s">
        <v>155</v>
      </c>
      <c r="D506" t="s">
        <v>5765</v>
      </c>
      <c r="E506" t="s">
        <v>5182</v>
      </c>
      <c r="F506" t="s">
        <v>5163</v>
      </c>
      <c r="G506" t="s">
        <v>1905</v>
      </c>
    </row>
    <row r="507" spans="1:7" hidden="1">
      <c r="A507" s="5" t="s">
        <v>5762</v>
      </c>
      <c r="B507" t="s">
        <v>5161</v>
      </c>
      <c r="C507" t="s">
        <v>155</v>
      </c>
      <c r="D507" t="s">
        <v>5766</v>
      </c>
      <c r="E507" t="s">
        <v>5182</v>
      </c>
      <c r="F507" t="s">
        <v>5163</v>
      </c>
      <c r="G507" t="s">
        <v>1905</v>
      </c>
    </row>
    <row r="508" spans="1:7" hidden="1">
      <c r="A508" s="5" t="s">
        <v>4891</v>
      </c>
      <c r="B508" t="s">
        <v>5161</v>
      </c>
      <c r="C508" t="s">
        <v>155</v>
      </c>
      <c r="D508" t="s">
        <v>5767</v>
      </c>
      <c r="E508">
        <v>24</v>
      </c>
      <c r="F508" t="s">
        <v>5163</v>
      </c>
      <c r="G508" t="s">
        <v>1905</v>
      </c>
    </row>
    <row r="509" spans="1:7" hidden="1">
      <c r="A509" s="5" t="s">
        <v>4891</v>
      </c>
      <c r="B509" t="s">
        <v>5161</v>
      </c>
      <c r="C509" t="s">
        <v>155</v>
      </c>
      <c r="D509" t="s">
        <v>5768</v>
      </c>
      <c r="E509">
        <v>38</v>
      </c>
      <c r="F509" t="s">
        <v>5172</v>
      </c>
      <c r="G509" t="s">
        <v>1905</v>
      </c>
    </row>
    <row r="510" spans="1:7" hidden="1">
      <c r="A510" s="5" t="s">
        <v>4335</v>
      </c>
      <c r="B510" t="s">
        <v>5161</v>
      </c>
      <c r="C510" t="s">
        <v>155</v>
      </c>
      <c r="D510" t="s">
        <v>5769</v>
      </c>
      <c r="E510">
        <v>23</v>
      </c>
      <c r="F510" t="s">
        <v>5163</v>
      </c>
      <c r="G510" t="s">
        <v>5164</v>
      </c>
    </row>
    <row r="511" spans="1:7" hidden="1">
      <c r="A511" s="5" t="s">
        <v>4567</v>
      </c>
      <c r="B511" t="s">
        <v>5161</v>
      </c>
      <c r="C511" t="s">
        <v>155</v>
      </c>
      <c r="D511" t="s">
        <v>5770</v>
      </c>
      <c r="E511">
        <v>22</v>
      </c>
      <c r="F511" t="s">
        <v>5163</v>
      </c>
      <c r="G511" t="s">
        <v>5164</v>
      </c>
    </row>
    <row r="512" spans="1:7" hidden="1">
      <c r="A512" s="5" t="s">
        <v>4827</v>
      </c>
      <c r="B512" t="s">
        <v>5161</v>
      </c>
      <c r="C512" t="s">
        <v>155</v>
      </c>
      <c r="D512" t="s">
        <v>5771</v>
      </c>
      <c r="E512">
        <v>18</v>
      </c>
      <c r="F512" t="s">
        <v>5163</v>
      </c>
      <c r="G512" t="s">
        <v>1905</v>
      </c>
    </row>
    <row r="513" spans="1:7" hidden="1">
      <c r="A513" s="5" t="s">
        <v>4811</v>
      </c>
      <c r="B513" t="s">
        <v>5161</v>
      </c>
      <c r="C513" t="s">
        <v>155</v>
      </c>
      <c r="D513" t="s">
        <v>5772</v>
      </c>
      <c r="E513">
        <v>21</v>
      </c>
      <c r="F513" t="s">
        <v>5163</v>
      </c>
      <c r="G513" t="s">
        <v>5164</v>
      </c>
    </row>
    <row r="514" spans="1:7" hidden="1">
      <c r="A514" s="5" t="s">
        <v>4591</v>
      </c>
      <c r="B514" t="s">
        <v>5161</v>
      </c>
      <c r="C514" t="s">
        <v>155</v>
      </c>
      <c r="D514" t="s">
        <v>5773</v>
      </c>
      <c r="E514">
        <v>32</v>
      </c>
      <c r="F514" t="s">
        <v>5163</v>
      </c>
      <c r="G514" t="s">
        <v>5164</v>
      </c>
    </row>
    <row r="515" spans="1:7" hidden="1">
      <c r="A515" s="5" t="s">
        <v>4591</v>
      </c>
      <c r="B515" t="s">
        <v>5161</v>
      </c>
      <c r="C515" t="s">
        <v>155</v>
      </c>
      <c r="D515" t="s">
        <v>5774</v>
      </c>
      <c r="E515">
        <v>43</v>
      </c>
      <c r="F515" t="s">
        <v>5163</v>
      </c>
      <c r="G515" t="s">
        <v>1905</v>
      </c>
    </row>
    <row r="516" spans="1:7" hidden="1">
      <c r="A516" s="5" t="s">
        <v>4751</v>
      </c>
      <c r="B516" t="s">
        <v>5161</v>
      </c>
      <c r="C516" t="s">
        <v>155</v>
      </c>
      <c r="D516" t="s">
        <v>5775</v>
      </c>
      <c r="E516">
        <v>31</v>
      </c>
      <c r="F516" t="s">
        <v>5163</v>
      </c>
      <c r="G516" t="s">
        <v>1905</v>
      </c>
    </row>
    <row r="517" spans="1:7" hidden="1">
      <c r="A517" s="5" t="s">
        <v>4026</v>
      </c>
      <c r="B517" t="s">
        <v>5161</v>
      </c>
      <c r="C517" t="s">
        <v>155</v>
      </c>
      <c r="D517" t="s">
        <v>5776</v>
      </c>
      <c r="E517">
        <v>22</v>
      </c>
      <c r="F517" t="s">
        <v>5163</v>
      </c>
      <c r="G517" t="s">
        <v>1905</v>
      </c>
    </row>
    <row r="518" spans="1:7" hidden="1">
      <c r="A518" s="5" t="s">
        <v>4743</v>
      </c>
      <c r="B518" t="s">
        <v>5161</v>
      </c>
      <c r="C518" t="s">
        <v>155</v>
      </c>
      <c r="D518" t="s">
        <v>5777</v>
      </c>
      <c r="E518">
        <v>24</v>
      </c>
      <c r="F518" t="s">
        <v>5163</v>
      </c>
      <c r="G518" t="s">
        <v>5164</v>
      </c>
    </row>
    <row r="519" spans="1:7" hidden="1">
      <c r="A519" s="5" t="s">
        <v>5778</v>
      </c>
      <c r="B519" t="s">
        <v>5161</v>
      </c>
      <c r="C519" t="s">
        <v>155</v>
      </c>
      <c r="D519" t="s">
        <v>5779</v>
      </c>
      <c r="E519">
        <v>24</v>
      </c>
      <c r="F519" t="s">
        <v>5163</v>
      </c>
      <c r="G519" t="s">
        <v>5169</v>
      </c>
    </row>
    <row r="520" spans="1:7" hidden="1">
      <c r="A520" s="5" t="s">
        <v>4314</v>
      </c>
      <c r="B520" t="s">
        <v>5161</v>
      </c>
      <c r="C520" t="s">
        <v>155</v>
      </c>
      <c r="D520" t="s">
        <v>5780</v>
      </c>
      <c r="E520">
        <v>25</v>
      </c>
      <c r="F520" t="s">
        <v>5163</v>
      </c>
      <c r="G520" t="s">
        <v>1905</v>
      </c>
    </row>
    <row r="521" spans="1:7" hidden="1">
      <c r="A521" s="5" t="s">
        <v>4256</v>
      </c>
      <c r="B521" t="s">
        <v>5161</v>
      </c>
      <c r="C521" t="s">
        <v>155</v>
      </c>
      <c r="D521" t="s">
        <v>5781</v>
      </c>
      <c r="E521">
        <v>19</v>
      </c>
      <c r="F521" t="s">
        <v>5163</v>
      </c>
      <c r="G521" t="s">
        <v>5164</v>
      </c>
    </row>
    <row r="522" spans="1:7" hidden="1">
      <c r="A522" s="5" t="s">
        <v>4279</v>
      </c>
      <c r="B522" t="s">
        <v>5161</v>
      </c>
      <c r="C522" t="s">
        <v>155</v>
      </c>
      <c r="D522" t="s">
        <v>5782</v>
      </c>
      <c r="E522">
        <v>21</v>
      </c>
      <c r="F522" t="s">
        <v>5172</v>
      </c>
      <c r="G522" t="s">
        <v>5164</v>
      </c>
    </row>
    <row r="523" spans="1:7" hidden="1">
      <c r="A523" s="5" t="s">
        <v>5783</v>
      </c>
      <c r="B523" t="s">
        <v>5161</v>
      </c>
      <c r="C523" t="s">
        <v>155</v>
      </c>
      <c r="D523" t="s">
        <v>5784</v>
      </c>
      <c r="E523">
        <v>19</v>
      </c>
      <c r="F523" t="s">
        <v>5163</v>
      </c>
      <c r="G523" t="s">
        <v>5164</v>
      </c>
    </row>
    <row r="524" spans="1:7" hidden="1">
      <c r="A524" s="5" t="s">
        <v>3861</v>
      </c>
      <c r="B524" t="s">
        <v>5161</v>
      </c>
      <c r="C524" t="s">
        <v>155</v>
      </c>
      <c r="D524" t="s">
        <v>5785</v>
      </c>
      <c r="E524">
        <v>18</v>
      </c>
      <c r="F524" t="s">
        <v>5163</v>
      </c>
      <c r="G524" t="s">
        <v>1905</v>
      </c>
    </row>
    <row r="525" spans="1:7" hidden="1">
      <c r="A525" s="5" t="s">
        <v>4082</v>
      </c>
      <c r="B525" t="s">
        <v>5161</v>
      </c>
      <c r="C525" t="s">
        <v>155</v>
      </c>
      <c r="D525" t="s">
        <v>5786</v>
      </c>
      <c r="E525">
        <v>22</v>
      </c>
      <c r="F525" t="s">
        <v>5163</v>
      </c>
      <c r="G525" t="s">
        <v>5169</v>
      </c>
    </row>
    <row r="526" spans="1:7" hidden="1">
      <c r="A526" s="5" t="s">
        <v>4166</v>
      </c>
      <c r="B526" t="s">
        <v>5161</v>
      </c>
      <c r="C526" t="s">
        <v>155</v>
      </c>
      <c r="D526" t="s">
        <v>5787</v>
      </c>
      <c r="E526">
        <v>22</v>
      </c>
      <c r="F526" t="s">
        <v>5163</v>
      </c>
      <c r="G526" t="s">
        <v>5164</v>
      </c>
    </row>
    <row r="527" spans="1:7" hidden="1">
      <c r="A527" s="5" t="s">
        <v>3706</v>
      </c>
      <c r="B527" t="s">
        <v>5161</v>
      </c>
      <c r="C527" t="s">
        <v>155</v>
      </c>
      <c r="D527" t="s">
        <v>5788</v>
      </c>
      <c r="E527">
        <v>36</v>
      </c>
      <c r="F527" t="s">
        <v>5172</v>
      </c>
      <c r="G527" t="s">
        <v>5169</v>
      </c>
    </row>
    <row r="528" spans="1:7" hidden="1">
      <c r="A528" s="5" t="s">
        <v>4086</v>
      </c>
      <c r="B528" t="s">
        <v>5161</v>
      </c>
      <c r="C528" t="s">
        <v>155</v>
      </c>
      <c r="D528" t="s">
        <v>5789</v>
      </c>
      <c r="E528">
        <v>20</v>
      </c>
      <c r="F528" t="s">
        <v>5163</v>
      </c>
      <c r="G528" t="s">
        <v>1905</v>
      </c>
    </row>
    <row r="529" spans="1:7" hidden="1">
      <c r="A529" s="5" t="s">
        <v>4075</v>
      </c>
      <c r="B529" t="s">
        <v>5161</v>
      </c>
      <c r="C529" t="s">
        <v>155</v>
      </c>
      <c r="D529" t="s">
        <v>5790</v>
      </c>
      <c r="E529">
        <v>23</v>
      </c>
      <c r="F529" t="s">
        <v>5163</v>
      </c>
      <c r="G529" t="s">
        <v>1905</v>
      </c>
    </row>
    <row r="530" spans="1:7" hidden="1">
      <c r="A530" s="5" t="s">
        <v>3937</v>
      </c>
      <c r="B530" t="s">
        <v>5161</v>
      </c>
      <c r="C530" t="s">
        <v>155</v>
      </c>
      <c r="D530" t="s">
        <v>5791</v>
      </c>
      <c r="E530">
        <v>27</v>
      </c>
      <c r="F530" t="s">
        <v>5163</v>
      </c>
      <c r="G530" t="s">
        <v>5164</v>
      </c>
    </row>
    <row r="531" spans="1:7" hidden="1">
      <c r="A531" s="5" t="s">
        <v>3915</v>
      </c>
      <c r="B531" t="s">
        <v>5161</v>
      </c>
      <c r="C531" t="s">
        <v>155</v>
      </c>
      <c r="D531" t="s">
        <v>5792</v>
      </c>
      <c r="E531">
        <v>21</v>
      </c>
      <c r="F531" t="s">
        <v>5163</v>
      </c>
      <c r="G531" t="s">
        <v>1905</v>
      </c>
    </row>
    <row r="532" spans="1:7" hidden="1">
      <c r="A532" s="5" t="s">
        <v>3950</v>
      </c>
      <c r="B532" t="s">
        <v>5161</v>
      </c>
      <c r="C532" t="s">
        <v>155</v>
      </c>
      <c r="D532" t="s">
        <v>5793</v>
      </c>
      <c r="E532">
        <v>19</v>
      </c>
      <c r="F532" t="s">
        <v>5163</v>
      </c>
      <c r="G532" t="s">
        <v>5164</v>
      </c>
    </row>
    <row r="533" spans="1:7" hidden="1">
      <c r="A533" s="5" t="s">
        <v>3950</v>
      </c>
      <c r="B533" t="s">
        <v>5161</v>
      </c>
      <c r="C533" t="s">
        <v>155</v>
      </c>
      <c r="D533" t="s">
        <v>5794</v>
      </c>
      <c r="E533">
        <v>21</v>
      </c>
      <c r="F533" t="s">
        <v>5163</v>
      </c>
      <c r="G533" t="s">
        <v>5164</v>
      </c>
    </row>
    <row r="534" spans="1:7" hidden="1">
      <c r="A534" s="5" t="s">
        <v>3950</v>
      </c>
      <c r="B534" t="s">
        <v>5161</v>
      </c>
      <c r="C534" t="s">
        <v>155</v>
      </c>
      <c r="D534" t="s">
        <v>5795</v>
      </c>
      <c r="E534">
        <v>25</v>
      </c>
      <c r="F534" t="s">
        <v>5163</v>
      </c>
      <c r="G534" t="s">
        <v>1905</v>
      </c>
    </row>
    <row r="535" spans="1:7" hidden="1">
      <c r="A535" s="5" t="s">
        <v>3321</v>
      </c>
      <c r="B535" t="s">
        <v>5161</v>
      </c>
      <c r="C535" t="s">
        <v>155</v>
      </c>
      <c r="D535" t="s">
        <v>5796</v>
      </c>
      <c r="E535">
        <v>26</v>
      </c>
      <c r="F535" t="s">
        <v>5172</v>
      </c>
      <c r="G535" t="s">
        <v>5164</v>
      </c>
    </row>
    <row r="536" spans="1:7" hidden="1">
      <c r="A536" s="5" t="s">
        <v>3321</v>
      </c>
      <c r="B536" t="s">
        <v>5161</v>
      </c>
      <c r="C536" t="s">
        <v>155</v>
      </c>
      <c r="D536" t="s">
        <v>5797</v>
      </c>
      <c r="E536">
        <v>21</v>
      </c>
      <c r="F536" t="s">
        <v>5172</v>
      </c>
      <c r="G536" t="s">
        <v>5164</v>
      </c>
    </row>
    <row r="537" spans="1:7" hidden="1">
      <c r="A537" s="5" t="s">
        <v>3321</v>
      </c>
      <c r="B537" t="s">
        <v>5161</v>
      </c>
      <c r="C537" t="s">
        <v>155</v>
      </c>
      <c r="D537" t="s">
        <v>5798</v>
      </c>
      <c r="E537">
        <v>54</v>
      </c>
      <c r="F537" t="s">
        <v>5163</v>
      </c>
      <c r="G537" t="s">
        <v>1905</v>
      </c>
    </row>
    <row r="538" spans="1:7" hidden="1">
      <c r="A538" s="5" t="s">
        <v>3762</v>
      </c>
      <c r="B538" t="s">
        <v>5161</v>
      </c>
      <c r="C538" t="s">
        <v>155</v>
      </c>
      <c r="D538" t="s">
        <v>5799</v>
      </c>
      <c r="E538">
        <v>31</v>
      </c>
      <c r="F538" t="s">
        <v>5163</v>
      </c>
      <c r="G538" t="s">
        <v>1905</v>
      </c>
    </row>
    <row r="539" spans="1:7" hidden="1">
      <c r="A539" s="5" t="s">
        <v>3264</v>
      </c>
      <c r="B539" t="s">
        <v>5161</v>
      </c>
      <c r="C539" t="s">
        <v>155</v>
      </c>
      <c r="D539" t="s">
        <v>5800</v>
      </c>
      <c r="E539">
        <v>59</v>
      </c>
      <c r="F539" t="s">
        <v>5163</v>
      </c>
      <c r="G539" t="s">
        <v>1905</v>
      </c>
    </row>
    <row r="540" spans="1:7" hidden="1">
      <c r="A540" s="5" t="s">
        <v>3737</v>
      </c>
      <c r="B540" t="s">
        <v>5161</v>
      </c>
      <c r="C540" t="s">
        <v>155</v>
      </c>
      <c r="D540" t="s">
        <v>5801</v>
      </c>
      <c r="E540">
        <v>44</v>
      </c>
      <c r="F540" t="s">
        <v>5163</v>
      </c>
      <c r="G540" t="s">
        <v>5164</v>
      </c>
    </row>
    <row r="541" spans="1:7" hidden="1">
      <c r="A541" s="5" t="s">
        <v>3705</v>
      </c>
      <c r="B541" t="s">
        <v>5161</v>
      </c>
      <c r="C541" t="s">
        <v>155</v>
      </c>
      <c r="D541" t="s">
        <v>641</v>
      </c>
      <c r="E541">
        <v>21</v>
      </c>
      <c r="F541" t="s">
        <v>5163</v>
      </c>
      <c r="G541" t="s">
        <v>5169</v>
      </c>
    </row>
    <row r="542" spans="1:7" hidden="1">
      <c r="A542" s="5" t="s">
        <v>5802</v>
      </c>
      <c r="B542" t="s">
        <v>5161</v>
      </c>
      <c r="C542" t="s">
        <v>155</v>
      </c>
      <c r="D542" t="s">
        <v>5803</v>
      </c>
      <c r="E542">
        <v>20</v>
      </c>
      <c r="F542" t="s">
        <v>5163</v>
      </c>
      <c r="G542" t="s">
        <v>5164</v>
      </c>
    </row>
    <row r="543" spans="1:7" hidden="1">
      <c r="A543" s="5" t="s">
        <v>3536</v>
      </c>
      <c r="B543" t="s">
        <v>5161</v>
      </c>
      <c r="C543" t="s">
        <v>155</v>
      </c>
      <c r="D543" t="s">
        <v>5804</v>
      </c>
      <c r="E543">
        <v>17</v>
      </c>
      <c r="F543" t="s">
        <v>5163</v>
      </c>
      <c r="G543" t="s">
        <v>1905</v>
      </c>
    </row>
    <row r="544" spans="1:7" hidden="1">
      <c r="A544" s="5" t="s">
        <v>3567</v>
      </c>
      <c r="B544" t="s">
        <v>5161</v>
      </c>
      <c r="C544" t="s">
        <v>155</v>
      </c>
      <c r="D544" t="s">
        <v>5805</v>
      </c>
      <c r="E544">
        <v>26</v>
      </c>
      <c r="F544" t="s">
        <v>5163</v>
      </c>
      <c r="G544" t="s">
        <v>5164</v>
      </c>
    </row>
    <row r="545" spans="1:7" hidden="1">
      <c r="A545" s="5" t="s">
        <v>3456</v>
      </c>
      <c r="B545" t="s">
        <v>5161</v>
      </c>
      <c r="C545" t="s">
        <v>155</v>
      </c>
      <c r="D545" t="s">
        <v>5806</v>
      </c>
      <c r="E545">
        <v>41</v>
      </c>
      <c r="F545" t="s">
        <v>5163</v>
      </c>
      <c r="G545" t="s">
        <v>1905</v>
      </c>
    </row>
    <row r="546" spans="1:7" hidden="1">
      <c r="A546" s="5" t="s">
        <v>3314</v>
      </c>
      <c r="B546" t="s">
        <v>5161</v>
      </c>
      <c r="C546" t="s">
        <v>155</v>
      </c>
      <c r="D546" t="s">
        <v>5807</v>
      </c>
      <c r="E546">
        <v>20</v>
      </c>
      <c r="F546" t="s">
        <v>5163</v>
      </c>
      <c r="G546" t="s">
        <v>5164</v>
      </c>
    </row>
    <row r="547" spans="1:7" hidden="1">
      <c r="A547" s="5" t="s">
        <v>3707</v>
      </c>
      <c r="B547" t="s">
        <v>5161</v>
      </c>
      <c r="C547" t="s">
        <v>155</v>
      </c>
      <c r="D547" t="s">
        <v>5808</v>
      </c>
      <c r="E547">
        <v>31</v>
      </c>
      <c r="F547" t="s">
        <v>5163</v>
      </c>
      <c r="G547" t="s">
        <v>1905</v>
      </c>
    </row>
    <row r="548" spans="1:7" hidden="1">
      <c r="A548" s="5" t="s">
        <v>3323</v>
      </c>
      <c r="B548" t="s">
        <v>5161</v>
      </c>
      <c r="C548" t="s">
        <v>155</v>
      </c>
      <c r="D548" t="s">
        <v>5809</v>
      </c>
      <c r="E548">
        <v>21</v>
      </c>
      <c r="F548" t="s">
        <v>5163</v>
      </c>
      <c r="G548" t="s">
        <v>5164</v>
      </c>
    </row>
    <row r="549" spans="1:7" hidden="1">
      <c r="A549" s="5" t="s">
        <v>2724</v>
      </c>
      <c r="B549" t="s">
        <v>5161</v>
      </c>
      <c r="C549" t="s">
        <v>155</v>
      </c>
      <c r="D549" t="s">
        <v>5810</v>
      </c>
      <c r="E549">
        <v>25</v>
      </c>
      <c r="F549" t="s">
        <v>5163</v>
      </c>
      <c r="G549" t="s">
        <v>1905</v>
      </c>
    </row>
    <row r="550" spans="1:7" hidden="1">
      <c r="A550" s="5" t="s">
        <v>2724</v>
      </c>
      <c r="B550" t="s">
        <v>5161</v>
      </c>
      <c r="C550" t="s">
        <v>155</v>
      </c>
      <c r="D550" t="s">
        <v>5811</v>
      </c>
      <c r="E550">
        <v>19</v>
      </c>
      <c r="F550" t="s">
        <v>5163</v>
      </c>
      <c r="G550" t="s">
        <v>5164</v>
      </c>
    </row>
    <row r="551" spans="1:7" hidden="1">
      <c r="A551" s="5" t="s">
        <v>5812</v>
      </c>
      <c r="B551" t="s">
        <v>5161</v>
      </c>
      <c r="C551" t="s">
        <v>155</v>
      </c>
      <c r="D551" t="s">
        <v>5813</v>
      </c>
      <c r="E551">
        <v>38</v>
      </c>
      <c r="F551" t="s">
        <v>5163</v>
      </c>
      <c r="G551" t="s">
        <v>5182</v>
      </c>
    </row>
    <row r="552" spans="1:7" hidden="1">
      <c r="A552" s="5" t="s">
        <v>5814</v>
      </c>
      <c r="B552" t="s">
        <v>5161</v>
      </c>
      <c r="C552" t="s">
        <v>155</v>
      </c>
      <c r="D552" t="s">
        <v>5815</v>
      </c>
      <c r="E552">
        <v>30</v>
      </c>
      <c r="F552" t="s">
        <v>5163</v>
      </c>
      <c r="G552" t="s">
        <v>1905</v>
      </c>
    </row>
    <row r="553" spans="1:7" hidden="1">
      <c r="A553" s="5" t="s">
        <v>3313</v>
      </c>
      <c r="B553" t="s">
        <v>5161</v>
      </c>
      <c r="C553" t="s">
        <v>155</v>
      </c>
      <c r="D553" t="s">
        <v>5816</v>
      </c>
      <c r="E553">
        <v>35</v>
      </c>
      <c r="F553" t="s">
        <v>5163</v>
      </c>
      <c r="G553" t="s">
        <v>5164</v>
      </c>
    </row>
    <row r="554" spans="1:7" hidden="1">
      <c r="A554" s="5" t="s">
        <v>3112</v>
      </c>
      <c r="B554" t="s">
        <v>5161</v>
      </c>
      <c r="C554" t="s">
        <v>155</v>
      </c>
      <c r="D554" t="s">
        <v>5817</v>
      </c>
      <c r="E554">
        <v>18</v>
      </c>
      <c r="F554" t="s">
        <v>5163</v>
      </c>
      <c r="G554" t="s">
        <v>5164</v>
      </c>
    </row>
    <row r="555" spans="1:7" hidden="1">
      <c r="A555" s="5" t="s">
        <v>5818</v>
      </c>
      <c r="B555" t="s">
        <v>5161</v>
      </c>
      <c r="C555" t="s">
        <v>155</v>
      </c>
      <c r="D555" t="s">
        <v>5819</v>
      </c>
      <c r="E555">
        <v>28</v>
      </c>
      <c r="F555" t="s">
        <v>5163</v>
      </c>
      <c r="G555" t="s">
        <v>5164</v>
      </c>
    </row>
    <row r="556" spans="1:7" hidden="1">
      <c r="A556" s="5" t="s">
        <v>5818</v>
      </c>
      <c r="B556" t="s">
        <v>5161</v>
      </c>
      <c r="C556" t="s">
        <v>155</v>
      </c>
      <c r="D556" t="s">
        <v>5820</v>
      </c>
      <c r="E556">
        <v>25</v>
      </c>
      <c r="F556" t="s">
        <v>5163</v>
      </c>
      <c r="G556" t="s">
        <v>5164</v>
      </c>
    </row>
    <row r="557" spans="1:7" hidden="1">
      <c r="A557" s="5" t="s">
        <v>3353</v>
      </c>
      <c r="B557" t="s">
        <v>5161</v>
      </c>
      <c r="C557" t="s">
        <v>155</v>
      </c>
      <c r="D557" t="s">
        <v>5821</v>
      </c>
      <c r="E557">
        <v>25</v>
      </c>
      <c r="F557" t="s">
        <v>5163</v>
      </c>
      <c r="G557" t="s">
        <v>5164</v>
      </c>
    </row>
    <row r="558" spans="1:7" hidden="1">
      <c r="A558" s="5" t="s">
        <v>3353</v>
      </c>
      <c r="B558" t="s">
        <v>5161</v>
      </c>
      <c r="C558" t="s">
        <v>155</v>
      </c>
      <c r="D558" t="s">
        <v>5822</v>
      </c>
      <c r="E558">
        <v>25</v>
      </c>
      <c r="F558" t="s">
        <v>5163</v>
      </c>
      <c r="G558" t="s">
        <v>1905</v>
      </c>
    </row>
    <row r="559" spans="1:7" hidden="1">
      <c r="A559" s="5" t="s">
        <v>3379</v>
      </c>
      <c r="B559" t="s">
        <v>5161</v>
      </c>
      <c r="C559" t="s">
        <v>155</v>
      </c>
      <c r="D559" t="s">
        <v>5823</v>
      </c>
      <c r="E559">
        <v>37</v>
      </c>
      <c r="F559" t="s">
        <v>5163</v>
      </c>
      <c r="G559" t="s">
        <v>1905</v>
      </c>
    </row>
    <row r="560" spans="1:7" hidden="1">
      <c r="A560" s="5" t="s">
        <v>143</v>
      </c>
      <c r="B560" t="s">
        <v>5161</v>
      </c>
      <c r="C560" t="s">
        <v>155</v>
      </c>
      <c r="D560" t="s">
        <v>543</v>
      </c>
      <c r="E560">
        <v>20</v>
      </c>
      <c r="F560" t="s">
        <v>5163</v>
      </c>
      <c r="G560" t="s">
        <v>5164</v>
      </c>
    </row>
    <row r="561" spans="1:7" hidden="1">
      <c r="A561" s="5" t="s">
        <v>3529</v>
      </c>
      <c r="B561" t="s">
        <v>5161</v>
      </c>
      <c r="C561" t="s">
        <v>155</v>
      </c>
      <c r="D561" t="s">
        <v>5824</v>
      </c>
      <c r="E561">
        <v>19</v>
      </c>
      <c r="F561" t="s">
        <v>5163</v>
      </c>
      <c r="G561" t="s">
        <v>5164</v>
      </c>
    </row>
    <row r="562" spans="1:7" hidden="1">
      <c r="A562" s="5" t="s">
        <v>2992</v>
      </c>
      <c r="B562" t="s">
        <v>5161</v>
      </c>
      <c r="C562" t="s">
        <v>155</v>
      </c>
      <c r="D562" t="s">
        <v>5825</v>
      </c>
      <c r="E562">
        <v>20</v>
      </c>
      <c r="F562" t="s">
        <v>5163</v>
      </c>
      <c r="G562" t="s">
        <v>1905</v>
      </c>
    </row>
    <row r="563" spans="1:7" hidden="1">
      <c r="A563" s="5" t="s">
        <v>2918</v>
      </c>
      <c r="B563" t="s">
        <v>5161</v>
      </c>
      <c r="C563" t="s">
        <v>155</v>
      </c>
      <c r="D563" t="s">
        <v>5826</v>
      </c>
      <c r="E563">
        <v>19</v>
      </c>
      <c r="F563" t="s">
        <v>5172</v>
      </c>
      <c r="G563" t="s">
        <v>5164</v>
      </c>
    </row>
    <row r="564" spans="1:7" hidden="1">
      <c r="A564" s="5" t="s">
        <v>2564</v>
      </c>
      <c r="B564" t="s">
        <v>5161</v>
      </c>
      <c r="C564" t="s">
        <v>155</v>
      </c>
      <c r="D564" t="s">
        <v>5827</v>
      </c>
      <c r="E564">
        <v>21</v>
      </c>
      <c r="F564" t="s">
        <v>5163</v>
      </c>
      <c r="G564" t="s">
        <v>1905</v>
      </c>
    </row>
    <row r="565" spans="1:7" hidden="1">
      <c r="A565" s="5" t="s">
        <v>4199</v>
      </c>
      <c r="B565" t="s">
        <v>5161</v>
      </c>
      <c r="C565" t="s">
        <v>155</v>
      </c>
      <c r="D565" t="s">
        <v>5828</v>
      </c>
      <c r="E565">
        <v>22</v>
      </c>
      <c r="F565" t="s">
        <v>5163</v>
      </c>
      <c r="G565" t="s">
        <v>5164</v>
      </c>
    </row>
    <row r="566" spans="1:7" hidden="1">
      <c r="A566" s="5" t="s">
        <v>4199</v>
      </c>
      <c r="B566" t="s">
        <v>5161</v>
      </c>
      <c r="C566" t="s">
        <v>155</v>
      </c>
      <c r="D566" t="s">
        <v>5829</v>
      </c>
      <c r="E566">
        <v>24</v>
      </c>
      <c r="F566" t="s">
        <v>5172</v>
      </c>
      <c r="G566" t="s">
        <v>1905</v>
      </c>
    </row>
    <row r="567" spans="1:7" hidden="1">
      <c r="A567" s="5" t="s">
        <v>3080</v>
      </c>
      <c r="B567" t="s">
        <v>5161</v>
      </c>
      <c r="C567" t="s">
        <v>155</v>
      </c>
      <c r="D567" t="s">
        <v>5830</v>
      </c>
      <c r="E567">
        <v>19</v>
      </c>
      <c r="F567" t="s">
        <v>5163</v>
      </c>
      <c r="G567" t="s">
        <v>5164</v>
      </c>
    </row>
    <row r="568" spans="1:7" hidden="1">
      <c r="A568" s="5" t="s">
        <v>2869</v>
      </c>
      <c r="B568" t="s">
        <v>5161</v>
      </c>
      <c r="C568" t="s">
        <v>155</v>
      </c>
      <c r="D568" t="s">
        <v>5831</v>
      </c>
      <c r="E568">
        <v>19</v>
      </c>
      <c r="F568" t="s">
        <v>5163</v>
      </c>
      <c r="G568" t="s">
        <v>5164</v>
      </c>
    </row>
    <row r="569" spans="1:7" hidden="1">
      <c r="A569" s="5" t="s">
        <v>3265</v>
      </c>
      <c r="B569" t="s">
        <v>5161</v>
      </c>
      <c r="C569" t="s">
        <v>155</v>
      </c>
      <c r="D569" t="s">
        <v>5832</v>
      </c>
      <c r="E569">
        <v>37</v>
      </c>
      <c r="F569" t="s">
        <v>5163</v>
      </c>
      <c r="G569" t="s">
        <v>1905</v>
      </c>
    </row>
    <row r="570" spans="1:7" hidden="1">
      <c r="A570" s="5" t="s">
        <v>3031</v>
      </c>
      <c r="B570" t="s">
        <v>5161</v>
      </c>
      <c r="C570" t="s">
        <v>155</v>
      </c>
      <c r="D570" t="s">
        <v>5833</v>
      </c>
      <c r="E570">
        <v>41</v>
      </c>
      <c r="F570" t="s">
        <v>5163</v>
      </c>
      <c r="G570" t="s">
        <v>1905</v>
      </c>
    </row>
    <row r="571" spans="1:7" hidden="1">
      <c r="A571" s="5" t="s">
        <v>3031</v>
      </c>
      <c r="B571" t="s">
        <v>5161</v>
      </c>
      <c r="C571" t="s">
        <v>155</v>
      </c>
      <c r="D571" t="s">
        <v>5834</v>
      </c>
      <c r="E571">
        <v>4</v>
      </c>
      <c r="F571" t="s">
        <v>5163</v>
      </c>
      <c r="G571" t="s">
        <v>1905</v>
      </c>
    </row>
    <row r="572" spans="1:7" hidden="1">
      <c r="A572" s="5" t="s">
        <v>5835</v>
      </c>
      <c r="B572" t="s">
        <v>5161</v>
      </c>
      <c r="C572" t="s">
        <v>155</v>
      </c>
      <c r="D572" t="s">
        <v>5836</v>
      </c>
      <c r="E572">
        <v>19</v>
      </c>
      <c r="F572" t="s">
        <v>5163</v>
      </c>
      <c r="G572" t="s">
        <v>5164</v>
      </c>
    </row>
    <row r="573" spans="1:7" hidden="1">
      <c r="A573" s="5" t="s">
        <v>3208</v>
      </c>
      <c r="B573" t="s">
        <v>5161</v>
      </c>
      <c r="C573" t="s">
        <v>155</v>
      </c>
      <c r="D573" t="s">
        <v>5837</v>
      </c>
      <c r="E573">
        <v>18</v>
      </c>
      <c r="F573" t="s">
        <v>5163</v>
      </c>
      <c r="G573" t="s">
        <v>1905</v>
      </c>
    </row>
    <row r="574" spans="1:7" hidden="1">
      <c r="A574" s="5" t="s">
        <v>3322</v>
      </c>
      <c r="B574" t="s">
        <v>5161</v>
      </c>
      <c r="C574" t="s">
        <v>155</v>
      </c>
      <c r="D574" t="s">
        <v>5838</v>
      </c>
      <c r="E574">
        <v>32</v>
      </c>
      <c r="F574" t="s">
        <v>5163</v>
      </c>
      <c r="G574" t="s">
        <v>1905</v>
      </c>
    </row>
    <row r="575" spans="1:7" hidden="1">
      <c r="A575" s="5" t="s">
        <v>3234</v>
      </c>
      <c r="B575" t="s">
        <v>5161</v>
      </c>
      <c r="C575" t="s">
        <v>155</v>
      </c>
      <c r="D575" t="s">
        <v>5839</v>
      </c>
      <c r="E575">
        <v>29</v>
      </c>
      <c r="F575" t="s">
        <v>5163</v>
      </c>
      <c r="G575" t="s">
        <v>1905</v>
      </c>
    </row>
    <row r="576" spans="1:7" hidden="1">
      <c r="A576" s="5" t="s">
        <v>3030</v>
      </c>
      <c r="B576" t="s">
        <v>5161</v>
      </c>
      <c r="C576" t="s">
        <v>155</v>
      </c>
      <c r="D576" t="s">
        <v>5840</v>
      </c>
      <c r="E576">
        <v>23</v>
      </c>
      <c r="F576" t="s">
        <v>5163</v>
      </c>
      <c r="G576" t="s">
        <v>5164</v>
      </c>
    </row>
    <row r="577" spans="1:7" hidden="1">
      <c r="A577" s="5" t="s">
        <v>3015</v>
      </c>
      <c r="B577" t="s">
        <v>5161</v>
      </c>
      <c r="C577" t="s">
        <v>155</v>
      </c>
      <c r="D577" t="s">
        <v>5841</v>
      </c>
      <c r="E577">
        <v>19</v>
      </c>
      <c r="F577" t="s">
        <v>5163</v>
      </c>
      <c r="G577" t="s">
        <v>1905</v>
      </c>
    </row>
    <row r="578" spans="1:7" hidden="1">
      <c r="A578" s="5" t="s">
        <v>3017</v>
      </c>
      <c r="B578" t="s">
        <v>5161</v>
      </c>
      <c r="C578" t="s">
        <v>155</v>
      </c>
      <c r="D578" t="s">
        <v>5842</v>
      </c>
      <c r="E578">
        <v>42</v>
      </c>
      <c r="F578" t="s">
        <v>5163</v>
      </c>
      <c r="G578" t="s">
        <v>1905</v>
      </c>
    </row>
    <row r="579" spans="1:7" hidden="1">
      <c r="A579" s="5" t="s">
        <v>5843</v>
      </c>
      <c r="B579" t="s">
        <v>5161</v>
      </c>
      <c r="C579" t="s">
        <v>155</v>
      </c>
      <c r="D579" t="s">
        <v>5844</v>
      </c>
      <c r="E579">
        <v>20</v>
      </c>
      <c r="F579" t="s">
        <v>5163</v>
      </c>
      <c r="G579" t="s">
        <v>5164</v>
      </c>
    </row>
    <row r="580" spans="1:7" hidden="1">
      <c r="A580" s="5" t="s">
        <v>3842</v>
      </c>
      <c r="B580" t="s">
        <v>5161</v>
      </c>
      <c r="C580" t="s">
        <v>155</v>
      </c>
      <c r="D580" t="s">
        <v>5845</v>
      </c>
      <c r="E580">
        <v>20</v>
      </c>
      <c r="F580" t="s">
        <v>5163</v>
      </c>
      <c r="G580" t="s">
        <v>1905</v>
      </c>
    </row>
    <row r="581" spans="1:7" hidden="1">
      <c r="A581" s="5" t="s">
        <v>5846</v>
      </c>
      <c r="B581" t="s">
        <v>5161</v>
      </c>
      <c r="C581" t="s">
        <v>155</v>
      </c>
      <c r="D581" t="s">
        <v>5847</v>
      </c>
      <c r="E581" t="s">
        <v>5182</v>
      </c>
      <c r="F581" t="s">
        <v>5172</v>
      </c>
      <c r="G581" t="s">
        <v>1905</v>
      </c>
    </row>
    <row r="582" spans="1:7" hidden="1">
      <c r="A582" s="5" t="s">
        <v>5846</v>
      </c>
      <c r="B582" t="s">
        <v>5161</v>
      </c>
      <c r="C582" t="s">
        <v>155</v>
      </c>
      <c r="D582" t="s">
        <v>5848</v>
      </c>
      <c r="E582" t="s">
        <v>5182</v>
      </c>
      <c r="F582" t="s">
        <v>5163</v>
      </c>
      <c r="G582" t="s">
        <v>1905</v>
      </c>
    </row>
    <row r="583" spans="1:7" hidden="1">
      <c r="A583" s="5" t="s">
        <v>5846</v>
      </c>
      <c r="B583" t="s">
        <v>5161</v>
      </c>
      <c r="C583" t="s">
        <v>155</v>
      </c>
      <c r="D583" t="s">
        <v>5849</v>
      </c>
      <c r="E583" t="s">
        <v>5182</v>
      </c>
      <c r="F583" t="s">
        <v>5163</v>
      </c>
      <c r="G583" t="s">
        <v>1905</v>
      </c>
    </row>
    <row r="584" spans="1:7" hidden="1">
      <c r="A584" s="5" t="s">
        <v>3010</v>
      </c>
      <c r="B584" t="s">
        <v>5161</v>
      </c>
      <c r="C584" t="s">
        <v>155</v>
      </c>
      <c r="D584" t="s">
        <v>5850</v>
      </c>
      <c r="E584">
        <v>37</v>
      </c>
      <c r="F584" t="s">
        <v>5163</v>
      </c>
      <c r="G584" t="s">
        <v>5164</v>
      </c>
    </row>
    <row r="585" spans="1:7" hidden="1">
      <c r="A585" s="5" t="s">
        <v>3060</v>
      </c>
      <c r="B585" t="s">
        <v>5161</v>
      </c>
      <c r="C585" t="s">
        <v>155</v>
      </c>
      <c r="D585" t="s">
        <v>5851</v>
      </c>
      <c r="E585">
        <v>21</v>
      </c>
      <c r="F585" t="s">
        <v>5163</v>
      </c>
      <c r="G585" t="s">
        <v>5164</v>
      </c>
    </row>
    <row r="586" spans="1:7" hidden="1">
      <c r="A586" s="5" t="s">
        <v>3170</v>
      </c>
      <c r="B586" t="s">
        <v>5161</v>
      </c>
      <c r="C586" t="s">
        <v>155</v>
      </c>
      <c r="D586" t="s">
        <v>5852</v>
      </c>
      <c r="E586">
        <v>25</v>
      </c>
      <c r="F586" t="s">
        <v>5163</v>
      </c>
      <c r="G586" t="s">
        <v>1905</v>
      </c>
    </row>
    <row r="587" spans="1:7" hidden="1">
      <c r="A587" s="5" t="s">
        <v>2816</v>
      </c>
      <c r="B587" t="s">
        <v>5161</v>
      </c>
      <c r="C587" t="s">
        <v>155</v>
      </c>
      <c r="D587" t="s">
        <v>5853</v>
      </c>
      <c r="E587">
        <v>24</v>
      </c>
      <c r="F587" t="s">
        <v>5163</v>
      </c>
      <c r="G587" t="s">
        <v>5164</v>
      </c>
    </row>
    <row r="588" spans="1:7" hidden="1">
      <c r="A588" s="5" t="s">
        <v>2775</v>
      </c>
      <c r="B588" t="s">
        <v>5161</v>
      </c>
      <c r="C588" t="s">
        <v>155</v>
      </c>
      <c r="D588" t="s">
        <v>5854</v>
      </c>
      <c r="E588">
        <v>48</v>
      </c>
      <c r="F588" t="s">
        <v>5172</v>
      </c>
      <c r="G588" t="s">
        <v>5164</v>
      </c>
    </row>
    <row r="589" spans="1:7" hidden="1">
      <c r="A589" s="5" t="s">
        <v>2668</v>
      </c>
      <c r="B589" t="s">
        <v>5161</v>
      </c>
      <c r="C589" t="s">
        <v>155</v>
      </c>
      <c r="D589" t="s">
        <v>5855</v>
      </c>
      <c r="E589">
        <v>18</v>
      </c>
      <c r="F589" t="s">
        <v>5163</v>
      </c>
      <c r="G589" t="s">
        <v>5164</v>
      </c>
    </row>
    <row r="590" spans="1:7" hidden="1">
      <c r="A590" s="5" t="s">
        <v>3086</v>
      </c>
      <c r="B590" t="s">
        <v>5161</v>
      </c>
      <c r="C590" t="s">
        <v>155</v>
      </c>
      <c r="D590" t="s">
        <v>5856</v>
      </c>
      <c r="E590">
        <v>28</v>
      </c>
      <c r="F590" t="s">
        <v>5163</v>
      </c>
      <c r="G590" t="s">
        <v>1905</v>
      </c>
    </row>
    <row r="591" spans="1:7" hidden="1">
      <c r="A591" s="5" t="s">
        <v>147</v>
      </c>
      <c r="B591" t="s">
        <v>5161</v>
      </c>
      <c r="C591" t="s">
        <v>155</v>
      </c>
      <c r="D591" t="s">
        <v>5857</v>
      </c>
      <c r="E591">
        <v>22</v>
      </c>
      <c r="F591" t="s">
        <v>5163</v>
      </c>
      <c r="G591" t="s">
        <v>1905</v>
      </c>
    </row>
    <row r="592" spans="1:7" hidden="1">
      <c r="A592" s="5" t="s">
        <v>147</v>
      </c>
      <c r="B592" t="s">
        <v>5161</v>
      </c>
      <c r="C592" t="s">
        <v>155</v>
      </c>
      <c r="D592" t="s">
        <v>5858</v>
      </c>
      <c r="E592">
        <v>21</v>
      </c>
      <c r="F592" t="s">
        <v>5163</v>
      </c>
      <c r="G592" t="s">
        <v>1905</v>
      </c>
    </row>
    <row r="593" spans="1:7" hidden="1">
      <c r="A593" s="5" t="s">
        <v>146</v>
      </c>
      <c r="B593" t="s">
        <v>5161</v>
      </c>
      <c r="C593" t="s">
        <v>155</v>
      </c>
      <c r="D593" t="s">
        <v>550</v>
      </c>
      <c r="E593">
        <v>29</v>
      </c>
      <c r="F593" t="s">
        <v>5172</v>
      </c>
      <c r="G593" t="s">
        <v>1905</v>
      </c>
    </row>
    <row r="594" spans="1:7" hidden="1">
      <c r="A594" s="5" t="s">
        <v>146</v>
      </c>
      <c r="B594" t="s">
        <v>5161</v>
      </c>
      <c r="C594" t="s">
        <v>155</v>
      </c>
      <c r="D594" t="s">
        <v>5859</v>
      </c>
      <c r="E594">
        <v>19</v>
      </c>
      <c r="F594" t="s">
        <v>5172</v>
      </c>
      <c r="G594" t="s">
        <v>5164</v>
      </c>
    </row>
    <row r="595" spans="1:7" hidden="1">
      <c r="A595" s="5" t="s">
        <v>2728</v>
      </c>
      <c r="B595" t="s">
        <v>5161</v>
      </c>
      <c r="C595" t="s">
        <v>155</v>
      </c>
      <c r="D595" t="s">
        <v>5860</v>
      </c>
      <c r="E595">
        <v>21</v>
      </c>
      <c r="F595" t="s">
        <v>5163</v>
      </c>
      <c r="G595" t="s">
        <v>1905</v>
      </c>
    </row>
    <row r="596" spans="1:7" hidden="1">
      <c r="A596" s="5" t="s">
        <v>2480</v>
      </c>
      <c r="B596" t="s">
        <v>5161</v>
      </c>
      <c r="C596" t="s">
        <v>155</v>
      </c>
      <c r="D596" t="s">
        <v>5861</v>
      </c>
      <c r="E596">
        <v>19</v>
      </c>
      <c r="F596" t="s">
        <v>5163</v>
      </c>
      <c r="G596" t="s">
        <v>5164</v>
      </c>
    </row>
    <row r="597" spans="1:7" hidden="1">
      <c r="A597" s="5" t="s">
        <v>3153</v>
      </c>
      <c r="B597" t="s">
        <v>5161</v>
      </c>
      <c r="C597" t="s">
        <v>155</v>
      </c>
      <c r="D597" t="s">
        <v>5862</v>
      </c>
      <c r="E597">
        <v>18</v>
      </c>
      <c r="F597" t="s">
        <v>5163</v>
      </c>
      <c r="G597" t="s">
        <v>5164</v>
      </c>
    </row>
    <row r="598" spans="1:7" hidden="1">
      <c r="A598" s="5" t="s">
        <v>2565</v>
      </c>
      <c r="B598" t="s">
        <v>5161</v>
      </c>
      <c r="C598" t="s">
        <v>155</v>
      </c>
      <c r="D598" t="s">
        <v>5863</v>
      </c>
      <c r="E598">
        <v>31</v>
      </c>
      <c r="F598" t="s">
        <v>5163</v>
      </c>
      <c r="G598" t="s">
        <v>5164</v>
      </c>
    </row>
    <row r="599" spans="1:7" hidden="1">
      <c r="A599" s="5" t="s">
        <v>2917</v>
      </c>
      <c r="B599" t="s">
        <v>5161</v>
      </c>
      <c r="C599" t="s">
        <v>155</v>
      </c>
      <c r="D599" t="s">
        <v>5864</v>
      </c>
      <c r="E599">
        <v>27</v>
      </c>
      <c r="F599" t="s">
        <v>5163</v>
      </c>
      <c r="G599" t="s">
        <v>5169</v>
      </c>
    </row>
    <row r="600" spans="1:7" hidden="1">
      <c r="A600" s="5" t="s">
        <v>151</v>
      </c>
      <c r="B600" t="s">
        <v>5161</v>
      </c>
      <c r="C600" t="s">
        <v>155</v>
      </c>
      <c r="D600" t="s">
        <v>5865</v>
      </c>
      <c r="E600">
        <v>29</v>
      </c>
      <c r="F600" t="s">
        <v>5163</v>
      </c>
      <c r="G600" t="s">
        <v>1905</v>
      </c>
    </row>
    <row r="601" spans="1:7" hidden="1">
      <c r="A601" s="5" t="s">
        <v>4849</v>
      </c>
      <c r="B601" t="s">
        <v>5161</v>
      </c>
      <c r="C601" t="s">
        <v>155</v>
      </c>
      <c r="D601" t="s">
        <v>5866</v>
      </c>
      <c r="E601">
        <v>19</v>
      </c>
      <c r="F601" t="s">
        <v>5163</v>
      </c>
      <c r="G601" t="s">
        <v>5164</v>
      </c>
    </row>
    <row r="602" spans="1:7" hidden="1">
      <c r="A602" s="5" t="s">
        <v>142</v>
      </c>
      <c r="B602" t="s">
        <v>5161</v>
      </c>
      <c r="C602" t="s">
        <v>155</v>
      </c>
      <c r="D602" t="s">
        <v>541</v>
      </c>
      <c r="E602">
        <v>34</v>
      </c>
      <c r="F602" t="s">
        <v>5163</v>
      </c>
      <c r="G602" t="s">
        <v>1905</v>
      </c>
    </row>
    <row r="603" spans="1:7" hidden="1">
      <c r="A603" s="5" t="s">
        <v>2517</v>
      </c>
      <c r="B603" t="s">
        <v>5161</v>
      </c>
      <c r="C603" t="s">
        <v>155</v>
      </c>
      <c r="D603" t="s">
        <v>5867</v>
      </c>
      <c r="E603">
        <v>19</v>
      </c>
      <c r="F603" t="s">
        <v>5163</v>
      </c>
      <c r="G603" t="s">
        <v>5164</v>
      </c>
    </row>
    <row r="604" spans="1:7" hidden="1">
      <c r="A604" s="5" t="s">
        <v>3760</v>
      </c>
      <c r="B604" t="s">
        <v>5161</v>
      </c>
      <c r="C604" t="s">
        <v>155</v>
      </c>
      <c r="D604" t="s">
        <v>5868</v>
      </c>
      <c r="E604">
        <v>27</v>
      </c>
      <c r="F604" t="s">
        <v>5163</v>
      </c>
      <c r="G604" t="s">
        <v>5182</v>
      </c>
    </row>
    <row r="605" spans="1:7" hidden="1">
      <c r="A605" s="5" t="s">
        <v>2409</v>
      </c>
      <c r="B605" t="s">
        <v>5161</v>
      </c>
      <c r="C605" t="s">
        <v>155</v>
      </c>
      <c r="D605" t="s">
        <v>5869</v>
      </c>
      <c r="E605">
        <v>22</v>
      </c>
      <c r="F605" t="s">
        <v>5163</v>
      </c>
      <c r="G605" t="s">
        <v>5164</v>
      </c>
    </row>
    <row r="606" spans="1:7" hidden="1">
      <c r="A606" s="5" t="s">
        <v>2443</v>
      </c>
      <c r="B606" t="s">
        <v>5161</v>
      </c>
      <c r="C606" t="s">
        <v>155</v>
      </c>
      <c r="D606" t="s">
        <v>5870</v>
      </c>
      <c r="E606">
        <v>31</v>
      </c>
      <c r="F606" t="s">
        <v>5163</v>
      </c>
      <c r="G606" t="s">
        <v>1905</v>
      </c>
    </row>
    <row r="607" spans="1:7" hidden="1">
      <c r="A607" s="5" t="s">
        <v>2520</v>
      </c>
      <c r="B607" t="s">
        <v>5161</v>
      </c>
      <c r="C607" t="s">
        <v>155</v>
      </c>
      <c r="D607" t="s">
        <v>5871</v>
      </c>
      <c r="E607">
        <v>20</v>
      </c>
      <c r="F607" t="s">
        <v>5163</v>
      </c>
      <c r="G607" t="s">
        <v>1905</v>
      </c>
    </row>
    <row r="608" spans="1:7" hidden="1">
      <c r="A608" s="5" t="s">
        <v>5872</v>
      </c>
      <c r="B608" t="s">
        <v>5161</v>
      </c>
      <c r="C608" t="s">
        <v>155</v>
      </c>
      <c r="D608" t="s">
        <v>5873</v>
      </c>
      <c r="E608">
        <v>23</v>
      </c>
      <c r="F608" t="s">
        <v>5172</v>
      </c>
      <c r="G608" t="s">
        <v>5164</v>
      </c>
    </row>
    <row r="609" spans="1:7" hidden="1">
      <c r="A609" s="5" t="s">
        <v>5874</v>
      </c>
      <c r="B609" t="s">
        <v>5161</v>
      </c>
      <c r="C609" t="s">
        <v>155</v>
      </c>
      <c r="D609" t="s">
        <v>5875</v>
      </c>
      <c r="E609">
        <v>22</v>
      </c>
      <c r="F609" t="s">
        <v>5163</v>
      </c>
      <c r="G609" t="s">
        <v>1905</v>
      </c>
    </row>
    <row r="610" spans="1:7" hidden="1">
      <c r="A610" s="5" t="s">
        <v>2368</v>
      </c>
      <c r="B610" t="s">
        <v>5161</v>
      </c>
      <c r="C610" t="s">
        <v>155</v>
      </c>
      <c r="D610" t="s">
        <v>5876</v>
      </c>
      <c r="E610">
        <v>39</v>
      </c>
      <c r="F610" t="s">
        <v>5163</v>
      </c>
      <c r="G610" t="s">
        <v>1905</v>
      </c>
    </row>
    <row r="611" spans="1:7" hidden="1">
      <c r="A611" s="5" t="s">
        <v>2422</v>
      </c>
      <c r="B611" t="s">
        <v>5161</v>
      </c>
      <c r="C611" t="s">
        <v>155</v>
      </c>
      <c r="D611" t="s">
        <v>5877</v>
      </c>
      <c r="E611">
        <v>19</v>
      </c>
      <c r="F611" t="s">
        <v>5163</v>
      </c>
      <c r="G611" t="s">
        <v>5164</v>
      </c>
    </row>
    <row r="612" spans="1:7" hidden="1">
      <c r="A612" s="5" t="s">
        <v>2654</v>
      </c>
      <c r="B612" t="s">
        <v>5161</v>
      </c>
      <c r="C612" t="s">
        <v>155</v>
      </c>
      <c r="D612" t="s">
        <v>5878</v>
      </c>
      <c r="E612">
        <v>29</v>
      </c>
      <c r="F612" t="s">
        <v>5163</v>
      </c>
      <c r="G612" t="s">
        <v>5164</v>
      </c>
    </row>
    <row r="613" spans="1:7" hidden="1">
      <c r="A613" s="5" t="s">
        <v>5033</v>
      </c>
      <c r="B613" t="s">
        <v>5161</v>
      </c>
      <c r="C613" t="s">
        <v>155</v>
      </c>
      <c r="D613" t="s">
        <v>5879</v>
      </c>
      <c r="E613">
        <v>23</v>
      </c>
      <c r="F613" t="s">
        <v>5163</v>
      </c>
      <c r="G613" t="s">
        <v>5164</v>
      </c>
    </row>
    <row r="614" spans="1:7" hidden="1">
      <c r="A614" s="5" t="s">
        <v>149</v>
      </c>
      <c r="B614" t="s">
        <v>5161</v>
      </c>
      <c r="C614" t="s">
        <v>155</v>
      </c>
      <c r="D614" t="s">
        <v>557</v>
      </c>
      <c r="E614">
        <v>20</v>
      </c>
      <c r="F614" t="s">
        <v>5163</v>
      </c>
      <c r="G614" t="s">
        <v>5169</v>
      </c>
    </row>
    <row r="615" spans="1:7" hidden="1">
      <c r="A615" s="5" t="s">
        <v>4857</v>
      </c>
      <c r="B615" t="s">
        <v>5161</v>
      </c>
      <c r="C615" t="s">
        <v>155</v>
      </c>
      <c r="D615" t="s">
        <v>5880</v>
      </c>
      <c r="E615">
        <v>35</v>
      </c>
      <c r="F615" t="s">
        <v>5163</v>
      </c>
      <c r="G615" t="s">
        <v>5164</v>
      </c>
    </row>
    <row r="616" spans="1:7" hidden="1">
      <c r="A616" s="5" t="s">
        <v>2140</v>
      </c>
      <c r="B616" t="s">
        <v>5161</v>
      </c>
      <c r="C616" t="s">
        <v>155</v>
      </c>
      <c r="D616" t="s">
        <v>5881</v>
      </c>
      <c r="E616">
        <v>23</v>
      </c>
      <c r="F616" t="s">
        <v>5163</v>
      </c>
      <c r="G616" t="s">
        <v>1905</v>
      </c>
    </row>
    <row r="617" spans="1:7" hidden="1">
      <c r="A617" s="5" t="s">
        <v>2140</v>
      </c>
      <c r="B617" t="s">
        <v>5161</v>
      </c>
      <c r="C617" t="s">
        <v>155</v>
      </c>
      <c r="D617" t="s">
        <v>5882</v>
      </c>
      <c r="E617">
        <v>23</v>
      </c>
      <c r="F617" t="s">
        <v>5163</v>
      </c>
      <c r="G617" t="s">
        <v>1905</v>
      </c>
    </row>
    <row r="618" spans="1:7" hidden="1">
      <c r="A618" s="5" t="s">
        <v>2140</v>
      </c>
      <c r="B618" t="s">
        <v>5161</v>
      </c>
      <c r="C618" t="s">
        <v>155</v>
      </c>
      <c r="D618" t="s">
        <v>5883</v>
      </c>
      <c r="E618">
        <v>29</v>
      </c>
      <c r="F618" t="s">
        <v>5163</v>
      </c>
      <c r="G618" t="s">
        <v>1905</v>
      </c>
    </row>
    <row r="619" spans="1:7" hidden="1">
      <c r="A619" s="5" t="s">
        <v>2140</v>
      </c>
      <c r="B619" t="s">
        <v>5161</v>
      </c>
      <c r="C619" t="s">
        <v>155</v>
      </c>
      <c r="D619" t="s">
        <v>5884</v>
      </c>
      <c r="E619">
        <v>25</v>
      </c>
      <c r="F619" t="s">
        <v>5163</v>
      </c>
      <c r="G619" t="s">
        <v>1905</v>
      </c>
    </row>
    <row r="620" spans="1:7" hidden="1">
      <c r="A620" s="5" t="s">
        <v>2140</v>
      </c>
      <c r="B620" t="s">
        <v>5161</v>
      </c>
      <c r="C620" t="s">
        <v>155</v>
      </c>
      <c r="D620" t="s">
        <v>5885</v>
      </c>
      <c r="E620">
        <v>29</v>
      </c>
      <c r="F620" t="s">
        <v>5172</v>
      </c>
      <c r="G620" t="s">
        <v>5164</v>
      </c>
    </row>
    <row r="621" spans="1:7" hidden="1">
      <c r="A621" s="5" t="s">
        <v>2538</v>
      </c>
      <c r="B621" t="s">
        <v>5161</v>
      </c>
      <c r="C621" t="s">
        <v>155</v>
      </c>
      <c r="D621" t="s">
        <v>5886</v>
      </c>
      <c r="E621">
        <v>19</v>
      </c>
      <c r="F621" t="s">
        <v>5163</v>
      </c>
      <c r="G621" t="s">
        <v>5169</v>
      </c>
    </row>
    <row r="622" spans="1:7" hidden="1">
      <c r="A622" s="5" t="s">
        <v>2315</v>
      </c>
      <c r="B622" t="s">
        <v>5161</v>
      </c>
      <c r="C622" t="s">
        <v>155</v>
      </c>
      <c r="D622" t="s">
        <v>5887</v>
      </c>
      <c r="E622">
        <v>24</v>
      </c>
      <c r="F622" t="s">
        <v>5163</v>
      </c>
      <c r="G622" t="s">
        <v>5164</v>
      </c>
    </row>
    <row r="623" spans="1:7" hidden="1">
      <c r="A623" s="5" t="s">
        <v>4238</v>
      </c>
      <c r="B623" t="s">
        <v>5161</v>
      </c>
      <c r="C623" t="s">
        <v>155</v>
      </c>
      <c r="D623" t="s">
        <v>5888</v>
      </c>
      <c r="E623">
        <v>25</v>
      </c>
      <c r="F623" t="s">
        <v>5163</v>
      </c>
      <c r="G623" t="s">
        <v>5164</v>
      </c>
    </row>
    <row r="624" spans="1:7" hidden="1">
      <c r="A624" s="5" t="s">
        <v>2304</v>
      </c>
      <c r="B624" t="s">
        <v>5161</v>
      </c>
      <c r="C624" t="s">
        <v>155</v>
      </c>
      <c r="D624" t="s">
        <v>5889</v>
      </c>
      <c r="E624">
        <v>31</v>
      </c>
      <c r="F624" t="s">
        <v>5163</v>
      </c>
      <c r="G624" t="s">
        <v>5182</v>
      </c>
    </row>
    <row r="625" spans="1:7" hidden="1">
      <c r="A625" s="5" t="s">
        <v>2304</v>
      </c>
      <c r="B625" t="s">
        <v>5161</v>
      </c>
      <c r="C625" t="s">
        <v>155</v>
      </c>
      <c r="D625" t="s">
        <v>5890</v>
      </c>
      <c r="E625">
        <v>19</v>
      </c>
      <c r="F625" t="s">
        <v>5163</v>
      </c>
      <c r="G625" t="s">
        <v>5182</v>
      </c>
    </row>
    <row r="626" spans="1:7" hidden="1">
      <c r="A626" s="5" t="s">
        <v>5040</v>
      </c>
      <c r="B626" t="s">
        <v>5161</v>
      </c>
      <c r="C626" t="s">
        <v>155</v>
      </c>
      <c r="D626" t="s">
        <v>5891</v>
      </c>
      <c r="E626">
        <v>24</v>
      </c>
      <c r="F626" t="s">
        <v>5163</v>
      </c>
      <c r="G626" t="s">
        <v>5164</v>
      </c>
    </row>
    <row r="627" spans="1:7" hidden="1">
      <c r="A627" s="5" t="s">
        <v>4859</v>
      </c>
      <c r="B627" t="s">
        <v>5161</v>
      </c>
      <c r="C627" t="s">
        <v>155</v>
      </c>
      <c r="D627" t="s">
        <v>5892</v>
      </c>
      <c r="E627">
        <v>38</v>
      </c>
      <c r="F627" t="s">
        <v>5163</v>
      </c>
      <c r="G627" t="s">
        <v>1905</v>
      </c>
    </row>
    <row r="628" spans="1:7" hidden="1">
      <c r="A628" s="5" t="s">
        <v>4779</v>
      </c>
      <c r="B628" t="s">
        <v>5161</v>
      </c>
      <c r="C628" t="s">
        <v>155</v>
      </c>
      <c r="D628" t="s">
        <v>5893</v>
      </c>
      <c r="E628">
        <v>25</v>
      </c>
      <c r="F628" t="s">
        <v>5163</v>
      </c>
      <c r="G628" t="s">
        <v>5164</v>
      </c>
    </row>
    <row r="629" spans="1:7" hidden="1">
      <c r="A629" s="5" t="s">
        <v>4683</v>
      </c>
      <c r="B629" t="s">
        <v>5161</v>
      </c>
      <c r="C629" t="s">
        <v>155</v>
      </c>
      <c r="D629" t="s">
        <v>5894</v>
      </c>
      <c r="E629">
        <v>21</v>
      </c>
      <c r="F629" t="s">
        <v>5163</v>
      </c>
      <c r="G629" t="s">
        <v>1905</v>
      </c>
    </row>
    <row r="630" spans="1:7" hidden="1">
      <c r="A630" s="5" t="s">
        <v>4683</v>
      </c>
      <c r="B630" t="s">
        <v>5161</v>
      </c>
      <c r="C630" t="s">
        <v>155</v>
      </c>
      <c r="D630" t="s">
        <v>5895</v>
      </c>
      <c r="E630">
        <v>23</v>
      </c>
      <c r="F630" t="s">
        <v>5163</v>
      </c>
      <c r="G630" t="s">
        <v>1905</v>
      </c>
    </row>
    <row r="631" spans="1:7" hidden="1">
      <c r="A631" s="5" t="s">
        <v>4910</v>
      </c>
      <c r="B631" t="s">
        <v>5161</v>
      </c>
      <c r="C631" t="s">
        <v>155</v>
      </c>
      <c r="D631" t="s">
        <v>5896</v>
      </c>
      <c r="E631">
        <v>27</v>
      </c>
      <c r="F631" t="s">
        <v>5163</v>
      </c>
      <c r="G631" t="s">
        <v>1905</v>
      </c>
    </row>
    <row r="632" spans="1:7" hidden="1">
      <c r="A632" s="5" t="s">
        <v>4798</v>
      </c>
      <c r="B632" t="s">
        <v>5161</v>
      </c>
      <c r="C632" t="s">
        <v>155</v>
      </c>
      <c r="D632" t="s">
        <v>5897</v>
      </c>
      <c r="E632">
        <v>20</v>
      </c>
      <c r="F632" t="s">
        <v>5163</v>
      </c>
      <c r="G632" t="s">
        <v>5164</v>
      </c>
    </row>
    <row r="633" spans="1:7" hidden="1">
      <c r="A633" s="5" t="s">
        <v>2237</v>
      </c>
      <c r="B633" t="s">
        <v>5161</v>
      </c>
      <c r="C633" t="s">
        <v>155</v>
      </c>
      <c r="D633" t="s">
        <v>5898</v>
      </c>
      <c r="E633">
        <v>44</v>
      </c>
      <c r="F633" t="s">
        <v>5163</v>
      </c>
      <c r="G633" t="s">
        <v>5164</v>
      </c>
    </row>
    <row r="634" spans="1:7" hidden="1">
      <c r="A634" s="5" t="s">
        <v>2347</v>
      </c>
      <c r="B634" t="s">
        <v>5161</v>
      </c>
      <c r="C634" t="s">
        <v>155</v>
      </c>
      <c r="D634" t="s">
        <v>5899</v>
      </c>
      <c r="E634">
        <v>33</v>
      </c>
      <c r="F634" t="s">
        <v>5163</v>
      </c>
      <c r="G634" t="s">
        <v>1905</v>
      </c>
    </row>
    <row r="635" spans="1:7" hidden="1">
      <c r="A635" s="5" t="s">
        <v>3636</v>
      </c>
      <c r="B635" t="s">
        <v>5161</v>
      </c>
      <c r="C635" t="s">
        <v>155</v>
      </c>
      <c r="D635" t="s">
        <v>5900</v>
      </c>
      <c r="E635">
        <v>35</v>
      </c>
      <c r="F635" t="s">
        <v>5163</v>
      </c>
      <c r="G635" t="s">
        <v>5169</v>
      </c>
    </row>
    <row r="636" spans="1:7" hidden="1">
      <c r="A636" s="5" t="s">
        <v>5024</v>
      </c>
      <c r="B636" t="s">
        <v>5161</v>
      </c>
      <c r="C636" t="s">
        <v>155</v>
      </c>
      <c r="D636" t="s">
        <v>5901</v>
      </c>
      <c r="E636">
        <v>38</v>
      </c>
      <c r="F636" t="s">
        <v>5163</v>
      </c>
      <c r="G636" t="s">
        <v>5164</v>
      </c>
    </row>
    <row r="637" spans="1:7" hidden="1">
      <c r="A637" s="5" t="s">
        <v>4073</v>
      </c>
      <c r="B637" t="s">
        <v>5161</v>
      </c>
      <c r="C637" t="s">
        <v>155</v>
      </c>
      <c r="D637" t="s">
        <v>5902</v>
      </c>
      <c r="E637">
        <v>26</v>
      </c>
      <c r="F637" t="s">
        <v>5163</v>
      </c>
      <c r="G637" t="s">
        <v>1905</v>
      </c>
    </row>
    <row r="638" spans="1:7" hidden="1">
      <c r="A638" s="5" t="s">
        <v>5903</v>
      </c>
      <c r="B638" t="s">
        <v>5161</v>
      </c>
      <c r="C638" t="s">
        <v>155</v>
      </c>
      <c r="D638" t="s">
        <v>5904</v>
      </c>
      <c r="E638">
        <v>18</v>
      </c>
      <c r="F638" t="s">
        <v>5163</v>
      </c>
      <c r="G638" t="s">
        <v>5164</v>
      </c>
    </row>
    <row r="639" spans="1:7" hidden="1">
      <c r="A639" s="5" t="s">
        <v>4829</v>
      </c>
      <c r="B639" t="s">
        <v>5161</v>
      </c>
      <c r="C639" t="s">
        <v>155</v>
      </c>
      <c r="D639" t="s">
        <v>5905</v>
      </c>
      <c r="E639">
        <v>53</v>
      </c>
      <c r="F639" t="s">
        <v>5163</v>
      </c>
      <c r="G639" t="s">
        <v>5164</v>
      </c>
    </row>
    <row r="640" spans="1:7" hidden="1">
      <c r="A640" s="5" t="s">
        <v>4966</v>
      </c>
      <c r="B640" t="s">
        <v>5161</v>
      </c>
      <c r="C640" t="s">
        <v>155</v>
      </c>
      <c r="D640" t="s">
        <v>5906</v>
      </c>
      <c r="E640">
        <v>22</v>
      </c>
      <c r="F640" t="s">
        <v>5163</v>
      </c>
      <c r="G640" t="s">
        <v>5164</v>
      </c>
    </row>
    <row r="641" spans="1:7" hidden="1">
      <c r="A641" s="5" t="s">
        <v>4752</v>
      </c>
      <c r="B641" t="s">
        <v>5161</v>
      </c>
      <c r="C641" t="s">
        <v>155</v>
      </c>
      <c r="D641" t="s">
        <v>5907</v>
      </c>
      <c r="E641">
        <v>38</v>
      </c>
      <c r="F641" t="s">
        <v>5163</v>
      </c>
      <c r="G641" t="s">
        <v>1905</v>
      </c>
    </row>
    <row r="642" spans="1:7" hidden="1">
      <c r="A642" s="5" t="s">
        <v>141</v>
      </c>
      <c r="B642" t="s">
        <v>5161</v>
      </c>
      <c r="C642" t="s">
        <v>155</v>
      </c>
      <c r="D642" t="s">
        <v>538</v>
      </c>
      <c r="E642">
        <v>22</v>
      </c>
      <c r="F642" t="s">
        <v>5163</v>
      </c>
      <c r="G642" t="s">
        <v>5164</v>
      </c>
    </row>
    <row r="643" spans="1:7" hidden="1">
      <c r="A643" s="5" t="s">
        <v>2205</v>
      </c>
      <c r="B643" t="s">
        <v>5161</v>
      </c>
      <c r="C643" t="s">
        <v>155</v>
      </c>
      <c r="D643" t="s">
        <v>5908</v>
      </c>
      <c r="E643">
        <v>42</v>
      </c>
      <c r="F643" t="s">
        <v>5163</v>
      </c>
      <c r="G643" t="s">
        <v>1905</v>
      </c>
    </row>
    <row r="644" spans="1:7" hidden="1">
      <c r="A644" s="5" t="s">
        <v>4741</v>
      </c>
      <c r="B644" t="s">
        <v>5161</v>
      </c>
      <c r="C644" t="s">
        <v>155</v>
      </c>
      <c r="D644" t="s">
        <v>5909</v>
      </c>
      <c r="E644">
        <v>26</v>
      </c>
      <c r="F644" t="s">
        <v>5163</v>
      </c>
      <c r="G644" t="s">
        <v>1905</v>
      </c>
    </row>
    <row r="645" spans="1:7" hidden="1">
      <c r="A645" s="5" t="s">
        <v>4803</v>
      </c>
      <c r="B645" t="s">
        <v>5161</v>
      </c>
      <c r="C645" t="s">
        <v>155</v>
      </c>
      <c r="D645" t="s">
        <v>5910</v>
      </c>
      <c r="E645">
        <v>18</v>
      </c>
      <c r="F645" t="s">
        <v>5163</v>
      </c>
      <c r="G645" t="s">
        <v>5164</v>
      </c>
    </row>
    <row r="646" spans="1:7" hidden="1">
      <c r="A646" s="5" t="s">
        <v>5911</v>
      </c>
      <c r="B646" t="s">
        <v>5161</v>
      </c>
      <c r="C646" t="s">
        <v>155</v>
      </c>
      <c r="D646" t="s">
        <v>5912</v>
      </c>
      <c r="E646">
        <v>37</v>
      </c>
      <c r="F646" t="s">
        <v>5163</v>
      </c>
      <c r="G646" t="s">
        <v>1905</v>
      </c>
    </row>
    <row r="647" spans="1:7" hidden="1">
      <c r="A647" s="5" t="s">
        <v>5913</v>
      </c>
      <c r="B647" t="s">
        <v>5161</v>
      </c>
      <c r="C647" t="s">
        <v>155</v>
      </c>
      <c r="D647" t="s">
        <v>5914</v>
      </c>
      <c r="E647">
        <v>20</v>
      </c>
      <c r="F647" t="s">
        <v>5172</v>
      </c>
      <c r="G647" t="s">
        <v>1905</v>
      </c>
    </row>
    <row r="648" spans="1:7" hidden="1">
      <c r="A648" s="5" t="s">
        <v>4604</v>
      </c>
      <c r="B648" t="s">
        <v>5161</v>
      </c>
      <c r="C648" t="s">
        <v>155</v>
      </c>
      <c r="D648" t="s">
        <v>5915</v>
      </c>
      <c r="E648">
        <v>20</v>
      </c>
      <c r="F648" t="s">
        <v>5172</v>
      </c>
      <c r="G648" t="s">
        <v>5169</v>
      </c>
    </row>
    <row r="649" spans="1:7" hidden="1">
      <c r="A649" s="5" t="s">
        <v>4520</v>
      </c>
      <c r="B649" t="s">
        <v>5161</v>
      </c>
      <c r="C649" t="s">
        <v>155</v>
      </c>
      <c r="D649" t="s">
        <v>5916</v>
      </c>
      <c r="E649">
        <v>18</v>
      </c>
      <c r="F649" t="s">
        <v>5163</v>
      </c>
      <c r="G649" t="s">
        <v>1905</v>
      </c>
    </row>
    <row r="650" spans="1:7" hidden="1">
      <c r="A650" s="5" t="s">
        <v>4860</v>
      </c>
      <c r="B650" t="s">
        <v>5161</v>
      </c>
      <c r="C650" t="s">
        <v>155</v>
      </c>
      <c r="D650" t="s">
        <v>5917</v>
      </c>
      <c r="E650">
        <v>19</v>
      </c>
      <c r="F650" t="s">
        <v>5163</v>
      </c>
      <c r="G650" t="s">
        <v>5164</v>
      </c>
    </row>
    <row r="651" spans="1:7" hidden="1">
      <c r="A651" s="5" t="s">
        <v>4860</v>
      </c>
      <c r="B651" t="s">
        <v>5161</v>
      </c>
      <c r="C651" t="s">
        <v>155</v>
      </c>
      <c r="D651" t="s">
        <v>5918</v>
      </c>
      <c r="E651">
        <v>23</v>
      </c>
      <c r="F651" t="s">
        <v>5163</v>
      </c>
      <c r="G651" t="s">
        <v>1905</v>
      </c>
    </row>
    <row r="652" spans="1:7" hidden="1">
      <c r="A652" s="5" t="s">
        <v>4860</v>
      </c>
      <c r="B652" t="s">
        <v>5161</v>
      </c>
      <c r="C652" t="s">
        <v>155</v>
      </c>
      <c r="D652" t="s">
        <v>5919</v>
      </c>
      <c r="E652">
        <v>28</v>
      </c>
      <c r="F652" t="s">
        <v>5163</v>
      </c>
      <c r="G652" t="s">
        <v>5164</v>
      </c>
    </row>
    <row r="653" spans="1:7" hidden="1">
      <c r="A653" s="5" t="s">
        <v>4837</v>
      </c>
      <c r="B653" t="s">
        <v>5161</v>
      </c>
      <c r="C653" t="s">
        <v>155</v>
      </c>
      <c r="D653" t="s">
        <v>5920</v>
      </c>
      <c r="E653">
        <v>24</v>
      </c>
      <c r="F653" t="s">
        <v>5163</v>
      </c>
      <c r="G653" t="s">
        <v>5164</v>
      </c>
    </row>
    <row r="654" spans="1:7" hidden="1">
      <c r="A654" s="5" t="s">
        <v>4461</v>
      </c>
      <c r="B654" t="s">
        <v>5161</v>
      </c>
      <c r="C654" t="s">
        <v>155</v>
      </c>
      <c r="D654" t="s">
        <v>5921</v>
      </c>
      <c r="E654">
        <v>18</v>
      </c>
      <c r="F654" t="s">
        <v>5163</v>
      </c>
      <c r="G654" t="s">
        <v>1905</v>
      </c>
    </row>
    <row r="655" spans="1:7" hidden="1">
      <c r="A655" s="5" t="s">
        <v>2400</v>
      </c>
      <c r="B655" t="s">
        <v>5161</v>
      </c>
      <c r="C655" t="s">
        <v>166</v>
      </c>
      <c r="D655" t="s">
        <v>5922</v>
      </c>
      <c r="E655">
        <v>19</v>
      </c>
      <c r="F655" t="s">
        <v>5163</v>
      </c>
      <c r="G655" t="s">
        <v>5164</v>
      </c>
    </row>
    <row r="656" spans="1:7" hidden="1">
      <c r="A656" s="5" t="s">
        <v>2400</v>
      </c>
      <c r="B656" t="s">
        <v>5161</v>
      </c>
      <c r="C656" t="s">
        <v>166</v>
      </c>
      <c r="D656" t="s">
        <v>5923</v>
      </c>
      <c r="E656">
        <v>21</v>
      </c>
      <c r="F656" t="s">
        <v>5163</v>
      </c>
      <c r="G656" t="s">
        <v>5164</v>
      </c>
    </row>
    <row r="657" spans="1:7" hidden="1">
      <c r="A657" s="5" t="s">
        <v>4100</v>
      </c>
      <c r="B657" t="s">
        <v>5161</v>
      </c>
      <c r="C657" t="s">
        <v>166</v>
      </c>
      <c r="D657" t="s">
        <v>5924</v>
      </c>
      <c r="E657">
        <v>21</v>
      </c>
      <c r="F657" t="s">
        <v>5163</v>
      </c>
      <c r="G657" t="s">
        <v>5169</v>
      </c>
    </row>
    <row r="658" spans="1:7" hidden="1">
      <c r="A658" s="5" t="s">
        <v>4100</v>
      </c>
      <c r="B658" t="s">
        <v>5161</v>
      </c>
      <c r="C658" t="s">
        <v>166</v>
      </c>
      <c r="D658" t="s">
        <v>5925</v>
      </c>
      <c r="E658">
        <v>22</v>
      </c>
      <c r="F658" t="s">
        <v>5163</v>
      </c>
      <c r="G658" t="s">
        <v>5164</v>
      </c>
    </row>
    <row r="659" spans="1:7" hidden="1">
      <c r="A659" s="5" t="s">
        <v>3613</v>
      </c>
      <c r="B659" t="s">
        <v>5161</v>
      </c>
      <c r="C659" t="s">
        <v>166</v>
      </c>
      <c r="D659" t="s">
        <v>5926</v>
      </c>
      <c r="E659">
        <v>23</v>
      </c>
      <c r="F659" t="s">
        <v>5163</v>
      </c>
      <c r="G659" t="s">
        <v>5164</v>
      </c>
    </row>
    <row r="660" spans="1:7" hidden="1">
      <c r="A660" s="5" t="s">
        <v>4264</v>
      </c>
      <c r="B660" t="s">
        <v>5161</v>
      </c>
      <c r="C660" t="s">
        <v>166</v>
      </c>
      <c r="D660" t="s">
        <v>5927</v>
      </c>
      <c r="E660">
        <v>26</v>
      </c>
      <c r="F660" t="s">
        <v>5172</v>
      </c>
      <c r="G660" t="s">
        <v>5164</v>
      </c>
    </row>
    <row r="661" spans="1:7" hidden="1">
      <c r="A661" s="5" t="s">
        <v>3709</v>
      </c>
      <c r="B661" t="s">
        <v>5161</v>
      </c>
      <c r="C661" t="s">
        <v>166</v>
      </c>
      <c r="D661" t="s">
        <v>5928</v>
      </c>
      <c r="E661">
        <v>29</v>
      </c>
      <c r="F661" t="s">
        <v>5163</v>
      </c>
      <c r="G661" t="s">
        <v>1905</v>
      </c>
    </row>
    <row r="662" spans="1:7" hidden="1">
      <c r="A662" s="5" t="s">
        <v>4379</v>
      </c>
      <c r="B662" t="s">
        <v>5161</v>
      </c>
      <c r="C662" t="s">
        <v>166</v>
      </c>
      <c r="D662" t="s">
        <v>5929</v>
      </c>
      <c r="E662">
        <v>21</v>
      </c>
      <c r="F662" t="s">
        <v>5163</v>
      </c>
      <c r="G662" t="s">
        <v>5169</v>
      </c>
    </row>
    <row r="663" spans="1:7" hidden="1">
      <c r="A663" s="5" t="s">
        <v>3530</v>
      </c>
      <c r="B663" t="s">
        <v>5161</v>
      </c>
      <c r="C663" t="s">
        <v>166</v>
      </c>
      <c r="D663" t="s">
        <v>5930</v>
      </c>
      <c r="E663">
        <v>34</v>
      </c>
      <c r="F663" t="s">
        <v>5163</v>
      </c>
      <c r="G663" t="s">
        <v>5169</v>
      </c>
    </row>
    <row r="664" spans="1:7" hidden="1">
      <c r="A664" s="5" t="s">
        <v>3530</v>
      </c>
      <c r="B664" t="s">
        <v>5161</v>
      </c>
      <c r="C664" t="s">
        <v>166</v>
      </c>
      <c r="D664" t="s">
        <v>5931</v>
      </c>
      <c r="E664">
        <v>26</v>
      </c>
      <c r="F664" t="s">
        <v>5163</v>
      </c>
      <c r="G664" t="s">
        <v>5169</v>
      </c>
    </row>
    <row r="665" spans="1:7" hidden="1">
      <c r="A665" s="5" t="s">
        <v>160</v>
      </c>
      <c r="B665" t="s">
        <v>5161</v>
      </c>
      <c r="C665" t="s">
        <v>166</v>
      </c>
      <c r="D665" t="s">
        <v>580</v>
      </c>
      <c r="E665">
        <v>24</v>
      </c>
      <c r="F665" t="s">
        <v>5163</v>
      </c>
      <c r="G665" t="s">
        <v>5164</v>
      </c>
    </row>
    <row r="666" spans="1:7" hidden="1">
      <c r="A666" s="5" t="s">
        <v>3919</v>
      </c>
      <c r="B666" t="s">
        <v>5161</v>
      </c>
      <c r="C666" t="s">
        <v>166</v>
      </c>
      <c r="D666" t="s">
        <v>5932</v>
      </c>
      <c r="E666">
        <v>22</v>
      </c>
      <c r="F666" t="s">
        <v>5163</v>
      </c>
      <c r="G666" t="s">
        <v>5164</v>
      </c>
    </row>
    <row r="667" spans="1:7" hidden="1">
      <c r="A667" s="5" t="s">
        <v>4259</v>
      </c>
      <c r="B667" t="s">
        <v>5161</v>
      </c>
      <c r="C667" t="s">
        <v>166</v>
      </c>
      <c r="D667" t="s">
        <v>5933</v>
      </c>
      <c r="E667">
        <v>22</v>
      </c>
      <c r="F667" t="s">
        <v>5163</v>
      </c>
      <c r="G667" t="s">
        <v>5164</v>
      </c>
    </row>
    <row r="668" spans="1:7" hidden="1">
      <c r="A668" s="5" t="s">
        <v>4259</v>
      </c>
      <c r="B668" t="s">
        <v>5161</v>
      </c>
      <c r="C668" t="s">
        <v>166</v>
      </c>
      <c r="D668" t="s">
        <v>5934</v>
      </c>
      <c r="E668">
        <v>23</v>
      </c>
      <c r="F668" t="s">
        <v>5163</v>
      </c>
      <c r="G668" t="s">
        <v>5164</v>
      </c>
    </row>
    <row r="669" spans="1:7" hidden="1">
      <c r="A669" s="5" t="s">
        <v>3769</v>
      </c>
      <c r="B669" t="s">
        <v>5161</v>
      </c>
      <c r="C669" t="s">
        <v>166</v>
      </c>
      <c r="D669" t="s">
        <v>5935</v>
      </c>
      <c r="E669">
        <v>28</v>
      </c>
      <c r="F669" t="s">
        <v>5163</v>
      </c>
      <c r="G669" t="s">
        <v>5164</v>
      </c>
    </row>
    <row r="670" spans="1:7" hidden="1">
      <c r="A670" s="5" t="s">
        <v>3840</v>
      </c>
      <c r="B670" t="s">
        <v>5161</v>
      </c>
      <c r="C670" t="s">
        <v>166</v>
      </c>
      <c r="D670" t="s">
        <v>5936</v>
      </c>
      <c r="E670">
        <v>21</v>
      </c>
      <c r="F670" t="s">
        <v>5163</v>
      </c>
      <c r="G670" t="s">
        <v>5164</v>
      </c>
    </row>
    <row r="671" spans="1:7" hidden="1">
      <c r="A671" s="5" t="s">
        <v>3662</v>
      </c>
      <c r="B671" t="s">
        <v>5161</v>
      </c>
      <c r="C671" t="s">
        <v>166</v>
      </c>
      <c r="D671" t="s">
        <v>5937</v>
      </c>
      <c r="E671">
        <v>20</v>
      </c>
      <c r="F671" t="s">
        <v>5172</v>
      </c>
      <c r="G671" t="s">
        <v>1905</v>
      </c>
    </row>
    <row r="672" spans="1:7" hidden="1">
      <c r="A672" s="5" t="s">
        <v>3662</v>
      </c>
      <c r="B672" t="s">
        <v>5161</v>
      </c>
      <c r="C672" t="s">
        <v>166</v>
      </c>
      <c r="D672" t="s">
        <v>5938</v>
      </c>
      <c r="E672">
        <v>37</v>
      </c>
      <c r="F672" t="s">
        <v>5163</v>
      </c>
      <c r="G672" t="s">
        <v>1905</v>
      </c>
    </row>
    <row r="673" spans="1:7" hidden="1">
      <c r="A673" s="5" t="s">
        <v>3024</v>
      </c>
      <c r="B673" t="s">
        <v>5161</v>
      </c>
      <c r="C673" t="s">
        <v>166</v>
      </c>
      <c r="D673" t="s">
        <v>5939</v>
      </c>
      <c r="E673">
        <v>30</v>
      </c>
      <c r="F673" t="s">
        <v>5163</v>
      </c>
      <c r="G673" t="s">
        <v>5169</v>
      </c>
    </row>
    <row r="674" spans="1:7" hidden="1">
      <c r="A674" s="5" t="s">
        <v>3227</v>
      </c>
      <c r="B674" t="s">
        <v>5161</v>
      </c>
      <c r="C674" t="s">
        <v>166</v>
      </c>
      <c r="D674" t="s">
        <v>5940</v>
      </c>
      <c r="E674">
        <v>24</v>
      </c>
      <c r="F674" t="s">
        <v>5163</v>
      </c>
      <c r="G674" t="s">
        <v>5164</v>
      </c>
    </row>
    <row r="675" spans="1:7" hidden="1">
      <c r="A675" s="5" t="s">
        <v>163</v>
      </c>
      <c r="B675" t="s">
        <v>5161</v>
      </c>
      <c r="C675" t="s">
        <v>166</v>
      </c>
      <c r="D675" t="s">
        <v>588</v>
      </c>
      <c r="E675">
        <v>26</v>
      </c>
      <c r="F675" t="s">
        <v>5163</v>
      </c>
      <c r="G675" t="s">
        <v>5169</v>
      </c>
    </row>
    <row r="676" spans="1:7" hidden="1">
      <c r="A676" s="5" t="s">
        <v>2217</v>
      </c>
      <c r="B676" t="s">
        <v>5161</v>
      </c>
      <c r="C676" t="s">
        <v>166</v>
      </c>
      <c r="D676" t="s">
        <v>5941</v>
      </c>
      <c r="E676">
        <v>18</v>
      </c>
      <c r="F676" t="s">
        <v>5163</v>
      </c>
      <c r="G676" t="s">
        <v>1905</v>
      </c>
    </row>
    <row r="677" spans="1:7" hidden="1">
      <c r="A677" s="5" t="s">
        <v>3478</v>
      </c>
      <c r="B677" t="s">
        <v>5161</v>
      </c>
      <c r="C677" t="s">
        <v>166</v>
      </c>
      <c r="D677" t="s">
        <v>5942</v>
      </c>
      <c r="E677">
        <v>18</v>
      </c>
      <c r="F677" t="s">
        <v>5163</v>
      </c>
      <c r="G677" t="s">
        <v>5164</v>
      </c>
    </row>
    <row r="678" spans="1:7" hidden="1">
      <c r="A678" s="5" t="s">
        <v>161</v>
      </c>
      <c r="B678" t="s">
        <v>5161</v>
      </c>
      <c r="C678" t="s">
        <v>166</v>
      </c>
      <c r="D678" t="s">
        <v>583</v>
      </c>
      <c r="E678">
        <v>35</v>
      </c>
      <c r="F678" t="s">
        <v>5163</v>
      </c>
      <c r="G678" t="s">
        <v>5164</v>
      </c>
    </row>
    <row r="679" spans="1:7" hidden="1">
      <c r="A679" s="5" t="s">
        <v>3433</v>
      </c>
      <c r="B679" t="s">
        <v>5161</v>
      </c>
      <c r="C679" t="s">
        <v>166</v>
      </c>
      <c r="D679" t="s">
        <v>5943</v>
      </c>
      <c r="E679">
        <v>18</v>
      </c>
      <c r="F679" t="s">
        <v>5163</v>
      </c>
      <c r="G679" t="s">
        <v>1905</v>
      </c>
    </row>
    <row r="680" spans="1:7" hidden="1">
      <c r="A680" s="5" t="s">
        <v>3479</v>
      </c>
      <c r="B680" t="s">
        <v>5161</v>
      </c>
      <c r="C680" t="s">
        <v>166</v>
      </c>
      <c r="D680" t="s">
        <v>5944</v>
      </c>
      <c r="E680">
        <v>27</v>
      </c>
      <c r="F680" t="s">
        <v>5163</v>
      </c>
      <c r="G680" t="s">
        <v>5164</v>
      </c>
    </row>
    <row r="681" spans="1:7" hidden="1">
      <c r="A681" s="5" t="s">
        <v>2462</v>
      </c>
      <c r="B681" t="s">
        <v>5161</v>
      </c>
      <c r="C681" t="s">
        <v>166</v>
      </c>
      <c r="D681" t="s">
        <v>5945</v>
      </c>
      <c r="E681">
        <v>28</v>
      </c>
      <c r="F681" t="s">
        <v>5163</v>
      </c>
      <c r="G681" t="s">
        <v>1905</v>
      </c>
    </row>
    <row r="682" spans="1:7" hidden="1">
      <c r="A682" s="5" t="s">
        <v>2462</v>
      </c>
      <c r="B682" t="s">
        <v>5161</v>
      </c>
      <c r="C682" t="s">
        <v>166</v>
      </c>
      <c r="D682" t="s">
        <v>5946</v>
      </c>
      <c r="E682">
        <v>33</v>
      </c>
      <c r="F682" t="s">
        <v>5163</v>
      </c>
      <c r="G682" t="s">
        <v>1905</v>
      </c>
    </row>
    <row r="683" spans="1:7" hidden="1">
      <c r="A683" s="5" t="s">
        <v>3470</v>
      </c>
      <c r="B683" t="s">
        <v>5161</v>
      </c>
      <c r="C683" t="s">
        <v>166</v>
      </c>
      <c r="D683" t="s">
        <v>5947</v>
      </c>
      <c r="E683">
        <v>20</v>
      </c>
      <c r="F683" t="s">
        <v>5163</v>
      </c>
      <c r="G683" t="s">
        <v>5164</v>
      </c>
    </row>
    <row r="684" spans="1:7" hidden="1">
      <c r="A684" s="5" t="s">
        <v>4151</v>
      </c>
      <c r="B684" t="s">
        <v>5161</v>
      </c>
      <c r="C684" t="s">
        <v>166</v>
      </c>
      <c r="D684" t="s">
        <v>5948</v>
      </c>
      <c r="E684">
        <v>20</v>
      </c>
      <c r="F684" t="s">
        <v>5163</v>
      </c>
      <c r="G684" t="s">
        <v>5169</v>
      </c>
    </row>
    <row r="685" spans="1:7" hidden="1">
      <c r="A685" s="5" t="s">
        <v>3098</v>
      </c>
      <c r="B685" t="s">
        <v>5161</v>
      </c>
      <c r="C685" t="s">
        <v>166</v>
      </c>
      <c r="D685" t="s">
        <v>5949</v>
      </c>
      <c r="E685">
        <v>19</v>
      </c>
      <c r="F685" t="s">
        <v>5163</v>
      </c>
      <c r="G685" t="s">
        <v>5164</v>
      </c>
    </row>
    <row r="686" spans="1:7" hidden="1">
      <c r="A686" s="5" t="s">
        <v>3601</v>
      </c>
      <c r="B686" t="s">
        <v>5161</v>
      </c>
      <c r="C686" t="s">
        <v>166</v>
      </c>
      <c r="D686" t="s">
        <v>5950</v>
      </c>
      <c r="E686">
        <v>44</v>
      </c>
      <c r="F686" t="s">
        <v>5163</v>
      </c>
      <c r="G686" t="s">
        <v>5164</v>
      </c>
    </row>
    <row r="687" spans="1:7" hidden="1">
      <c r="A687" s="5" t="s">
        <v>2615</v>
      </c>
      <c r="B687" t="s">
        <v>5161</v>
      </c>
      <c r="C687" t="s">
        <v>166</v>
      </c>
      <c r="D687" t="s">
        <v>5951</v>
      </c>
      <c r="E687">
        <v>20</v>
      </c>
      <c r="F687" t="s">
        <v>5163</v>
      </c>
      <c r="G687" t="s">
        <v>5164</v>
      </c>
    </row>
    <row r="688" spans="1:7" hidden="1">
      <c r="A688" s="5" t="s">
        <v>2636</v>
      </c>
      <c r="B688" t="s">
        <v>5161</v>
      </c>
      <c r="C688" t="s">
        <v>166</v>
      </c>
      <c r="D688" t="s">
        <v>5952</v>
      </c>
      <c r="E688">
        <v>39</v>
      </c>
      <c r="F688" t="s">
        <v>5163</v>
      </c>
      <c r="G688" t="s">
        <v>1905</v>
      </c>
    </row>
    <row r="689" spans="1:7" hidden="1">
      <c r="A689" s="5" t="s">
        <v>2591</v>
      </c>
      <c r="B689" t="s">
        <v>5161</v>
      </c>
      <c r="C689" t="s">
        <v>166</v>
      </c>
      <c r="D689" t="s">
        <v>5953</v>
      </c>
      <c r="E689">
        <v>19</v>
      </c>
      <c r="F689" t="s">
        <v>5163</v>
      </c>
      <c r="G689" t="s">
        <v>5164</v>
      </c>
    </row>
    <row r="690" spans="1:7" hidden="1">
      <c r="A690" s="5" t="s">
        <v>158</v>
      </c>
      <c r="B690" t="s">
        <v>5161</v>
      </c>
      <c r="C690" t="s">
        <v>166</v>
      </c>
      <c r="D690" t="s">
        <v>574</v>
      </c>
      <c r="E690">
        <v>27</v>
      </c>
      <c r="F690" t="s">
        <v>5163</v>
      </c>
      <c r="G690" t="s">
        <v>1905</v>
      </c>
    </row>
    <row r="691" spans="1:7" hidden="1">
      <c r="A691" s="5" t="s">
        <v>158</v>
      </c>
      <c r="B691" t="s">
        <v>5161</v>
      </c>
      <c r="C691" t="s">
        <v>166</v>
      </c>
      <c r="D691" t="s">
        <v>5954</v>
      </c>
      <c r="E691">
        <v>24</v>
      </c>
      <c r="F691" t="s">
        <v>5163</v>
      </c>
      <c r="G691" t="s">
        <v>1905</v>
      </c>
    </row>
    <row r="692" spans="1:7" hidden="1">
      <c r="A692" s="5" t="s">
        <v>2380</v>
      </c>
      <c r="B692" t="s">
        <v>5161</v>
      </c>
      <c r="C692" t="s">
        <v>166</v>
      </c>
      <c r="D692" t="s">
        <v>5955</v>
      </c>
      <c r="E692">
        <v>20</v>
      </c>
      <c r="F692" t="s">
        <v>5163</v>
      </c>
      <c r="G692" t="s">
        <v>1905</v>
      </c>
    </row>
    <row r="693" spans="1:7" hidden="1">
      <c r="A693" s="5" t="s">
        <v>2440</v>
      </c>
      <c r="B693" t="s">
        <v>5161</v>
      </c>
      <c r="C693" t="s">
        <v>166</v>
      </c>
      <c r="D693" t="s">
        <v>5956</v>
      </c>
      <c r="E693">
        <v>32</v>
      </c>
      <c r="F693" t="s">
        <v>5163</v>
      </c>
      <c r="G693" t="s">
        <v>1905</v>
      </c>
    </row>
    <row r="694" spans="1:7" hidden="1">
      <c r="A694" s="5" t="s">
        <v>2309</v>
      </c>
      <c r="B694" t="s">
        <v>5161</v>
      </c>
      <c r="C694" t="s">
        <v>166</v>
      </c>
      <c r="D694" t="s">
        <v>5957</v>
      </c>
      <c r="E694">
        <v>35</v>
      </c>
      <c r="F694" t="s">
        <v>5172</v>
      </c>
      <c r="G694" t="s">
        <v>1905</v>
      </c>
    </row>
    <row r="695" spans="1:7" hidden="1">
      <c r="A695" s="5" t="s">
        <v>2309</v>
      </c>
      <c r="B695" t="s">
        <v>5161</v>
      </c>
      <c r="C695" t="s">
        <v>166</v>
      </c>
      <c r="D695" t="s">
        <v>5958</v>
      </c>
      <c r="E695">
        <v>24</v>
      </c>
      <c r="F695" t="s">
        <v>5163</v>
      </c>
      <c r="G695" t="s">
        <v>1905</v>
      </c>
    </row>
    <row r="696" spans="1:7" hidden="1">
      <c r="A696" s="5" t="s">
        <v>4288</v>
      </c>
      <c r="B696" t="s">
        <v>5161</v>
      </c>
      <c r="C696" t="s">
        <v>166</v>
      </c>
      <c r="D696" t="s">
        <v>5959</v>
      </c>
      <c r="E696">
        <v>24</v>
      </c>
      <c r="F696" t="s">
        <v>5163</v>
      </c>
      <c r="G696" t="s">
        <v>5164</v>
      </c>
    </row>
    <row r="697" spans="1:7" hidden="1">
      <c r="A697" s="5" t="s">
        <v>156</v>
      </c>
      <c r="B697" t="s">
        <v>5161</v>
      </c>
      <c r="C697" t="s">
        <v>166</v>
      </c>
      <c r="D697" t="s">
        <v>5960</v>
      </c>
      <c r="E697">
        <v>31</v>
      </c>
      <c r="F697" t="s">
        <v>5163</v>
      </c>
      <c r="G697" t="s">
        <v>5164</v>
      </c>
    </row>
    <row r="698" spans="1:7" hidden="1">
      <c r="A698" s="5" t="s">
        <v>4930</v>
      </c>
      <c r="B698" t="s">
        <v>5161</v>
      </c>
      <c r="C698" t="s">
        <v>166</v>
      </c>
      <c r="D698" t="s">
        <v>5961</v>
      </c>
      <c r="E698">
        <v>27</v>
      </c>
      <c r="F698" t="s">
        <v>5172</v>
      </c>
      <c r="G698" t="s">
        <v>1905</v>
      </c>
    </row>
    <row r="699" spans="1:7" hidden="1">
      <c r="A699" s="5" t="s">
        <v>4930</v>
      </c>
      <c r="B699" t="s">
        <v>5161</v>
      </c>
      <c r="C699" t="s">
        <v>166</v>
      </c>
      <c r="D699" t="s">
        <v>5962</v>
      </c>
      <c r="E699">
        <v>29</v>
      </c>
      <c r="F699" t="s">
        <v>5172</v>
      </c>
      <c r="G699" t="s">
        <v>5164</v>
      </c>
    </row>
    <row r="700" spans="1:7" hidden="1">
      <c r="A700" s="5" t="s">
        <v>4040</v>
      </c>
      <c r="B700" t="s">
        <v>5161</v>
      </c>
      <c r="C700" t="s">
        <v>166</v>
      </c>
      <c r="D700" t="s">
        <v>5963</v>
      </c>
      <c r="E700">
        <v>29</v>
      </c>
      <c r="F700" t="s">
        <v>5163</v>
      </c>
      <c r="G700" t="s">
        <v>1905</v>
      </c>
    </row>
    <row r="701" spans="1:7" hidden="1">
      <c r="A701" s="5" t="s">
        <v>4158</v>
      </c>
      <c r="B701" t="s">
        <v>5161</v>
      </c>
      <c r="C701" t="s">
        <v>166</v>
      </c>
      <c r="D701" t="s">
        <v>5964</v>
      </c>
      <c r="E701">
        <v>29</v>
      </c>
      <c r="F701" t="s">
        <v>5163</v>
      </c>
      <c r="G701" t="s">
        <v>5169</v>
      </c>
    </row>
    <row r="702" spans="1:7" hidden="1">
      <c r="A702" s="5" t="s">
        <v>3920</v>
      </c>
      <c r="B702" t="s">
        <v>5161</v>
      </c>
      <c r="C702" t="s">
        <v>166</v>
      </c>
      <c r="D702" t="s">
        <v>5965</v>
      </c>
      <c r="E702">
        <v>21</v>
      </c>
      <c r="F702" t="s">
        <v>5163</v>
      </c>
      <c r="G702" t="s">
        <v>5164</v>
      </c>
    </row>
    <row r="703" spans="1:7" hidden="1">
      <c r="A703" s="5" t="s">
        <v>4196</v>
      </c>
      <c r="B703" t="s">
        <v>5161</v>
      </c>
      <c r="C703" t="s">
        <v>166</v>
      </c>
      <c r="D703" t="s">
        <v>5966</v>
      </c>
      <c r="E703">
        <v>22</v>
      </c>
      <c r="F703" t="s">
        <v>5163</v>
      </c>
      <c r="G703" t="s">
        <v>5169</v>
      </c>
    </row>
    <row r="704" spans="1:7" hidden="1">
      <c r="A704" s="5" t="s">
        <v>4196</v>
      </c>
      <c r="B704" t="s">
        <v>5161</v>
      </c>
      <c r="C704" t="s">
        <v>166</v>
      </c>
      <c r="D704" t="s">
        <v>5967</v>
      </c>
      <c r="E704">
        <v>22</v>
      </c>
      <c r="F704" t="s">
        <v>5172</v>
      </c>
      <c r="G704" t="s">
        <v>5169</v>
      </c>
    </row>
    <row r="705" spans="1:7" hidden="1">
      <c r="A705" s="5" t="s">
        <v>3981</v>
      </c>
      <c r="B705" t="s">
        <v>5161</v>
      </c>
      <c r="C705" t="s">
        <v>166</v>
      </c>
      <c r="D705" t="s">
        <v>5968</v>
      </c>
      <c r="E705">
        <v>48</v>
      </c>
      <c r="F705" t="s">
        <v>5163</v>
      </c>
      <c r="G705" t="s">
        <v>1905</v>
      </c>
    </row>
    <row r="706" spans="1:7" hidden="1">
      <c r="A706" s="5" t="s">
        <v>157</v>
      </c>
      <c r="B706" t="s">
        <v>5161</v>
      </c>
      <c r="C706" t="s">
        <v>166</v>
      </c>
      <c r="D706" t="s">
        <v>572</v>
      </c>
      <c r="E706">
        <v>27</v>
      </c>
      <c r="F706" t="s">
        <v>5163</v>
      </c>
      <c r="G706" t="s">
        <v>5164</v>
      </c>
    </row>
    <row r="707" spans="1:7" hidden="1">
      <c r="A707" s="5" t="s">
        <v>3859</v>
      </c>
      <c r="B707" t="s">
        <v>5161</v>
      </c>
      <c r="C707" t="s">
        <v>166</v>
      </c>
      <c r="D707" t="s">
        <v>5969</v>
      </c>
      <c r="E707">
        <v>22</v>
      </c>
      <c r="F707" t="s">
        <v>5163</v>
      </c>
      <c r="G707" t="s">
        <v>5164</v>
      </c>
    </row>
    <row r="708" spans="1:7" hidden="1">
      <c r="A708" s="5" t="s">
        <v>4606</v>
      </c>
      <c r="B708" t="s">
        <v>5161</v>
      </c>
      <c r="C708" t="s">
        <v>166</v>
      </c>
      <c r="D708" t="s">
        <v>5970</v>
      </c>
      <c r="E708">
        <v>19</v>
      </c>
      <c r="F708" t="s">
        <v>5163</v>
      </c>
      <c r="G708" t="s">
        <v>5164</v>
      </c>
    </row>
    <row r="709" spans="1:7" hidden="1">
      <c r="A709" s="5" t="s">
        <v>4525</v>
      </c>
      <c r="B709" t="s">
        <v>5161</v>
      </c>
      <c r="C709" t="s">
        <v>166</v>
      </c>
      <c r="D709" t="s">
        <v>5971</v>
      </c>
      <c r="E709">
        <v>19</v>
      </c>
      <c r="F709" t="s">
        <v>5163</v>
      </c>
      <c r="G709" t="s">
        <v>5164</v>
      </c>
    </row>
    <row r="710" spans="1:7" hidden="1">
      <c r="A710" s="5" t="s">
        <v>4525</v>
      </c>
      <c r="B710" t="s">
        <v>5161</v>
      </c>
      <c r="C710" t="s">
        <v>166</v>
      </c>
      <c r="D710" t="s">
        <v>5972</v>
      </c>
      <c r="E710">
        <v>22</v>
      </c>
      <c r="F710" t="s">
        <v>5163</v>
      </c>
      <c r="G710" t="s">
        <v>5164</v>
      </c>
    </row>
    <row r="711" spans="1:7" hidden="1">
      <c r="A711" s="5" t="s">
        <v>2478</v>
      </c>
      <c r="B711" t="s">
        <v>5161</v>
      </c>
      <c r="C711" t="s">
        <v>166</v>
      </c>
      <c r="D711" t="s">
        <v>5973</v>
      </c>
      <c r="E711">
        <v>23</v>
      </c>
      <c r="F711" t="s">
        <v>5163</v>
      </c>
      <c r="G711" t="s">
        <v>1905</v>
      </c>
    </row>
    <row r="712" spans="1:7" hidden="1">
      <c r="A712" s="5" t="s">
        <v>4090</v>
      </c>
      <c r="B712" t="s">
        <v>5161</v>
      </c>
      <c r="C712" t="s">
        <v>166</v>
      </c>
      <c r="D712" t="s">
        <v>5974</v>
      </c>
      <c r="E712">
        <v>23</v>
      </c>
      <c r="F712" t="s">
        <v>5163</v>
      </c>
      <c r="G712" t="s">
        <v>1905</v>
      </c>
    </row>
    <row r="713" spans="1:7" hidden="1">
      <c r="A713" s="5" t="s">
        <v>4391</v>
      </c>
      <c r="B713" t="s">
        <v>5161</v>
      </c>
      <c r="C713" t="s">
        <v>166</v>
      </c>
      <c r="D713" t="s">
        <v>5975</v>
      </c>
      <c r="E713">
        <v>32</v>
      </c>
      <c r="F713" t="s">
        <v>5163</v>
      </c>
      <c r="G713" t="s">
        <v>5164</v>
      </c>
    </row>
    <row r="714" spans="1:7" hidden="1">
      <c r="A714" s="5" t="s">
        <v>2261</v>
      </c>
      <c r="B714" t="s">
        <v>5161</v>
      </c>
      <c r="C714" t="s">
        <v>166</v>
      </c>
      <c r="D714" t="s">
        <v>5976</v>
      </c>
      <c r="E714">
        <v>18</v>
      </c>
      <c r="F714" t="s">
        <v>5172</v>
      </c>
      <c r="G714" t="s">
        <v>1905</v>
      </c>
    </row>
    <row r="715" spans="1:7" hidden="1">
      <c r="A715" s="5" t="s">
        <v>2533</v>
      </c>
      <c r="B715" t="s">
        <v>5161</v>
      </c>
      <c r="C715" t="s">
        <v>166</v>
      </c>
      <c r="D715" t="s">
        <v>5977</v>
      </c>
      <c r="E715">
        <v>23</v>
      </c>
      <c r="F715" t="s">
        <v>5163</v>
      </c>
      <c r="G715" t="s">
        <v>5164</v>
      </c>
    </row>
    <row r="716" spans="1:7" hidden="1">
      <c r="A716" s="5" t="s">
        <v>2533</v>
      </c>
      <c r="B716" t="s">
        <v>5161</v>
      </c>
      <c r="C716" t="s">
        <v>166</v>
      </c>
      <c r="D716" t="s">
        <v>5978</v>
      </c>
      <c r="E716">
        <v>23</v>
      </c>
      <c r="F716" t="s">
        <v>5163</v>
      </c>
      <c r="G716" t="s">
        <v>5164</v>
      </c>
    </row>
    <row r="717" spans="1:7" hidden="1">
      <c r="A717" s="5" t="s">
        <v>3869</v>
      </c>
      <c r="B717" t="s">
        <v>5161</v>
      </c>
      <c r="C717" t="s">
        <v>166</v>
      </c>
      <c r="D717" t="s">
        <v>5979</v>
      </c>
      <c r="E717">
        <v>28</v>
      </c>
      <c r="F717" t="s">
        <v>5172</v>
      </c>
      <c r="G717" t="s">
        <v>1905</v>
      </c>
    </row>
    <row r="718" spans="1:7" hidden="1">
      <c r="A718" s="5" t="s">
        <v>3944</v>
      </c>
      <c r="B718" t="s">
        <v>5161</v>
      </c>
      <c r="C718" t="s">
        <v>166</v>
      </c>
      <c r="D718" t="s">
        <v>5980</v>
      </c>
      <c r="E718">
        <v>28</v>
      </c>
      <c r="F718" t="s">
        <v>5163</v>
      </c>
      <c r="G718" t="s">
        <v>5169</v>
      </c>
    </row>
    <row r="719" spans="1:7" hidden="1">
      <c r="A719" s="5" t="s">
        <v>3944</v>
      </c>
      <c r="B719" t="s">
        <v>5161</v>
      </c>
      <c r="C719" t="s">
        <v>166</v>
      </c>
      <c r="D719" t="s">
        <v>5981</v>
      </c>
      <c r="E719">
        <v>24</v>
      </c>
      <c r="F719" t="s">
        <v>5163</v>
      </c>
      <c r="G719" t="s">
        <v>1905</v>
      </c>
    </row>
    <row r="720" spans="1:7" hidden="1">
      <c r="A720" s="5" t="s">
        <v>4370</v>
      </c>
      <c r="B720" t="s">
        <v>5161</v>
      </c>
      <c r="C720" t="s">
        <v>166</v>
      </c>
      <c r="D720" t="s">
        <v>5982</v>
      </c>
      <c r="E720">
        <v>35</v>
      </c>
      <c r="F720" t="s">
        <v>5163</v>
      </c>
      <c r="G720" t="s">
        <v>1905</v>
      </c>
    </row>
    <row r="721" spans="1:7" hidden="1">
      <c r="A721" s="5" t="s">
        <v>3980</v>
      </c>
      <c r="B721" t="s">
        <v>5161</v>
      </c>
      <c r="C721" t="s">
        <v>166</v>
      </c>
      <c r="D721" t="s">
        <v>5983</v>
      </c>
      <c r="E721">
        <v>18</v>
      </c>
      <c r="F721" t="s">
        <v>5163</v>
      </c>
      <c r="G721" t="s">
        <v>5164</v>
      </c>
    </row>
    <row r="722" spans="1:7" hidden="1">
      <c r="A722" s="5" t="s">
        <v>3504</v>
      </c>
      <c r="B722" t="s">
        <v>5161</v>
      </c>
      <c r="C722" t="s">
        <v>166</v>
      </c>
      <c r="D722" t="s">
        <v>5984</v>
      </c>
      <c r="E722">
        <v>20</v>
      </c>
      <c r="F722" t="s">
        <v>5163</v>
      </c>
      <c r="G722" t="s">
        <v>1905</v>
      </c>
    </row>
    <row r="723" spans="1:7" hidden="1">
      <c r="A723" s="5" t="s">
        <v>3908</v>
      </c>
      <c r="B723" t="s">
        <v>5161</v>
      </c>
      <c r="C723" t="s">
        <v>166</v>
      </c>
      <c r="D723" t="s">
        <v>5985</v>
      </c>
      <c r="E723">
        <v>20</v>
      </c>
      <c r="F723" t="s">
        <v>5163</v>
      </c>
      <c r="G723" t="s">
        <v>5164</v>
      </c>
    </row>
    <row r="724" spans="1:7" hidden="1">
      <c r="A724" s="5" t="s">
        <v>2381</v>
      </c>
      <c r="B724" t="s">
        <v>5161</v>
      </c>
      <c r="C724" t="s">
        <v>166</v>
      </c>
      <c r="D724" t="s">
        <v>5986</v>
      </c>
      <c r="E724">
        <v>24</v>
      </c>
      <c r="F724" t="s">
        <v>5163</v>
      </c>
      <c r="G724" t="s">
        <v>5164</v>
      </c>
    </row>
    <row r="725" spans="1:7" hidden="1">
      <c r="A725" s="5" t="s">
        <v>2381</v>
      </c>
      <c r="B725" t="s">
        <v>5161</v>
      </c>
      <c r="C725" t="s">
        <v>166</v>
      </c>
      <c r="D725" t="s">
        <v>5987</v>
      </c>
      <c r="E725">
        <v>32</v>
      </c>
      <c r="F725" t="s">
        <v>5163</v>
      </c>
      <c r="G725" t="s">
        <v>1905</v>
      </c>
    </row>
    <row r="726" spans="1:7" hidden="1">
      <c r="A726" s="5" t="s">
        <v>3806</v>
      </c>
      <c r="B726" t="s">
        <v>5161</v>
      </c>
      <c r="C726" t="s">
        <v>166</v>
      </c>
      <c r="D726" t="s">
        <v>5988</v>
      </c>
      <c r="E726">
        <v>24</v>
      </c>
      <c r="F726" t="s">
        <v>5163</v>
      </c>
      <c r="G726" t="s">
        <v>1905</v>
      </c>
    </row>
    <row r="727" spans="1:7" hidden="1">
      <c r="A727" s="5" t="s">
        <v>3943</v>
      </c>
      <c r="B727" t="s">
        <v>5161</v>
      </c>
      <c r="C727" t="s">
        <v>166</v>
      </c>
      <c r="D727" t="s">
        <v>5989</v>
      </c>
      <c r="E727">
        <v>23</v>
      </c>
      <c r="F727" t="s">
        <v>5163</v>
      </c>
      <c r="G727" t="s">
        <v>1905</v>
      </c>
    </row>
    <row r="728" spans="1:7" hidden="1">
      <c r="A728" s="5" t="s">
        <v>2997</v>
      </c>
      <c r="B728" t="s">
        <v>5161</v>
      </c>
      <c r="C728" t="s">
        <v>166</v>
      </c>
      <c r="D728" t="s">
        <v>5990</v>
      </c>
      <c r="E728">
        <v>54</v>
      </c>
      <c r="F728" t="s">
        <v>5163</v>
      </c>
      <c r="G728" t="s">
        <v>5164</v>
      </c>
    </row>
    <row r="729" spans="1:7" hidden="1">
      <c r="A729" s="5" t="s">
        <v>2997</v>
      </c>
      <c r="B729" t="s">
        <v>5161</v>
      </c>
      <c r="C729" t="s">
        <v>166</v>
      </c>
      <c r="D729" t="s">
        <v>5991</v>
      </c>
      <c r="E729">
        <v>33</v>
      </c>
      <c r="F729" t="s">
        <v>5163</v>
      </c>
      <c r="G729" t="s">
        <v>5164</v>
      </c>
    </row>
    <row r="730" spans="1:7" hidden="1">
      <c r="A730" s="5" t="s">
        <v>2269</v>
      </c>
      <c r="B730" t="s">
        <v>5161</v>
      </c>
      <c r="C730" t="s">
        <v>166</v>
      </c>
      <c r="D730" t="s">
        <v>5992</v>
      </c>
      <c r="E730">
        <v>39</v>
      </c>
      <c r="F730" t="s">
        <v>5163</v>
      </c>
      <c r="G730" t="s">
        <v>1905</v>
      </c>
    </row>
    <row r="731" spans="1:7" hidden="1">
      <c r="A731" s="5" t="s">
        <v>2269</v>
      </c>
      <c r="B731" t="s">
        <v>5161</v>
      </c>
      <c r="C731" t="s">
        <v>166</v>
      </c>
      <c r="D731" t="s">
        <v>5993</v>
      </c>
      <c r="E731">
        <v>26</v>
      </c>
      <c r="F731" t="s">
        <v>5163</v>
      </c>
      <c r="G731" t="s">
        <v>5164</v>
      </c>
    </row>
    <row r="732" spans="1:7" hidden="1">
      <c r="A732" s="5" t="s">
        <v>2269</v>
      </c>
      <c r="B732" t="s">
        <v>5161</v>
      </c>
      <c r="C732" t="s">
        <v>166</v>
      </c>
      <c r="D732" t="s">
        <v>5994</v>
      </c>
      <c r="E732">
        <v>42</v>
      </c>
      <c r="F732" t="s">
        <v>5172</v>
      </c>
      <c r="G732" t="s">
        <v>1905</v>
      </c>
    </row>
    <row r="733" spans="1:7" hidden="1">
      <c r="A733" s="5" t="s">
        <v>3552</v>
      </c>
      <c r="B733" t="s">
        <v>5161</v>
      </c>
      <c r="C733" t="s">
        <v>166</v>
      </c>
      <c r="D733" t="s">
        <v>5995</v>
      </c>
      <c r="E733">
        <v>18</v>
      </c>
      <c r="F733" t="s">
        <v>5163</v>
      </c>
      <c r="G733" t="s">
        <v>5169</v>
      </c>
    </row>
    <row r="734" spans="1:7" hidden="1">
      <c r="A734" s="5" t="s">
        <v>3715</v>
      </c>
      <c r="B734" t="s">
        <v>5161</v>
      </c>
      <c r="C734" t="s">
        <v>166</v>
      </c>
      <c r="D734" t="s">
        <v>5996</v>
      </c>
      <c r="E734">
        <v>42</v>
      </c>
      <c r="F734" t="s">
        <v>5163</v>
      </c>
      <c r="G734" t="s">
        <v>5169</v>
      </c>
    </row>
    <row r="735" spans="1:7" hidden="1">
      <c r="A735" s="5" t="s">
        <v>3752</v>
      </c>
      <c r="B735" t="s">
        <v>5161</v>
      </c>
      <c r="C735" t="s">
        <v>166</v>
      </c>
      <c r="D735" t="s">
        <v>5997</v>
      </c>
      <c r="E735">
        <v>30</v>
      </c>
      <c r="F735" t="s">
        <v>5163</v>
      </c>
      <c r="G735" t="s">
        <v>5164</v>
      </c>
    </row>
    <row r="736" spans="1:7" hidden="1">
      <c r="A736" s="5" t="s">
        <v>3749</v>
      </c>
      <c r="B736" t="s">
        <v>5161</v>
      </c>
      <c r="C736" t="s">
        <v>166</v>
      </c>
      <c r="D736" t="s">
        <v>5829</v>
      </c>
      <c r="E736">
        <v>20</v>
      </c>
      <c r="F736" t="s">
        <v>5172</v>
      </c>
      <c r="G736" t="s">
        <v>1905</v>
      </c>
    </row>
    <row r="737" spans="1:7" hidden="1">
      <c r="A737" s="5" t="s">
        <v>3855</v>
      </c>
      <c r="B737" t="s">
        <v>5161</v>
      </c>
      <c r="C737" t="s">
        <v>166</v>
      </c>
      <c r="D737" t="s">
        <v>5998</v>
      </c>
      <c r="E737">
        <v>24</v>
      </c>
      <c r="F737" t="s">
        <v>5163</v>
      </c>
      <c r="G737" t="s">
        <v>5164</v>
      </c>
    </row>
    <row r="738" spans="1:7" hidden="1">
      <c r="A738" s="5" t="s">
        <v>3855</v>
      </c>
      <c r="B738" t="s">
        <v>5161</v>
      </c>
      <c r="C738" t="s">
        <v>166</v>
      </c>
      <c r="D738" t="s">
        <v>5999</v>
      </c>
      <c r="E738">
        <v>24</v>
      </c>
      <c r="F738" t="s">
        <v>5163</v>
      </c>
      <c r="G738" t="s">
        <v>5164</v>
      </c>
    </row>
    <row r="739" spans="1:7" hidden="1">
      <c r="A739" s="5" t="s">
        <v>162</v>
      </c>
      <c r="B739" t="s">
        <v>5161</v>
      </c>
      <c r="C739" t="s">
        <v>166</v>
      </c>
      <c r="D739" t="s">
        <v>6000</v>
      </c>
      <c r="E739">
        <v>19</v>
      </c>
      <c r="F739" t="s">
        <v>5163</v>
      </c>
      <c r="G739" t="s">
        <v>5164</v>
      </c>
    </row>
    <row r="740" spans="1:7" hidden="1">
      <c r="A740" s="5" t="s">
        <v>162</v>
      </c>
      <c r="B740" t="s">
        <v>5161</v>
      </c>
      <c r="C740" t="s">
        <v>166</v>
      </c>
      <c r="D740" t="s">
        <v>586</v>
      </c>
      <c r="E740">
        <v>23</v>
      </c>
      <c r="F740" t="s">
        <v>5172</v>
      </c>
      <c r="G740" t="s">
        <v>5164</v>
      </c>
    </row>
    <row r="741" spans="1:7" hidden="1">
      <c r="A741" s="5" t="s">
        <v>3028</v>
      </c>
      <c r="B741" t="s">
        <v>5161</v>
      </c>
      <c r="C741" t="s">
        <v>166</v>
      </c>
      <c r="D741" t="s">
        <v>6001</v>
      </c>
      <c r="E741">
        <v>38</v>
      </c>
      <c r="F741" t="s">
        <v>5163</v>
      </c>
      <c r="G741" t="s">
        <v>5164</v>
      </c>
    </row>
    <row r="742" spans="1:7" hidden="1">
      <c r="A742" s="5" t="s">
        <v>6002</v>
      </c>
      <c r="B742" t="s">
        <v>5161</v>
      </c>
      <c r="C742" t="s">
        <v>166</v>
      </c>
      <c r="D742" t="s">
        <v>6003</v>
      </c>
      <c r="E742">
        <v>42</v>
      </c>
      <c r="F742" t="s">
        <v>5163</v>
      </c>
      <c r="G742" t="s">
        <v>5169</v>
      </c>
    </row>
    <row r="743" spans="1:7" hidden="1">
      <c r="A743" s="5" t="s">
        <v>6002</v>
      </c>
      <c r="B743" t="s">
        <v>5161</v>
      </c>
      <c r="C743" t="s">
        <v>166</v>
      </c>
      <c r="D743" t="s">
        <v>6004</v>
      </c>
      <c r="E743">
        <v>45</v>
      </c>
      <c r="F743" t="s">
        <v>5163</v>
      </c>
      <c r="G743" t="s">
        <v>1905</v>
      </c>
    </row>
    <row r="744" spans="1:7" hidden="1">
      <c r="A744" s="5" t="s">
        <v>2989</v>
      </c>
      <c r="B744" t="s">
        <v>5161</v>
      </c>
      <c r="C744" t="s">
        <v>166</v>
      </c>
      <c r="D744" t="s">
        <v>6005</v>
      </c>
      <c r="E744">
        <v>29</v>
      </c>
      <c r="F744" t="s">
        <v>5163</v>
      </c>
      <c r="G744" t="s">
        <v>5164</v>
      </c>
    </row>
    <row r="745" spans="1:7" hidden="1">
      <c r="A745" s="5" t="s">
        <v>3442</v>
      </c>
      <c r="B745" t="s">
        <v>5161</v>
      </c>
      <c r="C745" t="s">
        <v>166</v>
      </c>
      <c r="D745" t="s">
        <v>6006</v>
      </c>
      <c r="E745">
        <v>40</v>
      </c>
      <c r="F745" t="s">
        <v>5163</v>
      </c>
      <c r="G745" t="s">
        <v>5169</v>
      </c>
    </row>
    <row r="746" spans="1:7" hidden="1">
      <c r="A746" s="5" t="s">
        <v>3225</v>
      </c>
      <c r="B746" t="s">
        <v>5161</v>
      </c>
      <c r="C746" t="s">
        <v>166</v>
      </c>
      <c r="D746" t="s">
        <v>6007</v>
      </c>
      <c r="E746">
        <v>24</v>
      </c>
      <c r="F746" t="s">
        <v>5163</v>
      </c>
      <c r="G746" t="s">
        <v>5169</v>
      </c>
    </row>
    <row r="747" spans="1:7" hidden="1">
      <c r="A747" s="5" t="s">
        <v>3650</v>
      </c>
      <c r="B747" t="s">
        <v>5161</v>
      </c>
      <c r="C747" t="s">
        <v>166</v>
      </c>
      <c r="D747" t="s">
        <v>6008</v>
      </c>
      <c r="E747">
        <v>22</v>
      </c>
      <c r="F747" t="s">
        <v>5163</v>
      </c>
      <c r="G747" t="s">
        <v>5164</v>
      </c>
    </row>
    <row r="748" spans="1:7" hidden="1">
      <c r="A748" s="5" t="s">
        <v>3471</v>
      </c>
      <c r="B748" t="s">
        <v>5161</v>
      </c>
      <c r="C748" t="s">
        <v>166</v>
      </c>
      <c r="D748" t="s">
        <v>6009</v>
      </c>
      <c r="E748">
        <v>26</v>
      </c>
      <c r="F748" t="s">
        <v>5163</v>
      </c>
      <c r="G748" t="s">
        <v>5164</v>
      </c>
    </row>
    <row r="749" spans="1:7" hidden="1">
      <c r="A749" s="5" t="s">
        <v>3221</v>
      </c>
      <c r="B749" t="s">
        <v>5161</v>
      </c>
      <c r="C749" t="s">
        <v>166</v>
      </c>
      <c r="D749" t="s">
        <v>6010</v>
      </c>
      <c r="E749">
        <v>22</v>
      </c>
      <c r="F749" t="s">
        <v>5163</v>
      </c>
      <c r="G749" t="s">
        <v>5164</v>
      </c>
    </row>
    <row r="750" spans="1:7" hidden="1">
      <c r="A750" s="5" t="s">
        <v>2456</v>
      </c>
      <c r="B750" t="s">
        <v>5161</v>
      </c>
      <c r="C750" t="s">
        <v>166</v>
      </c>
      <c r="D750" t="s">
        <v>6011</v>
      </c>
      <c r="E750">
        <v>36</v>
      </c>
      <c r="F750" t="s">
        <v>5163</v>
      </c>
      <c r="G750" t="s">
        <v>5164</v>
      </c>
    </row>
    <row r="751" spans="1:7" hidden="1">
      <c r="A751" s="5" t="s">
        <v>3779</v>
      </c>
      <c r="B751" t="s">
        <v>5161</v>
      </c>
      <c r="C751" t="s">
        <v>166</v>
      </c>
      <c r="D751" t="s">
        <v>6012</v>
      </c>
      <c r="E751">
        <v>39</v>
      </c>
      <c r="F751" t="s">
        <v>5163</v>
      </c>
      <c r="G751" t="s">
        <v>5164</v>
      </c>
    </row>
    <row r="752" spans="1:7" hidden="1">
      <c r="A752" s="5" t="s">
        <v>2508</v>
      </c>
      <c r="B752" t="s">
        <v>5161</v>
      </c>
      <c r="C752" t="s">
        <v>166</v>
      </c>
      <c r="D752" t="s">
        <v>6013</v>
      </c>
      <c r="E752">
        <v>20</v>
      </c>
      <c r="F752" t="s">
        <v>5163</v>
      </c>
      <c r="G752" t="s">
        <v>5169</v>
      </c>
    </row>
    <row r="753" spans="1:7" hidden="1">
      <c r="A753" s="5" t="s">
        <v>2508</v>
      </c>
      <c r="B753" t="s">
        <v>5161</v>
      </c>
      <c r="C753" t="s">
        <v>166</v>
      </c>
      <c r="D753" t="s">
        <v>6014</v>
      </c>
      <c r="E753">
        <v>23</v>
      </c>
      <c r="F753" t="s">
        <v>5163</v>
      </c>
      <c r="G753" t="s">
        <v>5164</v>
      </c>
    </row>
    <row r="754" spans="1:7" hidden="1">
      <c r="A754" s="5" t="s">
        <v>4931</v>
      </c>
      <c r="B754" t="s">
        <v>5161</v>
      </c>
      <c r="C754" t="s">
        <v>166</v>
      </c>
      <c r="D754" t="s">
        <v>6015</v>
      </c>
      <c r="E754">
        <v>32</v>
      </c>
      <c r="F754" t="s">
        <v>5163</v>
      </c>
      <c r="G754" t="s">
        <v>5164</v>
      </c>
    </row>
    <row r="755" spans="1:7" hidden="1">
      <c r="A755" s="5" t="s">
        <v>3105</v>
      </c>
      <c r="B755" t="s">
        <v>5161</v>
      </c>
      <c r="C755" t="s">
        <v>166</v>
      </c>
      <c r="D755" t="s">
        <v>6016</v>
      </c>
      <c r="E755">
        <v>18</v>
      </c>
      <c r="F755" t="s">
        <v>5163</v>
      </c>
      <c r="G755" t="s">
        <v>5169</v>
      </c>
    </row>
    <row r="756" spans="1:7" hidden="1">
      <c r="A756" s="5" t="s">
        <v>4872</v>
      </c>
      <c r="B756" t="s">
        <v>5161</v>
      </c>
      <c r="C756" t="s">
        <v>166</v>
      </c>
      <c r="D756" t="s">
        <v>6017</v>
      </c>
      <c r="E756">
        <v>19</v>
      </c>
      <c r="F756" t="s">
        <v>5163</v>
      </c>
      <c r="G756" t="s">
        <v>1905</v>
      </c>
    </row>
    <row r="757" spans="1:7" hidden="1">
      <c r="A757" s="5" t="s">
        <v>4872</v>
      </c>
      <c r="B757" t="s">
        <v>5161</v>
      </c>
      <c r="C757" t="s">
        <v>166</v>
      </c>
      <c r="D757" t="s">
        <v>6018</v>
      </c>
      <c r="E757">
        <v>22</v>
      </c>
      <c r="F757" t="s">
        <v>5163</v>
      </c>
      <c r="G757" t="s">
        <v>5164</v>
      </c>
    </row>
    <row r="758" spans="1:7" hidden="1">
      <c r="A758" s="5" t="s">
        <v>3285</v>
      </c>
      <c r="B758" t="s">
        <v>5161</v>
      </c>
      <c r="C758" t="s">
        <v>166</v>
      </c>
      <c r="D758" t="s">
        <v>6019</v>
      </c>
      <c r="E758">
        <v>34</v>
      </c>
      <c r="F758" t="s">
        <v>5163</v>
      </c>
      <c r="G758" t="s">
        <v>1905</v>
      </c>
    </row>
    <row r="759" spans="1:7" hidden="1">
      <c r="A759" s="5" t="s">
        <v>2599</v>
      </c>
      <c r="B759" t="s">
        <v>5161</v>
      </c>
      <c r="C759" t="s">
        <v>166</v>
      </c>
      <c r="D759" t="s">
        <v>6020</v>
      </c>
      <c r="E759">
        <v>28</v>
      </c>
      <c r="F759" t="s">
        <v>5163</v>
      </c>
      <c r="G759" t="s">
        <v>5164</v>
      </c>
    </row>
    <row r="760" spans="1:7" hidden="1">
      <c r="A760" s="5" t="s">
        <v>3984</v>
      </c>
      <c r="B760" t="s">
        <v>5161</v>
      </c>
      <c r="C760" t="s">
        <v>166</v>
      </c>
      <c r="D760" t="s">
        <v>6021</v>
      </c>
      <c r="E760">
        <v>29</v>
      </c>
      <c r="F760" t="s">
        <v>5163</v>
      </c>
      <c r="G760" t="s">
        <v>1905</v>
      </c>
    </row>
    <row r="761" spans="1:7" hidden="1">
      <c r="A761" s="5" t="s">
        <v>165</v>
      </c>
      <c r="B761" t="s">
        <v>5161</v>
      </c>
      <c r="C761" t="s">
        <v>166</v>
      </c>
      <c r="D761" t="s">
        <v>6022</v>
      </c>
      <c r="E761">
        <v>19</v>
      </c>
      <c r="F761" t="s">
        <v>5163</v>
      </c>
      <c r="G761" t="s">
        <v>1905</v>
      </c>
    </row>
    <row r="762" spans="1:7" hidden="1">
      <c r="A762" s="5" t="s">
        <v>2704</v>
      </c>
      <c r="B762" t="s">
        <v>5161</v>
      </c>
      <c r="C762" t="s">
        <v>166</v>
      </c>
      <c r="D762" t="s">
        <v>6023</v>
      </c>
      <c r="E762">
        <v>22</v>
      </c>
      <c r="F762" t="s">
        <v>5163</v>
      </c>
      <c r="G762" t="s">
        <v>5164</v>
      </c>
    </row>
    <row r="763" spans="1:7" hidden="1">
      <c r="A763" s="5" t="s">
        <v>2417</v>
      </c>
      <c r="B763" t="s">
        <v>5161</v>
      </c>
      <c r="C763" t="s">
        <v>166</v>
      </c>
      <c r="D763" t="s">
        <v>6024</v>
      </c>
      <c r="E763">
        <v>27</v>
      </c>
      <c r="F763" t="s">
        <v>5163</v>
      </c>
      <c r="G763" t="s">
        <v>5169</v>
      </c>
    </row>
    <row r="764" spans="1:7" hidden="1">
      <c r="A764" s="5" t="s">
        <v>2098</v>
      </c>
      <c r="B764" t="s">
        <v>5161</v>
      </c>
      <c r="C764" t="s">
        <v>166</v>
      </c>
      <c r="D764" t="s">
        <v>6025</v>
      </c>
      <c r="E764">
        <v>25</v>
      </c>
      <c r="F764" t="s">
        <v>5163</v>
      </c>
      <c r="G764" t="s">
        <v>1905</v>
      </c>
    </row>
    <row r="765" spans="1:7" hidden="1">
      <c r="A765" s="5" t="s">
        <v>2098</v>
      </c>
      <c r="B765" t="s">
        <v>5161</v>
      </c>
      <c r="C765" t="s">
        <v>166</v>
      </c>
      <c r="D765" t="s">
        <v>6026</v>
      </c>
      <c r="E765">
        <v>32</v>
      </c>
      <c r="F765" t="s">
        <v>5163</v>
      </c>
      <c r="G765" t="s">
        <v>1905</v>
      </c>
    </row>
    <row r="766" spans="1:7" hidden="1">
      <c r="A766" s="5" t="s">
        <v>3590</v>
      </c>
      <c r="B766" t="s">
        <v>5161</v>
      </c>
      <c r="C766" t="s">
        <v>166</v>
      </c>
      <c r="D766" t="s">
        <v>6027</v>
      </c>
      <c r="E766">
        <v>21</v>
      </c>
      <c r="F766" t="s">
        <v>5163</v>
      </c>
      <c r="G766" t="s">
        <v>5164</v>
      </c>
    </row>
    <row r="767" spans="1:7" hidden="1">
      <c r="A767" s="5" t="s">
        <v>4956</v>
      </c>
      <c r="B767" t="s">
        <v>5161</v>
      </c>
      <c r="C767" t="s">
        <v>166</v>
      </c>
      <c r="D767" t="s">
        <v>6028</v>
      </c>
      <c r="E767">
        <v>20</v>
      </c>
      <c r="F767" t="s">
        <v>5163</v>
      </c>
      <c r="G767" t="s">
        <v>5164</v>
      </c>
    </row>
    <row r="768" spans="1:7" hidden="1">
      <c r="A768" s="5" t="s">
        <v>4956</v>
      </c>
      <c r="B768" t="s">
        <v>5161</v>
      </c>
      <c r="C768" t="s">
        <v>166</v>
      </c>
      <c r="D768" t="s">
        <v>6029</v>
      </c>
      <c r="E768" t="s">
        <v>5182</v>
      </c>
      <c r="F768" t="s">
        <v>5163</v>
      </c>
      <c r="G768" t="s">
        <v>5169</v>
      </c>
    </row>
    <row r="769" spans="1:7" hidden="1">
      <c r="A769" s="5" t="s">
        <v>2505</v>
      </c>
      <c r="B769" t="s">
        <v>5161</v>
      </c>
      <c r="C769" t="s">
        <v>166</v>
      </c>
      <c r="D769" t="s">
        <v>6030</v>
      </c>
      <c r="E769">
        <v>25</v>
      </c>
      <c r="F769" t="s">
        <v>5163</v>
      </c>
      <c r="G769" t="s">
        <v>5164</v>
      </c>
    </row>
    <row r="770" spans="1:7" hidden="1">
      <c r="A770" s="5" t="s">
        <v>2612</v>
      </c>
      <c r="B770" t="s">
        <v>5161</v>
      </c>
      <c r="C770" t="s">
        <v>166</v>
      </c>
      <c r="D770" t="s">
        <v>6031</v>
      </c>
      <c r="E770">
        <v>30</v>
      </c>
      <c r="F770" t="s">
        <v>5163</v>
      </c>
      <c r="G770" t="s">
        <v>5164</v>
      </c>
    </row>
    <row r="771" spans="1:7" hidden="1">
      <c r="A771" s="5" t="s">
        <v>2447</v>
      </c>
      <c r="B771" t="s">
        <v>5161</v>
      </c>
      <c r="C771" t="s">
        <v>166</v>
      </c>
      <c r="D771" t="s">
        <v>6032</v>
      </c>
      <c r="E771">
        <v>24</v>
      </c>
      <c r="F771" t="s">
        <v>5163</v>
      </c>
      <c r="G771" t="s">
        <v>5169</v>
      </c>
    </row>
    <row r="772" spans="1:7" hidden="1">
      <c r="A772" s="5" t="s">
        <v>6033</v>
      </c>
      <c r="B772" t="s">
        <v>5161</v>
      </c>
      <c r="C772" t="s">
        <v>166</v>
      </c>
      <c r="D772" t="s">
        <v>6034</v>
      </c>
      <c r="E772">
        <v>29</v>
      </c>
      <c r="F772" t="s">
        <v>5163</v>
      </c>
      <c r="G772" t="s">
        <v>1905</v>
      </c>
    </row>
    <row r="773" spans="1:7" hidden="1">
      <c r="A773" s="5" t="s">
        <v>4974</v>
      </c>
      <c r="B773" t="s">
        <v>5161</v>
      </c>
      <c r="C773" t="s">
        <v>166</v>
      </c>
      <c r="D773" t="s">
        <v>6035</v>
      </c>
      <c r="E773">
        <v>56</v>
      </c>
      <c r="F773" t="s">
        <v>5163</v>
      </c>
      <c r="G773" t="s">
        <v>5164</v>
      </c>
    </row>
    <row r="774" spans="1:7" hidden="1">
      <c r="A774" s="5" t="s">
        <v>4014</v>
      </c>
      <c r="B774" t="s">
        <v>5161</v>
      </c>
      <c r="C774" t="s">
        <v>166</v>
      </c>
      <c r="D774" t="s">
        <v>6036</v>
      </c>
      <c r="E774">
        <v>18</v>
      </c>
      <c r="F774" t="s">
        <v>5163</v>
      </c>
      <c r="G774" t="s">
        <v>5164</v>
      </c>
    </row>
    <row r="775" spans="1:7" hidden="1">
      <c r="A775" s="5" t="s">
        <v>2468</v>
      </c>
      <c r="B775" t="s">
        <v>5161</v>
      </c>
      <c r="C775" t="s">
        <v>166</v>
      </c>
      <c r="D775" t="s">
        <v>6037</v>
      </c>
      <c r="E775">
        <v>28</v>
      </c>
      <c r="F775" t="s">
        <v>5163</v>
      </c>
      <c r="G775" t="s">
        <v>5164</v>
      </c>
    </row>
    <row r="776" spans="1:7" hidden="1">
      <c r="A776" s="5" t="s">
        <v>4192</v>
      </c>
      <c r="B776" t="s">
        <v>5161</v>
      </c>
      <c r="C776" t="s">
        <v>166</v>
      </c>
      <c r="D776" t="s">
        <v>6038</v>
      </c>
      <c r="E776">
        <v>24</v>
      </c>
      <c r="F776" t="s">
        <v>5163</v>
      </c>
      <c r="G776" t="s">
        <v>1905</v>
      </c>
    </row>
    <row r="777" spans="1:7" hidden="1">
      <c r="A777" s="5" t="s">
        <v>4192</v>
      </c>
      <c r="B777" t="s">
        <v>5161</v>
      </c>
      <c r="C777" t="s">
        <v>166</v>
      </c>
      <c r="D777" t="s">
        <v>6039</v>
      </c>
      <c r="E777">
        <v>26</v>
      </c>
      <c r="F777" t="s">
        <v>5163</v>
      </c>
      <c r="G777" t="s">
        <v>1905</v>
      </c>
    </row>
    <row r="778" spans="1:7" hidden="1">
      <c r="A778" s="5" t="s">
        <v>4192</v>
      </c>
      <c r="B778" t="s">
        <v>5161</v>
      </c>
      <c r="C778" t="s">
        <v>166</v>
      </c>
      <c r="D778" t="s">
        <v>6040</v>
      </c>
      <c r="E778">
        <v>27</v>
      </c>
      <c r="F778" t="s">
        <v>5172</v>
      </c>
      <c r="G778" t="s">
        <v>5164</v>
      </c>
    </row>
    <row r="779" spans="1:7" hidden="1">
      <c r="A779" s="5" t="s">
        <v>159</v>
      </c>
      <c r="B779" t="s">
        <v>5161</v>
      </c>
      <c r="C779" t="s">
        <v>166</v>
      </c>
      <c r="D779" t="s">
        <v>6041</v>
      </c>
      <c r="E779">
        <v>54</v>
      </c>
      <c r="F779" t="s">
        <v>5163</v>
      </c>
      <c r="G779" t="s">
        <v>1905</v>
      </c>
    </row>
    <row r="780" spans="1:7" hidden="1">
      <c r="A780" s="5" t="s">
        <v>159</v>
      </c>
      <c r="B780" t="s">
        <v>5161</v>
      </c>
      <c r="C780" t="s">
        <v>166</v>
      </c>
      <c r="D780" t="s">
        <v>6042</v>
      </c>
      <c r="E780">
        <v>32</v>
      </c>
      <c r="F780" t="s">
        <v>5163</v>
      </c>
      <c r="G780" t="s">
        <v>5169</v>
      </c>
    </row>
    <row r="781" spans="1:7" hidden="1">
      <c r="A781" s="5" t="s">
        <v>164</v>
      </c>
      <c r="B781" t="s">
        <v>5161</v>
      </c>
      <c r="C781" t="s">
        <v>166</v>
      </c>
      <c r="D781" t="s">
        <v>6043</v>
      </c>
      <c r="E781">
        <v>32</v>
      </c>
      <c r="F781" t="s">
        <v>5172</v>
      </c>
      <c r="G781" t="s">
        <v>5164</v>
      </c>
    </row>
    <row r="782" spans="1:7" hidden="1">
      <c r="A782" s="5" t="s">
        <v>4699</v>
      </c>
      <c r="B782" t="s">
        <v>5161</v>
      </c>
      <c r="C782" t="s">
        <v>166</v>
      </c>
      <c r="D782" t="s">
        <v>6044</v>
      </c>
      <c r="E782">
        <v>43</v>
      </c>
      <c r="F782" t="s">
        <v>5163</v>
      </c>
      <c r="G782" t="s">
        <v>1905</v>
      </c>
    </row>
    <row r="783" spans="1:7" hidden="1">
      <c r="A783" s="5" t="s">
        <v>4699</v>
      </c>
      <c r="B783" t="s">
        <v>5161</v>
      </c>
      <c r="C783" t="s">
        <v>166</v>
      </c>
      <c r="D783" t="s">
        <v>6045</v>
      </c>
      <c r="E783">
        <v>20</v>
      </c>
      <c r="F783" t="s">
        <v>5163</v>
      </c>
      <c r="G783" t="s">
        <v>1905</v>
      </c>
    </row>
    <row r="784" spans="1:7" hidden="1">
      <c r="A784" s="5" t="s">
        <v>4699</v>
      </c>
      <c r="B784" t="s">
        <v>5161</v>
      </c>
      <c r="C784" t="s">
        <v>166</v>
      </c>
      <c r="D784" t="s">
        <v>6046</v>
      </c>
      <c r="E784">
        <v>41</v>
      </c>
      <c r="F784" t="s">
        <v>5172</v>
      </c>
      <c r="G784" t="s">
        <v>5164</v>
      </c>
    </row>
    <row r="785" spans="1:7" hidden="1">
      <c r="A785" s="5" t="s">
        <v>4699</v>
      </c>
      <c r="B785" t="s">
        <v>5161</v>
      </c>
      <c r="C785" t="s">
        <v>166</v>
      </c>
      <c r="D785" t="s">
        <v>6047</v>
      </c>
      <c r="E785">
        <v>22</v>
      </c>
      <c r="F785" t="s">
        <v>5163</v>
      </c>
      <c r="G785" t="s">
        <v>5164</v>
      </c>
    </row>
    <row r="786" spans="1:7" hidden="1">
      <c r="A786" s="5" t="s">
        <v>4699</v>
      </c>
      <c r="B786" t="s">
        <v>5161</v>
      </c>
      <c r="C786" t="s">
        <v>166</v>
      </c>
      <c r="D786" t="s">
        <v>6048</v>
      </c>
      <c r="E786">
        <v>38</v>
      </c>
      <c r="F786" t="s">
        <v>5163</v>
      </c>
      <c r="G786" t="s">
        <v>1905</v>
      </c>
    </row>
    <row r="787" spans="1:7" hidden="1">
      <c r="A787" s="5" t="s">
        <v>4197</v>
      </c>
      <c r="B787" t="s">
        <v>5161</v>
      </c>
      <c r="C787" t="s">
        <v>166</v>
      </c>
      <c r="D787" t="s">
        <v>6049</v>
      </c>
      <c r="E787">
        <v>44</v>
      </c>
      <c r="F787" t="s">
        <v>5163</v>
      </c>
      <c r="G787" t="s">
        <v>1905</v>
      </c>
    </row>
    <row r="788" spans="1:7" hidden="1">
      <c r="A788" s="5" t="s">
        <v>2293</v>
      </c>
      <c r="B788" t="s">
        <v>5161</v>
      </c>
      <c r="C788" t="s">
        <v>166</v>
      </c>
      <c r="D788" t="s">
        <v>6050</v>
      </c>
      <c r="E788">
        <v>25</v>
      </c>
      <c r="F788" t="s">
        <v>5163</v>
      </c>
      <c r="G788" t="s">
        <v>1905</v>
      </c>
    </row>
    <row r="789" spans="1:7" hidden="1">
      <c r="A789" s="5" t="s">
        <v>6051</v>
      </c>
      <c r="B789" t="s">
        <v>5161</v>
      </c>
      <c r="C789" t="s">
        <v>166</v>
      </c>
      <c r="D789" t="s">
        <v>6052</v>
      </c>
      <c r="E789">
        <v>28</v>
      </c>
      <c r="F789" t="s">
        <v>5163</v>
      </c>
      <c r="G789" t="s">
        <v>5164</v>
      </c>
    </row>
    <row r="790" spans="1:7" hidden="1">
      <c r="A790" s="5" t="s">
        <v>6051</v>
      </c>
      <c r="B790" t="s">
        <v>5161</v>
      </c>
      <c r="C790" t="s">
        <v>166</v>
      </c>
      <c r="D790" t="s">
        <v>6053</v>
      </c>
      <c r="E790">
        <v>28</v>
      </c>
      <c r="F790" t="s">
        <v>5163</v>
      </c>
      <c r="G790" t="s">
        <v>5164</v>
      </c>
    </row>
    <row r="791" spans="1:7" hidden="1">
      <c r="A791" s="5" t="s">
        <v>5054</v>
      </c>
      <c r="B791" t="s">
        <v>5161</v>
      </c>
      <c r="C791" t="s">
        <v>166</v>
      </c>
      <c r="D791" t="s">
        <v>6054</v>
      </c>
      <c r="E791">
        <v>26</v>
      </c>
      <c r="F791" t="s">
        <v>5163</v>
      </c>
      <c r="G791" t="s">
        <v>5164</v>
      </c>
    </row>
    <row r="792" spans="1:7" hidden="1">
      <c r="A792" s="5" t="s">
        <v>3141</v>
      </c>
      <c r="B792" t="s">
        <v>5161</v>
      </c>
      <c r="C792" t="s">
        <v>166</v>
      </c>
      <c r="D792" t="s">
        <v>6055</v>
      </c>
      <c r="E792">
        <v>19</v>
      </c>
      <c r="F792" t="s">
        <v>5163</v>
      </c>
      <c r="G792" t="s">
        <v>1905</v>
      </c>
    </row>
    <row r="793" spans="1:7" hidden="1">
      <c r="A793" s="5" t="s">
        <v>5051</v>
      </c>
      <c r="B793" t="s">
        <v>5161</v>
      </c>
      <c r="C793" t="s">
        <v>166</v>
      </c>
      <c r="D793" t="s">
        <v>6056</v>
      </c>
      <c r="E793">
        <v>31</v>
      </c>
      <c r="F793" t="s">
        <v>5163</v>
      </c>
      <c r="G793" t="s">
        <v>5169</v>
      </c>
    </row>
    <row r="794" spans="1:7" hidden="1">
      <c r="A794" s="5" t="s">
        <v>2996</v>
      </c>
      <c r="B794" t="s">
        <v>5161</v>
      </c>
      <c r="C794" t="s">
        <v>166</v>
      </c>
      <c r="D794" t="s">
        <v>6057</v>
      </c>
      <c r="E794">
        <v>32</v>
      </c>
      <c r="F794" t="s">
        <v>5163</v>
      </c>
      <c r="G794" t="s">
        <v>5164</v>
      </c>
    </row>
    <row r="795" spans="1:7" hidden="1">
      <c r="A795" s="5" t="s">
        <v>3057</v>
      </c>
      <c r="B795" t="s">
        <v>5161</v>
      </c>
      <c r="C795" t="s">
        <v>166</v>
      </c>
      <c r="D795" t="s">
        <v>6058</v>
      </c>
      <c r="E795">
        <v>31</v>
      </c>
      <c r="F795" t="s">
        <v>5163</v>
      </c>
      <c r="G795" t="s">
        <v>1905</v>
      </c>
    </row>
    <row r="796" spans="1:7" hidden="1">
      <c r="A796" s="5" t="s">
        <v>4039</v>
      </c>
      <c r="B796" t="s">
        <v>5161</v>
      </c>
      <c r="C796" t="s">
        <v>166</v>
      </c>
      <c r="D796" t="s">
        <v>6059</v>
      </c>
      <c r="E796">
        <v>53</v>
      </c>
      <c r="F796" t="s">
        <v>5172</v>
      </c>
      <c r="G796" t="s">
        <v>5169</v>
      </c>
    </row>
    <row r="797" spans="1:7" hidden="1">
      <c r="A797" s="5" t="s">
        <v>4193</v>
      </c>
      <c r="B797" t="s">
        <v>5161</v>
      </c>
      <c r="C797" t="s">
        <v>166</v>
      </c>
      <c r="D797" t="s">
        <v>6060</v>
      </c>
      <c r="E797">
        <v>40</v>
      </c>
      <c r="F797" t="s">
        <v>5172</v>
      </c>
      <c r="G797" t="s">
        <v>5164</v>
      </c>
    </row>
    <row r="798" spans="1:7" hidden="1">
      <c r="A798" s="5" t="s">
        <v>4528</v>
      </c>
      <c r="B798" t="s">
        <v>5161</v>
      </c>
      <c r="C798" t="s">
        <v>166</v>
      </c>
      <c r="D798" t="s">
        <v>6061</v>
      </c>
      <c r="E798">
        <v>25</v>
      </c>
      <c r="F798" t="s">
        <v>5163</v>
      </c>
      <c r="G798" t="s">
        <v>5169</v>
      </c>
    </row>
    <row r="799" spans="1:7" hidden="1">
      <c r="A799" s="5" t="s">
        <v>3617</v>
      </c>
      <c r="B799" t="s">
        <v>5161</v>
      </c>
      <c r="C799" t="s">
        <v>166</v>
      </c>
      <c r="D799" t="s">
        <v>6062</v>
      </c>
      <c r="E799">
        <v>20</v>
      </c>
      <c r="F799" t="s">
        <v>5163</v>
      </c>
      <c r="G799" t="s">
        <v>5164</v>
      </c>
    </row>
    <row r="800" spans="1:7" hidden="1">
      <c r="A800" s="5" t="s">
        <v>2160</v>
      </c>
      <c r="B800" t="s">
        <v>5161</v>
      </c>
      <c r="C800" t="s">
        <v>166</v>
      </c>
      <c r="D800" t="s">
        <v>6063</v>
      </c>
      <c r="E800">
        <v>21</v>
      </c>
      <c r="F800" t="s">
        <v>5163</v>
      </c>
      <c r="G800" t="s">
        <v>5164</v>
      </c>
    </row>
    <row r="801" spans="1:7" hidden="1">
      <c r="A801" s="5" t="s">
        <v>3101</v>
      </c>
      <c r="B801" t="s">
        <v>5161</v>
      </c>
      <c r="C801" t="s">
        <v>166</v>
      </c>
      <c r="D801" t="s">
        <v>6064</v>
      </c>
      <c r="E801">
        <v>29</v>
      </c>
      <c r="F801" t="s">
        <v>5163</v>
      </c>
      <c r="G801" t="s">
        <v>5164</v>
      </c>
    </row>
    <row r="802" spans="1:7" hidden="1">
      <c r="A802" s="5" t="s">
        <v>3828</v>
      </c>
      <c r="B802" t="s">
        <v>5161</v>
      </c>
      <c r="C802" t="s">
        <v>166</v>
      </c>
      <c r="D802" t="s">
        <v>6065</v>
      </c>
      <c r="E802">
        <v>27</v>
      </c>
      <c r="F802" t="s">
        <v>5163</v>
      </c>
      <c r="G802" t="s">
        <v>5164</v>
      </c>
    </row>
    <row r="803" spans="1:7" hidden="1">
      <c r="A803" s="5" t="s">
        <v>3828</v>
      </c>
      <c r="B803" t="s">
        <v>5161</v>
      </c>
      <c r="C803" t="s">
        <v>166</v>
      </c>
      <c r="D803" t="s">
        <v>6066</v>
      </c>
      <c r="E803">
        <v>26</v>
      </c>
      <c r="F803" t="s">
        <v>5163</v>
      </c>
      <c r="G803" t="s">
        <v>5164</v>
      </c>
    </row>
    <row r="804" spans="1:7" hidden="1">
      <c r="A804" s="5" t="s">
        <v>4167</v>
      </c>
      <c r="B804" t="s">
        <v>5161</v>
      </c>
      <c r="C804" t="s">
        <v>166</v>
      </c>
      <c r="D804" t="s">
        <v>6067</v>
      </c>
      <c r="E804">
        <v>21</v>
      </c>
      <c r="F804" t="s">
        <v>5163</v>
      </c>
      <c r="G804" t="s">
        <v>5164</v>
      </c>
    </row>
    <row r="805" spans="1:7" hidden="1">
      <c r="A805" s="5" t="s">
        <v>4291</v>
      </c>
      <c r="B805" t="s">
        <v>5161</v>
      </c>
      <c r="C805" t="s">
        <v>166</v>
      </c>
      <c r="D805" t="s">
        <v>6068</v>
      </c>
      <c r="E805">
        <v>19</v>
      </c>
      <c r="F805" t="s">
        <v>5163</v>
      </c>
      <c r="G805" t="s">
        <v>5169</v>
      </c>
    </row>
    <row r="806" spans="1:7" hidden="1">
      <c r="A806" s="5" t="s">
        <v>6069</v>
      </c>
      <c r="B806" t="s">
        <v>5161</v>
      </c>
      <c r="C806" t="s">
        <v>166</v>
      </c>
      <c r="D806" t="s">
        <v>6070</v>
      </c>
      <c r="E806">
        <v>28</v>
      </c>
      <c r="F806" t="s">
        <v>5172</v>
      </c>
      <c r="G806" t="s">
        <v>5164</v>
      </c>
    </row>
    <row r="807" spans="1:7" hidden="1">
      <c r="A807" s="5" t="s">
        <v>3970</v>
      </c>
      <c r="B807" t="s">
        <v>5161</v>
      </c>
      <c r="C807" t="s">
        <v>166</v>
      </c>
      <c r="D807" t="s">
        <v>5776</v>
      </c>
      <c r="E807">
        <v>33</v>
      </c>
      <c r="F807" t="s">
        <v>5163</v>
      </c>
      <c r="G807" t="s">
        <v>5169</v>
      </c>
    </row>
    <row r="808" spans="1:7" hidden="1">
      <c r="A808" s="5" t="s">
        <v>4992</v>
      </c>
      <c r="B808" t="s">
        <v>5161</v>
      </c>
      <c r="C808" t="s">
        <v>166</v>
      </c>
      <c r="D808" t="s">
        <v>6071</v>
      </c>
      <c r="E808">
        <v>39</v>
      </c>
      <c r="F808" t="s">
        <v>5163</v>
      </c>
      <c r="G808" t="s">
        <v>1905</v>
      </c>
    </row>
    <row r="809" spans="1:7" hidden="1">
      <c r="A809" s="5" t="s">
        <v>3641</v>
      </c>
      <c r="B809" t="s">
        <v>5161</v>
      </c>
      <c r="C809" t="s">
        <v>166</v>
      </c>
      <c r="D809" t="s">
        <v>6072</v>
      </c>
      <c r="E809">
        <v>37</v>
      </c>
      <c r="F809" t="s">
        <v>5163</v>
      </c>
      <c r="G809" t="s">
        <v>5164</v>
      </c>
    </row>
    <row r="810" spans="1:7" hidden="1">
      <c r="A810" s="5" t="s">
        <v>3641</v>
      </c>
      <c r="B810" t="s">
        <v>5161</v>
      </c>
      <c r="C810" t="s">
        <v>166</v>
      </c>
      <c r="D810" t="s">
        <v>6073</v>
      </c>
      <c r="E810" t="s">
        <v>5182</v>
      </c>
      <c r="F810" t="s">
        <v>5163</v>
      </c>
      <c r="G810" t="s">
        <v>1905</v>
      </c>
    </row>
    <row r="811" spans="1:7" hidden="1">
      <c r="A811" s="5" t="s">
        <v>3641</v>
      </c>
      <c r="B811" t="s">
        <v>5161</v>
      </c>
      <c r="C811" t="s">
        <v>166</v>
      </c>
      <c r="D811" t="s">
        <v>6074</v>
      </c>
      <c r="E811">
        <v>36</v>
      </c>
      <c r="F811" t="s">
        <v>5163</v>
      </c>
      <c r="G811" t="s">
        <v>5164</v>
      </c>
    </row>
    <row r="812" spans="1:7" hidden="1">
      <c r="A812" s="5" t="s">
        <v>4395</v>
      </c>
      <c r="B812" t="s">
        <v>5161</v>
      </c>
      <c r="C812" t="s">
        <v>173</v>
      </c>
      <c r="D812" t="s">
        <v>6075</v>
      </c>
      <c r="E812">
        <v>820</v>
      </c>
      <c r="F812" t="s">
        <v>5172</v>
      </c>
      <c r="G812" t="s">
        <v>1905</v>
      </c>
    </row>
    <row r="813" spans="1:7" hidden="1">
      <c r="A813" s="5" t="s">
        <v>4395</v>
      </c>
      <c r="B813" t="s">
        <v>5161</v>
      </c>
      <c r="C813" t="s">
        <v>173</v>
      </c>
      <c r="D813" t="s">
        <v>6076</v>
      </c>
      <c r="E813">
        <v>26</v>
      </c>
      <c r="F813" t="s">
        <v>5163</v>
      </c>
      <c r="G813" t="s">
        <v>5182</v>
      </c>
    </row>
    <row r="814" spans="1:7" hidden="1">
      <c r="A814" s="5" t="s">
        <v>3634</v>
      </c>
      <c r="B814" t="s">
        <v>5161</v>
      </c>
      <c r="C814" t="s">
        <v>173</v>
      </c>
      <c r="D814" t="s">
        <v>6077</v>
      </c>
      <c r="E814">
        <v>24</v>
      </c>
      <c r="F814" t="s">
        <v>5163</v>
      </c>
      <c r="G814" t="s">
        <v>1905</v>
      </c>
    </row>
    <row r="815" spans="1:7" hidden="1">
      <c r="A815" s="5" t="s">
        <v>6078</v>
      </c>
      <c r="B815" t="s">
        <v>5161</v>
      </c>
      <c r="C815" t="s">
        <v>173</v>
      </c>
      <c r="D815" t="s">
        <v>6079</v>
      </c>
      <c r="E815">
        <v>32</v>
      </c>
      <c r="F815" t="s">
        <v>5163</v>
      </c>
      <c r="G815" t="s">
        <v>5164</v>
      </c>
    </row>
    <row r="816" spans="1:7" hidden="1">
      <c r="A816" s="5" t="s">
        <v>4679</v>
      </c>
      <c r="B816" t="s">
        <v>5161</v>
      </c>
      <c r="C816" t="s">
        <v>173</v>
      </c>
      <c r="D816" t="s">
        <v>6080</v>
      </c>
      <c r="E816">
        <v>32</v>
      </c>
      <c r="F816" t="s">
        <v>5163</v>
      </c>
      <c r="G816" t="s">
        <v>5169</v>
      </c>
    </row>
    <row r="817" spans="1:7" hidden="1">
      <c r="A817" s="5" t="s">
        <v>6081</v>
      </c>
      <c r="B817" t="s">
        <v>5161</v>
      </c>
      <c r="C817" t="s">
        <v>173</v>
      </c>
      <c r="D817" t="s">
        <v>6082</v>
      </c>
      <c r="E817">
        <v>19</v>
      </c>
      <c r="F817" t="s">
        <v>5163</v>
      </c>
      <c r="G817" t="s">
        <v>5164</v>
      </c>
    </row>
    <row r="818" spans="1:7" hidden="1">
      <c r="A818" s="5" t="s">
        <v>6083</v>
      </c>
      <c r="B818" t="s">
        <v>5161</v>
      </c>
      <c r="C818" t="s">
        <v>173</v>
      </c>
      <c r="D818" t="s">
        <v>6084</v>
      </c>
      <c r="E818">
        <v>29</v>
      </c>
      <c r="F818" t="s">
        <v>5163</v>
      </c>
      <c r="G818" t="s">
        <v>5164</v>
      </c>
    </row>
    <row r="819" spans="1:7" hidden="1">
      <c r="A819" s="5" t="s">
        <v>6083</v>
      </c>
      <c r="B819" t="s">
        <v>5161</v>
      </c>
      <c r="C819" t="s">
        <v>173</v>
      </c>
      <c r="D819" t="s">
        <v>6085</v>
      </c>
      <c r="E819">
        <v>18</v>
      </c>
      <c r="F819" t="s">
        <v>5163</v>
      </c>
      <c r="G819" t="s">
        <v>5164</v>
      </c>
    </row>
    <row r="820" spans="1:7" hidden="1">
      <c r="A820" s="5" t="s">
        <v>172</v>
      </c>
      <c r="B820" t="s">
        <v>5161</v>
      </c>
      <c r="C820" t="s">
        <v>173</v>
      </c>
      <c r="D820" t="s">
        <v>609</v>
      </c>
      <c r="E820">
        <v>26</v>
      </c>
      <c r="F820" t="s">
        <v>5163</v>
      </c>
      <c r="G820" t="s">
        <v>1905</v>
      </c>
    </row>
    <row r="821" spans="1:7" hidden="1">
      <c r="A821" s="5" t="s">
        <v>6086</v>
      </c>
      <c r="B821" t="s">
        <v>5161</v>
      </c>
      <c r="C821" t="s">
        <v>173</v>
      </c>
      <c r="D821" t="s">
        <v>6087</v>
      </c>
      <c r="E821">
        <v>37</v>
      </c>
      <c r="F821" t="s">
        <v>5172</v>
      </c>
      <c r="G821" t="s">
        <v>5164</v>
      </c>
    </row>
    <row r="822" spans="1:7" hidden="1">
      <c r="A822" s="5" t="s">
        <v>4333</v>
      </c>
      <c r="B822" t="s">
        <v>5161</v>
      </c>
      <c r="C822" t="s">
        <v>173</v>
      </c>
      <c r="D822" t="s">
        <v>6088</v>
      </c>
      <c r="E822">
        <v>33</v>
      </c>
      <c r="F822" t="s">
        <v>5163</v>
      </c>
      <c r="G822" t="s">
        <v>5182</v>
      </c>
    </row>
    <row r="823" spans="1:7" hidden="1">
      <c r="A823" s="5" t="s">
        <v>3334</v>
      </c>
      <c r="B823" t="s">
        <v>5161</v>
      </c>
      <c r="C823" t="s">
        <v>173</v>
      </c>
      <c r="D823" t="s">
        <v>6089</v>
      </c>
      <c r="E823">
        <v>32</v>
      </c>
      <c r="F823" t="s">
        <v>5163</v>
      </c>
      <c r="G823" t="s">
        <v>1905</v>
      </c>
    </row>
    <row r="824" spans="1:7" hidden="1">
      <c r="A824" s="5" t="s">
        <v>3800</v>
      </c>
      <c r="B824" t="s">
        <v>5161</v>
      </c>
      <c r="C824" t="s">
        <v>173</v>
      </c>
      <c r="D824" t="s">
        <v>6090</v>
      </c>
      <c r="E824">
        <v>49</v>
      </c>
      <c r="F824" t="s">
        <v>5163</v>
      </c>
      <c r="G824" t="s">
        <v>5169</v>
      </c>
    </row>
    <row r="825" spans="1:7" hidden="1">
      <c r="A825" s="5" t="s">
        <v>6091</v>
      </c>
      <c r="B825" t="s">
        <v>5161</v>
      </c>
      <c r="C825" t="s">
        <v>173</v>
      </c>
      <c r="D825" t="s">
        <v>6092</v>
      </c>
      <c r="E825">
        <v>27</v>
      </c>
      <c r="F825" t="s">
        <v>5163</v>
      </c>
      <c r="G825" t="s">
        <v>5164</v>
      </c>
    </row>
    <row r="826" spans="1:7" hidden="1">
      <c r="A826" s="5" t="s">
        <v>3646</v>
      </c>
      <c r="B826" t="s">
        <v>5161</v>
      </c>
      <c r="C826" t="s">
        <v>173</v>
      </c>
      <c r="D826" t="s">
        <v>6093</v>
      </c>
      <c r="E826">
        <v>35</v>
      </c>
      <c r="F826" t="s">
        <v>5163</v>
      </c>
      <c r="G826" t="s">
        <v>5164</v>
      </c>
    </row>
    <row r="827" spans="1:7" hidden="1">
      <c r="A827" s="5" t="s">
        <v>6094</v>
      </c>
      <c r="B827" t="s">
        <v>5161</v>
      </c>
      <c r="C827" t="s">
        <v>173</v>
      </c>
      <c r="D827" t="s">
        <v>6095</v>
      </c>
      <c r="E827">
        <v>24</v>
      </c>
      <c r="F827" t="s">
        <v>5172</v>
      </c>
      <c r="G827" t="s">
        <v>5164</v>
      </c>
    </row>
    <row r="828" spans="1:7" hidden="1">
      <c r="A828" s="5" t="s">
        <v>171</v>
      </c>
      <c r="B828" t="s">
        <v>5161</v>
      </c>
      <c r="C828" t="s">
        <v>173</v>
      </c>
      <c r="D828" t="s">
        <v>604</v>
      </c>
      <c r="E828">
        <v>20</v>
      </c>
      <c r="F828" t="s">
        <v>5163</v>
      </c>
      <c r="G828" t="s">
        <v>5164</v>
      </c>
    </row>
    <row r="829" spans="1:7" hidden="1">
      <c r="A829" s="5" t="s">
        <v>6096</v>
      </c>
      <c r="B829" t="s">
        <v>5161</v>
      </c>
      <c r="C829" t="s">
        <v>173</v>
      </c>
      <c r="D829" t="s">
        <v>6097</v>
      </c>
      <c r="E829">
        <v>23</v>
      </c>
      <c r="F829" t="s">
        <v>5163</v>
      </c>
      <c r="G829" t="s">
        <v>5164</v>
      </c>
    </row>
    <row r="830" spans="1:7" hidden="1">
      <c r="A830" s="5" t="s">
        <v>2325</v>
      </c>
      <c r="B830" t="s">
        <v>5161</v>
      </c>
      <c r="C830" t="s">
        <v>173</v>
      </c>
      <c r="D830" t="s">
        <v>6098</v>
      </c>
      <c r="E830">
        <v>24</v>
      </c>
      <c r="F830" t="s">
        <v>5163</v>
      </c>
      <c r="G830" t="s">
        <v>5164</v>
      </c>
    </row>
    <row r="831" spans="1:7" hidden="1">
      <c r="A831" s="5" t="s">
        <v>6099</v>
      </c>
      <c r="B831" t="s">
        <v>5161</v>
      </c>
      <c r="C831" t="s">
        <v>173</v>
      </c>
      <c r="D831" t="s">
        <v>872</v>
      </c>
      <c r="E831">
        <v>37</v>
      </c>
      <c r="F831" t="s">
        <v>5163</v>
      </c>
      <c r="G831" t="s">
        <v>1905</v>
      </c>
    </row>
    <row r="832" spans="1:7" hidden="1">
      <c r="A832" s="5" t="s">
        <v>3620</v>
      </c>
      <c r="B832" t="s">
        <v>5161</v>
      </c>
      <c r="C832" t="s">
        <v>173</v>
      </c>
      <c r="D832" t="s">
        <v>6100</v>
      </c>
      <c r="E832">
        <v>35</v>
      </c>
      <c r="F832" t="s">
        <v>5163</v>
      </c>
      <c r="G832" t="s">
        <v>1905</v>
      </c>
    </row>
    <row r="833" spans="1:7" hidden="1">
      <c r="A833" s="5" t="s">
        <v>4348</v>
      </c>
      <c r="B833" t="s">
        <v>5161</v>
      </c>
      <c r="C833" t="s">
        <v>173</v>
      </c>
      <c r="D833" t="s">
        <v>6101</v>
      </c>
      <c r="E833">
        <v>24</v>
      </c>
      <c r="F833" t="s">
        <v>5163</v>
      </c>
      <c r="G833" t="s">
        <v>1905</v>
      </c>
    </row>
    <row r="834" spans="1:7" hidden="1">
      <c r="A834" s="5" t="s">
        <v>4902</v>
      </c>
      <c r="B834" t="s">
        <v>5161</v>
      </c>
      <c r="C834" t="s">
        <v>173</v>
      </c>
      <c r="D834" t="s">
        <v>6102</v>
      </c>
      <c r="E834">
        <v>31</v>
      </c>
      <c r="F834" t="s">
        <v>5163</v>
      </c>
      <c r="G834" t="s">
        <v>5169</v>
      </c>
    </row>
    <row r="835" spans="1:7" hidden="1">
      <c r="A835" s="5" t="s">
        <v>4902</v>
      </c>
      <c r="B835" t="s">
        <v>5161</v>
      </c>
      <c r="C835" t="s">
        <v>173</v>
      </c>
      <c r="D835" t="s">
        <v>6103</v>
      </c>
      <c r="E835">
        <v>42</v>
      </c>
      <c r="F835" t="s">
        <v>5163</v>
      </c>
      <c r="G835" t="s">
        <v>5169</v>
      </c>
    </row>
    <row r="836" spans="1:7" hidden="1">
      <c r="A836" s="5" t="s">
        <v>3538</v>
      </c>
      <c r="B836" t="s">
        <v>5161</v>
      </c>
      <c r="C836" t="s">
        <v>173</v>
      </c>
      <c r="D836" t="s">
        <v>6104</v>
      </c>
      <c r="E836">
        <v>23</v>
      </c>
      <c r="F836" t="s">
        <v>5163</v>
      </c>
      <c r="G836" t="s">
        <v>5164</v>
      </c>
    </row>
    <row r="837" spans="1:7" hidden="1">
      <c r="A837" s="5" t="s">
        <v>4396</v>
      </c>
      <c r="B837" t="s">
        <v>5161</v>
      </c>
      <c r="C837" t="s">
        <v>173</v>
      </c>
      <c r="D837" t="s">
        <v>6105</v>
      </c>
      <c r="E837">
        <v>30</v>
      </c>
      <c r="F837" t="s">
        <v>5163</v>
      </c>
      <c r="G837" t="s">
        <v>1905</v>
      </c>
    </row>
    <row r="838" spans="1:7" hidden="1">
      <c r="A838" s="5" t="s">
        <v>6106</v>
      </c>
      <c r="B838" t="s">
        <v>5161</v>
      </c>
      <c r="C838" t="s">
        <v>173</v>
      </c>
      <c r="D838" t="s">
        <v>6107</v>
      </c>
      <c r="E838">
        <v>20</v>
      </c>
      <c r="F838" t="s">
        <v>5163</v>
      </c>
      <c r="G838" t="s">
        <v>5169</v>
      </c>
    </row>
    <row r="839" spans="1:7" hidden="1">
      <c r="A839" s="5" t="s">
        <v>4261</v>
      </c>
      <c r="B839" t="s">
        <v>5161</v>
      </c>
      <c r="C839" t="s">
        <v>173</v>
      </c>
      <c r="D839" t="s">
        <v>6108</v>
      </c>
      <c r="E839">
        <v>26</v>
      </c>
      <c r="F839" t="s">
        <v>5163</v>
      </c>
      <c r="G839" t="s">
        <v>5164</v>
      </c>
    </row>
    <row r="840" spans="1:7" hidden="1">
      <c r="A840" s="5" t="s">
        <v>3741</v>
      </c>
      <c r="B840" t="s">
        <v>5161</v>
      </c>
      <c r="C840" t="s">
        <v>173</v>
      </c>
      <c r="D840" t="s">
        <v>6109</v>
      </c>
      <c r="E840">
        <v>38</v>
      </c>
      <c r="F840" t="s">
        <v>5163</v>
      </c>
      <c r="G840" t="s">
        <v>5164</v>
      </c>
    </row>
    <row r="841" spans="1:7" hidden="1">
      <c r="A841" s="5" t="s">
        <v>3741</v>
      </c>
      <c r="B841" t="s">
        <v>5161</v>
      </c>
      <c r="C841" t="s">
        <v>173</v>
      </c>
      <c r="D841" t="s">
        <v>6110</v>
      </c>
      <c r="E841">
        <v>29</v>
      </c>
      <c r="F841" t="s">
        <v>5172</v>
      </c>
      <c r="G841" t="s">
        <v>5164</v>
      </c>
    </row>
    <row r="842" spans="1:7" hidden="1">
      <c r="A842" s="5" t="s">
        <v>3741</v>
      </c>
      <c r="B842" t="s">
        <v>5161</v>
      </c>
      <c r="C842" t="s">
        <v>173</v>
      </c>
      <c r="D842" t="s">
        <v>6111</v>
      </c>
      <c r="E842">
        <v>32</v>
      </c>
      <c r="F842" t="s">
        <v>5172</v>
      </c>
      <c r="G842" t="s">
        <v>5164</v>
      </c>
    </row>
    <row r="843" spans="1:7" hidden="1">
      <c r="A843" s="5" t="s">
        <v>4042</v>
      </c>
      <c r="B843" t="s">
        <v>5161</v>
      </c>
      <c r="C843" t="s">
        <v>173</v>
      </c>
      <c r="D843" t="s">
        <v>6112</v>
      </c>
      <c r="E843">
        <v>30</v>
      </c>
      <c r="F843" t="s">
        <v>5163</v>
      </c>
      <c r="G843" t="s">
        <v>5164</v>
      </c>
    </row>
    <row r="844" spans="1:7" hidden="1">
      <c r="A844" s="5" t="s">
        <v>4085</v>
      </c>
      <c r="B844" t="s">
        <v>5161</v>
      </c>
      <c r="C844" t="s">
        <v>173</v>
      </c>
      <c r="D844" t="s">
        <v>6113</v>
      </c>
      <c r="E844">
        <v>27</v>
      </c>
      <c r="F844" t="s">
        <v>5163</v>
      </c>
      <c r="G844" t="s">
        <v>1905</v>
      </c>
    </row>
    <row r="845" spans="1:7" hidden="1">
      <c r="A845" s="5" t="s">
        <v>4118</v>
      </c>
      <c r="B845" t="s">
        <v>5161</v>
      </c>
      <c r="C845" t="s">
        <v>173</v>
      </c>
      <c r="D845" t="s">
        <v>6114</v>
      </c>
      <c r="E845">
        <v>28</v>
      </c>
      <c r="F845" t="s">
        <v>5163</v>
      </c>
      <c r="G845" t="s">
        <v>5164</v>
      </c>
    </row>
    <row r="846" spans="1:7" hidden="1">
      <c r="A846" s="5" t="s">
        <v>2236</v>
      </c>
      <c r="B846" t="s">
        <v>5161</v>
      </c>
      <c r="C846" t="s">
        <v>173</v>
      </c>
      <c r="D846" t="s">
        <v>6115</v>
      </c>
      <c r="E846">
        <v>18</v>
      </c>
      <c r="F846" t="s">
        <v>5163</v>
      </c>
      <c r="G846" t="s">
        <v>5169</v>
      </c>
    </row>
    <row r="847" spans="1:7" hidden="1">
      <c r="A847" s="5" t="s">
        <v>2966</v>
      </c>
      <c r="B847" t="s">
        <v>5161</v>
      </c>
      <c r="C847" t="s">
        <v>173</v>
      </c>
      <c r="D847" t="s">
        <v>6116</v>
      </c>
      <c r="E847">
        <v>31</v>
      </c>
      <c r="F847" t="s">
        <v>5163</v>
      </c>
      <c r="G847" t="s">
        <v>5164</v>
      </c>
    </row>
    <row r="848" spans="1:7" hidden="1">
      <c r="A848" s="5" t="s">
        <v>2676</v>
      </c>
      <c r="B848" t="s">
        <v>5161</v>
      </c>
      <c r="C848" t="s">
        <v>173</v>
      </c>
      <c r="D848" t="s">
        <v>6117</v>
      </c>
      <c r="E848">
        <v>20</v>
      </c>
      <c r="F848" t="s">
        <v>5163</v>
      </c>
      <c r="G848" t="s">
        <v>1905</v>
      </c>
    </row>
    <row r="849" spans="1:7" hidden="1">
      <c r="A849" s="5" t="s">
        <v>2676</v>
      </c>
      <c r="B849" t="s">
        <v>5161</v>
      </c>
      <c r="C849" t="s">
        <v>173</v>
      </c>
      <c r="D849" t="s">
        <v>6118</v>
      </c>
      <c r="E849">
        <v>32</v>
      </c>
      <c r="F849" t="s">
        <v>5163</v>
      </c>
      <c r="G849" t="s">
        <v>1905</v>
      </c>
    </row>
    <row r="850" spans="1:7" hidden="1">
      <c r="A850" s="5" t="s">
        <v>2182</v>
      </c>
      <c r="B850" t="s">
        <v>5161</v>
      </c>
      <c r="C850" t="s">
        <v>173</v>
      </c>
      <c r="D850" t="s">
        <v>6119</v>
      </c>
      <c r="E850">
        <v>22</v>
      </c>
      <c r="F850" t="s">
        <v>5172</v>
      </c>
      <c r="G850" t="s">
        <v>1905</v>
      </c>
    </row>
    <row r="851" spans="1:7" hidden="1">
      <c r="A851" s="5" t="s">
        <v>2182</v>
      </c>
      <c r="B851" t="s">
        <v>5161</v>
      </c>
      <c r="C851" t="s">
        <v>173</v>
      </c>
      <c r="D851" t="s">
        <v>6120</v>
      </c>
      <c r="E851">
        <v>23</v>
      </c>
      <c r="F851" t="s">
        <v>5163</v>
      </c>
      <c r="G851" t="s">
        <v>1905</v>
      </c>
    </row>
    <row r="852" spans="1:7" hidden="1">
      <c r="A852" s="5" t="s">
        <v>6121</v>
      </c>
      <c r="B852" t="s">
        <v>5161</v>
      </c>
      <c r="C852" t="s">
        <v>173</v>
      </c>
      <c r="D852" t="s">
        <v>6122</v>
      </c>
      <c r="E852">
        <v>20</v>
      </c>
      <c r="F852" t="s">
        <v>5163</v>
      </c>
      <c r="G852" t="s">
        <v>5164</v>
      </c>
    </row>
    <row r="853" spans="1:7" hidden="1">
      <c r="A853" s="5" t="s">
        <v>6121</v>
      </c>
      <c r="B853" t="s">
        <v>5161</v>
      </c>
      <c r="C853" t="s">
        <v>173</v>
      </c>
      <c r="D853" t="s">
        <v>6123</v>
      </c>
      <c r="E853">
        <v>23</v>
      </c>
      <c r="F853" t="s">
        <v>5163</v>
      </c>
      <c r="G853" t="s">
        <v>5164</v>
      </c>
    </row>
    <row r="854" spans="1:7" hidden="1">
      <c r="A854" s="5" t="s">
        <v>6124</v>
      </c>
      <c r="B854" t="s">
        <v>5161</v>
      </c>
      <c r="C854" t="s">
        <v>173</v>
      </c>
      <c r="D854" t="s">
        <v>6125</v>
      </c>
      <c r="E854">
        <v>25</v>
      </c>
      <c r="F854" t="s">
        <v>5163</v>
      </c>
      <c r="G854" t="s">
        <v>1905</v>
      </c>
    </row>
    <row r="855" spans="1:7" hidden="1">
      <c r="A855" s="5" t="s">
        <v>6124</v>
      </c>
      <c r="B855" t="s">
        <v>5161</v>
      </c>
      <c r="C855" t="s">
        <v>173</v>
      </c>
      <c r="D855" t="s">
        <v>6126</v>
      </c>
      <c r="E855">
        <v>20</v>
      </c>
      <c r="F855" t="s">
        <v>5163</v>
      </c>
      <c r="G855" t="s">
        <v>1905</v>
      </c>
    </row>
    <row r="856" spans="1:7" hidden="1">
      <c r="A856" s="5" t="s">
        <v>6127</v>
      </c>
      <c r="B856" t="s">
        <v>5161</v>
      </c>
      <c r="C856" t="s">
        <v>173</v>
      </c>
      <c r="D856" t="s">
        <v>5367</v>
      </c>
      <c r="E856">
        <v>19</v>
      </c>
      <c r="F856" t="s">
        <v>5163</v>
      </c>
      <c r="G856" t="s">
        <v>1905</v>
      </c>
    </row>
    <row r="857" spans="1:7" hidden="1">
      <c r="A857" s="5" t="s">
        <v>2736</v>
      </c>
      <c r="B857" t="s">
        <v>5161</v>
      </c>
      <c r="C857" t="s">
        <v>173</v>
      </c>
      <c r="D857" t="s">
        <v>6128</v>
      </c>
      <c r="E857">
        <v>34</v>
      </c>
      <c r="F857" t="s">
        <v>5163</v>
      </c>
      <c r="G857" t="s">
        <v>1905</v>
      </c>
    </row>
    <row r="858" spans="1:7" hidden="1">
      <c r="A858" s="5" t="s">
        <v>2393</v>
      </c>
      <c r="B858" t="s">
        <v>5161</v>
      </c>
      <c r="C858" t="s">
        <v>173</v>
      </c>
      <c r="D858" t="s">
        <v>6129</v>
      </c>
      <c r="E858">
        <v>29</v>
      </c>
      <c r="F858" t="s">
        <v>5163</v>
      </c>
      <c r="G858" t="s">
        <v>1905</v>
      </c>
    </row>
    <row r="859" spans="1:7" hidden="1">
      <c r="A859" s="5" t="s">
        <v>6130</v>
      </c>
      <c r="B859" t="s">
        <v>5161</v>
      </c>
      <c r="C859" t="s">
        <v>173</v>
      </c>
      <c r="D859" t="s">
        <v>6131</v>
      </c>
      <c r="E859">
        <v>29</v>
      </c>
      <c r="F859" t="s">
        <v>5163</v>
      </c>
      <c r="G859" t="s">
        <v>5164</v>
      </c>
    </row>
    <row r="860" spans="1:7" hidden="1">
      <c r="A860" s="5" t="s">
        <v>2549</v>
      </c>
      <c r="B860" t="s">
        <v>5161</v>
      </c>
      <c r="C860" t="s">
        <v>173</v>
      </c>
      <c r="D860" t="s">
        <v>6132</v>
      </c>
      <c r="E860">
        <v>34</v>
      </c>
      <c r="F860" t="s">
        <v>5163</v>
      </c>
      <c r="G860" t="s">
        <v>1905</v>
      </c>
    </row>
    <row r="861" spans="1:7" hidden="1">
      <c r="A861" s="5" t="s">
        <v>4332</v>
      </c>
      <c r="B861" t="s">
        <v>5161</v>
      </c>
      <c r="C861" t="s">
        <v>173</v>
      </c>
      <c r="D861" t="s">
        <v>6133</v>
      </c>
      <c r="E861">
        <v>28</v>
      </c>
      <c r="F861" t="s">
        <v>5163</v>
      </c>
      <c r="G861" t="s">
        <v>5164</v>
      </c>
    </row>
    <row r="862" spans="1:7" hidden="1">
      <c r="A862" s="5" t="s">
        <v>3326</v>
      </c>
      <c r="B862" t="s">
        <v>5161</v>
      </c>
      <c r="C862" t="s">
        <v>173</v>
      </c>
      <c r="D862" t="s">
        <v>6134</v>
      </c>
      <c r="E862">
        <v>29</v>
      </c>
      <c r="F862" t="s">
        <v>5163</v>
      </c>
      <c r="G862" t="s">
        <v>1905</v>
      </c>
    </row>
    <row r="863" spans="1:7" hidden="1">
      <c r="A863" s="5" t="s">
        <v>6135</v>
      </c>
      <c r="B863" t="s">
        <v>5161</v>
      </c>
      <c r="C863" t="s">
        <v>173</v>
      </c>
      <c r="D863" t="s">
        <v>6136</v>
      </c>
      <c r="E863">
        <v>21</v>
      </c>
      <c r="F863" t="s">
        <v>5172</v>
      </c>
      <c r="G863" t="s">
        <v>5164</v>
      </c>
    </row>
    <row r="864" spans="1:7" hidden="1">
      <c r="A864" s="5" t="s">
        <v>6137</v>
      </c>
      <c r="B864" t="s">
        <v>5161</v>
      </c>
      <c r="C864" t="s">
        <v>173</v>
      </c>
      <c r="D864" t="s">
        <v>6138</v>
      </c>
      <c r="E864" t="s">
        <v>5182</v>
      </c>
      <c r="F864" t="s">
        <v>5172</v>
      </c>
      <c r="G864" t="s">
        <v>1905</v>
      </c>
    </row>
    <row r="865" spans="1:7" hidden="1">
      <c r="A865" s="5" t="s">
        <v>2983</v>
      </c>
      <c r="B865" t="s">
        <v>5161</v>
      </c>
      <c r="C865" t="s">
        <v>173</v>
      </c>
      <c r="D865" t="s">
        <v>6139</v>
      </c>
      <c r="E865">
        <v>33</v>
      </c>
      <c r="F865" t="s">
        <v>5163</v>
      </c>
      <c r="G865" t="s">
        <v>1905</v>
      </c>
    </row>
    <row r="866" spans="1:7" hidden="1">
      <c r="A866" s="5" t="s">
        <v>2983</v>
      </c>
      <c r="B866" t="s">
        <v>5161</v>
      </c>
      <c r="C866" t="s">
        <v>173</v>
      </c>
      <c r="D866" t="s">
        <v>6140</v>
      </c>
      <c r="E866">
        <v>32</v>
      </c>
      <c r="F866" t="s">
        <v>5163</v>
      </c>
      <c r="G866" t="s">
        <v>1905</v>
      </c>
    </row>
    <row r="867" spans="1:7" hidden="1">
      <c r="A867" s="5" t="s">
        <v>2811</v>
      </c>
      <c r="B867" t="s">
        <v>5161</v>
      </c>
      <c r="C867" t="s">
        <v>173</v>
      </c>
      <c r="D867" t="s">
        <v>6141</v>
      </c>
      <c r="E867">
        <v>23</v>
      </c>
      <c r="F867" t="s">
        <v>5163</v>
      </c>
      <c r="G867" t="s">
        <v>5164</v>
      </c>
    </row>
    <row r="868" spans="1:7" hidden="1">
      <c r="A868" s="5" t="s">
        <v>4044</v>
      </c>
      <c r="B868" t="s">
        <v>5161</v>
      </c>
      <c r="C868" t="s">
        <v>173</v>
      </c>
      <c r="D868" t="s">
        <v>6142</v>
      </c>
      <c r="E868">
        <v>22</v>
      </c>
      <c r="F868" t="s">
        <v>5163</v>
      </c>
      <c r="G868" t="s">
        <v>5164</v>
      </c>
    </row>
    <row r="869" spans="1:7" hidden="1">
      <c r="A869" s="5" t="s">
        <v>5028</v>
      </c>
      <c r="B869" t="s">
        <v>5161</v>
      </c>
      <c r="C869" t="s">
        <v>173</v>
      </c>
      <c r="D869" t="s">
        <v>6143</v>
      </c>
      <c r="E869">
        <v>47</v>
      </c>
      <c r="F869" t="s">
        <v>5163</v>
      </c>
      <c r="G869" t="s">
        <v>1905</v>
      </c>
    </row>
    <row r="870" spans="1:7" hidden="1">
      <c r="A870" s="5" t="s">
        <v>6144</v>
      </c>
      <c r="B870" t="s">
        <v>5161</v>
      </c>
      <c r="C870" t="s">
        <v>173</v>
      </c>
      <c r="D870" t="s">
        <v>6145</v>
      </c>
      <c r="E870">
        <v>38</v>
      </c>
      <c r="F870" t="s">
        <v>5163</v>
      </c>
      <c r="G870" t="s">
        <v>5164</v>
      </c>
    </row>
    <row r="871" spans="1:7" hidden="1">
      <c r="A871" s="5" t="s">
        <v>1310</v>
      </c>
      <c r="B871" t="s">
        <v>5161</v>
      </c>
      <c r="C871" t="s">
        <v>173</v>
      </c>
      <c r="D871" t="s">
        <v>6146</v>
      </c>
      <c r="E871">
        <v>40</v>
      </c>
      <c r="F871" t="s">
        <v>5163</v>
      </c>
      <c r="G871" t="s">
        <v>5169</v>
      </c>
    </row>
    <row r="872" spans="1:7" hidden="1">
      <c r="A872" s="5" t="s">
        <v>1310</v>
      </c>
      <c r="B872" t="s">
        <v>5161</v>
      </c>
      <c r="C872" t="s">
        <v>173</v>
      </c>
      <c r="D872" t="s">
        <v>1312</v>
      </c>
      <c r="E872">
        <v>40</v>
      </c>
      <c r="F872" t="s">
        <v>5172</v>
      </c>
      <c r="G872" t="s">
        <v>5169</v>
      </c>
    </row>
    <row r="873" spans="1:7" hidden="1">
      <c r="A873" s="5" t="s">
        <v>4123</v>
      </c>
      <c r="B873" t="s">
        <v>5161</v>
      </c>
      <c r="C873" t="s">
        <v>173</v>
      </c>
      <c r="D873" t="s">
        <v>6147</v>
      </c>
      <c r="E873">
        <v>18</v>
      </c>
      <c r="F873" t="s">
        <v>5163</v>
      </c>
      <c r="G873" t="s">
        <v>5164</v>
      </c>
    </row>
    <row r="874" spans="1:7" hidden="1">
      <c r="A874" s="5" t="s">
        <v>6148</v>
      </c>
      <c r="B874" t="s">
        <v>5161</v>
      </c>
      <c r="C874" t="s">
        <v>173</v>
      </c>
      <c r="D874" t="s">
        <v>6149</v>
      </c>
      <c r="E874">
        <v>27</v>
      </c>
      <c r="F874" t="s">
        <v>5163</v>
      </c>
      <c r="G874" t="s">
        <v>5169</v>
      </c>
    </row>
    <row r="875" spans="1:7" hidden="1">
      <c r="A875" s="5" t="s">
        <v>2245</v>
      </c>
      <c r="B875" t="s">
        <v>5161</v>
      </c>
      <c r="C875" t="s">
        <v>173</v>
      </c>
      <c r="D875" t="s">
        <v>6150</v>
      </c>
      <c r="E875">
        <v>21</v>
      </c>
      <c r="F875" t="s">
        <v>5163</v>
      </c>
      <c r="G875" t="s">
        <v>1905</v>
      </c>
    </row>
    <row r="876" spans="1:7" hidden="1">
      <c r="A876" s="5" t="s">
        <v>6151</v>
      </c>
      <c r="B876" t="s">
        <v>5161</v>
      </c>
      <c r="C876" t="s">
        <v>173</v>
      </c>
      <c r="D876" t="s">
        <v>6152</v>
      </c>
      <c r="E876">
        <v>39</v>
      </c>
      <c r="F876" t="s">
        <v>5172</v>
      </c>
      <c r="G876" t="s">
        <v>5164</v>
      </c>
    </row>
    <row r="877" spans="1:7" hidden="1">
      <c r="A877" s="5" t="s">
        <v>6151</v>
      </c>
      <c r="B877" t="s">
        <v>5161</v>
      </c>
      <c r="C877" t="s">
        <v>173</v>
      </c>
      <c r="D877" t="s">
        <v>6153</v>
      </c>
      <c r="E877">
        <v>33</v>
      </c>
      <c r="F877" t="s">
        <v>5172</v>
      </c>
      <c r="G877" t="s">
        <v>5164</v>
      </c>
    </row>
    <row r="878" spans="1:7" hidden="1">
      <c r="A878" s="5" t="s">
        <v>4428</v>
      </c>
      <c r="B878" t="s">
        <v>5161</v>
      </c>
      <c r="C878" t="s">
        <v>173</v>
      </c>
      <c r="D878" t="s">
        <v>6154</v>
      </c>
      <c r="E878">
        <v>25</v>
      </c>
      <c r="F878" t="s">
        <v>5172</v>
      </c>
      <c r="G878" t="s">
        <v>5169</v>
      </c>
    </row>
    <row r="879" spans="1:7" hidden="1">
      <c r="A879" s="5" t="s">
        <v>169</v>
      </c>
      <c r="B879" t="s">
        <v>5161</v>
      </c>
      <c r="C879" t="s">
        <v>173</v>
      </c>
      <c r="D879" t="s">
        <v>599</v>
      </c>
      <c r="E879">
        <v>28</v>
      </c>
      <c r="F879" t="s">
        <v>5163</v>
      </c>
      <c r="G879" t="s">
        <v>1905</v>
      </c>
    </row>
    <row r="880" spans="1:7" hidden="1">
      <c r="A880" s="5" t="s">
        <v>4135</v>
      </c>
      <c r="B880" t="s">
        <v>5161</v>
      </c>
      <c r="C880" t="s">
        <v>173</v>
      </c>
      <c r="D880" t="s">
        <v>6155</v>
      </c>
      <c r="E880">
        <v>36</v>
      </c>
      <c r="F880" t="s">
        <v>5163</v>
      </c>
      <c r="G880" t="s">
        <v>5182</v>
      </c>
    </row>
    <row r="881" spans="1:7" hidden="1">
      <c r="A881" s="5" t="s">
        <v>3425</v>
      </c>
      <c r="B881" t="s">
        <v>5161</v>
      </c>
      <c r="C881" t="s">
        <v>173</v>
      </c>
      <c r="D881" t="s">
        <v>6156</v>
      </c>
      <c r="E881">
        <v>34</v>
      </c>
      <c r="F881" t="s">
        <v>5163</v>
      </c>
      <c r="G881" t="s">
        <v>1905</v>
      </c>
    </row>
    <row r="882" spans="1:7" hidden="1">
      <c r="A882" s="5" t="s">
        <v>168</v>
      </c>
      <c r="B882" t="s">
        <v>5161</v>
      </c>
      <c r="C882" t="s">
        <v>173</v>
      </c>
      <c r="D882" t="s">
        <v>6157</v>
      </c>
      <c r="E882">
        <v>25</v>
      </c>
      <c r="F882" t="s">
        <v>5163</v>
      </c>
      <c r="G882" t="s">
        <v>5164</v>
      </c>
    </row>
    <row r="883" spans="1:7" hidden="1">
      <c r="A883" s="5" t="s">
        <v>168</v>
      </c>
      <c r="B883" t="s">
        <v>5161</v>
      </c>
      <c r="C883" t="s">
        <v>173</v>
      </c>
      <c r="D883" t="s">
        <v>6158</v>
      </c>
      <c r="E883" t="s">
        <v>5182</v>
      </c>
      <c r="F883" t="s">
        <v>5163</v>
      </c>
      <c r="G883" t="s">
        <v>5182</v>
      </c>
    </row>
    <row r="884" spans="1:7" hidden="1">
      <c r="A884" s="5" t="s">
        <v>6159</v>
      </c>
      <c r="B884" t="s">
        <v>5161</v>
      </c>
      <c r="C884" t="s">
        <v>173</v>
      </c>
      <c r="D884" t="s">
        <v>6160</v>
      </c>
      <c r="E884" t="s">
        <v>5182</v>
      </c>
      <c r="F884" t="s">
        <v>5163</v>
      </c>
      <c r="G884" t="s">
        <v>5164</v>
      </c>
    </row>
    <row r="885" spans="1:7" hidden="1">
      <c r="A885" s="5" t="s">
        <v>2257</v>
      </c>
      <c r="B885" t="s">
        <v>5161</v>
      </c>
      <c r="C885" t="s">
        <v>173</v>
      </c>
      <c r="D885" t="s">
        <v>6161</v>
      </c>
      <c r="E885">
        <v>19</v>
      </c>
      <c r="F885" t="s">
        <v>5163</v>
      </c>
      <c r="G885" t="s">
        <v>1905</v>
      </c>
    </row>
    <row r="886" spans="1:7" hidden="1">
      <c r="A886" s="5" t="s">
        <v>6162</v>
      </c>
      <c r="B886" t="s">
        <v>5161</v>
      </c>
      <c r="C886" t="s">
        <v>173</v>
      </c>
      <c r="D886" t="s">
        <v>6163</v>
      </c>
      <c r="E886">
        <v>18</v>
      </c>
      <c r="F886" t="s">
        <v>5163</v>
      </c>
      <c r="G886" t="s">
        <v>5164</v>
      </c>
    </row>
    <row r="887" spans="1:7" hidden="1">
      <c r="A887" s="5" t="s">
        <v>4456</v>
      </c>
      <c r="B887" t="s">
        <v>5161</v>
      </c>
      <c r="C887" t="s">
        <v>173</v>
      </c>
      <c r="D887" t="s">
        <v>6164</v>
      </c>
      <c r="E887">
        <v>21</v>
      </c>
      <c r="F887" t="s">
        <v>5163</v>
      </c>
      <c r="G887" t="s">
        <v>5164</v>
      </c>
    </row>
    <row r="888" spans="1:7" hidden="1">
      <c r="A888" s="5" t="s">
        <v>2126</v>
      </c>
      <c r="B888" t="s">
        <v>5161</v>
      </c>
      <c r="C888" t="s">
        <v>173</v>
      </c>
      <c r="D888" t="s">
        <v>6165</v>
      </c>
      <c r="E888">
        <v>21</v>
      </c>
      <c r="F888" t="s">
        <v>5163</v>
      </c>
      <c r="G888" t="s">
        <v>5164</v>
      </c>
    </row>
    <row r="889" spans="1:7" hidden="1">
      <c r="A889" s="5" t="s">
        <v>6166</v>
      </c>
      <c r="B889" t="s">
        <v>5161</v>
      </c>
      <c r="C889" t="s">
        <v>173</v>
      </c>
      <c r="D889" t="s">
        <v>6167</v>
      </c>
      <c r="E889">
        <v>39</v>
      </c>
      <c r="F889" t="s">
        <v>5163</v>
      </c>
      <c r="G889" t="s">
        <v>5164</v>
      </c>
    </row>
    <row r="890" spans="1:7" hidden="1">
      <c r="A890" s="5" t="s">
        <v>1091</v>
      </c>
      <c r="B890" t="s">
        <v>5161</v>
      </c>
      <c r="C890" t="s">
        <v>173</v>
      </c>
      <c r="D890" t="s">
        <v>1092</v>
      </c>
      <c r="E890">
        <v>22</v>
      </c>
      <c r="F890" t="s">
        <v>5163</v>
      </c>
      <c r="G890" t="s">
        <v>5169</v>
      </c>
    </row>
    <row r="891" spans="1:7" hidden="1">
      <c r="A891" s="5" t="s">
        <v>6168</v>
      </c>
      <c r="B891" t="s">
        <v>5161</v>
      </c>
      <c r="C891" t="s">
        <v>173</v>
      </c>
      <c r="D891" t="s">
        <v>6169</v>
      </c>
      <c r="E891">
        <v>23</v>
      </c>
      <c r="F891" t="s">
        <v>5163</v>
      </c>
      <c r="G891" t="s">
        <v>1905</v>
      </c>
    </row>
    <row r="892" spans="1:7" hidden="1">
      <c r="A892" s="5" t="s">
        <v>6170</v>
      </c>
      <c r="B892" t="s">
        <v>5161</v>
      </c>
      <c r="C892" t="s">
        <v>173</v>
      </c>
      <c r="D892" t="s">
        <v>6171</v>
      </c>
      <c r="E892">
        <v>32</v>
      </c>
      <c r="F892" t="s">
        <v>5163</v>
      </c>
      <c r="G892" t="s">
        <v>1905</v>
      </c>
    </row>
    <row r="893" spans="1:7" hidden="1">
      <c r="A893" s="5" t="s">
        <v>2457</v>
      </c>
      <c r="B893" t="s">
        <v>5161</v>
      </c>
      <c r="C893" t="s">
        <v>173</v>
      </c>
      <c r="D893" t="s">
        <v>6172</v>
      </c>
      <c r="E893">
        <v>28</v>
      </c>
      <c r="F893" t="s">
        <v>5163</v>
      </c>
      <c r="G893" t="s">
        <v>5164</v>
      </c>
    </row>
    <row r="894" spans="1:7" hidden="1">
      <c r="A894" s="5" t="s">
        <v>2390</v>
      </c>
      <c r="B894" t="s">
        <v>5161</v>
      </c>
      <c r="C894" t="s">
        <v>173</v>
      </c>
      <c r="D894" t="s">
        <v>6173</v>
      </c>
      <c r="E894">
        <v>44</v>
      </c>
      <c r="F894" t="s">
        <v>5163</v>
      </c>
      <c r="G894" t="s">
        <v>5164</v>
      </c>
    </row>
    <row r="895" spans="1:7" hidden="1">
      <c r="A895" s="5" t="s">
        <v>5029</v>
      </c>
      <c r="B895" t="s">
        <v>5161</v>
      </c>
      <c r="C895" t="s">
        <v>173</v>
      </c>
      <c r="D895" t="s">
        <v>6174</v>
      </c>
      <c r="E895">
        <v>33</v>
      </c>
      <c r="F895" t="s">
        <v>5163</v>
      </c>
      <c r="G895" t="s">
        <v>5164</v>
      </c>
    </row>
    <row r="896" spans="1:7" hidden="1">
      <c r="A896" s="5" t="s">
        <v>6175</v>
      </c>
      <c r="B896" t="s">
        <v>5161</v>
      </c>
      <c r="C896" t="s">
        <v>173</v>
      </c>
      <c r="D896" t="s">
        <v>6176</v>
      </c>
      <c r="E896">
        <v>19</v>
      </c>
      <c r="F896" t="s">
        <v>5163</v>
      </c>
      <c r="G896" t="s">
        <v>1905</v>
      </c>
    </row>
    <row r="897" spans="1:7" hidden="1">
      <c r="A897" s="5" t="s">
        <v>4738</v>
      </c>
      <c r="B897" t="s">
        <v>5161</v>
      </c>
      <c r="C897" t="s">
        <v>173</v>
      </c>
      <c r="D897" t="s">
        <v>6177</v>
      </c>
      <c r="E897">
        <v>21</v>
      </c>
      <c r="F897" t="s">
        <v>5163</v>
      </c>
      <c r="G897" t="s">
        <v>5164</v>
      </c>
    </row>
    <row r="898" spans="1:7" hidden="1">
      <c r="A898" s="5" t="s">
        <v>4659</v>
      </c>
      <c r="B898" t="s">
        <v>5161</v>
      </c>
      <c r="C898" t="s">
        <v>173</v>
      </c>
      <c r="D898" t="s">
        <v>6178</v>
      </c>
      <c r="E898">
        <v>26</v>
      </c>
      <c r="F898" t="s">
        <v>5163</v>
      </c>
      <c r="G898" t="s">
        <v>5164</v>
      </c>
    </row>
    <row r="899" spans="1:7" hidden="1">
      <c r="A899" s="5" t="s">
        <v>6179</v>
      </c>
      <c r="B899" t="s">
        <v>5161</v>
      </c>
      <c r="C899" t="s">
        <v>173</v>
      </c>
      <c r="D899" t="s">
        <v>6180</v>
      </c>
      <c r="E899">
        <v>28</v>
      </c>
      <c r="F899" t="s">
        <v>5163</v>
      </c>
      <c r="G899" t="s">
        <v>5164</v>
      </c>
    </row>
    <row r="900" spans="1:7" hidden="1">
      <c r="A900" s="5" t="s">
        <v>6181</v>
      </c>
      <c r="B900" t="s">
        <v>5161</v>
      </c>
      <c r="C900" t="s">
        <v>173</v>
      </c>
      <c r="D900" t="s">
        <v>6182</v>
      </c>
      <c r="E900">
        <v>21</v>
      </c>
      <c r="F900" t="s">
        <v>5163</v>
      </c>
      <c r="G900" t="s">
        <v>5164</v>
      </c>
    </row>
    <row r="901" spans="1:7" hidden="1">
      <c r="A901" s="5" t="s">
        <v>2441</v>
      </c>
      <c r="B901" t="s">
        <v>5161</v>
      </c>
      <c r="C901" t="s">
        <v>173</v>
      </c>
      <c r="D901" t="s">
        <v>6183</v>
      </c>
      <c r="E901">
        <v>36</v>
      </c>
      <c r="F901" t="s">
        <v>5163</v>
      </c>
      <c r="G901" t="s">
        <v>1905</v>
      </c>
    </row>
    <row r="902" spans="1:7" hidden="1">
      <c r="A902" s="5" t="s">
        <v>2361</v>
      </c>
      <c r="B902" t="s">
        <v>5161</v>
      </c>
      <c r="C902" t="s">
        <v>173</v>
      </c>
      <c r="D902" t="s">
        <v>6184</v>
      </c>
      <c r="E902">
        <v>25</v>
      </c>
      <c r="F902" t="s">
        <v>5163</v>
      </c>
      <c r="G902" t="s">
        <v>5164</v>
      </c>
    </row>
    <row r="903" spans="1:7" hidden="1">
      <c r="A903" s="5" t="s">
        <v>6185</v>
      </c>
      <c r="B903" t="s">
        <v>5161</v>
      </c>
      <c r="C903" t="s">
        <v>173</v>
      </c>
      <c r="D903" t="s">
        <v>6186</v>
      </c>
      <c r="E903">
        <v>23</v>
      </c>
      <c r="F903" t="s">
        <v>5163</v>
      </c>
      <c r="G903" t="s">
        <v>1905</v>
      </c>
    </row>
    <row r="904" spans="1:7" hidden="1">
      <c r="A904" s="5" t="s">
        <v>6185</v>
      </c>
      <c r="B904" t="s">
        <v>5161</v>
      </c>
      <c r="C904" t="s">
        <v>173</v>
      </c>
      <c r="D904" t="s">
        <v>6187</v>
      </c>
      <c r="E904">
        <v>22</v>
      </c>
      <c r="F904" t="s">
        <v>5163</v>
      </c>
      <c r="G904" t="s">
        <v>1905</v>
      </c>
    </row>
    <row r="905" spans="1:7" hidden="1">
      <c r="A905" s="5" t="s">
        <v>6188</v>
      </c>
      <c r="B905" t="s">
        <v>5161</v>
      </c>
      <c r="C905" t="s">
        <v>173</v>
      </c>
      <c r="D905" t="s">
        <v>6189</v>
      </c>
      <c r="E905">
        <v>22</v>
      </c>
      <c r="F905" t="s">
        <v>5163</v>
      </c>
      <c r="G905" t="s">
        <v>5164</v>
      </c>
    </row>
    <row r="906" spans="1:7" hidden="1">
      <c r="A906" s="5" t="s">
        <v>4654</v>
      </c>
      <c r="B906" t="s">
        <v>5161</v>
      </c>
      <c r="C906" t="s">
        <v>173</v>
      </c>
      <c r="D906" t="s">
        <v>6190</v>
      </c>
      <c r="E906">
        <v>18</v>
      </c>
      <c r="F906" t="s">
        <v>5163</v>
      </c>
      <c r="G906" t="s">
        <v>5164</v>
      </c>
    </row>
    <row r="907" spans="1:7" hidden="1">
      <c r="A907" s="5" t="s">
        <v>6191</v>
      </c>
      <c r="B907" t="s">
        <v>5161</v>
      </c>
      <c r="C907" t="s">
        <v>173</v>
      </c>
      <c r="D907" t="s">
        <v>6192</v>
      </c>
      <c r="E907">
        <v>21</v>
      </c>
      <c r="F907" t="s">
        <v>5172</v>
      </c>
      <c r="G907" t="s">
        <v>1905</v>
      </c>
    </row>
    <row r="908" spans="1:7" hidden="1">
      <c r="A908" s="5" t="s">
        <v>6191</v>
      </c>
      <c r="B908" t="s">
        <v>5161</v>
      </c>
      <c r="C908" t="s">
        <v>173</v>
      </c>
      <c r="D908" t="s">
        <v>6193</v>
      </c>
      <c r="E908">
        <v>43</v>
      </c>
      <c r="F908" t="s">
        <v>5163</v>
      </c>
      <c r="G908" t="s">
        <v>5164</v>
      </c>
    </row>
    <row r="909" spans="1:7" hidden="1">
      <c r="A909" s="5" t="s">
        <v>6194</v>
      </c>
      <c r="B909" t="s">
        <v>5161</v>
      </c>
      <c r="C909" t="s">
        <v>173</v>
      </c>
      <c r="D909" t="s">
        <v>6195</v>
      </c>
      <c r="E909">
        <v>35</v>
      </c>
      <c r="F909" t="s">
        <v>5163</v>
      </c>
      <c r="G909" t="s">
        <v>5169</v>
      </c>
    </row>
    <row r="910" spans="1:7" hidden="1">
      <c r="A910" s="5" t="s">
        <v>4214</v>
      </c>
      <c r="B910" t="s">
        <v>5161</v>
      </c>
      <c r="C910" t="s">
        <v>173</v>
      </c>
      <c r="D910" t="s">
        <v>6196</v>
      </c>
      <c r="E910">
        <v>32</v>
      </c>
      <c r="F910" t="s">
        <v>5163</v>
      </c>
      <c r="G910" t="s">
        <v>5169</v>
      </c>
    </row>
    <row r="911" spans="1:7" hidden="1">
      <c r="A911" s="5" t="s">
        <v>4474</v>
      </c>
      <c r="B911" t="s">
        <v>5161</v>
      </c>
      <c r="C911" t="s">
        <v>173</v>
      </c>
      <c r="D911" t="s">
        <v>6197</v>
      </c>
      <c r="E911">
        <v>35</v>
      </c>
      <c r="F911" t="s">
        <v>5163</v>
      </c>
      <c r="G911" t="s">
        <v>5182</v>
      </c>
    </row>
    <row r="912" spans="1:7" hidden="1">
      <c r="A912" s="5" t="s">
        <v>4771</v>
      </c>
      <c r="B912" t="s">
        <v>5161</v>
      </c>
      <c r="C912" t="s">
        <v>173</v>
      </c>
      <c r="D912" t="s">
        <v>6198</v>
      </c>
      <c r="E912">
        <v>21</v>
      </c>
      <c r="F912" t="s">
        <v>5172</v>
      </c>
      <c r="G912" t="s">
        <v>1905</v>
      </c>
    </row>
    <row r="913" spans="1:7" hidden="1">
      <c r="A913" s="5" t="s">
        <v>4698</v>
      </c>
      <c r="B913" t="s">
        <v>5161</v>
      </c>
      <c r="C913" t="s">
        <v>173</v>
      </c>
      <c r="D913" t="s">
        <v>6199</v>
      </c>
      <c r="E913">
        <v>24</v>
      </c>
      <c r="F913" t="s">
        <v>5163</v>
      </c>
      <c r="G913" t="s">
        <v>5164</v>
      </c>
    </row>
    <row r="914" spans="1:7" hidden="1">
      <c r="A914" s="5" t="s">
        <v>2362</v>
      </c>
      <c r="B914" t="s">
        <v>5161</v>
      </c>
      <c r="C914" t="s">
        <v>173</v>
      </c>
      <c r="D914" t="s">
        <v>6200</v>
      </c>
      <c r="E914">
        <v>34</v>
      </c>
      <c r="F914" t="s">
        <v>5163</v>
      </c>
      <c r="G914" t="s">
        <v>5169</v>
      </c>
    </row>
    <row r="915" spans="1:7" hidden="1">
      <c r="A915" s="5" t="s">
        <v>3603</v>
      </c>
      <c r="B915" t="s">
        <v>5161</v>
      </c>
      <c r="C915" t="s">
        <v>173</v>
      </c>
      <c r="D915" t="s">
        <v>6201</v>
      </c>
      <c r="E915">
        <v>27</v>
      </c>
      <c r="F915" t="s">
        <v>5163</v>
      </c>
      <c r="G915" t="s">
        <v>1905</v>
      </c>
    </row>
    <row r="916" spans="1:7" hidden="1">
      <c r="A916" s="5" t="s">
        <v>4565</v>
      </c>
      <c r="B916" t="s">
        <v>5161</v>
      </c>
      <c r="C916" t="s">
        <v>173</v>
      </c>
      <c r="D916" t="s">
        <v>6202</v>
      </c>
      <c r="E916">
        <v>21</v>
      </c>
      <c r="F916" t="s">
        <v>5163</v>
      </c>
      <c r="G916" t="s">
        <v>5169</v>
      </c>
    </row>
    <row r="917" spans="1:7" hidden="1">
      <c r="A917" s="5" t="s">
        <v>6203</v>
      </c>
      <c r="B917" t="s">
        <v>5161</v>
      </c>
      <c r="C917" t="s">
        <v>173</v>
      </c>
      <c r="D917" t="s">
        <v>6204</v>
      </c>
      <c r="E917">
        <v>33</v>
      </c>
      <c r="F917" t="s">
        <v>5172</v>
      </c>
      <c r="G917" t="s">
        <v>5164</v>
      </c>
    </row>
    <row r="918" spans="1:7" hidden="1">
      <c r="A918" s="5" t="s">
        <v>6205</v>
      </c>
      <c r="B918" t="s">
        <v>5161</v>
      </c>
      <c r="C918" t="s">
        <v>173</v>
      </c>
      <c r="D918" t="s">
        <v>6206</v>
      </c>
      <c r="E918">
        <v>21</v>
      </c>
      <c r="F918" t="s">
        <v>5163</v>
      </c>
      <c r="G918" t="s">
        <v>5164</v>
      </c>
    </row>
    <row r="919" spans="1:7" hidden="1">
      <c r="A919" s="5" t="s">
        <v>2872</v>
      </c>
      <c r="B919" t="s">
        <v>5161</v>
      </c>
      <c r="C919" t="s">
        <v>173</v>
      </c>
      <c r="D919" t="s">
        <v>6207</v>
      </c>
      <c r="E919">
        <v>18</v>
      </c>
      <c r="F919" t="s">
        <v>5163</v>
      </c>
      <c r="G919" t="s">
        <v>5164</v>
      </c>
    </row>
    <row r="920" spans="1:7" hidden="1">
      <c r="A920" s="5" t="s">
        <v>6208</v>
      </c>
      <c r="B920" t="s">
        <v>5161</v>
      </c>
      <c r="C920" t="s">
        <v>173</v>
      </c>
      <c r="D920" t="s">
        <v>6209</v>
      </c>
      <c r="E920">
        <v>25</v>
      </c>
      <c r="F920" t="s">
        <v>5163</v>
      </c>
      <c r="G920" t="s">
        <v>5164</v>
      </c>
    </row>
    <row r="921" spans="1:7" hidden="1">
      <c r="A921" s="5" t="s">
        <v>6208</v>
      </c>
      <c r="B921" t="s">
        <v>5161</v>
      </c>
      <c r="C921" t="s">
        <v>173</v>
      </c>
      <c r="D921" t="s">
        <v>6210</v>
      </c>
      <c r="E921">
        <v>24</v>
      </c>
      <c r="F921" t="s">
        <v>5163</v>
      </c>
      <c r="G921" t="s">
        <v>1905</v>
      </c>
    </row>
    <row r="922" spans="1:7" hidden="1">
      <c r="A922" s="5" t="s">
        <v>6211</v>
      </c>
      <c r="B922" t="s">
        <v>5161</v>
      </c>
      <c r="C922" t="s">
        <v>173</v>
      </c>
      <c r="D922" t="s">
        <v>6212</v>
      </c>
      <c r="E922">
        <v>26</v>
      </c>
      <c r="F922" t="s">
        <v>5163</v>
      </c>
      <c r="G922" t="s">
        <v>5169</v>
      </c>
    </row>
    <row r="923" spans="1:7" hidden="1">
      <c r="A923" s="5" t="s">
        <v>4001</v>
      </c>
      <c r="B923" t="s">
        <v>5161</v>
      </c>
      <c r="C923" t="s">
        <v>173</v>
      </c>
      <c r="D923" t="s">
        <v>6213</v>
      </c>
      <c r="E923">
        <v>25</v>
      </c>
      <c r="F923" t="s">
        <v>5163</v>
      </c>
      <c r="G923" t="s">
        <v>5164</v>
      </c>
    </row>
    <row r="924" spans="1:7" hidden="1">
      <c r="A924" s="5" t="s">
        <v>5152</v>
      </c>
      <c r="B924" t="s">
        <v>5161</v>
      </c>
      <c r="C924" t="s">
        <v>173</v>
      </c>
      <c r="D924" t="s">
        <v>6214</v>
      </c>
      <c r="E924">
        <v>18</v>
      </c>
      <c r="F924" t="s">
        <v>5163</v>
      </c>
      <c r="G924" t="s">
        <v>1905</v>
      </c>
    </row>
    <row r="925" spans="1:7" hidden="1">
      <c r="A925" s="5" t="s">
        <v>1090</v>
      </c>
      <c r="B925" t="s">
        <v>5161</v>
      </c>
      <c r="C925" t="s">
        <v>173</v>
      </c>
      <c r="D925" t="s">
        <v>6215</v>
      </c>
      <c r="E925">
        <v>-78</v>
      </c>
      <c r="F925" t="s">
        <v>5163</v>
      </c>
      <c r="G925" t="s">
        <v>5164</v>
      </c>
    </row>
    <row r="926" spans="1:7" hidden="1">
      <c r="A926" s="5" t="s">
        <v>3248</v>
      </c>
      <c r="B926" t="s">
        <v>5161</v>
      </c>
      <c r="C926" t="s">
        <v>185</v>
      </c>
      <c r="D926" t="s">
        <v>6216</v>
      </c>
      <c r="E926">
        <v>28</v>
      </c>
      <c r="F926" t="s">
        <v>5172</v>
      </c>
      <c r="G926" t="s">
        <v>5164</v>
      </c>
    </row>
    <row r="927" spans="1:7" hidden="1">
      <c r="A927" s="5" t="s">
        <v>3319</v>
      </c>
      <c r="B927" t="s">
        <v>5161</v>
      </c>
      <c r="C927" t="s">
        <v>185</v>
      </c>
      <c r="D927" t="s">
        <v>6217</v>
      </c>
      <c r="E927">
        <v>25</v>
      </c>
      <c r="F927" t="s">
        <v>5163</v>
      </c>
      <c r="G927" t="s">
        <v>5164</v>
      </c>
    </row>
    <row r="928" spans="1:7" hidden="1">
      <c r="A928" s="5" t="s">
        <v>2519</v>
      </c>
      <c r="B928" t="s">
        <v>5161</v>
      </c>
      <c r="C928" t="s">
        <v>185</v>
      </c>
      <c r="D928" t="s">
        <v>6218</v>
      </c>
      <c r="E928">
        <v>24</v>
      </c>
      <c r="F928" t="s">
        <v>5163</v>
      </c>
      <c r="G928" t="s">
        <v>5164</v>
      </c>
    </row>
    <row r="929" spans="1:7" hidden="1">
      <c r="A929" s="5" t="s">
        <v>3411</v>
      </c>
      <c r="B929" t="s">
        <v>5161</v>
      </c>
      <c r="C929" t="s">
        <v>185</v>
      </c>
      <c r="D929" t="s">
        <v>6219</v>
      </c>
      <c r="E929">
        <v>26</v>
      </c>
      <c r="F929" t="s">
        <v>5163</v>
      </c>
      <c r="G929" t="s">
        <v>5169</v>
      </c>
    </row>
    <row r="930" spans="1:7" hidden="1">
      <c r="A930" s="5" t="s">
        <v>3411</v>
      </c>
      <c r="B930" t="s">
        <v>5161</v>
      </c>
      <c r="C930" t="s">
        <v>185</v>
      </c>
      <c r="D930" t="s">
        <v>6220</v>
      </c>
      <c r="E930">
        <v>18</v>
      </c>
      <c r="F930" t="s">
        <v>5163</v>
      </c>
      <c r="G930" t="s">
        <v>5164</v>
      </c>
    </row>
    <row r="931" spans="1:7" hidden="1">
      <c r="A931" s="5" t="s">
        <v>3411</v>
      </c>
      <c r="B931" t="s">
        <v>5161</v>
      </c>
      <c r="C931" t="s">
        <v>185</v>
      </c>
      <c r="D931" t="s">
        <v>6221</v>
      </c>
      <c r="E931">
        <v>35</v>
      </c>
      <c r="F931" t="s">
        <v>5163</v>
      </c>
      <c r="G931" t="s">
        <v>5169</v>
      </c>
    </row>
    <row r="932" spans="1:7" hidden="1">
      <c r="A932" s="5" t="s">
        <v>4846</v>
      </c>
      <c r="B932" t="s">
        <v>5161</v>
      </c>
      <c r="C932" t="s">
        <v>185</v>
      </c>
      <c r="D932" t="s">
        <v>6222</v>
      </c>
      <c r="E932">
        <v>26</v>
      </c>
      <c r="F932" t="s">
        <v>5163</v>
      </c>
      <c r="G932" t="s">
        <v>1905</v>
      </c>
    </row>
    <row r="933" spans="1:7" hidden="1">
      <c r="A933" s="5" t="s">
        <v>4846</v>
      </c>
      <c r="B933" t="s">
        <v>5161</v>
      </c>
      <c r="C933" t="s">
        <v>185</v>
      </c>
      <c r="D933" t="s">
        <v>6223</v>
      </c>
      <c r="E933">
        <v>28</v>
      </c>
      <c r="F933" t="s">
        <v>5163</v>
      </c>
      <c r="G933" t="s">
        <v>1905</v>
      </c>
    </row>
    <row r="934" spans="1:7" hidden="1">
      <c r="A934" s="5" t="s">
        <v>6224</v>
      </c>
      <c r="B934" t="s">
        <v>5161</v>
      </c>
      <c r="C934" t="s">
        <v>185</v>
      </c>
      <c r="D934" t="s">
        <v>6225</v>
      </c>
      <c r="E934">
        <v>23</v>
      </c>
      <c r="F934" t="s">
        <v>5163</v>
      </c>
      <c r="G934" t="s">
        <v>5164</v>
      </c>
    </row>
    <row r="935" spans="1:7" hidden="1">
      <c r="A935" s="5" t="s">
        <v>6224</v>
      </c>
      <c r="B935" t="s">
        <v>5161</v>
      </c>
      <c r="C935" t="s">
        <v>185</v>
      </c>
      <c r="D935" t="s">
        <v>6226</v>
      </c>
      <c r="E935">
        <v>21</v>
      </c>
      <c r="F935" t="s">
        <v>5163</v>
      </c>
      <c r="G935" t="s">
        <v>5164</v>
      </c>
    </row>
    <row r="936" spans="1:7" hidden="1">
      <c r="A936" s="5" t="s">
        <v>2331</v>
      </c>
      <c r="B936" t="s">
        <v>5161</v>
      </c>
      <c r="C936" t="s">
        <v>185</v>
      </c>
      <c r="D936" t="s">
        <v>6227</v>
      </c>
      <c r="E936">
        <v>18</v>
      </c>
      <c r="F936" t="s">
        <v>5163</v>
      </c>
      <c r="G936" t="s">
        <v>1905</v>
      </c>
    </row>
    <row r="937" spans="1:7" hidden="1">
      <c r="A937" s="5" t="s">
        <v>4861</v>
      </c>
      <c r="B937" t="s">
        <v>5161</v>
      </c>
      <c r="C937" t="s">
        <v>185</v>
      </c>
      <c r="D937" t="s">
        <v>6228</v>
      </c>
      <c r="E937">
        <v>23</v>
      </c>
      <c r="F937" t="s">
        <v>5163</v>
      </c>
      <c r="G937" t="s">
        <v>5164</v>
      </c>
    </row>
    <row r="938" spans="1:7" hidden="1">
      <c r="A938" s="5" t="s">
        <v>3664</v>
      </c>
      <c r="B938" t="s">
        <v>5161</v>
      </c>
      <c r="C938" t="s">
        <v>185</v>
      </c>
      <c r="D938" t="s">
        <v>6229</v>
      </c>
      <c r="E938">
        <v>23</v>
      </c>
      <c r="F938" t="s">
        <v>5163</v>
      </c>
      <c r="G938" t="s">
        <v>1905</v>
      </c>
    </row>
    <row r="939" spans="1:7" hidden="1">
      <c r="A939" s="5" t="s">
        <v>4900</v>
      </c>
      <c r="B939" t="s">
        <v>5161</v>
      </c>
      <c r="C939" t="s">
        <v>185</v>
      </c>
      <c r="D939" t="s">
        <v>6230</v>
      </c>
      <c r="E939">
        <v>32</v>
      </c>
      <c r="F939" t="s">
        <v>5163</v>
      </c>
      <c r="G939" t="s">
        <v>1905</v>
      </c>
    </row>
    <row r="940" spans="1:7" hidden="1">
      <c r="A940" s="5" t="s">
        <v>178</v>
      </c>
      <c r="B940" t="s">
        <v>5161</v>
      </c>
      <c r="C940" t="s">
        <v>185</v>
      </c>
      <c r="D940" t="s">
        <v>617</v>
      </c>
      <c r="E940">
        <v>19</v>
      </c>
      <c r="F940" t="s">
        <v>5163</v>
      </c>
      <c r="G940" t="s">
        <v>5169</v>
      </c>
    </row>
    <row r="941" spans="1:7" hidden="1">
      <c r="A941" s="5" t="s">
        <v>3414</v>
      </c>
      <c r="B941" t="s">
        <v>5161</v>
      </c>
      <c r="C941" t="s">
        <v>185</v>
      </c>
      <c r="D941" t="s">
        <v>6231</v>
      </c>
      <c r="E941">
        <v>23</v>
      </c>
      <c r="F941" t="s">
        <v>5163</v>
      </c>
      <c r="G941" t="s">
        <v>5164</v>
      </c>
    </row>
    <row r="942" spans="1:7" hidden="1">
      <c r="A942" s="5" t="s">
        <v>4692</v>
      </c>
      <c r="B942" t="s">
        <v>5161</v>
      </c>
      <c r="C942" t="s">
        <v>185</v>
      </c>
      <c r="D942" t="s">
        <v>6232</v>
      </c>
      <c r="E942">
        <v>26</v>
      </c>
      <c r="F942" t="s">
        <v>5163</v>
      </c>
      <c r="G942" t="s">
        <v>1905</v>
      </c>
    </row>
    <row r="943" spans="1:7" hidden="1">
      <c r="A943" s="5" t="s">
        <v>2427</v>
      </c>
      <c r="B943" t="s">
        <v>5161</v>
      </c>
      <c r="C943" t="s">
        <v>185</v>
      </c>
      <c r="D943" t="s">
        <v>6233</v>
      </c>
      <c r="E943">
        <v>23</v>
      </c>
      <c r="F943" t="s">
        <v>5163</v>
      </c>
      <c r="G943" t="s">
        <v>1905</v>
      </c>
    </row>
    <row r="944" spans="1:7" hidden="1">
      <c r="A944" s="5" t="s">
        <v>4927</v>
      </c>
      <c r="B944" t="s">
        <v>5161</v>
      </c>
      <c r="C944" t="s">
        <v>185</v>
      </c>
      <c r="D944" t="s">
        <v>6234</v>
      </c>
      <c r="E944">
        <v>23</v>
      </c>
      <c r="F944" t="s">
        <v>5163</v>
      </c>
      <c r="G944" t="s">
        <v>5182</v>
      </c>
    </row>
    <row r="945" spans="1:7" hidden="1">
      <c r="A945" s="5" t="s">
        <v>3249</v>
      </c>
      <c r="B945" t="s">
        <v>5161</v>
      </c>
      <c r="C945" t="s">
        <v>185</v>
      </c>
      <c r="D945" t="s">
        <v>6235</v>
      </c>
      <c r="E945">
        <v>27</v>
      </c>
      <c r="F945" t="s">
        <v>5163</v>
      </c>
      <c r="G945" t="s">
        <v>5164</v>
      </c>
    </row>
    <row r="946" spans="1:7" hidden="1">
      <c r="A946" s="5" t="s">
        <v>2295</v>
      </c>
      <c r="B946" t="s">
        <v>5161</v>
      </c>
      <c r="C946" t="s">
        <v>185</v>
      </c>
      <c r="D946" t="s">
        <v>6236</v>
      </c>
      <c r="E946">
        <v>28</v>
      </c>
      <c r="F946" t="s">
        <v>5163</v>
      </c>
      <c r="G946" t="s">
        <v>1905</v>
      </c>
    </row>
    <row r="947" spans="1:7" hidden="1">
      <c r="A947" s="5" t="s">
        <v>4801</v>
      </c>
      <c r="B947" t="s">
        <v>5161</v>
      </c>
      <c r="C947" t="s">
        <v>185</v>
      </c>
      <c r="D947" t="s">
        <v>6237</v>
      </c>
      <c r="E947">
        <v>25</v>
      </c>
      <c r="F947" t="s">
        <v>5163</v>
      </c>
      <c r="G947" t="s">
        <v>5164</v>
      </c>
    </row>
    <row r="948" spans="1:7" hidden="1">
      <c r="A948" s="5" t="s">
        <v>4801</v>
      </c>
      <c r="B948" t="s">
        <v>5161</v>
      </c>
      <c r="C948" t="s">
        <v>185</v>
      </c>
      <c r="D948" t="s">
        <v>6238</v>
      </c>
      <c r="E948">
        <v>24</v>
      </c>
      <c r="F948" t="s">
        <v>5163</v>
      </c>
      <c r="G948" t="s">
        <v>1905</v>
      </c>
    </row>
    <row r="949" spans="1:7" hidden="1">
      <c r="A949" s="5" t="s">
        <v>4801</v>
      </c>
      <c r="B949" t="s">
        <v>5161</v>
      </c>
      <c r="C949" t="s">
        <v>185</v>
      </c>
      <c r="D949" t="s">
        <v>6239</v>
      </c>
      <c r="E949">
        <v>22</v>
      </c>
      <c r="F949" t="s">
        <v>5163</v>
      </c>
      <c r="G949" t="s">
        <v>5169</v>
      </c>
    </row>
    <row r="950" spans="1:7" hidden="1">
      <c r="A950" s="5" t="s">
        <v>2474</v>
      </c>
      <c r="B950" t="s">
        <v>5161</v>
      </c>
      <c r="C950" t="s">
        <v>185</v>
      </c>
      <c r="D950" t="s">
        <v>6240</v>
      </c>
      <c r="E950">
        <v>29</v>
      </c>
      <c r="F950" t="s">
        <v>5163</v>
      </c>
      <c r="G950" t="s">
        <v>1905</v>
      </c>
    </row>
    <row r="951" spans="1:7" hidden="1">
      <c r="A951" s="5" t="s">
        <v>6241</v>
      </c>
      <c r="B951" t="s">
        <v>5161</v>
      </c>
      <c r="C951" t="s">
        <v>185</v>
      </c>
      <c r="D951" t="s">
        <v>6242</v>
      </c>
      <c r="E951">
        <v>38</v>
      </c>
      <c r="F951" t="s">
        <v>5163</v>
      </c>
      <c r="G951" t="s">
        <v>1905</v>
      </c>
    </row>
    <row r="952" spans="1:7" hidden="1">
      <c r="A952" s="5" t="s">
        <v>2871</v>
      </c>
      <c r="B952" t="s">
        <v>5161</v>
      </c>
      <c r="C952" t="s">
        <v>185</v>
      </c>
      <c r="D952" t="s">
        <v>6243</v>
      </c>
      <c r="E952">
        <v>54</v>
      </c>
      <c r="F952" t="s">
        <v>5163</v>
      </c>
      <c r="G952" t="s">
        <v>1905</v>
      </c>
    </row>
    <row r="953" spans="1:7" hidden="1">
      <c r="A953" s="5" t="s">
        <v>180</v>
      </c>
      <c r="B953" t="s">
        <v>5161</v>
      </c>
      <c r="C953" t="s">
        <v>185</v>
      </c>
      <c r="D953" t="s">
        <v>6244</v>
      </c>
      <c r="E953">
        <v>22</v>
      </c>
      <c r="F953" t="s">
        <v>5163</v>
      </c>
      <c r="G953" t="s">
        <v>5169</v>
      </c>
    </row>
    <row r="954" spans="1:7" hidden="1">
      <c r="A954" s="5" t="s">
        <v>4209</v>
      </c>
      <c r="B954" t="s">
        <v>5161</v>
      </c>
      <c r="C954" t="s">
        <v>185</v>
      </c>
      <c r="D954" t="s">
        <v>6245</v>
      </c>
      <c r="E954">
        <v>18</v>
      </c>
      <c r="F954" t="s">
        <v>5163</v>
      </c>
      <c r="G954" t="s">
        <v>5164</v>
      </c>
    </row>
    <row r="955" spans="1:7" hidden="1">
      <c r="A955" s="5" t="s">
        <v>4874</v>
      </c>
      <c r="B955" t="s">
        <v>5161</v>
      </c>
      <c r="C955" t="s">
        <v>185</v>
      </c>
      <c r="D955" t="s">
        <v>6246</v>
      </c>
      <c r="E955">
        <v>18</v>
      </c>
      <c r="F955" t="s">
        <v>5163</v>
      </c>
      <c r="G955" t="s">
        <v>1905</v>
      </c>
    </row>
    <row r="956" spans="1:7" hidden="1">
      <c r="A956" s="5" t="s">
        <v>1912</v>
      </c>
      <c r="B956" t="s">
        <v>5161</v>
      </c>
      <c r="C956" t="s">
        <v>185</v>
      </c>
      <c r="D956" t="s">
        <v>1915</v>
      </c>
      <c r="E956">
        <v>32</v>
      </c>
      <c r="F956" t="s">
        <v>5163</v>
      </c>
      <c r="G956" t="s">
        <v>5169</v>
      </c>
    </row>
    <row r="957" spans="1:7" hidden="1">
      <c r="A957" s="5" t="s">
        <v>1912</v>
      </c>
      <c r="B957" t="s">
        <v>5161</v>
      </c>
      <c r="C957" t="s">
        <v>185</v>
      </c>
      <c r="D957" t="s">
        <v>1914</v>
      </c>
      <c r="E957">
        <v>27</v>
      </c>
      <c r="F957" t="s">
        <v>5163</v>
      </c>
      <c r="G957" t="s">
        <v>5169</v>
      </c>
    </row>
    <row r="958" spans="1:7" hidden="1">
      <c r="A958" s="5" t="s">
        <v>1912</v>
      </c>
      <c r="B958" t="s">
        <v>5161</v>
      </c>
      <c r="C958" t="s">
        <v>185</v>
      </c>
      <c r="D958" t="s">
        <v>1913</v>
      </c>
      <c r="E958">
        <v>33</v>
      </c>
      <c r="F958" t="s">
        <v>5163</v>
      </c>
      <c r="G958" t="s">
        <v>1905</v>
      </c>
    </row>
    <row r="959" spans="1:7" hidden="1">
      <c r="A959" s="5" t="s">
        <v>4283</v>
      </c>
      <c r="B959" t="s">
        <v>5161</v>
      </c>
      <c r="C959" t="s">
        <v>185</v>
      </c>
      <c r="D959" t="s">
        <v>6247</v>
      </c>
      <c r="E959">
        <v>20</v>
      </c>
      <c r="F959" t="s">
        <v>5163</v>
      </c>
      <c r="G959" t="s">
        <v>1905</v>
      </c>
    </row>
    <row r="960" spans="1:7" hidden="1">
      <c r="A960" s="5" t="s">
        <v>174</v>
      </c>
      <c r="B960" t="s">
        <v>5161</v>
      </c>
      <c r="C960" t="s">
        <v>185</v>
      </c>
      <c r="D960" t="s">
        <v>1899</v>
      </c>
      <c r="E960">
        <v>19</v>
      </c>
      <c r="F960" t="s">
        <v>5163</v>
      </c>
      <c r="G960" t="s">
        <v>1905</v>
      </c>
    </row>
    <row r="961" spans="1:7" hidden="1">
      <c r="A961" s="5" t="s">
        <v>174</v>
      </c>
      <c r="B961" t="s">
        <v>5161</v>
      </c>
      <c r="C961" t="s">
        <v>185</v>
      </c>
      <c r="D961" t="s">
        <v>1898</v>
      </c>
      <c r="E961">
        <v>22</v>
      </c>
      <c r="F961" t="s">
        <v>5163</v>
      </c>
      <c r="G961" t="s">
        <v>1905</v>
      </c>
    </row>
    <row r="962" spans="1:7" hidden="1">
      <c r="A962" s="5" t="s">
        <v>4019</v>
      </c>
      <c r="B962" t="s">
        <v>5161</v>
      </c>
      <c r="C962" t="s">
        <v>185</v>
      </c>
      <c r="D962" t="s">
        <v>6248</v>
      </c>
      <c r="E962">
        <v>23</v>
      </c>
      <c r="F962" t="s">
        <v>5163</v>
      </c>
      <c r="G962" t="s">
        <v>1905</v>
      </c>
    </row>
    <row r="963" spans="1:7" hidden="1">
      <c r="A963" s="5" t="s">
        <v>2395</v>
      </c>
      <c r="B963" t="s">
        <v>5161</v>
      </c>
      <c r="C963" t="s">
        <v>185</v>
      </c>
      <c r="D963" t="s">
        <v>6249</v>
      </c>
      <c r="E963">
        <v>19</v>
      </c>
      <c r="F963" t="s">
        <v>5163</v>
      </c>
      <c r="G963" t="s">
        <v>5164</v>
      </c>
    </row>
    <row r="964" spans="1:7" hidden="1">
      <c r="A964" s="5" t="s">
        <v>3982</v>
      </c>
      <c r="B964" t="s">
        <v>5161</v>
      </c>
      <c r="C964" t="s">
        <v>185</v>
      </c>
      <c r="D964" t="s">
        <v>6250</v>
      </c>
      <c r="E964">
        <v>30</v>
      </c>
      <c r="F964" t="s">
        <v>5163</v>
      </c>
      <c r="G964" t="s">
        <v>1905</v>
      </c>
    </row>
    <row r="965" spans="1:7" hidden="1">
      <c r="A965" s="5" t="s">
        <v>175</v>
      </c>
      <c r="B965" t="s">
        <v>5161</v>
      </c>
      <c r="C965" t="s">
        <v>185</v>
      </c>
      <c r="D965" t="s">
        <v>611</v>
      </c>
      <c r="E965">
        <v>37</v>
      </c>
      <c r="F965" t="s">
        <v>5163</v>
      </c>
      <c r="G965" t="s">
        <v>5169</v>
      </c>
    </row>
    <row r="966" spans="1:7" hidden="1">
      <c r="A966" s="5" t="s">
        <v>2360</v>
      </c>
      <c r="B966" t="s">
        <v>5161</v>
      </c>
      <c r="C966" t="s">
        <v>185</v>
      </c>
      <c r="D966" t="s">
        <v>6251</v>
      </c>
      <c r="E966" t="s">
        <v>5182</v>
      </c>
      <c r="F966" t="s">
        <v>5163</v>
      </c>
      <c r="G966" t="s">
        <v>5484</v>
      </c>
    </row>
    <row r="967" spans="1:7" hidden="1">
      <c r="A967" s="5" t="s">
        <v>3178</v>
      </c>
      <c r="B967" t="s">
        <v>5161</v>
      </c>
      <c r="C967" t="s">
        <v>185</v>
      </c>
      <c r="D967" t="s">
        <v>6252</v>
      </c>
      <c r="E967">
        <v>29</v>
      </c>
      <c r="F967" t="s">
        <v>5163</v>
      </c>
      <c r="G967" t="s">
        <v>1905</v>
      </c>
    </row>
    <row r="968" spans="1:7" hidden="1">
      <c r="A968" s="5" t="s">
        <v>2475</v>
      </c>
      <c r="B968" t="s">
        <v>5161</v>
      </c>
      <c r="C968" t="s">
        <v>185</v>
      </c>
      <c r="D968" t="s">
        <v>6253</v>
      </c>
      <c r="E968">
        <v>37</v>
      </c>
      <c r="F968" t="s">
        <v>5163</v>
      </c>
      <c r="G968" t="s">
        <v>5164</v>
      </c>
    </row>
    <row r="969" spans="1:7" hidden="1">
      <c r="A969" s="5" t="s">
        <v>4053</v>
      </c>
      <c r="B969" t="s">
        <v>5161</v>
      </c>
      <c r="C969" t="s">
        <v>185</v>
      </c>
      <c r="D969" t="s">
        <v>6254</v>
      </c>
      <c r="E969">
        <v>43</v>
      </c>
      <c r="F969" t="s">
        <v>5163</v>
      </c>
      <c r="G969" t="s">
        <v>5164</v>
      </c>
    </row>
    <row r="970" spans="1:7" hidden="1">
      <c r="A970" s="5" t="s">
        <v>2264</v>
      </c>
      <c r="B970" t="s">
        <v>5161</v>
      </c>
      <c r="C970" t="s">
        <v>185</v>
      </c>
      <c r="D970" t="s">
        <v>6255</v>
      </c>
      <c r="E970">
        <v>29</v>
      </c>
      <c r="F970" t="s">
        <v>5163</v>
      </c>
      <c r="G970" t="s">
        <v>5169</v>
      </c>
    </row>
    <row r="971" spans="1:7" hidden="1">
      <c r="A971" s="5" t="s">
        <v>2264</v>
      </c>
      <c r="B971" t="s">
        <v>5161</v>
      </c>
      <c r="C971" t="s">
        <v>185</v>
      </c>
      <c r="D971" t="s">
        <v>6256</v>
      </c>
      <c r="E971">
        <v>33</v>
      </c>
      <c r="F971" t="s">
        <v>5163</v>
      </c>
      <c r="G971" t="s">
        <v>5169</v>
      </c>
    </row>
    <row r="972" spans="1:7" hidden="1">
      <c r="A972" s="5" t="s">
        <v>2264</v>
      </c>
      <c r="B972" t="s">
        <v>5161</v>
      </c>
      <c r="C972" t="s">
        <v>185</v>
      </c>
      <c r="D972" t="s">
        <v>6257</v>
      </c>
      <c r="E972">
        <v>-966</v>
      </c>
      <c r="F972" t="s">
        <v>5163</v>
      </c>
      <c r="G972" t="s">
        <v>5169</v>
      </c>
    </row>
    <row r="973" spans="1:7" hidden="1">
      <c r="A973" s="5" t="s">
        <v>2264</v>
      </c>
      <c r="B973" t="s">
        <v>5161</v>
      </c>
      <c r="C973" t="s">
        <v>185</v>
      </c>
      <c r="D973" t="s">
        <v>6258</v>
      </c>
      <c r="E973">
        <v>26</v>
      </c>
      <c r="F973" t="s">
        <v>5163</v>
      </c>
      <c r="G973" t="s">
        <v>5169</v>
      </c>
    </row>
    <row r="974" spans="1:7" hidden="1">
      <c r="A974" s="5" t="s">
        <v>179</v>
      </c>
      <c r="B974" t="s">
        <v>5161</v>
      </c>
      <c r="C974" t="s">
        <v>185</v>
      </c>
      <c r="D974" t="s">
        <v>618</v>
      </c>
      <c r="E974">
        <v>22</v>
      </c>
      <c r="F974" t="s">
        <v>5163</v>
      </c>
      <c r="G974" t="s">
        <v>5164</v>
      </c>
    </row>
    <row r="975" spans="1:7" hidden="1">
      <c r="A975" s="5" t="s">
        <v>3846</v>
      </c>
      <c r="B975" t="s">
        <v>5161</v>
      </c>
      <c r="C975" t="s">
        <v>185</v>
      </c>
      <c r="D975" t="s">
        <v>6259</v>
      </c>
      <c r="E975">
        <v>30</v>
      </c>
      <c r="F975" t="s">
        <v>5163</v>
      </c>
      <c r="G975" t="s">
        <v>5164</v>
      </c>
    </row>
    <row r="976" spans="1:7" hidden="1">
      <c r="A976" s="5" t="s">
        <v>2413</v>
      </c>
      <c r="B976" t="s">
        <v>5161</v>
      </c>
      <c r="C976" t="s">
        <v>185</v>
      </c>
      <c r="D976" t="s">
        <v>6260</v>
      </c>
      <c r="E976">
        <v>27</v>
      </c>
      <c r="F976" t="s">
        <v>5163</v>
      </c>
      <c r="G976" t="s">
        <v>5164</v>
      </c>
    </row>
    <row r="977" spans="1:7" hidden="1">
      <c r="A977" s="5" t="s">
        <v>3884</v>
      </c>
      <c r="B977" t="s">
        <v>5161</v>
      </c>
      <c r="C977" t="s">
        <v>185</v>
      </c>
      <c r="D977" t="s">
        <v>6261</v>
      </c>
      <c r="E977">
        <v>21</v>
      </c>
      <c r="F977" t="s">
        <v>5163</v>
      </c>
      <c r="G977" t="s">
        <v>5164</v>
      </c>
    </row>
    <row r="978" spans="1:7" hidden="1">
      <c r="A978" s="5" t="s">
        <v>3256</v>
      </c>
      <c r="B978" t="s">
        <v>5161</v>
      </c>
      <c r="C978" t="s">
        <v>185</v>
      </c>
      <c r="D978" t="s">
        <v>6262</v>
      </c>
      <c r="E978">
        <v>18</v>
      </c>
      <c r="F978" t="s">
        <v>5163</v>
      </c>
      <c r="G978" t="s">
        <v>5164</v>
      </c>
    </row>
    <row r="979" spans="1:7" hidden="1">
      <c r="A979" s="5" t="s">
        <v>3066</v>
      </c>
      <c r="B979" t="s">
        <v>5161</v>
      </c>
      <c r="C979" t="s">
        <v>185</v>
      </c>
      <c r="D979" t="s">
        <v>6263</v>
      </c>
      <c r="E979">
        <v>22</v>
      </c>
      <c r="F979" t="s">
        <v>5163</v>
      </c>
      <c r="G979" t="s">
        <v>1905</v>
      </c>
    </row>
    <row r="980" spans="1:7" hidden="1">
      <c r="A980" s="5" t="s">
        <v>4942</v>
      </c>
      <c r="B980" t="s">
        <v>5161</v>
      </c>
      <c r="C980" t="s">
        <v>185</v>
      </c>
      <c r="D980" t="s">
        <v>6264</v>
      </c>
      <c r="E980">
        <v>29</v>
      </c>
      <c r="F980" t="s">
        <v>5163</v>
      </c>
      <c r="G980" t="s">
        <v>5484</v>
      </c>
    </row>
    <row r="981" spans="1:7" hidden="1">
      <c r="A981" s="5" t="s">
        <v>6265</v>
      </c>
      <c r="B981" t="s">
        <v>5161</v>
      </c>
      <c r="C981" t="s">
        <v>185</v>
      </c>
      <c r="D981" t="s">
        <v>6266</v>
      </c>
      <c r="E981">
        <v>34</v>
      </c>
      <c r="F981" t="s">
        <v>5163</v>
      </c>
      <c r="G981" t="s">
        <v>5169</v>
      </c>
    </row>
    <row r="982" spans="1:7" hidden="1">
      <c r="A982" s="5" t="s">
        <v>6265</v>
      </c>
      <c r="B982" t="s">
        <v>5161</v>
      </c>
      <c r="C982" t="s">
        <v>185</v>
      </c>
      <c r="D982" t="s">
        <v>6267</v>
      </c>
      <c r="E982">
        <v>22</v>
      </c>
      <c r="F982" t="s">
        <v>5163</v>
      </c>
      <c r="G982" t="s">
        <v>5164</v>
      </c>
    </row>
    <row r="983" spans="1:7" hidden="1">
      <c r="A983" s="5" t="s">
        <v>2175</v>
      </c>
      <c r="B983" t="s">
        <v>5161</v>
      </c>
      <c r="C983" t="s">
        <v>185</v>
      </c>
      <c r="D983" t="s">
        <v>6268</v>
      </c>
      <c r="E983" t="s">
        <v>5182</v>
      </c>
      <c r="F983" t="s">
        <v>5163</v>
      </c>
      <c r="G983" t="s">
        <v>5169</v>
      </c>
    </row>
    <row r="984" spans="1:7" hidden="1">
      <c r="A984" s="5" t="s">
        <v>2660</v>
      </c>
      <c r="B984" t="s">
        <v>5161</v>
      </c>
      <c r="C984" t="s">
        <v>185</v>
      </c>
      <c r="D984" t="s">
        <v>6269</v>
      </c>
      <c r="E984">
        <v>35</v>
      </c>
      <c r="F984" t="s">
        <v>5163</v>
      </c>
      <c r="G984" t="s">
        <v>1905</v>
      </c>
    </row>
    <row r="985" spans="1:7" hidden="1">
      <c r="A985" s="5" t="s">
        <v>2660</v>
      </c>
      <c r="B985" t="s">
        <v>5161</v>
      </c>
      <c r="C985" t="s">
        <v>185</v>
      </c>
      <c r="D985" t="s">
        <v>6270</v>
      </c>
      <c r="E985">
        <v>34</v>
      </c>
      <c r="F985" t="s">
        <v>5163</v>
      </c>
      <c r="G985" t="s">
        <v>1905</v>
      </c>
    </row>
    <row r="986" spans="1:7" hidden="1">
      <c r="A986" s="5" t="s">
        <v>3107</v>
      </c>
      <c r="B986" t="s">
        <v>5161</v>
      </c>
      <c r="C986" t="s">
        <v>185</v>
      </c>
      <c r="D986" t="s">
        <v>6271</v>
      </c>
      <c r="E986">
        <v>50</v>
      </c>
      <c r="F986" t="s">
        <v>5163</v>
      </c>
      <c r="G986" t="s">
        <v>1905</v>
      </c>
    </row>
    <row r="987" spans="1:7" hidden="1">
      <c r="A987" s="5" t="s">
        <v>3107</v>
      </c>
      <c r="B987" t="s">
        <v>5161</v>
      </c>
      <c r="C987" t="s">
        <v>185</v>
      </c>
      <c r="D987" t="s">
        <v>6272</v>
      </c>
      <c r="E987">
        <v>46</v>
      </c>
      <c r="F987" t="s">
        <v>5172</v>
      </c>
      <c r="G987" t="s">
        <v>1905</v>
      </c>
    </row>
    <row r="988" spans="1:7" hidden="1">
      <c r="A988" s="5" t="s">
        <v>3055</v>
      </c>
      <c r="B988" t="s">
        <v>5161</v>
      </c>
      <c r="C988" t="s">
        <v>185</v>
      </c>
      <c r="D988" t="s">
        <v>6273</v>
      </c>
      <c r="E988">
        <v>18</v>
      </c>
      <c r="F988" t="s">
        <v>5163</v>
      </c>
      <c r="G988" t="s">
        <v>1905</v>
      </c>
    </row>
    <row r="989" spans="1:7" hidden="1">
      <c r="A989" s="5" t="s">
        <v>2946</v>
      </c>
      <c r="B989" t="s">
        <v>5161</v>
      </c>
      <c r="C989" t="s">
        <v>185</v>
      </c>
      <c r="D989" t="s">
        <v>6274</v>
      </c>
      <c r="E989">
        <v>24</v>
      </c>
      <c r="F989" t="s">
        <v>5163</v>
      </c>
      <c r="G989" t="s">
        <v>5164</v>
      </c>
    </row>
    <row r="990" spans="1:7" hidden="1">
      <c r="A990" s="5" t="s">
        <v>4106</v>
      </c>
      <c r="B990" t="s">
        <v>5161</v>
      </c>
      <c r="C990" t="s">
        <v>185</v>
      </c>
      <c r="D990" t="s">
        <v>6275</v>
      </c>
      <c r="E990">
        <v>19</v>
      </c>
      <c r="F990" t="s">
        <v>5163</v>
      </c>
      <c r="G990" t="s">
        <v>1905</v>
      </c>
    </row>
    <row r="991" spans="1:7" hidden="1">
      <c r="A991" s="5" t="s">
        <v>4899</v>
      </c>
      <c r="B991" t="s">
        <v>5161</v>
      </c>
      <c r="C991" t="s">
        <v>185</v>
      </c>
      <c r="D991" t="s">
        <v>6276</v>
      </c>
      <c r="E991">
        <v>18</v>
      </c>
      <c r="F991" t="s">
        <v>5163</v>
      </c>
      <c r="G991" t="s">
        <v>5164</v>
      </c>
    </row>
    <row r="992" spans="1:7" hidden="1">
      <c r="A992" s="5" t="s">
        <v>3167</v>
      </c>
      <c r="B992" t="s">
        <v>5161</v>
      </c>
      <c r="C992" t="s">
        <v>185</v>
      </c>
      <c r="D992" t="s">
        <v>6277</v>
      </c>
      <c r="E992">
        <v>22</v>
      </c>
      <c r="F992" t="s">
        <v>5163</v>
      </c>
      <c r="G992" t="s">
        <v>5164</v>
      </c>
    </row>
    <row r="993" spans="1:7" hidden="1">
      <c r="A993" s="5" t="s">
        <v>4768</v>
      </c>
      <c r="B993" t="s">
        <v>5161</v>
      </c>
      <c r="C993" t="s">
        <v>185</v>
      </c>
      <c r="D993" t="s">
        <v>6278</v>
      </c>
      <c r="E993">
        <v>22</v>
      </c>
      <c r="F993" t="s">
        <v>5163</v>
      </c>
      <c r="G993" t="s">
        <v>1905</v>
      </c>
    </row>
    <row r="994" spans="1:7" hidden="1">
      <c r="A994" s="5" t="s">
        <v>4768</v>
      </c>
      <c r="B994" t="s">
        <v>5161</v>
      </c>
      <c r="C994" t="s">
        <v>185</v>
      </c>
      <c r="D994" t="s">
        <v>6279</v>
      </c>
      <c r="E994">
        <v>23</v>
      </c>
      <c r="F994" t="s">
        <v>5163</v>
      </c>
      <c r="G994" t="s">
        <v>5164</v>
      </c>
    </row>
    <row r="995" spans="1:7" hidden="1">
      <c r="A995" s="5" t="s">
        <v>4559</v>
      </c>
      <c r="B995" t="s">
        <v>5161</v>
      </c>
      <c r="C995" t="s">
        <v>185</v>
      </c>
      <c r="D995" t="s">
        <v>6280</v>
      </c>
      <c r="E995">
        <v>32</v>
      </c>
      <c r="F995" t="s">
        <v>5163</v>
      </c>
      <c r="G995" t="s">
        <v>1905</v>
      </c>
    </row>
    <row r="996" spans="1:7" hidden="1">
      <c r="A996" s="5" t="s">
        <v>4559</v>
      </c>
      <c r="B996" t="s">
        <v>5161</v>
      </c>
      <c r="C996" t="s">
        <v>185</v>
      </c>
      <c r="D996" t="s">
        <v>6281</v>
      </c>
      <c r="E996">
        <v>28</v>
      </c>
      <c r="F996" t="s">
        <v>5163</v>
      </c>
      <c r="G996" t="s">
        <v>1905</v>
      </c>
    </row>
    <row r="997" spans="1:7" hidden="1">
      <c r="A997" s="5" t="s">
        <v>4445</v>
      </c>
      <c r="B997" t="s">
        <v>5161</v>
      </c>
      <c r="C997" t="s">
        <v>185</v>
      </c>
      <c r="D997" t="s">
        <v>6282</v>
      </c>
      <c r="E997">
        <v>31</v>
      </c>
      <c r="F997" t="s">
        <v>5163</v>
      </c>
      <c r="G997" t="s">
        <v>1905</v>
      </c>
    </row>
    <row r="998" spans="1:7" hidden="1">
      <c r="A998" s="5" t="s">
        <v>6283</v>
      </c>
      <c r="B998" t="s">
        <v>5161</v>
      </c>
      <c r="C998" t="s">
        <v>185</v>
      </c>
      <c r="D998" t="s">
        <v>6284</v>
      </c>
      <c r="E998">
        <v>18</v>
      </c>
      <c r="F998" t="s">
        <v>5163</v>
      </c>
      <c r="G998" t="s">
        <v>5169</v>
      </c>
    </row>
    <row r="999" spans="1:7" hidden="1">
      <c r="A999" s="5" t="s">
        <v>6285</v>
      </c>
      <c r="B999" t="s">
        <v>5161</v>
      </c>
      <c r="C999" t="s">
        <v>185</v>
      </c>
      <c r="D999" t="s">
        <v>6286</v>
      </c>
      <c r="E999" t="s">
        <v>5182</v>
      </c>
      <c r="F999" t="s">
        <v>5163</v>
      </c>
      <c r="G999" t="s">
        <v>1905</v>
      </c>
    </row>
    <row r="1000" spans="1:7" hidden="1">
      <c r="A1000" s="5" t="s">
        <v>2714</v>
      </c>
      <c r="B1000" t="s">
        <v>5161</v>
      </c>
      <c r="C1000" t="s">
        <v>185</v>
      </c>
      <c r="D1000" t="s">
        <v>6287</v>
      </c>
      <c r="E1000">
        <v>27</v>
      </c>
      <c r="F1000" t="s">
        <v>5163</v>
      </c>
      <c r="G1000" t="s">
        <v>5164</v>
      </c>
    </row>
    <row r="1001" spans="1:7" hidden="1">
      <c r="A1001" s="5" t="s">
        <v>176</v>
      </c>
      <c r="B1001" t="s">
        <v>5161</v>
      </c>
      <c r="C1001" t="s">
        <v>185</v>
      </c>
      <c r="D1001" t="s">
        <v>1900</v>
      </c>
      <c r="E1001">
        <v>47</v>
      </c>
      <c r="F1001" t="s">
        <v>5172</v>
      </c>
      <c r="G1001" t="s">
        <v>1905</v>
      </c>
    </row>
    <row r="1002" spans="1:7" hidden="1">
      <c r="A1002" s="5" t="s">
        <v>176</v>
      </c>
      <c r="B1002" t="s">
        <v>5161</v>
      </c>
      <c r="C1002" t="s">
        <v>185</v>
      </c>
      <c r="D1002" t="s">
        <v>1904</v>
      </c>
      <c r="E1002">
        <v>41</v>
      </c>
      <c r="F1002" t="s">
        <v>5163</v>
      </c>
      <c r="G1002" t="s">
        <v>1905</v>
      </c>
    </row>
    <row r="1003" spans="1:7" hidden="1">
      <c r="A1003" s="5" t="s">
        <v>3044</v>
      </c>
      <c r="B1003" t="s">
        <v>5161</v>
      </c>
      <c r="C1003" t="s">
        <v>185</v>
      </c>
      <c r="D1003" t="s">
        <v>6288</v>
      </c>
      <c r="E1003">
        <v>39</v>
      </c>
      <c r="F1003" t="s">
        <v>5163</v>
      </c>
      <c r="G1003" t="s">
        <v>5164</v>
      </c>
    </row>
    <row r="1004" spans="1:7" hidden="1">
      <c r="A1004" s="5" t="s">
        <v>3044</v>
      </c>
      <c r="B1004" t="s">
        <v>5161</v>
      </c>
      <c r="C1004" t="s">
        <v>185</v>
      </c>
      <c r="D1004" t="s">
        <v>6289</v>
      </c>
      <c r="E1004">
        <v>27</v>
      </c>
      <c r="F1004" t="s">
        <v>5163</v>
      </c>
      <c r="G1004" t="s">
        <v>5169</v>
      </c>
    </row>
    <row r="1005" spans="1:7" hidden="1">
      <c r="A1005" s="5" t="s">
        <v>3100</v>
      </c>
      <c r="B1005" t="s">
        <v>5161</v>
      </c>
      <c r="C1005" t="s">
        <v>185</v>
      </c>
      <c r="D1005" t="s">
        <v>6290</v>
      </c>
      <c r="E1005">
        <v>25</v>
      </c>
      <c r="F1005" t="s">
        <v>5163</v>
      </c>
      <c r="G1005" t="s">
        <v>5164</v>
      </c>
    </row>
    <row r="1006" spans="1:7" hidden="1">
      <c r="A1006" s="5" t="s">
        <v>4809</v>
      </c>
      <c r="B1006" t="s">
        <v>5161</v>
      </c>
      <c r="C1006" t="s">
        <v>185</v>
      </c>
      <c r="D1006" t="s">
        <v>6291</v>
      </c>
      <c r="E1006">
        <v>50</v>
      </c>
      <c r="F1006" t="s">
        <v>5163</v>
      </c>
      <c r="G1006" t="s">
        <v>1905</v>
      </c>
    </row>
    <row r="1007" spans="1:7" hidden="1">
      <c r="A1007" s="5" t="s">
        <v>3391</v>
      </c>
      <c r="B1007" t="s">
        <v>5161</v>
      </c>
      <c r="C1007" t="s">
        <v>185</v>
      </c>
      <c r="D1007" t="s">
        <v>6292</v>
      </c>
      <c r="E1007">
        <v>25</v>
      </c>
      <c r="F1007" t="s">
        <v>5163</v>
      </c>
      <c r="G1007" t="s">
        <v>1905</v>
      </c>
    </row>
    <row r="1008" spans="1:7" hidden="1">
      <c r="A1008" s="5" t="s">
        <v>4813</v>
      </c>
      <c r="B1008" t="s">
        <v>5161</v>
      </c>
      <c r="C1008" t="s">
        <v>185</v>
      </c>
      <c r="D1008" t="s">
        <v>6293</v>
      </c>
      <c r="E1008">
        <v>21</v>
      </c>
      <c r="F1008" t="s">
        <v>5163</v>
      </c>
      <c r="G1008" t="s">
        <v>5164</v>
      </c>
    </row>
    <row r="1009" spans="1:7" hidden="1">
      <c r="A1009" s="5" t="s">
        <v>2598</v>
      </c>
      <c r="B1009" t="s">
        <v>5161</v>
      </c>
      <c r="C1009" t="s">
        <v>185</v>
      </c>
      <c r="D1009" t="s">
        <v>5811</v>
      </c>
      <c r="E1009">
        <v>18</v>
      </c>
      <c r="F1009" t="s">
        <v>5163</v>
      </c>
      <c r="G1009" t="s">
        <v>5164</v>
      </c>
    </row>
    <row r="1010" spans="1:7" hidden="1">
      <c r="A1010" s="5" t="s">
        <v>6294</v>
      </c>
      <c r="B1010" t="s">
        <v>5161</v>
      </c>
      <c r="C1010" t="s">
        <v>185</v>
      </c>
      <c r="D1010" t="s">
        <v>6295</v>
      </c>
      <c r="E1010">
        <v>21</v>
      </c>
      <c r="F1010" t="s">
        <v>5163</v>
      </c>
      <c r="G1010" t="s">
        <v>5164</v>
      </c>
    </row>
    <row r="1011" spans="1:7" hidden="1">
      <c r="A1011" s="5" t="s">
        <v>4482</v>
      </c>
      <c r="B1011" t="s">
        <v>5161</v>
      </c>
      <c r="C1011" t="s">
        <v>185</v>
      </c>
      <c r="D1011" t="s">
        <v>6296</v>
      </c>
      <c r="E1011">
        <v>23</v>
      </c>
      <c r="F1011" t="s">
        <v>5163</v>
      </c>
      <c r="G1011" t="s">
        <v>5164</v>
      </c>
    </row>
    <row r="1012" spans="1:7" hidden="1">
      <c r="A1012" s="5" t="s">
        <v>3011</v>
      </c>
      <c r="B1012" t="s">
        <v>5161</v>
      </c>
      <c r="C1012" t="s">
        <v>185</v>
      </c>
      <c r="D1012" t="s">
        <v>6297</v>
      </c>
      <c r="E1012">
        <v>24</v>
      </c>
      <c r="F1012" t="s">
        <v>5163</v>
      </c>
      <c r="G1012" t="s">
        <v>5164</v>
      </c>
    </row>
    <row r="1013" spans="1:7" hidden="1">
      <c r="A1013" s="5" t="s">
        <v>2707</v>
      </c>
      <c r="B1013" t="s">
        <v>5161</v>
      </c>
      <c r="C1013" t="s">
        <v>185</v>
      </c>
      <c r="D1013" t="s">
        <v>6298</v>
      </c>
      <c r="E1013">
        <v>29</v>
      </c>
      <c r="F1013" t="s">
        <v>5163</v>
      </c>
      <c r="G1013" t="s">
        <v>5169</v>
      </c>
    </row>
    <row r="1014" spans="1:7" hidden="1">
      <c r="A1014" s="5" t="s">
        <v>6299</v>
      </c>
      <c r="B1014" t="s">
        <v>5161</v>
      </c>
      <c r="C1014" t="s">
        <v>185</v>
      </c>
      <c r="D1014" t="s">
        <v>6300</v>
      </c>
      <c r="E1014">
        <v>22</v>
      </c>
      <c r="F1014" t="s">
        <v>5163</v>
      </c>
      <c r="G1014" t="s">
        <v>1905</v>
      </c>
    </row>
    <row r="1015" spans="1:7" hidden="1">
      <c r="A1015" s="5" t="s">
        <v>6301</v>
      </c>
      <c r="B1015" t="s">
        <v>5161</v>
      </c>
      <c r="C1015" t="s">
        <v>185</v>
      </c>
      <c r="D1015" t="s">
        <v>6302</v>
      </c>
      <c r="E1015">
        <v>20</v>
      </c>
      <c r="F1015" t="s">
        <v>5163</v>
      </c>
      <c r="G1015" t="s">
        <v>5164</v>
      </c>
    </row>
    <row r="1016" spans="1:7" hidden="1">
      <c r="A1016" s="5" t="s">
        <v>3452</v>
      </c>
      <c r="B1016" t="s">
        <v>5161</v>
      </c>
      <c r="C1016" t="s">
        <v>185</v>
      </c>
      <c r="D1016" t="s">
        <v>6303</v>
      </c>
      <c r="E1016">
        <v>18</v>
      </c>
      <c r="F1016" t="s">
        <v>5163</v>
      </c>
      <c r="G1016" t="s">
        <v>5164</v>
      </c>
    </row>
    <row r="1017" spans="1:7" hidden="1">
      <c r="A1017" s="5" t="s">
        <v>6304</v>
      </c>
      <c r="B1017" t="s">
        <v>5161</v>
      </c>
      <c r="C1017" t="s">
        <v>185</v>
      </c>
      <c r="D1017" t="s">
        <v>6305</v>
      </c>
      <c r="E1017">
        <v>41</v>
      </c>
      <c r="F1017" t="s">
        <v>5163</v>
      </c>
      <c r="G1017" t="s">
        <v>1905</v>
      </c>
    </row>
    <row r="1018" spans="1:7" hidden="1">
      <c r="A1018" s="5" t="s">
        <v>4876</v>
      </c>
      <c r="B1018" t="s">
        <v>5161</v>
      </c>
      <c r="C1018" t="s">
        <v>185</v>
      </c>
      <c r="D1018" t="s">
        <v>6306</v>
      </c>
      <c r="E1018">
        <v>28</v>
      </c>
      <c r="F1018" t="s">
        <v>5163</v>
      </c>
      <c r="G1018" t="s">
        <v>5169</v>
      </c>
    </row>
    <row r="1019" spans="1:7" hidden="1">
      <c r="A1019" s="5" t="s">
        <v>5011</v>
      </c>
      <c r="B1019" t="s">
        <v>5161</v>
      </c>
      <c r="C1019" t="s">
        <v>185</v>
      </c>
      <c r="D1019" t="s">
        <v>6307</v>
      </c>
      <c r="E1019">
        <v>27</v>
      </c>
      <c r="F1019" t="s">
        <v>5163</v>
      </c>
      <c r="G1019" t="s">
        <v>1905</v>
      </c>
    </row>
    <row r="1020" spans="1:7" hidden="1">
      <c r="A1020" s="5" t="s">
        <v>2552</v>
      </c>
      <c r="B1020" t="s">
        <v>5161</v>
      </c>
      <c r="C1020" t="s">
        <v>185</v>
      </c>
      <c r="D1020" t="s">
        <v>6308</v>
      </c>
      <c r="E1020">
        <v>40</v>
      </c>
      <c r="F1020" t="s">
        <v>5163</v>
      </c>
      <c r="G1020" t="s">
        <v>1905</v>
      </c>
    </row>
    <row r="1021" spans="1:7" hidden="1">
      <c r="A1021" s="5" t="s">
        <v>4824</v>
      </c>
      <c r="B1021" t="s">
        <v>5161</v>
      </c>
      <c r="C1021" t="s">
        <v>185</v>
      </c>
      <c r="D1021" t="s">
        <v>6309</v>
      </c>
      <c r="E1021">
        <v>19</v>
      </c>
      <c r="F1021" t="s">
        <v>5163</v>
      </c>
      <c r="G1021" t="s">
        <v>5164</v>
      </c>
    </row>
    <row r="1022" spans="1:7" hidden="1">
      <c r="A1022" s="5" t="s">
        <v>3961</v>
      </c>
      <c r="B1022" t="s">
        <v>5161</v>
      </c>
      <c r="C1022" t="s">
        <v>185</v>
      </c>
      <c r="D1022" t="s">
        <v>6310</v>
      </c>
      <c r="E1022">
        <v>27</v>
      </c>
      <c r="F1022" t="s">
        <v>5163</v>
      </c>
      <c r="G1022" t="s">
        <v>1905</v>
      </c>
    </row>
    <row r="1023" spans="1:7" hidden="1">
      <c r="A1023" s="5" t="s">
        <v>2501</v>
      </c>
      <c r="B1023" t="s">
        <v>5161</v>
      </c>
      <c r="C1023" t="s">
        <v>185</v>
      </c>
      <c r="D1023" t="s">
        <v>6311</v>
      </c>
      <c r="E1023">
        <v>36</v>
      </c>
      <c r="F1023" t="s">
        <v>5163</v>
      </c>
      <c r="G1023" t="s">
        <v>5164</v>
      </c>
    </row>
    <row r="1024" spans="1:7" hidden="1">
      <c r="A1024" s="5" t="s">
        <v>2787</v>
      </c>
      <c r="B1024" t="s">
        <v>5161</v>
      </c>
      <c r="C1024" t="s">
        <v>185</v>
      </c>
      <c r="D1024" t="s">
        <v>6312</v>
      </c>
      <c r="E1024">
        <v>18</v>
      </c>
      <c r="F1024" t="s">
        <v>5163</v>
      </c>
      <c r="G1024" t="s">
        <v>5164</v>
      </c>
    </row>
    <row r="1025" spans="1:7" hidden="1">
      <c r="A1025" s="5" t="s">
        <v>183</v>
      </c>
      <c r="B1025" t="s">
        <v>5161</v>
      </c>
      <c r="C1025" t="s">
        <v>185</v>
      </c>
      <c r="D1025" t="s">
        <v>622</v>
      </c>
      <c r="E1025">
        <v>23</v>
      </c>
      <c r="F1025" t="s">
        <v>5163</v>
      </c>
      <c r="G1025" t="s">
        <v>5164</v>
      </c>
    </row>
    <row r="1026" spans="1:7" hidden="1">
      <c r="A1026" s="5" t="s">
        <v>4799</v>
      </c>
      <c r="B1026" t="s">
        <v>5161</v>
      </c>
      <c r="C1026" t="s">
        <v>185</v>
      </c>
      <c r="D1026" t="s">
        <v>6313</v>
      </c>
      <c r="E1026">
        <v>28</v>
      </c>
      <c r="F1026" t="s">
        <v>5163</v>
      </c>
      <c r="G1026" t="s">
        <v>1905</v>
      </c>
    </row>
    <row r="1027" spans="1:7" hidden="1">
      <c r="A1027" s="5" t="s">
        <v>2267</v>
      </c>
      <c r="B1027" t="s">
        <v>5161</v>
      </c>
      <c r="C1027" t="s">
        <v>185</v>
      </c>
      <c r="D1027" t="s">
        <v>6314</v>
      </c>
      <c r="E1027">
        <v>34</v>
      </c>
      <c r="F1027" t="s">
        <v>5172</v>
      </c>
      <c r="G1027" t="s">
        <v>5164</v>
      </c>
    </row>
    <row r="1028" spans="1:7" hidden="1">
      <c r="A1028" s="5" t="s">
        <v>6315</v>
      </c>
      <c r="B1028" t="s">
        <v>5161</v>
      </c>
      <c r="C1028" t="s">
        <v>185</v>
      </c>
      <c r="D1028" t="s">
        <v>6316</v>
      </c>
      <c r="E1028">
        <v>21</v>
      </c>
      <c r="F1028" t="s">
        <v>5163</v>
      </c>
      <c r="G1028" t="s">
        <v>5169</v>
      </c>
    </row>
    <row r="1029" spans="1:7" hidden="1">
      <c r="A1029" s="5" t="s">
        <v>6315</v>
      </c>
      <c r="B1029" t="s">
        <v>5161</v>
      </c>
      <c r="C1029" t="s">
        <v>185</v>
      </c>
      <c r="D1029" t="s">
        <v>6317</v>
      </c>
      <c r="E1029">
        <v>20</v>
      </c>
      <c r="F1029" t="s">
        <v>5163</v>
      </c>
      <c r="G1029" t="s">
        <v>1905</v>
      </c>
    </row>
    <row r="1030" spans="1:7" hidden="1">
      <c r="A1030" s="5" t="s">
        <v>3857</v>
      </c>
      <c r="B1030" t="s">
        <v>5161</v>
      </c>
      <c r="C1030" t="s">
        <v>185</v>
      </c>
      <c r="D1030" t="s">
        <v>6318</v>
      </c>
      <c r="E1030">
        <v>30</v>
      </c>
      <c r="F1030" t="s">
        <v>5163</v>
      </c>
      <c r="G1030" t="s">
        <v>5182</v>
      </c>
    </row>
    <row r="1031" spans="1:7" hidden="1">
      <c r="A1031" s="5" t="s">
        <v>3857</v>
      </c>
      <c r="B1031" t="s">
        <v>5161</v>
      </c>
      <c r="C1031" t="s">
        <v>185</v>
      </c>
      <c r="D1031" t="s">
        <v>6319</v>
      </c>
      <c r="E1031">
        <v>20</v>
      </c>
      <c r="F1031" t="s">
        <v>5163</v>
      </c>
      <c r="G1031" t="s">
        <v>1905</v>
      </c>
    </row>
    <row r="1032" spans="1:7" hidden="1">
      <c r="A1032" s="5" t="s">
        <v>3857</v>
      </c>
      <c r="B1032" t="s">
        <v>5161</v>
      </c>
      <c r="C1032" t="s">
        <v>185</v>
      </c>
      <c r="D1032" t="s">
        <v>6320</v>
      </c>
      <c r="E1032">
        <v>25</v>
      </c>
      <c r="F1032" t="s">
        <v>5163</v>
      </c>
      <c r="G1032" t="s">
        <v>5182</v>
      </c>
    </row>
    <row r="1033" spans="1:7" hidden="1">
      <c r="A1033" s="5" t="s">
        <v>6321</v>
      </c>
      <c r="B1033" t="s">
        <v>5161</v>
      </c>
      <c r="C1033" t="s">
        <v>185</v>
      </c>
      <c r="D1033" t="s">
        <v>6322</v>
      </c>
      <c r="E1033" t="s">
        <v>5182</v>
      </c>
      <c r="F1033" t="s">
        <v>5163</v>
      </c>
      <c r="G1033" t="s">
        <v>5164</v>
      </c>
    </row>
    <row r="1034" spans="1:7" hidden="1">
      <c r="A1034" s="5" t="s">
        <v>181</v>
      </c>
      <c r="B1034" t="s">
        <v>5161</v>
      </c>
      <c r="C1034" t="s">
        <v>185</v>
      </c>
      <c r="D1034" t="s">
        <v>620</v>
      </c>
      <c r="E1034">
        <v>20</v>
      </c>
      <c r="F1034" t="s">
        <v>5163</v>
      </c>
      <c r="G1034" t="s">
        <v>5164</v>
      </c>
    </row>
    <row r="1035" spans="1:7" hidden="1">
      <c r="A1035" s="5" t="s">
        <v>2813</v>
      </c>
      <c r="B1035" t="s">
        <v>5161</v>
      </c>
      <c r="C1035" t="s">
        <v>185</v>
      </c>
      <c r="D1035" t="s">
        <v>6323</v>
      </c>
      <c r="E1035" t="s">
        <v>5182</v>
      </c>
      <c r="F1035" t="s">
        <v>5172</v>
      </c>
      <c r="G1035" t="s">
        <v>5182</v>
      </c>
    </row>
    <row r="1036" spans="1:7" hidden="1">
      <c r="A1036" s="5" t="s">
        <v>2152</v>
      </c>
      <c r="B1036" t="s">
        <v>5161</v>
      </c>
      <c r="C1036" t="s">
        <v>185</v>
      </c>
      <c r="D1036" t="s">
        <v>6324</v>
      </c>
      <c r="E1036">
        <v>18</v>
      </c>
      <c r="F1036" t="s">
        <v>5163</v>
      </c>
      <c r="G1036" t="s">
        <v>1905</v>
      </c>
    </row>
    <row r="1037" spans="1:7" hidden="1">
      <c r="A1037" s="5" t="s">
        <v>2152</v>
      </c>
      <c r="B1037" t="s">
        <v>5161</v>
      </c>
      <c r="C1037" t="s">
        <v>185</v>
      </c>
      <c r="D1037" t="s">
        <v>6325</v>
      </c>
      <c r="E1037">
        <v>22</v>
      </c>
      <c r="F1037" t="s">
        <v>5163</v>
      </c>
      <c r="G1037" t="s">
        <v>5169</v>
      </c>
    </row>
    <row r="1038" spans="1:7" hidden="1">
      <c r="A1038" s="5" t="s">
        <v>6326</v>
      </c>
      <c r="B1038" t="s">
        <v>5161</v>
      </c>
      <c r="C1038" t="s">
        <v>185</v>
      </c>
      <c r="D1038" t="s">
        <v>6327</v>
      </c>
      <c r="E1038">
        <v>22</v>
      </c>
      <c r="F1038" t="s">
        <v>5163</v>
      </c>
      <c r="G1038" t="s">
        <v>5164</v>
      </c>
    </row>
    <row r="1039" spans="1:7" hidden="1">
      <c r="A1039" s="5" t="s">
        <v>3131</v>
      </c>
      <c r="B1039" t="s">
        <v>5161</v>
      </c>
      <c r="C1039" t="s">
        <v>185</v>
      </c>
      <c r="D1039" t="s">
        <v>6328</v>
      </c>
      <c r="E1039">
        <v>22</v>
      </c>
      <c r="F1039" t="s">
        <v>5163</v>
      </c>
      <c r="G1039" t="s">
        <v>1905</v>
      </c>
    </row>
    <row r="1040" spans="1:7" hidden="1">
      <c r="A1040" s="5" t="s">
        <v>4489</v>
      </c>
      <c r="B1040" t="s">
        <v>5161</v>
      </c>
      <c r="C1040" t="s">
        <v>185</v>
      </c>
      <c r="D1040" t="s">
        <v>6329</v>
      </c>
      <c r="E1040">
        <v>24</v>
      </c>
      <c r="F1040" t="s">
        <v>5163</v>
      </c>
      <c r="G1040" t="s">
        <v>5164</v>
      </c>
    </row>
    <row r="1041" spans="1:7" hidden="1">
      <c r="A1041" s="5" t="s">
        <v>6330</v>
      </c>
      <c r="B1041" t="s">
        <v>5161</v>
      </c>
      <c r="C1041" t="s">
        <v>185</v>
      </c>
      <c r="D1041" t="s">
        <v>6331</v>
      </c>
      <c r="E1041" t="s">
        <v>5182</v>
      </c>
      <c r="F1041" t="s">
        <v>5163</v>
      </c>
      <c r="G1041" t="s">
        <v>1905</v>
      </c>
    </row>
    <row r="1042" spans="1:7" hidden="1">
      <c r="A1042" s="5" t="s">
        <v>3872</v>
      </c>
      <c r="B1042" t="s">
        <v>5161</v>
      </c>
      <c r="C1042" t="s">
        <v>185</v>
      </c>
      <c r="D1042" t="s">
        <v>6332</v>
      </c>
      <c r="E1042">
        <v>37</v>
      </c>
      <c r="F1042" t="s">
        <v>5163</v>
      </c>
      <c r="G1042" t="s">
        <v>5169</v>
      </c>
    </row>
    <row r="1043" spans="1:7" hidden="1">
      <c r="A1043" s="5" t="s">
        <v>3577</v>
      </c>
      <c r="B1043" t="s">
        <v>5161</v>
      </c>
      <c r="C1043" t="s">
        <v>185</v>
      </c>
      <c r="D1043" t="s">
        <v>6333</v>
      </c>
      <c r="E1043">
        <v>18</v>
      </c>
      <c r="F1043" t="s">
        <v>5163</v>
      </c>
      <c r="G1043" t="s">
        <v>1905</v>
      </c>
    </row>
    <row r="1044" spans="1:7" hidden="1">
      <c r="A1044" s="5" t="s">
        <v>3577</v>
      </c>
      <c r="B1044" t="s">
        <v>5161</v>
      </c>
      <c r="C1044" t="s">
        <v>185</v>
      </c>
      <c r="D1044" t="s">
        <v>6334</v>
      </c>
      <c r="E1044">
        <v>18</v>
      </c>
      <c r="F1044" t="s">
        <v>5172</v>
      </c>
      <c r="G1044" t="s">
        <v>5164</v>
      </c>
    </row>
    <row r="1045" spans="1:7" hidden="1">
      <c r="A1045" s="5" t="s">
        <v>6335</v>
      </c>
      <c r="B1045" t="s">
        <v>5161</v>
      </c>
      <c r="C1045" t="s">
        <v>185</v>
      </c>
      <c r="D1045" t="s">
        <v>6336</v>
      </c>
      <c r="E1045">
        <v>30</v>
      </c>
      <c r="F1045" t="s">
        <v>5163</v>
      </c>
      <c r="G1045" t="s">
        <v>5182</v>
      </c>
    </row>
    <row r="1046" spans="1:7" hidden="1">
      <c r="A1046" s="5" t="s">
        <v>6335</v>
      </c>
      <c r="B1046" t="s">
        <v>5161</v>
      </c>
      <c r="C1046" t="s">
        <v>185</v>
      </c>
      <c r="D1046" t="s">
        <v>6337</v>
      </c>
      <c r="E1046">
        <v>20</v>
      </c>
      <c r="F1046" t="s">
        <v>5163</v>
      </c>
      <c r="G1046" t="s">
        <v>1905</v>
      </c>
    </row>
    <row r="1047" spans="1:7" hidden="1">
      <c r="A1047" s="5" t="s">
        <v>6335</v>
      </c>
      <c r="B1047" t="s">
        <v>5161</v>
      </c>
      <c r="C1047" t="s">
        <v>185</v>
      </c>
      <c r="D1047" t="s">
        <v>6338</v>
      </c>
      <c r="E1047">
        <v>23</v>
      </c>
      <c r="F1047" t="s">
        <v>5163</v>
      </c>
      <c r="G1047" t="s">
        <v>5164</v>
      </c>
    </row>
    <row r="1048" spans="1:7" hidden="1">
      <c r="A1048" s="5" t="s">
        <v>6335</v>
      </c>
      <c r="B1048" t="s">
        <v>5161</v>
      </c>
      <c r="C1048" t="s">
        <v>185</v>
      </c>
      <c r="D1048" t="s">
        <v>6339</v>
      </c>
      <c r="E1048">
        <v>19</v>
      </c>
      <c r="F1048" t="s">
        <v>5163</v>
      </c>
      <c r="G1048" t="s">
        <v>5182</v>
      </c>
    </row>
    <row r="1049" spans="1:7" hidden="1">
      <c r="A1049" s="5" t="s">
        <v>6335</v>
      </c>
      <c r="B1049" t="s">
        <v>5161</v>
      </c>
      <c r="C1049" t="s">
        <v>185</v>
      </c>
      <c r="D1049" t="s">
        <v>6340</v>
      </c>
      <c r="E1049">
        <v>24</v>
      </c>
      <c r="F1049" t="s">
        <v>5163</v>
      </c>
      <c r="G1049" t="s">
        <v>5182</v>
      </c>
    </row>
    <row r="1050" spans="1:7" hidden="1">
      <c r="A1050" s="5" t="s">
        <v>6341</v>
      </c>
      <c r="B1050" t="s">
        <v>5161</v>
      </c>
      <c r="C1050" t="s">
        <v>185</v>
      </c>
      <c r="D1050" t="s">
        <v>6342</v>
      </c>
      <c r="E1050">
        <v>41</v>
      </c>
      <c r="F1050" t="s">
        <v>5163</v>
      </c>
      <c r="G1050" t="s">
        <v>1905</v>
      </c>
    </row>
    <row r="1051" spans="1:7" hidden="1">
      <c r="A1051" s="5" t="s">
        <v>6341</v>
      </c>
      <c r="B1051" t="s">
        <v>5161</v>
      </c>
      <c r="C1051" t="s">
        <v>185</v>
      </c>
      <c r="D1051" t="s">
        <v>6343</v>
      </c>
      <c r="E1051">
        <v>47</v>
      </c>
      <c r="F1051" t="s">
        <v>5163</v>
      </c>
      <c r="G1051" t="s">
        <v>1905</v>
      </c>
    </row>
    <row r="1052" spans="1:7" hidden="1">
      <c r="A1052" s="5" t="s">
        <v>6341</v>
      </c>
      <c r="B1052" t="s">
        <v>5161</v>
      </c>
      <c r="C1052" t="s">
        <v>185</v>
      </c>
      <c r="D1052" t="s">
        <v>6344</v>
      </c>
      <c r="E1052">
        <v>46</v>
      </c>
      <c r="F1052" t="s">
        <v>5172</v>
      </c>
      <c r="G1052" t="s">
        <v>1905</v>
      </c>
    </row>
    <row r="1053" spans="1:7" hidden="1">
      <c r="A1053" s="5" t="s">
        <v>6341</v>
      </c>
      <c r="B1053" t="s">
        <v>5161</v>
      </c>
      <c r="C1053" t="s">
        <v>185</v>
      </c>
      <c r="D1053" t="s">
        <v>6345</v>
      </c>
      <c r="E1053">
        <v>31</v>
      </c>
      <c r="F1053" t="s">
        <v>5163</v>
      </c>
      <c r="G1053" t="s">
        <v>1905</v>
      </c>
    </row>
    <row r="1054" spans="1:7" hidden="1">
      <c r="A1054" s="5" t="s">
        <v>6341</v>
      </c>
      <c r="B1054" t="s">
        <v>5161</v>
      </c>
      <c r="C1054" t="s">
        <v>185</v>
      </c>
      <c r="D1054" t="s">
        <v>6346</v>
      </c>
      <c r="E1054">
        <v>29</v>
      </c>
      <c r="F1054" t="s">
        <v>5163</v>
      </c>
      <c r="G1054" t="s">
        <v>1905</v>
      </c>
    </row>
    <row r="1055" spans="1:7" hidden="1">
      <c r="A1055" s="5" t="s">
        <v>3338</v>
      </c>
      <c r="B1055" t="s">
        <v>5161</v>
      </c>
      <c r="C1055" t="s">
        <v>185</v>
      </c>
      <c r="D1055" t="s">
        <v>6347</v>
      </c>
      <c r="E1055">
        <v>18</v>
      </c>
      <c r="F1055" t="s">
        <v>5172</v>
      </c>
      <c r="G1055" t="s">
        <v>5169</v>
      </c>
    </row>
    <row r="1056" spans="1:7" hidden="1">
      <c r="A1056" s="5" t="s">
        <v>4487</v>
      </c>
      <c r="B1056" t="s">
        <v>5161</v>
      </c>
      <c r="C1056" t="s">
        <v>185</v>
      </c>
      <c r="D1056" t="s">
        <v>6348</v>
      </c>
      <c r="E1056">
        <v>20</v>
      </c>
      <c r="F1056" t="s">
        <v>5163</v>
      </c>
      <c r="G1056" t="s">
        <v>1905</v>
      </c>
    </row>
    <row r="1057" spans="1:7" hidden="1">
      <c r="A1057" s="5" t="s">
        <v>2398</v>
      </c>
      <c r="B1057" t="s">
        <v>5161</v>
      </c>
      <c r="C1057" t="s">
        <v>185</v>
      </c>
      <c r="D1057" t="s">
        <v>6349</v>
      </c>
      <c r="E1057">
        <v>21</v>
      </c>
      <c r="F1057" t="s">
        <v>5163</v>
      </c>
      <c r="G1057" t="s">
        <v>5164</v>
      </c>
    </row>
    <row r="1058" spans="1:7" hidden="1">
      <c r="A1058" s="5" t="s">
        <v>6350</v>
      </c>
      <c r="B1058" t="s">
        <v>5161</v>
      </c>
      <c r="C1058" t="s">
        <v>185</v>
      </c>
      <c r="D1058" t="s">
        <v>6351</v>
      </c>
      <c r="E1058" t="s">
        <v>5182</v>
      </c>
      <c r="F1058" t="s">
        <v>5172</v>
      </c>
      <c r="G1058" t="s">
        <v>5164</v>
      </c>
    </row>
    <row r="1059" spans="1:7" hidden="1">
      <c r="A1059" s="5" t="s">
        <v>6350</v>
      </c>
      <c r="B1059" t="s">
        <v>5161</v>
      </c>
      <c r="C1059" t="s">
        <v>185</v>
      </c>
      <c r="D1059" t="s">
        <v>6352</v>
      </c>
      <c r="E1059" t="s">
        <v>5182</v>
      </c>
      <c r="F1059" t="s">
        <v>5163</v>
      </c>
      <c r="G1059" t="s">
        <v>1905</v>
      </c>
    </row>
    <row r="1060" spans="1:7" hidden="1">
      <c r="A1060" s="5" t="s">
        <v>6350</v>
      </c>
      <c r="B1060" t="s">
        <v>5161</v>
      </c>
      <c r="C1060" t="s">
        <v>185</v>
      </c>
      <c r="D1060" t="s">
        <v>6353</v>
      </c>
      <c r="E1060" t="s">
        <v>5182</v>
      </c>
      <c r="F1060" t="s">
        <v>5163</v>
      </c>
      <c r="G1060" t="s">
        <v>1905</v>
      </c>
    </row>
    <row r="1061" spans="1:7" hidden="1">
      <c r="A1061" s="5" t="s">
        <v>6350</v>
      </c>
      <c r="B1061" t="s">
        <v>5161</v>
      </c>
      <c r="C1061" t="s">
        <v>185</v>
      </c>
      <c r="D1061" t="s">
        <v>6354</v>
      </c>
      <c r="E1061" t="s">
        <v>5182</v>
      </c>
      <c r="F1061" t="s">
        <v>5163</v>
      </c>
      <c r="G1061" t="s">
        <v>5164</v>
      </c>
    </row>
    <row r="1062" spans="1:7" hidden="1">
      <c r="A1062" s="5" t="s">
        <v>6350</v>
      </c>
      <c r="B1062" t="s">
        <v>5161</v>
      </c>
      <c r="C1062" t="s">
        <v>185</v>
      </c>
      <c r="D1062" t="s">
        <v>6355</v>
      </c>
      <c r="E1062" t="s">
        <v>5182</v>
      </c>
      <c r="F1062" t="s">
        <v>5163</v>
      </c>
      <c r="G1062" t="s">
        <v>1905</v>
      </c>
    </row>
    <row r="1063" spans="1:7" hidden="1">
      <c r="A1063" s="5" t="s">
        <v>4722</v>
      </c>
      <c r="B1063" t="s">
        <v>5161</v>
      </c>
      <c r="C1063" t="s">
        <v>185</v>
      </c>
      <c r="D1063" t="s">
        <v>6356</v>
      </c>
      <c r="E1063">
        <v>29</v>
      </c>
      <c r="F1063" t="s">
        <v>5163</v>
      </c>
      <c r="G1063" t="s">
        <v>5164</v>
      </c>
    </row>
    <row r="1064" spans="1:7" hidden="1">
      <c r="A1064" s="5" t="s">
        <v>3272</v>
      </c>
      <c r="B1064" t="s">
        <v>5161</v>
      </c>
      <c r="C1064" t="s">
        <v>185</v>
      </c>
      <c r="D1064" t="s">
        <v>6357</v>
      </c>
      <c r="E1064">
        <v>19</v>
      </c>
      <c r="F1064" t="s">
        <v>5163</v>
      </c>
      <c r="G1064" t="s">
        <v>5164</v>
      </c>
    </row>
    <row r="1065" spans="1:7" hidden="1">
      <c r="A1065" s="5" t="s">
        <v>2494</v>
      </c>
      <c r="B1065" t="s">
        <v>5161</v>
      </c>
      <c r="C1065" t="s">
        <v>185</v>
      </c>
      <c r="D1065" t="s">
        <v>6358</v>
      </c>
      <c r="E1065">
        <v>18</v>
      </c>
      <c r="F1065" t="s">
        <v>5163</v>
      </c>
      <c r="G1065" t="s">
        <v>5164</v>
      </c>
    </row>
    <row r="1066" spans="1:7" hidden="1">
      <c r="A1066" s="5" t="s">
        <v>3029</v>
      </c>
      <c r="B1066" t="s">
        <v>5161</v>
      </c>
      <c r="C1066" t="s">
        <v>185</v>
      </c>
      <c r="D1066" t="s">
        <v>6359</v>
      </c>
      <c r="E1066">
        <v>38</v>
      </c>
      <c r="F1066" t="s">
        <v>5163</v>
      </c>
      <c r="G1066" t="s">
        <v>5164</v>
      </c>
    </row>
    <row r="1067" spans="1:7" hidden="1">
      <c r="A1067" s="5" t="s">
        <v>4221</v>
      </c>
      <c r="B1067" t="s">
        <v>5161</v>
      </c>
      <c r="C1067" t="s">
        <v>185</v>
      </c>
      <c r="D1067" t="s">
        <v>6360</v>
      </c>
      <c r="E1067">
        <v>19</v>
      </c>
      <c r="F1067" t="s">
        <v>5163</v>
      </c>
      <c r="G1067" t="s">
        <v>5164</v>
      </c>
    </row>
    <row r="1068" spans="1:7" hidden="1">
      <c r="A1068" s="5" t="s">
        <v>4221</v>
      </c>
      <c r="B1068" t="s">
        <v>5161</v>
      </c>
      <c r="C1068" t="s">
        <v>185</v>
      </c>
      <c r="D1068" t="s">
        <v>6361</v>
      </c>
      <c r="E1068">
        <v>38</v>
      </c>
      <c r="F1068" t="s">
        <v>5172</v>
      </c>
      <c r="G1068" t="s">
        <v>1905</v>
      </c>
    </row>
    <row r="1069" spans="1:7" hidden="1">
      <c r="A1069" s="5" t="s">
        <v>6362</v>
      </c>
      <c r="B1069" t="s">
        <v>5161</v>
      </c>
      <c r="C1069" t="s">
        <v>185</v>
      </c>
      <c r="D1069" t="s">
        <v>6363</v>
      </c>
      <c r="E1069">
        <v>21</v>
      </c>
      <c r="F1069" t="s">
        <v>5163</v>
      </c>
      <c r="G1069" t="s">
        <v>1905</v>
      </c>
    </row>
    <row r="1070" spans="1:7" hidden="1">
      <c r="A1070" s="5" t="s">
        <v>4980</v>
      </c>
      <c r="B1070" t="s">
        <v>5161</v>
      </c>
      <c r="C1070" t="s">
        <v>185</v>
      </c>
      <c r="D1070" t="s">
        <v>6364</v>
      </c>
      <c r="E1070">
        <v>28</v>
      </c>
      <c r="F1070" t="s">
        <v>5163</v>
      </c>
      <c r="G1070" t="s">
        <v>5164</v>
      </c>
    </row>
    <row r="1071" spans="1:7" hidden="1">
      <c r="A1071" s="5" t="s">
        <v>2174</v>
      </c>
      <c r="B1071" t="s">
        <v>5161</v>
      </c>
      <c r="C1071" t="s">
        <v>185</v>
      </c>
      <c r="D1071" t="s">
        <v>6365</v>
      </c>
      <c r="E1071">
        <v>18</v>
      </c>
      <c r="F1071" t="s">
        <v>5163</v>
      </c>
      <c r="G1071" t="s">
        <v>5164</v>
      </c>
    </row>
    <row r="1072" spans="1:7" hidden="1">
      <c r="A1072" s="5" t="s">
        <v>4618</v>
      </c>
      <c r="B1072" t="s">
        <v>5161</v>
      </c>
      <c r="C1072" t="s">
        <v>185</v>
      </c>
      <c r="D1072" t="s">
        <v>6366</v>
      </c>
      <c r="E1072">
        <v>19</v>
      </c>
      <c r="F1072" t="s">
        <v>5163</v>
      </c>
      <c r="G1072" t="s">
        <v>5164</v>
      </c>
    </row>
    <row r="1073" spans="1:7" hidden="1">
      <c r="A1073" s="5" t="s">
        <v>4406</v>
      </c>
      <c r="B1073" t="s">
        <v>5161</v>
      </c>
      <c r="C1073" t="s">
        <v>185</v>
      </c>
      <c r="D1073" t="s">
        <v>6367</v>
      </c>
      <c r="E1073">
        <v>20</v>
      </c>
      <c r="F1073" t="s">
        <v>5163</v>
      </c>
      <c r="G1073" t="s">
        <v>1905</v>
      </c>
    </row>
    <row r="1074" spans="1:7" hidden="1">
      <c r="A1074" s="5" t="s">
        <v>182</v>
      </c>
      <c r="B1074" t="s">
        <v>5161</v>
      </c>
      <c r="C1074" t="s">
        <v>185</v>
      </c>
      <c r="D1074" t="s">
        <v>621</v>
      </c>
      <c r="E1074">
        <v>19</v>
      </c>
      <c r="F1074" t="s">
        <v>5163</v>
      </c>
      <c r="G1074" t="s">
        <v>5164</v>
      </c>
    </row>
    <row r="1075" spans="1:7" hidden="1">
      <c r="A1075" s="5" t="s">
        <v>6368</v>
      </c>
      <c r="B1075" t="s">
        <v>5161</v>
      </c>
      <c r="C1075" t="s">
        <v>185</v>
      </c>
      <c r="D1075" t="s">
        <v>6369</v>
      </c>
      <c r="E1075">
        <v>20</v>
      </c>
      <c r="F1075" t="s">
        <v>5172</v>
      </c>
      <c r="G1075" t="s">
        <v>5182</v>
      </c>
    </row>
    <row r="1076" spans="1:7" hidden="1">
      <c r="A1076" s="5" t="s">
        <v>4608</v>
      </c>
      <c r="B1076" t="s">
        <v>5161</v>
      </c>
      <c r="C1076" t="s">
        <v>185</v>
      </c>
      <c r="D1076" t="s">
        <v>6370</v>
      </c>
      <c r="E1076">
        <v>56</v>
      </c>
      <c r="F1076" t="s">
        <v>5163</v>
      </c>
      <c r="G1076" t="s">
        <v>1905</v>
      </c>
    </row>
    <row r="1077" spans="1:7" hidden="1">
      <c r="A1077" s="5" t="s">
        <v>6371</v>
      </c>
      <c r="B1077" t="s">
        <v>5161</v>
      </c>
      <c r="C1077" t="s">
        <v>185</v>
      </c>
      <c r="D1077" t="s">
        <v>6372</v>
      </c>
      <c r="E1077" t="s">
        <v>5182</v>
      </c>
      <c r="F1077" t="s">
        <v>5163</v>
      </c>
      <c r="G1077" t="s">
        <v>1905</v>
      </c>
    </row>
    <row r="1078" spans="1:7" hidden="1">
      <c r="A1078" s="5" t="s">
        <v>4218</v>
      </c>
      <c r="B1078" t="s">
        <v>5161</v>
      </c>
      <c r="C1078" t="s">
        <v>185</v>
      </c>
      <c r="D1078" t="s">
        <v>6373</v>
      </c>
      <c r="E1078">
        <v>18</v>
      </c>
      <c r="F1078" t="s">
        <v>5163</v>
      </c>
      <c r="G1078" t="s">
        <v>5164</v>
      </c>
    </row>
    <row r="1079" spans="1:7" hidden="1">
      <c r="A1079" s="5" t="s">
        <v>4505</v>
      </c>
      <c r="B1079" t="s">
        <v>5161</v>
      </c>
      <c r="C1079" t="s">
        <v>185</v>
      </c>
      <c r="D1079" t="s">
        <v>6374</v>
      </c>
      <c r="E1079">
        <v>18</v>
      </c>
      <c r="F1079" t="s">
        <v>5163</v>
      </c>
      <c r="G1079" t="s">
        <v>1905</v>
      </c>
    </row>
    <row r="1080" spans="1:7" hidden="1">
      <c r="A1080" s="5" t="s">
        <v>5131</v>
      </c>
      <c r="B1080" t="s">
        <v>5161</v>
      </c>
      <c r="C1080" t="s">
        <v>185</v>
      </c>
      <c r="D1080" t="s">
        <v>6375</v>
      </c>
      <c r="E1080">
        <v>25</v>
      </c>
      <c r="F1080" t="s">
        <v>5163</v>
      </c>
      <c r="G1080" t="s">
        <v>5164</v>
      </c>
    </row>
    <row r="1081" spans="1:7" hidden="1">
      <c r="A1081" s="5" t="s">
        <v>5131</v>
      </c>
      <c r="B1081" t="s">
        <v>5161</v>
      </c>
      <c r="C1081" t="s">
        <v>185</v>
      </c>
      <c r="D1081" t="s">
        <v>6376</v>
      </c>
      <c r="E1081">
        <v>22</v>
      </c>
      <c r="F1081" t="s">
        <v>5163</v>
      </c>
      <c r="G1081" t="s">
        <v>1905</v>
      </c>
    </row>
    <row r="1082" spans="1:7" hidden="1">
      <c r="A1082" s="5" t="s">
        <v>5131</v>
      </c>
      <c r="B1082" t="s">
        <v>5161</v>
      </c>
      <c r="C1082" t="s">
        <v>185</v>
      </c>
      <c r="D1082" t="s">
        <v>6377</v>
      </c>
      <c r="E1082">
        <v>24</v>
      </c>
      <c r="F1082" t="s">
        <v>5163</v>
      </c>
      <c r="G1082" t="s">
        <v>1905</v>
      </c>
    </row>
    <row r="1083" spans="1:7" hidden="1">
      <c r="A1083" s="5" t="s">
        <v>5131</v>
      </c>
      <c r="B1083" t="s">
        <v>5161</v>
      </c>
      <c r="C1083" t="s">
        <v>185</v>
      </c>
      <c r="D1083" t="s">
        <v>6378</v>
      </c>
      <c r="E1083">
        <v>26</v>
      </c>
      <c r="F1083" t="s">
        <v>5163</v>
      </c>
      <c r="G1083" t="s">
        <v>1905</v>
      </c>
    </row>
    <row r="1084" spans="1:7" hidden="1">
      <c r="A1084" s="5" t="s">
        <v>3852</v>
      </c>
      <c r="B1084" t="s">
        <v>5161</v>
      </c>
      <c r="C1084" t="s">
        <v>185</v>
      </c>
      <c r="D1084" t="s">
        <v>6249</v>
      </c>
      <c r="E1084">
        <v>19</v>
      </c>
      <c r="F1084" t="s">
        <v>5163</v>
      </c>
      <c r="G1084" t="s">
        <v>5164</v>
      </c>
    </row>
    <row r="1085" spans="1:7" hidden="1">
      <c r="A1085" s="5" t="s">
        <v>4289</v>
      </c>
      <c r="B1085" t="s">
        <v>5161</v>
      </c>
      <c r="C1085" t="s">
        <v>185</v>
      </c>
      <c r="D1085" t="s">
        <v>6379</v>
      </c>
      <c r="E1085">
        <v>29</v>
      </c>
      <c r="F1085" t="s">
        <v>5163</v>
      </c>
      <c r="G1085" t="s">
        <v>5164</v>
      </c>
    </row>
    <row r="1086" spans="1:7" hidden="1">
      <c r="A1086" s="5" t="s">
        <v>4122</v>
      </c>
      <c r="B1086" t="s">
        <v>5161</v>
      </c>
      <c r="C1086" t="s">
        <v>185</v>
      </c>
      <c r="D1086" t="s">
        <v>6380</v>
      </c>
      <c r="E1086">
        <v>18</v>
      </c>
      <c r="F1086" t="s">
        <v>5163</v>
      </c>
      <c r="G1086" t="s">
        <v>5164</v>
      </c>
    </row>
    <row r="1087" spans="1:7" hidden="1">
      <c r="A1087" s="5" t="s">
        <v>3819</v>
      </c>
      <c r="B1087" t="s">
        <v>5161</v>
      </c>
      <c r="C1087" t="s">
        <v>185</v>
      </c>
      <c r="D1087" t="s">
        <v>6381</v>
      </c>
      <c r="E1087">
        <v>19</v>
      </c>
      <c r="F1087" t="s">
        <v>5163</v>
      </c>
      <c r="G1087" t="s">
        <v>5164</v>
      </c>
    </row>
    <row r="1088" spans="1:7" hidden="1">
      <c r="A1088" s="5" t="s">
        <v>6382</v>
      </c>
      <c r="B1088" t="s">
        <v>5161</v>
      </c>
      <c r="C1088" t="s">
        <v>185</v>
      </c>
      <c r="D1088" t="s">
        <v>6383</v>
      </c>
      <c r="E1088">
        <v>30</v>
      </c>
      <c r="F1088" t="s">
        <v>5163</v>
      </c>
      <c r="G1088" t="s">
        <v>1905</v>
      </c>
    </row>
    <row r="1089" spans="1:7" hidden="1">
      <c r="A1089" s="5" t="s">
        <v>2544</v>
      </c>
      <c r="B1089" t="s">
        <v>5161</v>
      </c>
      <c r="C1089" t="s">
        <v>185</v>
      </c>
      <c r="D1089" t="s">
        <v>6384</v>
      </c>
      <c r="E1089">
        <v>44</v>
      </c>
      <c r="F1089" t="s">
        <v>5163</v>
      </c>
      <c r="G1089" t="s">
        <v>1905</v>
      </c>
    </row>
    <row r="1090" spans="1:7" hidden="1">
      <c r="A1090" s="5" t="s">
        <v>184</v>
      </c>
      <c r="B1090" t="s">
        <v>5161</v>
      </c>
      <c r="C1090" t="s">
        <v>185</v>
      </c>
      <c r="D1090" t="s">
        <v>624</v>
      </c>
      <c r="E1090">
        <v>21</v>
      </c>
      <c r="F1090" t="s">
        <v>5163</v>
      </c>
      <c r="G1090" t="s">
        <v>5164</v>
      </c>
    </row>
    <row r="1091" spans="1:7" hidden="1">
      <c r="A1091" s="5" t="s">
        <v>4180</v>
      </c>
      <c r="B1091" t="s">
        <v>5161</v>
      </c>
      <c r="C1091" t="s">
        <v>185</v>
      </c>
      <c r="D1091" t="s">
        <v>6385</v>
      </c>
      <c r="E1091">
        <v>19</v>
      </c>
      <c r="F1091" t="s">
        <v>5163</v>
      </c>
      <c r="G1091" t="s">
        <v>5164</v>
      </c>
    </row>
    <row r="1092" spans="1:7" hidden="1">
      <c r="A1092" s="5" t="s">
        <v>3324</v>
      </c>
      <c r="B1092" t="s">
        <v>5161</v>
      </c>
      <c r="C1092" t="s">
        <v>185</v>
      </c>
      <c r="D1092" t="s">
        <v>6386</v>
      </c>
      <c r="E1092">
        <v>31</v>
      </c>
      <c r="F1092" t="s">
        <v>5163</v>
      </c>
      <c r="G1092" t="s">
        <v>1905</v>
      </c>
    </row>
    <row r="1093" spans="1:7" hidden="1">
      <c r="A1093" s="5" t="s">
        <v>4043</v>
      </c>
      <c r="B1093" t="s">
        <v>5161</v>
      </c>
      <c r="C1093" t="s">
        <v>185</v>
      </c>
      <c r="D1093" t="s">
        <v>6387</v>
      </c>
      <c r="E1093">
        <v>18</v>
      </c>
      <c r="F1093" t="s">
        <v>5163</v>
      </c>
      <c r="G1093" t="s">
        <v>5164</v>
      </c>
    </row>
    <row r="1094" spans="1:7" hidden="1">
      <c r="A1094" s="5" t="s">
        <v>4186</v>
      </c>
      <c r="B1094" t="s">
        <v>5161</v>
      </c>
      <c r="C1094" t="s">
        <v>185</v>
      </c>
      <c r="D1094" t="s">
        <v>6388</v>
      </c>
      <c r="E1094">
        <v>19</v>
      </c>
      <c r="F1094" t="s">
        <v>5163</v>
      </c>
      <c r="G1094" t="s">
        <v>5164</v>
      </c>
    </row>
    <row r="1095" spans="1:7" hidden="1">
      <c r="A1095" s="5" t="s">
        <v>4102</v>
      </c>
      <c r="B1095" t="s">
        <v>5161</v>
      </c>
      <c r="C1095" t="s">
        <v>185</v>
      </c>
      <c r="D1095" t="s">
        <v>6389</v>
      </c>
      <c r="E1095">
        <v>31</v>
      </c>
      <c r="F1095" t="s">
        <v>5163</v>
      </c>
      <c r="G1095" t="s">
        <v>5164</v>
      </c>
    </row>
    <row r="1096" spans="1:7" hidden="1">
      <c r="A1096" s="5" t="s">
        <v>6390</v>
      </c>
      <c r="B1096" t="s">
        <v>5161</v>
      </c>
      <c r="C1096" t="s">
        <v>185</v>
      </c>
      <c r="D1096" t="s">
        <v>6391</v>
      </c>
      <c r="E1096">
        <v>31</v>
      </c>
      <c r="F1096" t="s">
        <v>5163</v>
      </c>
      <c r="G1096" t="s">
        <v>5169</v>
      </c>
    </row>
    <row r="1097" spans="1:7" hidden="1">
      <c r="A1097" s="5" t="s">
        <v>2286</v>
      </c>
      <c r="B1097" t="s">
        <v>5161</v>
      </c>
      <c r="C1097" t="s">
        <v>185</v>
      </c>
      <c r="D1097" t="s">
        <v>6392</v>
      </c>
      <c r="E1097">
        <v>28</v>
      </c>
      <c r="F1097" t="s">
        <v>5163</v>
      </c>
      <c r="G1097" t="s">
        <v>5164</v>
      </c>
    </row>
    <row r="1098" spans="1:7" hidden="1">
      <c r="A1098" s="5" t="s">
        <v>2286</v>
      </c>
      <c r="B1098" t="s">
        <v>5161</v>
      </c>
      <c r="C1098" t="s">
        <v>185</v>
      </c>
      <c r="D1098" t="s">
        <v>6393</v>
      </c>
      <c r="E1098">
        <v>19</v>
      </c>
      <c r="F1098" t="s">
        <v>5163</v>
      </c>
      <c r="G1098" t="s">
        <v>1905</v>
      </c>
    </row>
    <row r="1099" spans="1:7" hidden="1">
      <c r="A1099" s="5" t="s">
        <v>2286</v>
      </c>
      <c r="B1099" t="s">
        <v>5161</v>
      </c>
      <c r="C1099" t="s">
        <v>185</v>
      </c>
      <c r="D1099" t="s">
        <v>6394</v>
      </c>
      <c r="E1099">
        <v>18</v>
      </c>
      <c r="F1099" t="s">
        <v>5163</v>
      </c>
      <c r="G1099" t="s">
        <v>1905</v>
      </c>
    </row>
    <row r="1100" spans="1:7" hidden="1">
      <c r="A1100" s="5" t="s">
        <v>2286</v>
      </c>
      <c r="B1100" t="s">
        <v>5161</v>
      </c>
      <c r="C1100" t="s">
        <v>185</v>
      </c>
      <c r="D1100" t="s">
        <v>6395</v>
      </c>
      <c r="E1100">
        <v>24</v>
      </c>
      <c r="F1100" t="s">
        <v>5163</v>
      </c>
      <c r="G1100" t="s">
        <v>1905</v>
      </c>
    </row>
    <row r="1101" spans="1:7" hidden="1">
      <c r="A1101" s="5" t="s">
        <v>4410</v>
      </c>
      <c r="B1101" t="s">
        <v>5161</v>
      </c>
      <c r="C1101" t="s">
        <v>185</v>
      </c>
      <c r="D1101" t="s">
        <v>6396</v>
      </c>
      <c r="E1101">
        <v>25</v>
      </c>
      <c r="F1101" t="s">
        <v>5163</v>
      </c>
      <c r="G1101" t="s">
        <v>5164</v>
      </c>
    </row>
    <row r="1102" spans="1:7" hidden="1">
      <c r="A1102" s="5" t="s">
        <v>2805</v>
      </c>
      <c r="B1102" t="s">
        <v>5161</v>
      </c>
      <c r="C1102" t="s">
        <v>185</v>
      </c>
      <c r="D1102" t="s">
        <v>6397</v>
      </c>
      <c r="E1102">
        <v>35</v>
      </c>
      <c r="F1102" t="s">
        <v>5163</v>
      </c>
      <c r="G1102" t="s">
        <v>5169</v>
      </c>
    </row>
    <row r="1103" spans="1:7" hidden="1">
      <c r="A1103" s="5" t="s">
        <v>2487</v>
      </c>
      <c r="B1103" t="s">
        <v>5161</v>
      </c>
      <c r="C1103" t="s">
        <v>185</v>
      </c>
      <c r="D1103" t="s">
        <v>6398</v>
      </c>
      <c r="E1103">
        <v>37</v>
      </c>
      <c r="F1103" t="s">
        <v>5163</v>
      </c>
      <c r="G1103" t="s">
        <v>5169</v>
      </c>
    </row>
    <row r="1104" spans="1:7" hidden="1">
      <c r="A1104" s="5" t="s">
        <v>2487</v>
      </c>
      <c r="B1104" t="s">
        <v>5161</v>
      </c>
      <c r="C1104" t="s">
        <v>185</v>
      </c>
      <c r="D1104" t="s">
        <v>6399</v>
      </c>
      <c r="E1104">
        <v>18</v>
      </c>
      <c r="F1104" t="s">
        <v>5163</v>
      </c>
      <c r="G1104" t="s">
        <v>5164</v>
      </c>
    </row>
    <row r="1105" spans="1:7" hidden="1">
      <c r="A1105" s="5" t="s">
        <v>6400</v>
      </c>
      <c r="B1105" t="s">
        <v>5161</v>
      </c>
      <c r="C1105" t="s">
        <v>185</v>
      </c>
      <c r="D1105" t="s">
        <v>6401</v>
      </c>
      <c r="E1105">
        <v>27</v>
      </c>
      <c r="F1105" t="s">
        <v>5163</v>
      </c>
      <c r="G1105" t="s">
        <v>5182</v>
      </c>
    </row>
    <row r="1106" spans="1:7" hidden="1">
      <c r="A1106" s="5" t="s">
        <v>4847</v>
      </c>
      <c r="B1106" t="s">
        <v>5161</v>
      </c>
      <c r="C1106" t="s">
        <v>185</v>
      </c>
      <c r="D1106" t="s">
        <v>6402</v>
      </c>
      <c r="E1106">
        <v>33</v>
      </c>
      <c r="F1106" t="s">
        <v>5163</v>
      </c>
      <c r="G1106" t="s">
        <v>5164</v>
      </c>
    </row>
    <row r="1107" spans="1:7" hidden="1">
      <c r="A1107" s="5" t="s">
        <v>3934</v>
      </c>
      <c r="B1107" t="s">
        <v>5161</v>
      </c>
      <c r="C1107" t="s">
        <v>185</v>
      </c>
      <c r="D1107" t="s">
        <v>6403</v>
      </c>
      <c r="E1107">
        <v>32</v>
      </c>
      <c r="F1107" t="s">
        <v>5163</v>
      </c>
      <c r="G1107" t="s">
        <v>5164</v>
      </c>
    </row>
    <row r="1108" spans="1:7" hidden="1">
      <c r="A1108" s="5" t="s">
        <v>2502</v>
      </c>
      <c r="B1108" t="s">
        <v>5161</v>
      </c>
      <c r="C1108" t="s">
        <v>185</v>
      </c>
      <c r="D1108" t="s">
        <v>6404</v>
      </c>
      <c r="E1108">
        <v>21</v>
      </c>
      <c r="F1108" t="s">
        <v>5163</v>
      </c>
      <c r="G1108" t="s">
        <v>5164</v>
      </c>
    </row>
    <row r="1109" spans="1:7" hidden="1">
      <c r="A1109" s="5" t="s">
        <v>3676</v>
      </c>
      <c r="B1109" t="s">
        <v>5161</v>
      </c>
      <c r="C1109" t="s">
        <v>185</v>
      </c>
      <c r="D1109" t="s">
        <v>6405</v>
      </c>
      <c r="E1109">
        <v>19</v>
      </c>
      <c r="F1109" t="s">
        <v>5163</v>
      </c>
      <c r="G1109" t="s">
        <v>5164</v>
      </c>
    </row>
    <row r="1110" spans="1:7" hidden="1">
      <c r="A1110" s="5" t="s">
        <v>3877</v>
      </c>
      <c r="B1110" t="s">
        <v>5161</v>
      </c>
      <c r="C1110" t="s">
        <v>185</v>
      </c>
      <c r="D1110" t="s">
        <v>6406</v>
      </c>
      <c r="E1110">
        <v>21</v>
      </c>
      <c r="F1110" t="s">
        <v>5163</v>
      </c>
      <c r="G1110" t="s">
        <v>5164</v>
      </c>
    </row>
    <row r="1111" spans="1:7" hidden="1">
      <c r="A1111" s="5" t="s">
        <v>3257</v>
      </c>
      <c r="B1111" t="s">
        <v>5161</v>
      </c>
      <c r="C1111" t="s">
        <v>185</v>
      </c>
      <c r="D1111" t="s">
        <v>6407</v>
      </c>
      <c r="E1111">
        <v>29</v>
      </c>
      <c r="F1111" t="s">
        <v>5163</v>
      </c>
      <c r="G1111" t="s">
        <v>5169</v>
      </c>
    </row>
    <row r="1112" spans="1:7" hidden="1">
      <c r="A1112" s="5" t="s">
        <v>3423</v>
      </c>
      <c r="B1112" t="s">
        <v>5161</v>
      </c>
      <c r="C1112" t="s">
        <v>185</v>
      </c>
      <c r="D1112" t="s">
        <v>6408</v>
      </c>
      <c r="E1112">
        <v>25</v>
      </c>
      <c r="F1112" t="s">
        <v>5163</v>
      </c>
      <c r="G1112" t="s">
        <v>5164</v>
      </c>
    </row>
    <row r="1113" spans="1:7" hidden="1">
      <c r="A1113" s="5" t="s">
        <v>3719</v>
      </c>
      <c r="B1113" t="s">
        <v>5161</v>
      </c>
      <c r="C1113" t="s">
        <v>185</v>
      </c>
      <c r="D1113" t="s">
        <v>6409</v>
      </c>
      <c r="E1113">
        <v>23</v>
      </c>
      <c r="F1113" t="s">
        <v>5163</v>
      </c>
      <c r="G1113" t="s">
        <v>1905</v>
      </c>
    </row>
    <row r="1114" spans="1:7" hidden="1">
      <c r="A1114" s="5" t="s">
        <v>3480</v>
      </c>
      <c r="B1114" t="s">
        <v>5161</v>
      </c>
      <c r="C1114" t="s">
        <v>185</v>
      </c>
      <c r="D1114" t="s">
        <v>6410</v>
      </c>
      <c r="E1114">
        <v>29</v>
      </c>
      <c r="F1114" t="s">
        <v>5163</v>
      </c>
      <c r="G1114" t="s">
        <v>1905</v>
      </c>
    </row>
    <row r="1115" spans="1:7" hidden="1">
      <c r="A1115" s="5" t="s">
        <v>3520</v>
      </c>
      <c r="B1115" t="s">
        <v>5161</v>
      </c>
      <c r="C1115" t="s">
        <v>198</v>
      </c>
      <c r="D1115" t="s">
        <v>6411</v>
      </c>
      <c r="E1115">
        <v>30</v>
      </c>
      <c r="F1115" t="s">
        <v>5163</v>
      </c>
      <c r="G1115" t="s">
        <v>1905</v>
      </c>
    </row>
    <row r="1116" spans="1:7" hidden="1">
      <c r="A1116" s="5" t="s">
        <v>4523</v>
      </c>
      <c r="B1116" t="s">
        <v>5161</v>
      </c>
      <c r="C1116" t="s">
        <v>198</v>
      </c>
      <c r="D1116" t="s">
        <v>6412</v>
      </c>
      <c r="E1116">
        <v>18</v>
      </c>
      <c r="F1116" t="s">
        <v>5163</v>
      </c>
      <c r="G1116" t="s">
        <v>1905</v>
      </c>
    </row>
    <row r="1117" spans="1:7" hidden="1">
      <c r="A1117" s="5" t="s">
        <v>190</v>
      </c>
      <c r="B1117" t="s">
        <v>5161</v>
      </c>
      <c r="C1117" t="s">
        <v>198</v>
      </c>
      <c r="D1117" t="s">
        <v>637</v>
      </c>
      <c r="E1117">
        <v>19</v>
      </c>
      <c r="F1117" t="s">
        <v>5163</v>
      </c>
      <c r="G1117" t="s">
        <v>5164</v>
      </c>
    </row>
    <row r="1118" spans="1:7" hidden="1">
      <c r="A1118" s="5" t="s">
        <v>3653</v>
      </c>
      <c r="B1118" t="s">
        <v>5161</v>
      </c>
      <c r="C1118" t="s">
        <v>198</v>
      </c>
      <c r="D1118" t="s">
        <v>6413</v>
      </c>
      <c r="E1118">
        <v>26</v>
      </c>
      <c r="F1118" t="s">
        <v>5163</v>
      </c>
      <c r="G1118" t="s">
        <v>5164</v>
      </c>
    </row>
    <row r="1119" spans="1:7" hidden="1">
      <c r="A1119" s="5" t="s">
        <v>3653</v>
      </c>
      <c r="B1119" t="s">
        <v>5161</v>
      </c>
      <c r="C1119" t="s">
        <v>198</v>
      </c>
      <c r="D1119" t="s">
        <v>6414</v>
      </c>
      <c r="E1119">
        <v>18</v>
      </c>
      <c r="F1119" t="s">
        <v>5163</v>
      </c>
      <c r="G1119" t="s">
        <v>5164</v>
      </c>
    </row>
    <row r="1120" spans="1:7" hidden="1">
      <c r="A1120" s="5" t="s">
        <v>3870</v>
      </c>
      <c r="B1120" t="s">
        <v>5161</v>
      </c>
      <c r="C1120" t="s">
        <v>198</v>
      </c>
      <c r="D1120" t="s">
        <v>6415</v>
      </c>
      <c r="E1120">
        <v>55</v>
      </c>
      <c r="F1120" t="s">
        <v>5163</v>
      </c>
      <c r="G1120" t="s">
        <v>5164</v>
      </c>
    </row>
    <row r="1121" spans="1:7" hidden="1">
      <c r="A1121" s="5" t="s">
        <v>4260</v>
      </c>
      <c r="B1121" t="s">
        <v>5161</v>
      </c>
      <c r="C1121" t="s">
        <v>198</v>
      </c>
      <c r="D1121" t="s">
        <v>6416</v>
      </c>
      <c r="E1121">
        <v>19</v>
      </c>
      <c r="F1121" t="s">
        <v>5163</v>
      </c>
      <c r="G1121" t="s">
        <v>5164</v>
      </c>
    </row>
    <row r="1122" spans="1:7" hidden="1">
      <c r="A1122" s="5" t="s">
        <v>4233</v>
      </c>
      <c r="B1122" t="s">
        <v>5161</v>
      </c>
      <c r="C1122" t="s">
        <v>198</v>
      </c>
      <c r="D1122" t="s">
        <v>6115</v>
      </c>
      <c r="E1122">
        <v>18</v>
      </c>
      <c r="F1122" t="s">
        <v>5163</v>
      </c>
      <c r="G1122" t="s">
        <v>5164</v>
      </c>
    </row>
    <row r="1123" spans="1:7" hidden="1">
      <c r="A1123" s="5" t="s">
        <v>2604</v>
      </c>
      <c r="B1123" t="s">
        <v>5161</v>
      </c>
      <c r="C1123" t="s">
        <v>198</v>
      </c>
      <c r="D1123" t="s">
        <v>6417</v>
      </c>
      <c r="E1123">
        <v>29</v>
      </c>
      <c r="F1123" t="s">
        <v>5163</v>
      </c>
      <c r="G1123" t="s">
        <v>5164</v>
      </c>
    </row>
    <row r="1124" spans="1:7" hidden="1">
      <c r="A1124" s="5" t="s">
        <v>6418</v>
      </c>
      <c r="B1124" t="s">
        <v>5161</v>
      </c>
      <c r="C1124" t="s">
        <v>198</v>
      </c>
      <c r="D1124" t="s">
        <v>6419</v>
      </c>
      <c r="E1124">
        <v>30</v>
      </c>
      <c r="F1124" t="s">
        <v>5163</v>
      </c>
      <c r="G1124" t="s">
        <v>5182</v>
      </c>
    </row>
    <row r="1125" spans="1:7" hidden="1">
      <c r="A1125" s="5" t="s">
        <v>6420</v>
      </c>
      <c r="B1125" t="s">
        <v>5161</v>
      </c>
      <c r="C1125" t="s">
        <v>198</v>
      </c>
      <c r="D1125" t="s">
        <v>6421</v>
      </c>
      <c r="E1125">
        <v>18</v>
      </c>
      <c r="F1125" t="s">
        <v>5163</v>
      </c>
      <c r="G1125" t="s">
        <v>5164</v>
      </c>
    </row>
    <row r="1126" spans="1:7" hidden="1">
      <c r="A1126" s="5" t="s">
        <v>2301</v>
      </c>
      <c r="B1126" t="s">
        <v>5161</v>
      </c>
      <c r="C1126" t="s">
        <v>198</v>
      </c>
      <c r="D1126" t="s">
        <v>6422</v>
      </c>
      <c r="E1126">
        <v>34</v>
      </c>
      <c r="F1126" t="s">
        <v>5163</v>
      </c>
      <c r="G1126" t="s">
        <v>5164</v>
      </c>
    </row>
    <row r="1127" spans="1:7" hidden="1">
      <c r="A1127" s="5" t="s">
        <v>2794</v>
      </c>
      <c r="B1127" t="s">
        <v>5161</v>
      </c>
      <c r="C1127" t="s">
        <v>198</v>
      </c>
      <c r="D1127" t="s">
        <v>6423</v>
      </c>
      <c r="E1127">
        <v>34</v>
      </c>
      <c r="F1127" t="s">
        <v>5163</v>
      </c>
      <c r="G1127" t="s">
        <v>1905</v>
      </c>
    </row>
    <row r="1128" spans="1:7" hidden="1">
      <c r="A1128" s="5" t="s">
        <v>2922</v>
      </c>
      <c r="B1128" t="s">
        <v>5161</v>
      </c>
      <c r="C1128" t="s">
        <v>198</v>
      </c>
      <c r="D1128" t="s">
        <v>6424</v>
      </c>
      <c r="E1128">
        <v>19</v>
      </c>
      <c r="F1128" t="s">
        <v>5163</v>
      </c>
      <c r="G1128" t="s">
        <v>1905</v>
      </c>
    </row>
    <row r="1129" spans="1:7" hidden="1">
      <c r="A1129" s="5" t="s">
        <v>2322</v>
      </c>
      <c r="B1129" t="s">
        <v>5161</v>
      </c>
      <c r="C1129" t="s">
        <v>198</v>
      </c>
      <c r="D1129" t="s">
        <v>6425</v>
      </c>
      <c r="E1129">
        <v>51</v>
      </c>
      <c r="F1129" t="s">
        <v>5163</v>
      </c>
      <c r="G1129" t="s">
        <v>1905</v>
      </c>
    </row>
    <row r="1130" spans="1:7" hidden="1">
      <c r="A1130" s="5" t="s">
        <v>3792</v>
      </c>
      <c r="B1130" t="s">
        <v>5161</v>
      </c>
      <c r="C1130" t="s">
        <v>198</v>
      </c>
      <c r="D1130" t="s">
        <v>6426</v>
      </c>
      <c r="E1130">
        <v>19</v>
      </c>
      <c r="F1130" t="s">
        <v>5172</v>
      </c>
      <c r="G1130" t="s">
        <v>5164</v>
      </c>
    </row>
    <row r="1131" spans="1:7" hidden="1">
      <c r="A1131" s="5" t="s">
        <v>2973</v>
      </c>
      <c r="B1131" t="s">
        <v>5161</v>
      </c>
      <c r="C1131" t="s">
        <v>198</v>
      </c>
      <c r="D1131" t="s">
        <v>6427</v>
      </c>
      <c r="E1131">
        <v>54</v>
      </c>
      <c r="F1131" t="s">
        <v>5163</v>
      </c>
      <c r="G1131" t="s">
        <v>1905</v>
      </c>
    </row>
    <row r="1132" spans="1:7" hidden="1">
      <c r="A1132" s="5" t="s">
        <v>3003</v>
      </c>
      <c r="B1132" t="s">
        <v>5161</v>
      </c>
      <c r="C1132" t="s">
        <v>198</v>
      </c>
      <c r="D1132" t="s">
        <v>6428</v>
      </c>
      <c r="E1132">
        <v>24</v>
      </c>
      <c r="F1132" t="s">
        <v>5163</v>
      </c>
      <c r="G1132" t="s">
        <v>5164</v>
      </c>
    </row>
    <row r="1133" spans="1:7" hidden="1">
      <c r="A1133" s="5" t="s">
        <v>3292</v>
      </c>
      <c r="B1133" t="s">
        <v>5161</v>
      </c>
      <c r="C1133" t="s">
        <v>198</v>
      </c>
      <c r="D1133" t="s">
        <v>6429</v>
      </c>
      <c r="E1133">
        <v>29</v>
      </c>
      <c r="F1133" t="s">
        <v>5163</v>
      </c>
      <c r="G1133" t="s">
        <v>5164</v>
      </c>
    </row>
    <row r="1134" spans="1:7" hidden="1">
      <c r="A1134" s="5" t="s">
        <v>3582</v>
      </c>
      <c r="B1134" t="s">
        <v>5161</v>
      </c>
      <c r="C1134" t="s">
        <v>198</v>
      </c>
      <c r="D1134" t="s">
        <v>6430</v>
      </c>
      <c r="E1134">
        <v>20</v>
      </c>
      <c r="F1134" t="s">
        <v>5163</v>
      </c>
      <c r="G1134" t="s">
        <v>5164</v>
      </c>
    </row>
    <row r="1135" spans="1:7" hidden="1">
      <c r="A1135" s="5" t="s">
        <v>194</v>
      </c>
      <c r="B1135" t="s">
        <v>5161</v>
      </c>
      <c r="C1135" t="s">
        <v>198</v>
      </c>
      <c r="D1135" t="s">
        <v>6431</v>
      </c>
      <c r="E1135">
        <v>18</v>
      </c>
      <c r="F1135" t="s">
        <v>5163</v>
      </c>
      <c r="G1135" t="s">
        <v>1905</v>
      </c>
    </row>
    <row r="1136" spans="1:7" hidden="1">
      <c r="A1136" s="5" t="s">
        <v>194</v>
      </c>
      <c r="B1136" t="s">
        <v>5161</v>
      </c>
      <c r="C1136" t="s">
        <v>198</v>
      </c>
      <c r="D1136" t="s">
        <v>646</v>
      </c>
      <c r="E1136">
        <v>19</v>
      </c>
      <c r="F1136" t="s">
        <v>5163</v>
      </c>
      <c r="G1136" t="s">
        <v>1905</v>
      </c>
    </row>
    <row r="1137" spans="1:7" hidden="1">
      <c r="A1137" s="5" t="s">
        <v>6432</v>
      </c>
      <c r="B1137" t="s">
        <v>5161</v>
      </c>
      <c r="C1137" t="s">
        <v>198</v>
      </c>
      <c r="D1137" t="s">
        <v>6433</v>
      </c>
      <c r="E1137" t="s">
        <v>5182</v>
      </c>
      <c r="F1137" t="s">
        <v>5163</v>
      </c>
      <c r="G1137" t="s">
        <v>5182</v>
      </c>
    </row>
    <row r="1138" spans="1:7" hidden="1">
      <c r="A1138" s="5" t="s">
        <v>4083</v>
      </c>
      <c r="B1138" t="s">
        <v>5161</v>
      </c>
      <c r="C1138" t="s">
        <v>198</v>
      </c>
      <c r="D1138" t="s">
        <v>6434</v>
      </c>
      <c r="E1138">
        <v>48</v>
      </c>
      <c r="F1138" t="s">
        <v>5163</v>
      </c>
      <c r="G1138" t="s">
        <v>5169</v>
      </c>
    </row>
    <row r="1139" spans="1:7" hidden="1">
      <c r="A1139" s="5" t="s">
        <v>6435</v>
      </c>
      <c r="B1139" t="s">
        <v>5161</v>
      </c>
      <c r="C1139" t="s">
        <v>198</v>
      </c>
      <c r="D1139" t="s">
        <v>6436</v>
      </c>
      <c r="E1139">
        <v>20</v>
      </c>
      <c r="F1139" t="s">
        <v>5163</v>
      </c>
      <c r="G1139" t="s">
        <v>5164</v>
      </c>
    </row>
    <row r="1140" spans="1:7" hidden="1">
      <c r="A1140" s="5" t="s">
        <v>2679</v>
      </c>
      <c r="B1140" t="s">
        <v>5161</v>
      </c>
      <c r="C1140" t="s">
        <v>198</v>
      </c>
      <c r="D1140" t="s">
        <v>6437</v>
      </c>
      <c r="E1140">
        <v>26</v>
      </c>
      <c r="F1140" t="s">
        <v>5163</v>
      </c>
      <c r="G1140" t="s">
        <v>5169</v>
      </c>
    </row>
    <row r="1141" spans="1:7" hidden="1">
      <c r="A1141" s="5" t="s">
        <v>5031</v>
      </c>
      <c r="B1141" t="s">
        <v>5161</v>
      </c>
      <c r="C1141" t="s">
        <v>198</v>
      </c>
      <c r="D1141" t="s">
        <v>6438</v>
      </c>
      <c r="E1141">
        <v>26</v>
      </c>
      <c r="F1141" t="s">
        <v>5163</v>
      </c>
      <c r="G1141" t="s">
        <v>5169</v>
      </c>
    </row>
    <row r="1142" spans="1:7" hidden="1">
      <c r="A1142" s="5" t="s">
        <v>3211</v>
      </c>
      <c r="B1142" t="s">
        <v>5161</v>
      </c>
      <c r="C1142" t="s">
        <v>198</v>
      </c>
      <c r="D1142" t="s">
        <v>6439</v>
      </c>
      <c r="E1142">
        <v>25</v>
      </c>
      <c r="F1142" t="s">
        <v>5163</v>
      </c>
      <c r="G1142" t="s">
        <v>5164</v>
      </c>
    </row>
    <row r="1143" spans="1:7" hidden="1">
      <c r="A1143" s="5" t="s">
        <v>3211</v>
      </c>
      <c r="B1143" t="s">
        <v>5161</v>
      </c>
      <c r="C1143" t="s">
        <v>198</v>
      </c>
      <c r="D1143" t="s">
        <v>6440</v>
      </c>
      <c r="E1143">
        <v>19</v>
      </c>
      <c r="F1143" t="s">
        <v>5163</v>
      </c>
      <c r="G1143" t="s">
        <v>5169</v>
      </c>
    </row>
    <row r="1144" spans="1:7" hidden="1">
      <c r="A1144" s="5" t="s">
        <v>6441</v>
      </c>
      <c r="B1144" t="s">
        <v>5161</v>
      </c>
      <c r="C1144" t="s">
        <v>198</v>
      </c>
      <c r="D1144" t="s">
        <v>6442</v>
      </c>
      <c r="E1144">
        <v>21</v>
      </c>
      <c r="F1144" t="s">
        <v>5163</v>
      </c>
      <c r="G1144" t="s">
        <v>1905</v>
      </c>
    </row>
    <row r="1145" spans="1:7" hidden="1">
      <c r="A1145" s="5" t="s">
        <v>2889</v>
      </c>
      <c r="B1145" t="s">
        <v>5161</v>
      </c>
      <c r="C1145" t="s">
        <v>198</v>
      </c>
      <c r="D1145" t="s">
        <v>6443</v>
      </c>
      <c r="E1145">
        <v>23</v>
      </c>
      <c r="F1145" t="s">
        <v>5163</v>
      </c>
      <c r="G1145" t="s">
        <v>1905</v>
      </c>
    </row>
    <row r="1146" spans="1:7" hidden="1">
      <c r="A1146" s="5" t="s">
        <v>2889</v>
      </c>
      <c r="B1146" t="s">
        <v>5161</v>
      </c>
      <c r="C1146" t="s">
        <v>198</v>
      </c>
      <c r="D1146" t="s">
        <v>6444</v>
      </c>
      <c r="E1146">
        <v>30</v>
      </c>
      <c r="F1146" t="s">
        <v>5163</v>
      </c>
      <c r="G1146" t="s">
        <v>5164</v>
      </c>
    </row>
    <row r="1147" spans="1:7" hidden="1">
      <c r="A1147" s="5" t="s">
        <v>2582</v>
      </c>
      <c r="B1147" t="s">
        <v>5161</v>
      </c>
      <c r="C1147" t="s">
        <v>198</v>
      </c>
      <c r="D1147" t="s">
        <v>6445</v>
      </c>
      <c r="E1147">
        <v>38</v>
      </c>
      <c r="F1147" t="s">
        <v>5163</v>
      </c>
      <c r="G1147" t="s">
        <v>5169</v>
      </c>
    </row>
    <row r="1148" spans="1:7" hidden="1">
      <c r="A1148" s="5" t="s">
        <v>3110</v>
      </c>
      <c r="B1148" t="s">
        <v>5161</v>
      </c>
      <c r="C1148" t="s">
        <v>198</v>
      </c>
      <c r="D1148" t="s">
        <v>5285</v>
      </c>
      <c r="E1148">
        <v>19</v>
      </c>
      <c r="F1148" t="s">
        <v>5163</v>
      </c>
      <c r="G1148" t="s">
        <v>5164</v>
      </c>
    </row>
    <row r="1149" spans="1:7" hidden="1">
      <c r="A1149" s="5" t="s">
        <v>3865</v>
      </c>
      <c r="B1149" t="s">
        <v>5161</v>
      </c>
      <c r="C1149" t="s">
        <v>198</v>
      </c>
      <c r="D1149" t="s">
        <v>6446</v>
      </c>
      <c r="E1149">
        <v>26</v>
      </c>
      <c r="F1149" t="s">
        <v>5172</v>
      </c>
      <c r="G1149" t="s">
        <v>1905</v>
      </c>
    </row>
    <row r="1150" spans="1:7" hidden="1">
      <c r="A1150" s="5" t="s">
        <v>2442</v>
      </c>
      <c r="B1150" t="s">
        <v>5161</v>
      </c>
      <c r="C1150" t="s">
        <v>198</v>
      </c>
      <c r="D1150" t="s">
        <v>6447</v>
      </c>
      <c r="E1150">
        <v>22</v>
      </c>
      <c r="F1150" t="s">
        <v>5163</v>
      </c>
      <c r="G1150" t="s">
        <v>5169</v>
      </c>
    </row>
    <row r="1151" spans="1:7" hidden="1">
      <c r="A1151" s="5" t="s">
        <v>4436</v>
      </c>
      <c r="B1151" t="s">
        <v>5161</v>
      </c>
      <c r="C1151" t="s">
        <v>198</v>
      </c>
      <c r="D1151" t="s">
        <v>6448</v>
      </c>
      <c r="E1151">
        <v>40</v>
      </c>
      <c r="F1151" t="s">
        <v>5163</v>
      </c>
      <c r="G1151" t="s">
        <v>5164</v>
      </c>
    </row>
    <row r="1152" spans="1:7" hidden="1">
      <c r="A1152" s="5" t="s">
        <v>4436</v>
      </c>
      <c r="B1152" t="s">
        <v>5161</v>
      </c>
      <c r="C1152" t="s">
        <v>198</v>
      </c>
      <c r="D1152" t="s">
        <v>6449</v>
      </c>
      <c r="E1152">
        <v>32</v>
      </c>
      <c r="F1152" t="s">
        <v>5163</v>
      </c>
      <c r="G1152" t="s">
        <v>1905</v>
      </c>
    </row>
    <row r="1153" spans="1:7" hidden="1">
      <c r="A1153" s="5" t="s">
        <v>2155</v>
      </c>
      <c r="B1153" t="s">
        <v>5161</v>
      </c>
      <c r="C1153" t="s">
        <v>198</v>
      </c>
      <c r="D1153" t="s">
        <v>6450</v>
      </c>
      <c r="E1153">
        <v>19</v>
      </c>
      <c r="F1153" t="s">
        <v>5163</v>
      </c>
      <c r="G1153" t="s">
        <v>5164</v>
      </c>
    </row>
    <row r="1154" spans="1:7" hidden="1">
      <c r="A1154" s="5" t="s">
        <v>4991</v>
      </c>
      <c r="B1154" t="s">
        <v>5161</v>
      </c>
      <c r="C1154" t="s">
        <v>198</v>
      </c>
      <c r="D1154" t="s">
        <v>6451</v>
      </c>
      <c r="E1154">
        <v>31</v>
      </c>
      <c r="F1154" t="s">
        <v>5163</v>
      </c>
      <c r="G1154" t="s">
        <v>1905</v>
      </c>
    </row>
    <row r="1155" spans="1:7" hidden="1">
      <c r="A1155" s="5" t="s">
        <v>2162</v>
      </c>
      <c r="B1155" t="s">
        <v>5161</v>
      </c>
      <c r="C1155" t="s">
        <v>198</v>
      </c>
      <c r="D1155" t="s">
        <v>6452</v>
      </c>
      <c r="E1155">
        <v>26</v>
      </c>
      <c r="F1155" t="s">
        <v>5163</v>
      </c>
      <c r="G1155" t="s">
        <v>5164</v>
      </c>
    </row>
    <row r="1156" spans="1:7" hidden="1">
      <c r="A1156" s="5" t="s">
        <v>2162</v>
      </c>
      <c r="B1156" t="s">
        <v>5161</v>
      </c>
      <c r="C1156" t="s">
        <v>198</v>
      </c>
      <c r="D1156" t="s">
        <v>6453</v>
      </c>
      <c r="E1156">
        <v>19</v>
      </c>
      <c r="F1156" t="s">
        <v>5163</v>
      </c>
      <c r="G1156" t="s">
        <v>1905</v>
      </c>
    </row>
    <row r="1157" spans="1:7" hidden="1">
      <c r="A1157" s="5" t="s">
        <v>4785</v>
      </c>
      <c r="B1157" t="s">
        <v>5161</v>
      </c>
      <c r="C1157" t="s">
        <v>198</v>
      </c>
      <c r="D1157" t="s">
        <v>6454</v>
      </c>
      <c r="E1157">
        <v>26</v>
      </c>
      <c r="F1157" t="s">
        <v>5163</v>
      </c>
      <c r="G1157" t="s">
        <v>5169</v>
      </c>
    </row>
    <row r="1158" spans="1:7" hidden="1">
      <c r="A1158" s="5" t="s">
        <v>2773</v>
      </c>
      <c r="B1158" t="s">
        <v>5161</v>
      </c>
      <c r="C1158" t="s">
        <v>198</v>
      </c>
      <c r="D1158" t="s">
        <v>6455</v>
      </c>
      <c r="E1158">
        <v>32</v>
      </c>
      <c r="F1158" t="s">
        <v>5163</v>
      </c>
      <c r="G1158" t="s">
        <v>1905</v>
      </c>
    </row>
    <row r="1159" spans="1:7" hidden="1">
      <c r="A1159" s="5" t="s">
        <v>2234</v>
      </c>
      <c r="B1159" t="s">
        <v>5161</v>
      </c>
      <c r="C1159" t="s">
        <v>198</v>
      </c>
      <c r="D1159" t="s">
        <v>6456</v>
      </c>
      <c r="E1159">
        <v>27</v>
      </c>
      <c r="F1159" t="s">
        <v>5163</v>
      </c>
      <c r="G1159" t="s">
        <v>1905</v>
      </c>
    </row>
    <row r="1160" spans="1:7" hidden="1">
      <c r="A1160" s="5" t="s">
        <v>5047</v>
      </c>
      <c r="B1160" t="s">
        <v>5161</v>
      </c>
      <c r="C1160" t="s">
        <v>198</v>
      </c>
      <c r="D1160" t="s">
        <v>6457</v>
      </c>
      <c r="E1160">
        <v>22</v>
      </c>
      <c r="F1160" t="s">
        <v>5163</v>
      </c>
      <c r="G1160" t="s">
        <v>5164</v>
      </c>
    </row>
    <row r="1161" spans="1:7" hidden="1">
      <c r="A1161" s="5" t="s">
        <v>3389</v>
      </c>
      <c r="B1161" t="s">
        <v>5161</v>
      </c>
      <c r="C1161" t="s">
        <v>198</v>
      </c>
      <c r="D1161" t="s">
        <v>6458</v>
      </c>
      <c r="E1161">
        <v>26</v>
      </c>
      <c r="F1161" t="s">
        <v>5163</v>
      </c>
      <c r="G1161" t="s">
        <v>5164</v>
      </c>
    </row>
    <row r="1162" spans="1:7" hidden="1">
      <c r="A1162" s="5" t="s">
        <v>4402</v>
      </c>
      <c r="B1162" t="s">
        <v>5161</v>
      </c>
      <c r="C1162" t="s">
        <v>198</v>
      </c>
      <c r="D1162" t="s">
        <v>6459</v>
      </c>
      <c r="E1162">
        <v>29</v>
      </c>
      <c r="F1162" t="s">
        <v>5163</v>
      </c>
      <c r="G1162" t="s">
        <v>5164</v>
      </c>
    </row>
    <row r="1163" spans="1:7" hidden="1">
      <c r="A1163" s="5" t="s">
        <v>6460</v>
      </c>
      <c r="B1163" t="s">
        <v>5161</v>
      </c>
      <c r="C1163" t="s">
        <v>198</v>
      </c>
      <c r="D1163" t="s">
        <v>6461</v>
      </c>
      <c r="E1163">
        <v>24</v>
      </c>
      <c r="F1163" t="s">
        <v>5163</v>
      </c>
      <c r="G1163" t="s">
        <v>5164</v>
      </c>
    </row>
    <row r="1164" spans="1:7" hidden="1">
      <c r="A1164" s="5" t="s">
        <v>4715</v>
      </c>
      <c r="B1164" t="s">
        <v>5161</v>
      </c>
      <c r="C1164" t="s">
        <v>198</v>
      </c>
      <c r="D1164" t="s">
        <v>6462</v>
      </c>
      <c r="E1164">
        <v>25</v>
      </c>
      <c r="F1164" t="s">
        <v>5163</v>
      </c>
      <c r="G1164" t="s">
        <v>5164</v>
      </c>
    </row>
    <row r="1165" spans="1:7" hidden="1">
      <c r="A1165" s="5" t="s">
        <v>4715</v>
      </c>
      <c r="B1165" t="s">
        <v>5161</v>
      </c>
      <c r="C1165" t="s">
        <v>198</v>
      </c>
      <c r="D1165" t="s">
        <v>6463</v>
      </c>
      <c r="E1165">
        <v>27</v>
      </c>
      <c r="F1165" t="s">
        <v>5163</v>
      </c>
      <c r="G1165" t="s">
        <v>5164</v>
      </c>
    </row>
    <row r="1166" spans="1:7" hidden="1">
      <c r="A1166" s="5" t="s">
        <v>3756</v>
      </c>
      <c r="B1166" t="s">
        <v>5161</v>
      </c>
      <c r="C1166" t="s">
        <v>198</v>
      </c>
      <c r="D1166" t="s">
        <v>6464</v>
      </c>
      <c r="E1166">
        <v>22</v>
      </c>
      <c r="F1166" t="s">
        <v>5163</v>
      </c>
      <c r="G1166" t="s">
        <v>5164</v>
      </c>
    </row>
    <row r="1167" spans="1:7" hidden="1">
      <c r="A1167" s="5" t="s">
        <v>4631</v>
      </c>
      <c r="B1167" t="s">
        <v>5161</v>
      </c>
      <c r="C1167" t="s">
        <v>198</v>
      </c>
      <c r="D1167" t="s">
        <v>6465</v>
      </c>
      <c r="E1167">
        <v>23</v>
      </c>
      <c r="F1167" t="s">
        <v>5163</v>
      </c>
      <c r="G1167" t="s">
        <v>1905</v>
      </c>
    </row>
    <row r="1168" spans="1:7" hidden="1">
      <c r="A1168" s="5" t="s">
        <v>4962</v>
      </c>
      <c r="B1168" t="s">
        <v>5161</v>
      </c>
      <c r="C1168" t="s">
        <v>198</v>
      </c>
      <c r="D1168" t="s">
        <v>6466</v>
      </c>
      <c r="E1168">
        <v>19</v>
      </c>
      <c r="F1168" t="s">
        <v>5163</v>
      </c>
      <c r="G1168" t="s">
        <v>5164</v>
      </c>
    </row>
    <row r="1169" spans="1:7" hidden="1">
      <c r="A1169" s="5" t="s">
        <v>4962</v>
      </c>
      <c r="B1169" t="s">
        <v>5161</v>
      </c>
      <c r="C1169" t="s">
        <v>198</v>
      </c>
      <c r="D1169" t="s">
        <v>6467</v>
      </c>
      <c r="E1169">
        <v>18</v>
      </c>
      <c r="F1169" t="s">
        <v>5163</v>
      </c>
      <c r="G1169" t="s">
        <v>5164</v>
      </c>
    </row>
    <row r="1170" spans="1:7" hidden="1">
      <c r="A1170" s="5" t="s">
        <v>4016</v>
      </c>
      <c r="B1170" t="s">
        <v>5161</v>
      </c>
      <c r="C1170" t="s">
        <v>198</v>
      </c>
      <c r="D1170" t="s">
        <v>6468</v>
      </c>
      <c r="E1170">
        <v>18</v>
      </c>
      <c r="F1170" t="s">
        <v>5163</v>
      </c>
      <c r="G1170" t="s">
        <v>1905</v>
      </c>
    </row>
    <row r="1171" spans="1:7" hidden="1">
      <c r="A1171" s="5" t="s">
        <v>4594</v>
      </c>
      <c r="B1171" t="s">
        <v>5161</v>
      </c>
      <c r="C1171" t="s">
        <v>198</v>
      </c>
      <c r="D1171" t="s">
        <v>6469</v>
      </c>
      <c r="E1171">
        <v>26</v>
      </c>
      <c r="F1171" t="s">
        <v>5163</v>
      </c>
      <c r="G1171" t="s">
        <v>5164</v>
      </c>
    </row>
    <row r="1172" spans="1:7" hidden="1">
      <c r="A1172" s="5" t="s">
        <v>6470</v>
      </c>
      <c r="B1172" t="s">
        <v>5161</v>
      </c>
      <c r="C1172" t="s">
        <v>198</v>
      </c>
      <c r="D1172" t="s">
        <v>6471</v>
      </c>
      <c r="E1172">
        <v>20</v>
      </c>
      <c r="F1172" t="s">
        <v>5163</v>
      </c>
      <c r="G1172" t="s">
        <v>5164</v>
      </c>
    </row>
    <row r="1173" spans="1:7" hidden="1">
      <c r="A1173" s="5" t="s">
        <v>2429</v>
      </c>
      <c r="B1173" t="s">
        <v>5161</v>
      </c>
      <c r="C1173" t="s">
        <v>198</v>
      </c>
      <c r="D1173" t="s">
        <v>6472</v>
      </c>
      <c r="E1173">
        <v>35</v>
      </c>
      <c r="F1173" t="s">
        <v>5172</v>
      </c>
      <c r="G1173" t="s">
        <v>5164</v>
      </c>
    </row>
    <row r="1174" spans="1:7" hidden="1">
      <c r="A1174" s="5" t="s">
        <v>4168</v>
      </c>
      <c r="B1174" t="s">
        <v>5161</v>
      </c>
      <c r="C1174" t="s">
        <v>198</v>
      </c>
      <c r="D1174" t="s">
        <v>6473</v>
      </c>
      <c r="E1174">
        <v>26</v>
      </c>
      <c r="F1174" t="s">
        <v>5163</v>
      </c>
      <c r="G1174" t="s">
        <v>1905</v>
      </c>
    </row>
    <row r="1175" spans="1:7" hidden="1">
      <c r="A1175" s="5" t="s">
        <v>4029</v>
      </c>
      <c r="B1175" t="s">
        <v>5161</v>
      </c>
      <c r="C1175" t="s">
        <v>198</v>
      </c>
      <c r="D1175" t="s">
        <v>6474</v>
      </c>
      <c r="E1175">
        <v>23</v>
      </c>
      <c r="F1175" t="s">
        <v>5163</v>
      </c>
      <c r="G1175" t="s">
        <v>5164</v>
      </c>
    </row>
    <row r="1176" spans="1:7" hidden="1">
      <c r="A1176" s="5" t="s">
        <v>4263</v>
      </c>
      <c r="B1176" t="s">
        <v>5161</v>
      </c>
      <c r="C1176" t="s">
        <v>198</v>
      </c>
      <c r="D1176" t="s">
        <v>6475</v>
      </c>
      <c r="E1176">
        <v>30</v>
      </c>
      <c r="F1176" t="s">
        <v>5163</v>
      </c>
      <c r="G1176" t="s">
        <v>5164</v>
      </c>
    </row>
    <row r="1177" spans="1:7" hidden="1">
      <c r="A1177" s="5" t="s">
        <v>4201</v>
      </c>
      <c r="B1177" t="s">
        <v>5161</v>
      </c>
      <c r="C1177" t="s">
        <v>198</v>
      </c>
      <c r="D1177" t="s">
        <v>6476</v>
      </c>
      <c r="E1177">
        <v>29</v>
      </c>
      <c r="F1177" t="s">
        <v>5163</v>
      </c>
      <c r="G1177" t="s">
        <v>1905</v>
      </c>
    </row>
    <row r="1178" spans="1:7" hidden="1">
      <c r="A1178" s="5" t="s">
        <v>4826</v>
      </c>
      <c r="B1178" t="s">
        <v>5161</v>
      </c>
      <c r="C1178" t="s">
        <v>198</v>
      </c>
      <c r="D1178" t="s">
        <v>6477</v>
      </c>
      <c r="E1178">
        <v>23</v>
      </c>
      <c r="F1178" t="s">
        <v>5172</v>
      </c>
      <c r="G1178" t="s">
        <v>1905</v>
      </c>
    </row>
    <row r="1179" spans="1:7" hidden="1">
      <c r="A1179" s="5" t="s">
        <v>4017</v>
      </c>
      <c r="B1179" t="s">
        <v>5161</v>
      </c>
      <c r="C1179" t="s">
        <v>198</v>
      </c>
      <c r="D1179" t="s">
        <v>6478</v>
      </c>
      <c r="E1179">
        <v>20</v>
      </c>
      <c r="F1179" t="s">
        <v>5163</v>
      </c>
      <c r="G1179" t="s">
        <v>5164</v>
      </c>
    </row>
    <row r="1180" spans="1:7" hidden="1">
      <c r="A1180" s="5" t="s">
        <v>193</v>
      </c>
      <c r="B1180" t="s">
        <v>5161</v>
      </c>
      <c r="C1180" t="s">
        <v>198</v>
      </c>
      <c r="D1180" t="s">
        <v>643</v>
      </c>
      <c r="E1180">
        <v>28</v>
      </c>
      <c r="F1180" t="s">
        <v>5163</v>
      </c>
      <c r="G1180" t="s">
        <v>1905</v>
      </c>
    </row>
    <row r="1181" spans="1:7" hidden="1">
      <c r="A1181" s="5" t="s">
        <v>192</v>
      </c>
      <c r="B1181" t="s">
        <v>5161</v>
      </c>
      <c r="C1181" t="s">
        <v>198</v>
      </c>
      <c r="D1181" t="s">
        <v>641</v>
      </c>
      <c r="E1181">
        <v>21</v>
      </c>
      <c r="F1181" t="s">
        <v>5163</v>
      </c>
      <c r="G1181" t="s">
        <v>5169</v>
      </c>
    </row>
    <row r="1182" spans="1:7" hidden="1">
      <c r="A1182" s="5" t="s">
        <v>6479</v>
      </c>
      <c r="B1182" t="s">
        <v>5161</v>
      </c>
      <c r="C1182" t="s">
        <v>198</v>
      </c>
      <c r="D1182" t="s">
        <v>6480</v>
      </c>
      <c r="E1182">
        <v>18</v>
      </c>
      <c r="F1182" t="s">
        <v>5163</v>
      </c>
      <c r="G1182" t="s">
        <v>5164</v>
      </c>
    </row>
    <row r="1183" spans="1:7" hidden="1">
      <c r="A1183" s="5" t="s">
        <v>3224</v>
      </c>
      <c r="B1183" t="s">
        <v>5161</v>
      </c>
      <c r="C1183" t="s">
        <v>198</v>
      </c>
      <c r="D1183" t="s">
        <v>6481</v>
      </c>
      <c r="E1183">
        <v>29</v>
      </c>
      <c r="F1183" t="s">
        <v>5163</v>
      </c>
      <c r="G1183" t="s">
        <v>5164</v>
      </c>
    </row>
    <row r="1184" spans="1:7" hidden="1">
      <c r="A1184" s="5" t="s">
        <v>2941</v>
      </c>
      <c r="B1184" t="s">
        <v>5161</v>
      </c>
      <c r="C1184" t="s">
        <v>198</v>
      </c>
      <c r="D1184" t="s">
        <v>6482</v>
      </c>
      <c r="E1184">
        <v>19</v>
      </c>
      <c r="F1184" t="s">
        <v>5163</v>
      </c>
      <c r="G1184" t="s">
        <v>1905</v>
      </c>
    </row>
    <row r="1185" spans="1:7" hidden="1">
      <c r="A1185" s="5" t="s">
        <v>2941</v>
      </c>
      <c r="B1185" t="s">
        <v>5161</v>
      </c>
      <c r="C1185" t="s">
        <v>198</v>
      </c>
      <c r="D1185" t="s">
        <v>6483</v>
      </c>
      <c r="E1185">
        <v>18</v>
      </c>
      <c r="F1185" t="s">
        <v>5163</v>
      </c>
      <c r="G1185" t="s">
        <v>1905</v>
      </c>
    </row>
    <row r="1186" spans="1:7" hidden="1">
      <c r="A1186" s="5" t="s">
        <v>6484</v>
      </c>
      <c r="B1186" t="s">
        <v>5161</v>
      </c>
      <c r="C1186" t="s">
        <v>198</v>
      </c>
      <c r="D1186" t="s">
        <v>6485</v>
      </c>
      <c r="E1186" t="s">
        <v>5182</v>
      </c>
      <c r="F1186" t="s">
        <v>5163</v>
      </c>
      <c r="G1186" t="s">
        <v>1905</v>
      </c>
    </row>
    <row r="1187" spans="1:7" hidden="1">
      <c r="A1187" s="5" t="s">
        <v>3152</v>
      </c>
      <c r="B1187" t="s">
        <v>5161</v>
      </c>
      <c r="C1187" t="s">
        <v>198</v>
      </c>
      <c r="D1187" t="s">
        <v>6486</v>
      </c>
      <c r="E1187">
        <v>18</v>
      </c>
      <c r="F1187" t="s">
        <v>5163</v>
      </c>
      <c r="G1187" t="s">
        <v>1905</v>
      </c>
    </row>
    <row r="1188" spans="1:7" hidden="1">
      <c r="A1188" s="5" t="s">
        <v>6487</v>
      </c>
      <c r="B1188" t="s">
        <v>5161</v>
      </c>
      <c r="C1188" t="s">
        <v>198</v>
      </c>
      <c r="D1188" t="s">
        <v>6488</v>
      </c>
      <c r="E1188">
        <v>18</v>
      </c>
      <c r="F1188" t="s">
        <v>5163</v>
      </c>
      <c r="G1188" t="s">
        <v>5169</v>
      </c>
    </row>
    <row r="1189" spans="1:7" hidden="1">
      <c r="A1189" s="5" t="s">
        <v>2857</v>
      </c>
      <c r="B1189" t="s">
        <v>5161</v>
      </c>
      <c r="C1189" t="s">
        <v>198</v>
      </c>
      <c r="D1189" t="s">
        <v>6489</v>
      </c>
      <c r="E1189">
        <v>28</v>
      </c>
      <c r="F1189" t="s">
        <v>5163</v>
      </c>
      <c r="G1189" t="s">
        <v>5169</v>
      </c>
    </row>
    <row r="1190" spans="1:7" hidden="1">
      <c r="A1190" s="5" t="s">
        <v>2857</v>
      </c>
      <c r="B1190" t="s">
        <v>5161</v>
      </c>
      <c r="C1190" t="s">
        <v>198</v>
      </c>
      <c r="D1190" t="s">
        <v>6490</v>
      </c>
      <c r="E1190">
        <v>19</v>
      </c>
      <c r="F1190" t="s">
        <v>5163</v>
      </c>
      <c r="G1190" t="s">
        <v>1905</v>
      </c>
    </row>
    <row r="1191" spans="1:7" hidden="1">
      <c r="A1191" s="5" t="s">
        <v>2902</v>
      </c>
      <c r="B1191" t="s">
        <v>5161</v>
      </c>
      <c r="C1191" t="s">
        <v>198</v>
      </c>
      <c r="D1191" t="s">
        <v>6491</v>
      </c>
      <c r="E1191">
        <v>20</v>
      </c>
      <c r="F1191" t="s">
        <v>5163</v>
      </c>
      <c r="G1191" t="s">
        <v>1905</v>
      </c>
    </row>
    <row r="1192" spans="1:7" hidden="1">
      <c r="A1192" s="5" t="s">
        <v>195</v>
      </c>
      <c r="B1192" t="s">
        <v>5161</v>
      </c>
      <c r="C1192" t="s">
        <v>198</v>
      </c>
      <c r="D1192" t="s">
        <v>647</v>
      </c>
      <c r="E1192">
        <v>35</v>
      </c>
      <c r="F1192" t="s">
        <v>5163</v>
      </c>
      <c r="G1192" t="s">
        <v>1905</v>
      </c>
    </row>
    <row r="1193" spans="1:7" hidden="1">
      <c r="A1193" s="5" t="s">
        <v>6492</v>
      </c>
      <c r="B1193" t="s">
        <v>5161</v>
      </c>
      <c r="C1193" t="s">
        <v>198</v>
      </c>
      <c r="D1193" t="s">
        <v>6493</v>
      </c>
      <c r="E1193">
        <v>23</v>
      </c>
      <c r="F1193" t="s">
        <v>5163</v>
      </c>
      <c r="G1193" t="s">
        <v>5164</v>
      </c>
    </row>
    <row r="1194" spans="1:7" hidden="1">
      <c r="A1194" s="5" t="s">
        <v>197</v>
      </c>
      <c r="B1194" t="s">
        <v>5161</v>
      </c>
      <c r="C1194" t="s">
        <v>198</v>
      </c>
      <c r="D1194" t="s">
        <v>650</v>
      </c>
      <c r="E1194">
        <v>23</v>
      </c>
      <c r="F1194" t="s">
        <v>5163</v>
      </c>
      <c r="G1194" t="s">
        <v>5164</v>
      </c>
    </row>
    <row r="1195" spans="1:7" hidden="1">
      <c r="A1195" s="5" t="s">
        <v>6494</v>
      </c>
      <c r="B1195" t="s">
        <v>5161</v>
      </c>
      <c r="C1195" t="s">
        <v>198</v>
      </c>
      <c r="D1195" t="s">
        <v>6495</v>
      </c>
      <c r="E1195" t="s">
        <v>5182</v>
      </c>
      <c r="F1195" t="s">
        <v>5163</v>
      </c>
      <c r="G1195" t="s">
        <v>1905</v>
      </c>
    </row>
    <row r="1196" spans="1:7" hidden="1">
      <c r="A1196" s="5" t="s">
        <v>188</v>
      </c>
      <c r="B1196" t="s">
        <v>5161</v>
      </c>
      <c r="C1196" t="s">
        <v>198</v>
      </c>
      <c r="D1196" t="s">
        <v>633</v>
      </c>
      <c r="E1196">
        <v>19</v>
      </c>
      <c r="F1196" t="s">
        <v>5163</v>
      </c>
      <c r="G1196" t="s">
        <v>6496</v>
      </c>
    </row>
    <row r="1197" spans="1:7" hidden="1">
      <c r="A1197" s="5" t="s">
        <v>6497</v>
      </c>
      <c r="B1197" t="s">
        <v>5161</v>
      </c>
      <c r="C1197" t="s">
        <v>198</v>
      </c>
      <c r="D1197" t="s">
        <v>6498</v>
      </c>
      <c r="E1197" t="s">
        <v>5182</v>
      </c>
      <c r="F1197" t="s">
        <v>5163</v>
      </c>
      <c r="G1197" t="s">
        <v>5164</v>
      </c>
    </row>
    <row r="1198" spans="1:7" hidden="1">
      <c r="A1198" s="5" t="s">
        <v>6497</v>
      </c>
      <c r="B1198" t="s">
        <v>5161</v>
      </c>
      <c r="C1198" t="s">
        <v>198</v>
      </c>
      <c r="D1198" t="s">
        <v>6499</v>
      </c>
      <c r="E1198" t="s">
        <v>5182</v>
      </c>
      <c r="F1198" t="s">
        <v>5163</v>
      </c>
      <c r="G1198" t="s">
        <v>1905</v>
      </c>
    </row>
    <row r="1199" spans="1:7" hidden="1">
      <c r="A1199" s="5" t="s">
        <v>6500</v>
      </c>
      <c r="B1199" t="s">
        <v>5161</v>
      </c>
      <c r="C1199" t="s">
        <v>198</v>
      </c>
      <c r="D1199" t="s">
        <v>6501</v>
      </c>
      <c r="E1199">
        <v>26</v>
      </c>
      <c r="F1199" t="s">
        <v>5163</v>
      </c>
      <c r="G1199" t="s">
        <v>1905</v>
      </c>
    </row>
    <row r="1200" spans="1:7" hidden="1">
      <c r="A1200" s="5" t="s">
        <v>6500</v>
      </c>
      <c r="B1200" t="s">
        <v>5161</v>
      </c>
      <c r="C1200" t="s">
        <v>198</v>
      </c>
      <c r="D1200" t="s">
        <v>6502</v>
      </c>
      <c r="E1200">
        <v>24</v>
      </c>
      <c r="F1200" t="s">
        <v>5163</v>
      </c>
      <c r="G1200" t="s">
        <v>5164</v>
      </c>
    </row>
    <row r="1201" spans="1:7" hidden="1">
      <c r="A1201" s="5" t="s">
        <v>2828</v>
      </c>
      <c r="B1201" t="s">
        <v>5161</v>
      </c>
      <c r="C1201" t="s">
        <v>198</v>
      </c>
      <c r="D1201" t="s">
        <v>6503</v>
      </c>
      <c r="E1201">
        <v>27</v>
      </c>
      <c r="F1201" t="s">
        <v>5163</v>
      </c>
      <c r="G1201" t="s">
        <v>1905</v>
      </c>
    </row>
    <row r="1202" spans="1:7" hidden="1">
      <c r="A1202" s="5" t="s">
        <v>3201</v>
      </c>
      <c r="B1202" t="s">
        <v>5161</v>
      </c>
      <c r="C1202" t="s">
        <v>198</v>
      </c>
      <c r="D1202" t="s">
        <v>6504</v>
      </c>
      <c r="E1202">
        <v>27</v>
      </c>
      <c r="F1202" t="s">
        <v>5163</v>
      </c>
      <c r="G1202" t="s">
        <v>5164</v>
      </c>
    </row>
    <row r="1203" spans="1:7" hidden="1">
      <c r="A1203" s="5" t="s">
        <v>2959</v>
      </c>
      <c r="B1203" t="s">
        <v>5161</v>
      </c>
      <c r="C1203" t="s">
        <v>198</v>
      </c>
      <c r="D1203" t="s">
        <v>6505</v>
      </c>
      <c r="E1203">
        <v>37</v>
      </c>
      <c r="F1203" t="s">
        <v>5163</v>
      </c>
      <c r="G1203" t="s">
        <v>5164</v>
      </c>
    </row>
    <row r="1204" spans="1:7" hidden="1">
      <c r="A1204" s="5" t="s">
        <v>196</v>
      </c>
      <c r="B1204" t="s">
        <v>5161</v>
      </c>
      <c r="C1204" t="s">
        <v>198</v>
      </c>
      <c r="D1204" t="s">
        <v>648</v>
      </c>
      <c r="E1204">
        <v>29</v>
      </c>
      <c r="F1204" t="s">
        <v>5163</v>
      </c>
      <c r="G1204" t="s">
        <v>5169</v>
      </c>
    </row>
    <row r="1205" spans="1:7" hidden="1">
      <c r="A1205" s="5" t="s">
        <v>6506</v>
      </c>
      <c r="B1205" t="s">
        <v>5161</v>
      </c>
      <c r="C1205" t="s">
        <v>198</v>
      </c>
      <c r="D1205" t="s">
        <v>6507</v>
      </c>
      <c r="E1205">
        <v>19</v>
      </c>
      <c r="F1205" t="s">
        <v>5163</v>
      </c>
      <c r="G1205" t="s">
        <v>5164</v>
      </c>
    </row>
    <row r="1206" spans="1:7" hidden="1">
      <c r="A1206" s="5" t="s">
        <v>2161</v>
      </c>
      <c r="B1206" t="s">
        <v>5161</v>
      </c>
      <c r="C1206" t="s">
        <v>198</v>
      </c>
      <c r="D1206" t="s">
        <v>6508</v>
      </c>
      <c r="E1206">
        <v>19</v>
      </c>
      <c r="F1206" t="s">
        <v>5163</v>
      </c>
      <c r="G1206" t="s">
        <v>5169</v>
      </c>
    </row>
    <row r="1207" spans="1:7" hidden="1">
      <c r="A1207" s="5" t="s">
        <v>6509</v>
      </c>
      <c r="B1207" t="s">
        <v>5161</v>
      </c>
      <c r="C1207" t="s">
        <v>198</v>
      </c>
      <c r="D1207" t="s">
        <v>6510</v>
      </c>
      <c r="E1207">
        <v>25</v>
      </c>
      <c r="F1207" t="s">
        <v>5163</v>
      </c>
      <c r="G1207" t="s">
        <v>5164</v>
      </c>
    </row>
    <row r="1208" spans="1:7" hidden="1">
      <c r="A1208" s="5" t="s">
        <v>2586</v>
      </c>
      <c r="B1208" t="s">
        <v>5161</v>
      </c>
      <c r="C1208" t="s">
        <v>198</v>
      </c>
      <c r="D1208" t="s">
        <v>6511</v>
      </c>
      <c r="E1208">
        <v>30</v>
      </c>
      <c r="F1208" t="s">
        <v>5163</v>
      </c>
      <c r="G1208" t="s">
        <v>1905</v>
      </c>
    </row>
    <row r="1209" spans="1:7" hidden="1">
      <c r="A1209" s="5" t="s">
        <v>3515</v>
      </c>
      <c r="B1209" t="s">
        <v>5161</v>
      </c>
      <c r="C1209" t="s">
        <v>198</v>
      </c>
      <c r="D1209" t="s">
        <v>6512</v>
      </c>
      <c r="E1209">
        <v>28</v>
      </c>
      <c r="F1209" t="s">
        <v>5163</v>
      </c>
      <c r="G1209" t="s">
        <v>1905</v>
      </c>
    </row>
    <row r="1210" spans="1:7" hidden="1">
      <c r="A1210" s="5" t="s">
        <v>2534</v>
      </c>
      <c r="B1210" t="s">
        <v>5161</v>
      </c>
      <c r="C1210" t="s">
        <v>198</v>
      </c>
      <c r="D1210" t="s">
        <v>6513</v>
      </c>
      <c r="E1210">
        <v>21</v>
      </c>
      <c r="F1210" t="s">
        <v>5163</v>
      </c>
      <c r="G1210" t="s">
        <v>5164</v>
      </c>
    </row>
    <row r="1211" spans="1:7" hidden="1">
      <c r="A1211" s="5" t="s">
        <v>2426</v>
      </c>
      <c r="B1211" t="s">
        <v>5161</v>
      </c>
      <c r="C1211" t="s">
        <v>198</v>
      </c>
      <c r="D1211" t="s">
        <v>6514</v>
      </c>
      <c r="E1211">
        <v>19</v>
      </c>
      <c r="F1211" t="s">
        <v>5163</v>
      </c>
      <c r="G1211" t="s">
        <v>5164</v>
      </c>
    </row>
    <row r="1212" spans="1:7" hidden="1">
      <c r="A1212" s="5" t="s">
        <v>6515</v>
      </c>
      <c r="B1212" t="s">
        <v>5161</v>
      </c>
      <c r="C1212" t="s">
        <v>198</v>
      </c>
      <c r="D1212" t="s">
        <v>6516</v>
      </c>
      <c r="E1212">
        <v>46</v>
      </c>
      <c r="F1212" t="s">
        <v>5163</v>
      </c>
      <c r="G1212" t="s">
        <v>1905</v>
      </c>
    </row>
    <row r="1213" spans="1:7" hidden="1">
      <c r="A1213" s="5" t="s">
        <v>3744</v>
      </c>
      <c r="B1213" t="s">
        <v>5161</v>
      </c>
      <c r="C1213" t="s">
        <v>198</v>
      </c>
      <c r="D1213" t="s">
        <v>6517</v>
      </c>
      <c r="E1213">
        <v>30</v>
      </c>
      <c r="F1213" t="s">
        <v>5163</v>
      </c>
      <c r="G1213" t="s">
        <v>5164</v>
      </c>
    </row>
    <row r="1214" spans="1:7" hidden="1">
      <c r="A1214" s="5" t="s">
        <v>2222</v>
      </c>
      <c r="B1214" t="s">
        <v>5161</v>
      </c>
      <c r="C1214" t="s">
        <v>198</v>
      </c>
      <c r="D1214" t="s">
        <v>6518</v>
      </c>
      <c r="E1214">
        <v>18</v>
      </c>
      <c r="F1214" t="s">
        <v>5163</v>
      </c>
      <c r="G1214" t="s">
        <v>5169</v>
      </c>
    </row>
    <row r="1215" spans="1:7" hidden="1">
      <c r="A1215" s="5" t="s">
        <v>2850</v>
      </c>
      <c r="B1215" t="s">
        <v>5161</v>
      </c>
      <c r="C1215" t="s">
        <v>198</v>
      </c>
      <c r="D1215" t="s">
        <v>6519</v>
      </c>
      <c r="E1215">
        <v>25</v>
      </c>
      <c r="F1215" t="s">
        <v>5163</v>
      </c>
      <c r="G1215" t="s">
        <v>5164</v>
      </c>
    </row>
    <row r="1216" spans="1:7" hidden="1">
      <c r="A1216" s="5" t="s">
        <v>2842</v>
      </c>
      <c r="B1216" t="s">
        <v>5161</v>
      </c>
      <c r="C1216" t="s">
        <v>198</v>
      </c>
      <c r="D1216" t="s">
        <v>6520</v>
      </c>
      <c r="E1216">
        <v>22</v>
      </c>
      <c r="F1216" t="s">
        <v>5163</v>
      </c>
      <c r="G1216" t="s">
        <v>1905</v>
      </c>
    </row>
    <row r="1217" spans="1:7" hidden="1">
      <c r="A1217" s="5" t="s">
        <v>2562</v>
      </c>
      <c r="B1217" t="s">
        <v>5161</v>
      </c>
      <c r="C1217" t="s">
        <v>198</v>
      </c>
      <c r="D1217" t="s">
        <v>6521</v>
      </c>
      <c r="E1217">
        <v>19</v>
      </c>
      <c r="F1217" t="s">
        <v>5163</v>
      </c>
      <c r="G1217" t="s">
        <v>5164</v>
      </c>
    </row>
    <row r="1218" spans="1:7" hidden="1">
      <c r="A1218" s="5" t="s">
        <v>2737</v>
      </c>
      <c r="B1218" t="s">
        <v>5161</v>
      </c>
      <c r="C1218" t="s">
        <v>198</v>
      </c>
      <c r="D1218" t="s">
        <v>6522</v>
      </c>
      <c r="E1218">
        <v>32</v>
      </c>
      <c r="F1218" t="s">
        <v>5163</v>
      </c>
      <c r="G1218" t="s">
        <v>1905</v>
      </c>
    </row>
    <row r="1219" spans="1:7" hidden="1">
      <c r="A1219" s="5" t="s">
        <v>6523</v>
      </c>
      <c r="B1219" t="s">
        <v>5161</v>
      </c>
      <c r="C1219" t="s">
        <v>198</v>
      </c>
      <c r="D1219" t="s">
        <v>6524</v>
      </c>
      <c r="E1219" t="s">
        <v>5182</v>
      </c>
      <c r="F1219" t="s">
        <v>5163</v>
      </c>
      <c r="G1219" t="s">
        <v>1905</v>
      </c>
    </row>
    <row r="1220" spans="1:7" hidden="1">
      <c r="A1220" s="5" t="s">
        <v>3680</v>
      </c>
      <c r="B1220" t="s">
        <v>5161</v>
      </c>
      <c r="C1220" t="s">
        <v>198</v>
      </c>
      <c r="D1220" t="s">
        <v>6525</v>
      </c>
      <c r="E1220">
        <v>28</v>
      </c>
      <c r="F1220" t="s">
        <v>5163</v>
      </c>
      <c r="G1220" t="s">
        <v>5169</v>
      </c>
    </row>
    <row r="1221" spans="1:7" hidden="1">
      <c r="A1221" s="5" t="s">
        <v>3680</v>
      </c>
      <c r="B1221" t="s">
        <v>5161</v>
      </c>
      <c r="C1221" t="s">
        <v>198</v>
      </c>
      <c r="D1221" t="s">
        <v>6526</v>
      </c>
      <c r="E1221">
        <v>25</v>
      </c>
      <c r="F1221" t="s">
        <v>5163</v>
      </c>
      <c r="G1221" t="s">
        <v>5164</v>
      </c>
    </row>
    <row r="1222" spans="1:7" hidden="1">
      <c r="A1222" s="5" t="s">
        <v>3216</v>
      </c>
      <c r="B1222" t="s">
        <v>5161</v>
      </c>
      <c r="C1222" t="s">
        <v>198</v>
      </c>
      <c r="D1222" t="s">
        <v>6527</v>
      </c>
      <c r="E1222">
        <v>28</v>
      </c>
      <c r="F1222" t="s">
        <v>5172</v>
      </c>
      <c r="G1222" t="s">
        <v>5164</v>
      </c>
    </row>
    <row r="1223" spans="1:7" hidden="1">
      <c r="A1223" s="5" t="s">
        <v>3878</v>
      </c>
      <c r="B1223" t="s">
        <v>5161</v>
      </c>
      <c r="C1223" t="s">
        <v>198</v>
      </c>
      <c r="D1223" t="s">
        <v>6528</v>
      </c>
      <c r="E1223">
        <v>26</v>
      </c>
      <c r="F1223" t="s">
        <v>5163</v>
      </c>
      <c r="G1223" t="s">
        <v>5164</v>
      </c>
    </row>
    <row r="1224" spans="1:7" hidden="1">
      <c r="A1224" s="5" t="s">
        <v>6529</v>
      </c>
      <c r="B1224" t="s">
        <v>5161</v>
      </c>
      <c r="C1224" t="s">
        <v>198</v>
      </c>
      <c r="D1224" t="s">
        <v>6530</v>
      </c>
      <c r="E1224">
        <v>32</v>
      </c>
      <c r="F1224" t="s">
        <v>5172</v>
      </c>
      <c r="G1224" t="s">
        <v>5164</v>
      </c>
    </row>
    <row r="1225" spans="1:7" hidden="1">
      <c r="A1225" s="5" t="s">
        <v>2240</v>
      </c>
      <c r="B1225" t="s">
        <v>5161</v>
      </c>
      <c r="C1225" t="s">
        <v>198</v>
      </c>
      <c r="D1225" t="s">
        <v>6531</v>
      </c>
      <c r="E1225">
        <v>23</v>
      </c>
      <c r="F1225" t="s">
        <v>5163</v>
      </c>
      <c r="G1225" t="s">
        <v>5164</v>
      </c>
    </row>
    <row r="1226" spans="1:7" hidden="1">
      <c r="A1226" s="5" t="s">
        <v>2439</v>
      </c>
      <c r="B1226" t="s">
        <v>5161</v>
      </c>
      <c r="C1226" t="s">
        <v>198</v>
      </c>
      <c r="D1226" t="s">
        <v>6532</v>
      </c>
      <c r="E1226">
        <v>22</v>
      </c>
      <c r="F1226" t="s">
        <v>5172</v>
      </c>
      <c r="G1226" t="s">
        <v>5164</v>
      </c>
    </row>
    <row r="1227" spans="1:7" hidden="1">
      <c r="A1227" s="5" t="s">
        <v>2439</v>
      </c>
      <c r="B1227" t="s">
        <v>5161</v>
      </c>
      <c r="C1227" t="s">
        <v>198</v>
      </c>
      <c r="D1227" t="s">
        <v>6533</v>
      </c>
      <c r="E1227">
        <v>36</v>
      </c>
      <c r="F1227" t="s">
        <v>5172</v>
      </c>
      <c r="G1227" t="s">
        <v>5164</v>
      </c>
    </row>
    <row r="1228" spans="1:7" hidden="1">
      <c r="A1228" s="5" t="s">
        <v>2332</v>
      </c>
      <c r="B1228" t="s">
        <v>5161</v>
      </c>
      <c r="C1228" t="s">
        <v>198</v>
      </c>
      <c r="D1228" t="s">
        <v>6534</v>
      </c>
      <c r="E1228">
        <v>22</v>
      </c>
      <c r="F1228" t="s">
        <v>5163</v>
      </c>
      <c r="G1228" t="s">
        <v>5169</v>
      </c>
    </row>
    <row r="1229" spans="1:7" hidden="1">
      <c r="A1229" s="5" t="s">
        <v>2332</v>
      </c>
      <c r="B1229" t="s">
        <v>5161</v>
      </c>
      <c r="C1229" t="s">
        <v>198</v>
      </c>
      <c r="D1229" t="s">
        <v>6535</v>
      </c>
      <c r="E1229">
        <v>35</v>
      </c>
      <c r="F1229" t="s">
        <v>5163</v>
      </c>
      <c r="G1229" t="s">
        <v>5164</v>
      </c>
    </row>
    <row r="1230" spans="1:7" hidden="1">
      <c r="A1230" s="5" t="s">
        <v>2424</v>
      </c>
      <c r="B1230" t="s">
        <v>5161</v>
      </c>
      <c r="C1230" t="s">
        <v>198</v>
      </c>
      <c r="D1230" t="s">
        <v>6536</v>
      </c>
      <c r="E1230">
        <v>26</v>
      </c>
      <c r="F1230" t="s">
        <v>5163</v>
      </c>
      <c r="G1230" t="s">
        <v>5164</v>
      </c>
    </row>
    <row r="1231" spans="1:7" hidden="1">
      <c r="A1231" s="5" t="s">
        <v>2921</v>
      </c>
      <c r="B1231" t="s">
        <v>5161</v>
      </c>
      <c r="C1231" t="s">
        <v>198</v>
      </c>
      <c r="D1231" t="s">
        <v>6537</v>
      </c>
      <c r="E1231">
        <v>19</v>
      </c>
      <c r="F1231" t="s">
        <v>5163</v>
      </c>
      <c r="G1231" t="s">
        <v>5164</v>
      </c>
    </row>
    <row r="1232" spans="1:7" hidden="1">
      <c r="A1232" s="5" t="s">
        <v>6538</v>
      </c>
      <c r="B1232" t="s">
        <v>5161</v>
      </c>
      <c r="C1232" t="s">
        <v>198</v>
      </c>
      <c r="D1232" t="s">
        <v>6539</v>
      </c>
      <c r="E1232" t="s">
        <v>5182</v>
      </c>
      <c r="F1232" t="s">
        <v>5163</v>
      </c>
      <c r="G1232" t="s">
        <v>5164</v>
      </c>
    </row>
    <row r="1233" spans="1:7" hidden="1">
      <c r="A1233" s="5" t="s">
        <v>3393</v>
      </c>
      <c r="B1233" t="s">
        <v>5161</v>
      </c>
      <c r="C1233" t="s">
        <v>198</v>
      </c>
      <c r="D1233" t="s">
        <v>6540</v>
      </c>
      <c r="E1233">
        <v>23</v>
      </c>
      <c r="F1233" t="s">
        <v>5163</v>
      </c>
      <c r="G1233" t="s">
        <v>1905</v>
      </c>
    </row>
    <row r="1234" spans="1:7" hidden="1">
      <c r="A1234" s="5" t="s">
        <v>6541</v>
      </c>
      <c r="B1234" t="s">
        <v>5161</v>
      </c>
      <c r="C1234" t="s">
        <v>198</v>
      </c>
      <c r="D1234" t="s">
        <v>6542</v>
      </c>
      <c r="E1234">
        <v>40</v>
      </c>
      <c r="F1234" t="s">
        <v>5163</v>
      </c>
      <c r="G1234" t="s">
        <v>5169</v>
      </c>
    </row>
    <row r="1235" spans="1:7" hidden="1">
      <c r="A1235" s="5" t="s">
        <v>2837</v>
      </c>
      <c r="B1235" t="s">
        <v>5161</v>
      </c>
      <c r="C1235" t="s">
        <v>198</v>
      </c>
      <c r="D1235" t="s">
        <v>6543</v>
      </c>
      <c r="E1235">
        <v>25</v>
      </c>
      <c r="F1235" t="s">
        <v>5163</v>
      </c>
      <c r="G1235" t="s">
        <v>1905</v>
      </c>
    </row>
    <row r="1236" spans="1:7" hidden="1">
      <c r="A1236" s="5" t="s">
        <v>2202</v>
      </c>
      <c r="B1236" t="s">
        <v>5161</v>
      </c>
      <c r="C1236" t="s">
        <v>198</v>
      </c>
      <c r="D1236" t="s">
        <v>6544</v>
      </c>
      <c r="E1236">
        <v>45</v>
      </c>
      <c r="F1236" t="s">
        <v>5163</v>
      </c>
      <c r="G1236" t="s">
        <v>1905</v>
      </c>
    </row>
    <row r="1237" spans="1:7" hidden="1">
      <c r="A1237" s="5" t="s">
        <v>3843</v>
      </c>
      <c r="B1237" t="s">
        <v>5161</v>
      </c>
      <c r="C1237" t="s">
        <v>198</v>
      </c>
      <c r="D1237" t="s">
        <v>6545</v>
      </c>
      <c r="E1237">
        <v>42</v>
      </c>
      <c r="F1237" t="s">
        <v>5163</v>
      </c>
      <c r="G1237" t="s">
        <v>5182</v>
      </c>
    </row>
    <row r="1238" spans="1:7" hidden="1">
      <c r="A1238" s="5" t="s">
        <v>3222</v>
      </c>
      <c r="B1238" t="s">
        <v>5161</v>
      </c>
      <c r="C1238" t="s">
        <v>198</v>
      </c>
      <c r="D1238" t="s">
        <v>6546</v>
      </c>
      <c r="E1238">
        <v>31</v>
      </c>
      <c r="F1238" t="s">
        <v>5163</v>
      </c>
      <c r="G1238" t="s">
        <v>5164</v>
      </c>
    </row>
    <row r="1239" spans="1:7" hidden="1">
      <c r="A1239" s="5" t="s">
        <v>4757</v>
      </c>
      <c r="B1239" t="s">
        <v>5161</v>
      </c>
      <c r="C1239" t="s">
        <v>198</v>
      </c>
      <c r="D1239" t="s">
        <v>6547</v>
      </c>
      <c r="E1239">
        <v>22</v>
      </c>
      <c r="F1239" t="s">
        <v>5163</v>
      </c>
      <c r="G1239" t="s">
        <v>5164</v>
      </c>
    </row>
    <row r="1240" spans="1:7" hidden="1">
      <c r="A1240" s="5" t="s">
        <v>2407</v>
      </c>
      <c r="B1240" t="s">
        <v>5161</v>
      </c>
      <c r="C1240" t="s">
        <v>198</v>
      </c>
      <c r="D1240" t="s">
        <v>6548</v>
      </c>
      <c r="E1240">
        <v>26</v>
      </c>
      <c r="F1240" t="s">
        <v>5163</v>
      </c>
      <c r="G1240" t="s">
        <v>1905</v>
      </c>
    </row>
    <row r="1241" spans="1:7" hidden="1">
      <c r="A1241" s="5" t="s">
        <v>2407</v>
      </c>
      <c r="B1241" t="s">
        <v>5161</v>
      </c>
      <c r="C1241" t="s">
        <v>198</v>
      </c>
      <c r="D1241" t="s">
        <v>6549</v>
      </c>
      <c r="E1241">
        <v>58</v>
      </c>
      <c r="F1241" t="s">
        <v>5163</v>
      </c>
      <c r="G1241" t="s">
        <v>5164</v>
      </c>
    </row>
    <row r="1242" spans="1:7" hidden="1">
      <c r="A1242" s="5" t="s">
        <v>2356</v>
      </c>
      <c r="B1242" t="s">
        <v>5161</v>
      </c>
      <c r="C1242" t="s">
        <v>198</v>
      </c>
      <c r="D1242" t="s">
        <v>6550</v>
      </c>
      <c r="E1242">
        <v>22</v>
      </c>
      <c r="F1242" t="s">
        <v>5163</v>
      </c>
      <c r="G1242" t="s">
        <v>5164</v>
      </c>
    </row>
    <row r="1243" spans="1:7" hidden="1">
      <c r="A1243" s="5" t="s">
        <v>2211</v>
      </c>
      <c r="B1243" t="s">
        <v>5161</v>
      </c>
      <c r="C1243" t="s">
        <v>198</v>
      </c>
      <c r="D1243" t="s">
        <v>6551</v>
      </c>
      <c r="E1243">
        <v>21</v>
      </c>
      <c r="F1243" t="s">
        <v>5163</v>
      </c>
      <c r="G1243" t="s">
        <v>1905</v>
      </c>
    </row>
    <row r="1244" spans="1:7" hidden="1">
      <c r="A1244" s="5" t="s">
        <v>2308</v>
      </c>
      <c r="B1244" t="s">
        <v>5161</v>
      </c>
      <c r="C1244" t="s">
        <v>198</v>
      </c>
      <c r="D1244" t="s">
        <v>6552</v>
      </c>
      <c r="E1244">
        <v>20</v>
      </c>
      <c r="F1244" t="s">
        <v>5163</v>
      </c>
      <c r="G1244" t="s">
        <v>1905</v>
      </c>
    </row>
    <row r="1245" spans="1:7" hidden="1">
      <c r="A1245" s="5" t="s">
        <v>186</v>
      </c>
      <c r="B1245" t="s">
        <v>5161</v>
      </c>
      <c r="C1245" t="s">
        <v>198</v>
      </c>
      <c r="D1245" t="s">
        <v>627</v>
      </c>
      <c r="E1245">
        <v>26</v>
      </c>
      <c r="F1245" t="s">
        <v>5163</v>
      </c>
      <c r="G1245" t="s">
        <v>5169</v>
      </c>
    </row>
    <row r="1246" spans="1:7" hidden="1">
      <c r="A1246" s="5" t="s">
        <v>4471</v>
      </c>
      <c r="B1246" t="s">
        <v>5161</v>
      </c>
      <c r="C1246" t="s">
        <v>198</v>
      </c>
      <c r="D1246" t="s">
        <v>6553</v>
      </c>
      <c r="E1246">
        <v>29</v>
      </c>
      <c r="F1246" t="s">
        <v>5163</v>
      </c>
      <c r="G1246" t="s">
        <v>5164</v>
      </c>
    </row>
    <row r="1247" spans="1:7" hidden="1">
      <c r="A1247" s="5" t="s">
        <v>4471</v>
      </c>
      <c r="B1247" t="s">
        <v>5161</v>
      </c>
      <c r="C1247" t="s">
        <v>198</v>
      </c>
      <c r="D1247" t="s">
        <v>6554</v>
      </c>
      <c r="E1247">
        <v>27</v>
      </c>
      <c r="F1247" t="s">
        <v>5163</v>
      </c>
      <c r="G1247" t="s">
        <v>5164</v>
      </c>
    </row>
    <row r="1248" spans="1:7" hidden="1">
      <c r="A1248" s="5" t="s">
        <v>4471</v>
      </c>
      <c r="B1248" t="s">
        <v>5161</v>
      </c>
      <c r="C1248" t="s">
        <v>198</v>
      </c>
      <c r="D1248" t="s">
        <v>6555</v>
      </c>
      <c r="E1248">
        <v>19</v>
      </c>
      <c r="F1248" t="s">
        <v>5163</v>
      </c>
      <c r="G1248" t="s">
        <v>5164</v>
      </c>
    </row>
    <row r="1249" spans="1:7" hidden="1">
      <c r="A1249" s="5" t="s">
        <v>4471</v>
      </c>
      <c r="B1249" t="s">
        <v>5161</v>
      </c>
      <c r="C1249" t="s">
        <v>198</v>
      </c>
      <c r="D1249" t="s">
        <v>6556</v>
      </c>
      <c r="E1249">
        <v>29</v>
      </c>
      <c r="F1249" t="s">
        <v>5163</v>
      </c>
      <c r="G1249" t="s">
        <v>5164</v>
      </c>
    </row>
    <row r="1250" spans="1:7" hidden="1">
      <c r="A1250" s="5" t="s">
        <v>189</v>
      </c>
      <c r="B1250" t="s">
        <v>5161</v>
      </c>
      <c r="C1250" t="s">
        <v>198</v>
      </c>
      <c r="D1250" t="s">
        <v>6557</v>
      </c>
      <c r="E1250">
        <v>18</v>
      </c>
      <c r="F1250" t="s">
        <v>5163</v>
      </c>
      <c r="G1250" t="s">
        <v>5164</v>
      </c>
    </row>
    <row r="1251" spans="1:7" hidden="1">
      <c r="A1251" s="5" t="s">
        <v>189</v>
      </c>
      <c r="B1251" t="s">
        <v>5161</v>
      </c>
      <c r="C1251" t="s">
        <v>198</v>
      </c>
      <c r="D1251" t="s">
        <v>636</v>
      </c>
      <c r="E1251">
        <v>18</v>
      </c>
      <c r="F1251" t="s">
        <v>5163</v>
      </c>
      <c r="G1251" t="s">
        <v>1905</v>
      </c>
    </row>
    <row r="1252" spans="1:7" hidden="1">
      <c r="A1252" s="5" t="s">
        <v>2449</v>
      </c>
      <c r="B1252" t="s">
        <v>5161</v>
      </c>
      <c r="C1252" t="s">
        <v>198</v>
      </c>
      <c r="D1252" t="s">
        <v>6558</v>
      </c>
      <c r="E1252">
        <v>19</v>
      </c>
      <c r="F1252" t="s">
        <v>5163</v>
      </c>
      <c r="G1252" t="s">
        <v>5164</v>
      </c>
    </row>
    <row r="1253" spans="1:7" hidden="1">
      <c r="A1253" s="5" t="s">
        <v>4035</v>
      </c>
      <c r="B1253" t="s">
        <v>5161</v>
      </c>
      <c r="C1253" t="s">
        <v>198</v>
      </c>
      <c r="D1253" t="s">
        <v>6559</v>
      </c>
      <c r="E1253">
        <v>18</v>
      </c>
      <c r="F1253" t="s">
        <v>5163</v>
      </c>
      <c r="G1253" t="s">
        <v>5164</v>
      </c>
    </row>
    <row r="1254" spans="1:7" hidden="1">
      <c r="A1254" s="5" t="s">
        <v>4171</v>
      </c>
      <c r="B1254" t="s">
        <v>5161</v>
      </c>
      <c r="C1254" t="s">
        <v>198</v>
      </c>
      <c r="D1254" t="s">
        <v>6560</v>
      </c>
      <c r="E1254">
        <v>18</v>
      </c>
      <c r="F1254" t="s">
        <v>5163</v>
      </c>
      <c r="G1254" t="s">
        <v>1905</v>
      </c>
    </row>
    <row r="1255" spans="1:7" hidden="1">
      <c r="A1255" s="5" t="s">
        <v>5041</v>
      </c>
      <c r="B1255" t="s">
        <v>5161</v>
      </c>
      <c r="C1255" t="s">
        <v>198</v>
      </c>
      <c r="D1255" t="s">
        <v>6561</v>
      </c>
      <c r="E1255">
        <v>22</v>
      </c>
      <c r="F1255" t="s">
        <v>5163</v>
      </c>
      <c r="G1255" t="s">
        <v>5164</v>
      </c>
    </row>
    <row r="1256" spans="1:7" hidden="1">
      <c r="A1256" s="5" t="s">
        <v>3814</v>
      </c>
      <c r="B1256" t="s">
        <v>5161</v>
      </c>
      <c r="C1256" t="s">
        <v>198</v>
      </c>
      <c r="D1256" t="s">
        <v>6562</v>
      </c>
      <c r="E1256">
        <v>31</v>
      </c>
      <c r="F1256" t="s">
        <v>5172</v>
      </c>
      <c r="G1256" t="s">
        <v>5164</v>
      </c>
    </row>
    <row r="1257" spans="1:7" hidden="1">
      <c r="A1257" s="5" t="s">
        <v>4089</v>
      </c>
      <c r="B1257" t="s">
        <v>5161</v>
      </c>
      <c r="C1257" t="s">
        <v>198</v>
      </c>
      <c r="D1257" t="s">
        <v>6563</v>
      </c>
      <c r="E1257">
        <v>23</v>
      </c>
      <c r="F1257" t="s">
        <v>5163</v>
      </c>
      <c r="G1257" t="s">
        <v>5169</v>
      </c>
    </row>
    <row r="1258" spans="1:7" hidden="1">
      <c r="A1258" s="5" t="s">
        <v>6564</v>
      </c>
      <c r="B1258" t="s">
        <v>5161</v>
      </c>
      <c r="C1258" t="s">
        <v>198</v>
      </c>
      <c r="D1258" t="s">
        <v>6565</v>
      </c>
      <c r="E1258">
        <v>38</v>
      </c>
      <c r="F1258" t="s">
        <v>5163</v>
      </c>
      <c r="G1258" t="s">
        <v>5169</v>
      </c>
    </row>
    <row r="1259" spans="1:7" hidden="1">
      <c r="A1259" s="5" t="s">
        <v>4842</v>
      </c>
      <c r="B1259" t="s">
        <v>5161</v>
      </c>
      <c r="C1259" t="s">
        <v>198</v>
      </c>
      <c r="D1259" t="s">
        <v>6149</v>
      </c>
      <c r="E1259">
        <v>27</v>
      </c>
      <c r="F1259" t="s">
        <v>5163</v>
      </c>
      <c r="G1259" t="s">
        <v>5164</v>
      </c>
    </row>
    <row r="1260" spans="1:7" hidden="1">
      <c r="A1260" s="5" t="s">
        <v>6566</v>
      </c>
      <c r="B1260" t="s">
        <v>5161</v>
      </c>
      <c r="C1260" t="s">
        <v>198</v>
      </c>
      <c r="D1260" t="s">
        <v>6567</v>
      </c>
      <c r="E1260">
        <v>30</v>
      </c>
      <c r="F1260" t="s">
        <v>5163</v>
      </c>
      <c r="G1260" t="s">
        <v>5164</v>
      </c>
    </row>
    <row r="1261" spans="1:7" hidden="1">
      <c r="A1261" s="5" t="s">
        <v>6568</v>
      </c>
      <c r="B1261" t="s">
        <v>5161</v>
      </c>
      <c r="C1261" t="s">
        <v>198</v>
      </c>
      <c r="D1261" t="s">
        <v>6569</v>
      </c>
      <c r="E1261">
        <v>20</v>
      </c>
      <c r="F1261" t="s">
        <v>5163</v>
      </c>
      <c r="G1261" t="s">
        <v>5169</v>
      </c>
    </row>
    <row r="1262" spans="1:7" hidden="1">
      <c r="A1262" s="5" t="s">
        <v>2179</v>
      </c>
      <c r="B1262" t="s">
        <v>5161</v>
      </c>
      <c r="C1262" t="s">
        <v>198</v>
      </c>
      <c r="D1262" t="s">
        <v>6570</v>
      </c>
      <c r="E1262">
        <v>26</v>
      </c>
      <c r="F1262" t="s">
        <v>5163</v>
      </c>
      <c r="G1262" t="s">
        <v>1905</v>
      </c>
    </row>
    <row r="1263" spans="1:7" hidden="1">
      <c r="A1263" s="5" t="s">
        <v>2179</v>
      </c>
      <c r="B1263" t="s">
        <v>5161</v>
      </c>
      <c r="C1263" t="s">
        <v>198</v>
      </c>
      <c r="D1263" t="s">
        <v>6571</v>
      </c>
      <c r="E1263">
        <v>19</v>
      </c>
      <c r="F1263" t="s">
        <v>5163</v>
      </c>
      <c r="G1263" t="s">
        <v>5164</v>
      </c>
    </row>
    <row r="1264" spans="1:7" hidden="1">
      <c r="A1264" s="5" t="s">
        <v>4521</v>
      </c>
      <c r="B1264" t="s">
        <v>5161</v>
      </c>
      <c r="C1264" t="s">
        <v>198</v>
      </c>
      <c r="D1264" t="s">
        <v>6572</v>
      </c>
      <c r="E1264">
        <v>24</v>
      </c>
      <c r="F1264" t="s">
        <v>5163</v>
      </c>
      <c r="G1264" t="s">
        <v>5164</v>
      </c>
    </row>
    <row r="1265" spans="1:7" hidden="1">
      <c r="A1265" s="5" t="s">
        <v>187</v>
      </c>
      <c r="B1265" t="s">
        <v>5161</v>
      </c>
      <c r="C1265" t="s">
        <v>198</v>
      </c>
      <c r="D1265" t="s">
        <v>630</v>
      </c>
      <c r="E1265">
        <v>35</v>
      </c>
      <c r="F1265" t="s">
        <v>5172</v>
      </c>
      <c r="G1265" t="s">
        <v>1905</v>
      </c>
    </row>
    <row r="1266" spans="1:7" hidden="1">
      <c r="A1266" s="5" t="s">
        <v>187</v>
      </c>
      <c r="B1266" t="s">
        <v>5161</v>
      </c>
      <c r="C1266" t="s">
        <v>198</v>
      </c>
      <c r="D1266" t="s">
        <v>6573</v>
      </c>
      <c r="E1266">
        <v>18</v>
      </c>
      <c r="F1266" t="s">
        <v>5163</v>
      </c>
      <c r="G1266" t="s">
        <v>5164</v>
      </c>
    </row>
    <row r="1267" spans="1:7" hidden="1">
      <c r="A1267" s="5" t="s">
        <v>6574</v>
      </c>
      <c r="B1267" t="s">
        <v>5161</v>
      </c>
      <c r="C1267" t="s">
        <v>198</v>
      </c>
      <c r="D1267" t="s">
        <v>6575</v>
      </c>
      <c r="E1267">
        <v>18</v>
      </c>
      <c r="F1267" t="s">
        <v>5163</v>
      </c>
      <c r="G1267" t="s">
        <v>5164</v>
      </c>
    </row>
    <row r="1268" spans="1:7" hidden="1">
      <c r="A1268" s="5" t="s">
        <v>6574</v>
      </c>
      <c r="B1268" t="s">
        <v>5161</v>
      </c>
      <c r="C1268" t="s">
        <v>198</v>
      </c>
      <c r="D1268" t="s">
        <v>6576</v>
      </c>
      <c r="E1268">
        <v>19</v>
      </c>
      <c r="F1268" t="s">
        <v>5163</v>
      </c>
      <c r="G1268" t="s">
        <v>5164</v>
      </c>
    </row>
    <row r="1269" spans="1:7" hidden="1">
      <c r="A1269" s="5" t="s">
        <v>4204</v>
      </c>
      <c r="B1269" t="s">
        <v>5161</v>
      </c>
      <c r="C1269" t="s">
        <v>198</v>
      </c>
      <c r="D1269" t="s">
        <v>6577</v>
      </c>
      <c r="E1269">
        <v>37</v>
      </c>
      <c r="F1269" t="s">
        <v>5163</v>
      </c>
      <c r="G1269" t="s">
        <v>1905</v>
      </c>
    </row>
    <row r="1270" spans="1:7" hidden="1">
      <c r="A1270" s="5" t="s">
        <v>4036</v>
      </c>
      <c r="B1270" t="s">
        <v>5161</v>
      </c>
      <c r="C1270" t="s">
        <v>198</v>
      </c>
      <c r="D1270" t="s">
        <v>6578</v>
      </c>
      <c r="E1270">
        <v>26</v>
      </c>
      <c r="F1270" t="s">
        <v>5163</v>
      </c>
      <c r="G1270" t="s">
        <v>1905</v>
      </c>
    </row>
    <row r="1271" spans="1:7" hidden="1">
      <c r="A1271" s="5" t="s">
        <v>4101</v>
      </c>
      <c r="B1271" t="s">
        <v>5161</v>
      </c>
      <c r="C1271" t="s">
        <v>198</v>
      </c>
      <c r="D1271" t="s">
        <v>6579</v>
      </c>
      <c r="E1271">
        <v>26</v>
      </c>
      <c r="F1271" t="s">
        <v>5163</v>
      </c>
      <c r="G1271" t="s">
        <v>5164</v>
      </c>
    </row>
    <row r="1272" spans="1:7" hidden="1">
      <c r="A1272" s="5" t="s">
        <v>6580</v>
      </c>
      <c r="B1272" t="s">
        <v>5161</v>
      </c>
      <c r="C1272" t="s">
        <v>198</v>
      </c>
      <c r="D1272" t="s">
        <v>6581</v>
      </c>
      <c r="E1272">
        <v>53</v>
      </c>
      <c r="F1272" t="s">
        <v>5163</v>
      </c>
      <c r="G1272" t="s">
        <v>5182</v>
      </c>
    </row>
    <row r="1273" spans="1:7" hidden="1">
      <c r="A1273" s="5" t="s">
        <v>2569</v>
      </c>
      <c r="B1273" t="s">
        <v>5161</v>
      </c>
      <c r="C1273" t="s">
        <v>198</v>
      </c>
      <c r="D1273" t="s">
        <v>6582</v>
      </c>
      <c r="E1273">
        <v>28</v>
      </c>
      <c r="F1273" t="s">
        <v>5163</v>
      </c>
      <c r="G1273" t="s">
        <v>5164</v>
      </c>
    </row>
    <row r="1274" spans="1:7" hidden="1">
      <c r="A1274" s="5" t="s">
        <v>6583</v>
      </c>
      <c r="B1274" t="s">
        <v>5161</v>
      </c>
      <c r="C1274" t="s">
        <v>198</v>
      </c>
      <c r="D1274" t="s">
        <v>6584</v>
      </c>
      <c r="E1274">
        <v>19</v>
      </c>
      <c r="F1274" t="s">
        <v>5163</v>
      </c>
      <c r="G1274" t="s">
        <v>5164</v>
      </c>
    </row>
    <row r="1275" spans="1:7" hidden="1">
      <c r="A1275" s="5" t="s">
        <v>4362</v>
      </c>
      <c r="B1275" t="s">
        <v>5161</v>
      </c>
      <c r="C1275" t="s">
        <v>198</v>
      </c>
      <c r="D1275" t="s">
        <v>6585</v>
      </c>
      <c r="E1275">
        <v>23</v>
      </c>
      <c r="F1275" t="s">
        <v>5163</v>
      </c>
      <c r="G1275" t="s">
        <v>1905</v>
      </c>
    </row>
    <row r="1276" spans="1:7" hidden="1">
      <c r="A1276" s="5" t="s">
        <v>3963</v>
      </c>
      <c r="B1276" t="s">
        <v>5161</v>
      </c>
      <c r="C1276" t="s">
        <v>198</v>
      </c>
      <c r="D1276" t="s">
        <v>6586</v>
      </c>
      <c r="E1276">
        <v>31</v>
      </c>
      <c r="F1276" t="s">
        <v>5163</v>
      </c>
      <c r="G1276" t="s">
        <v>5164</v>
      </c>
    </row>
    <row r="1277" spans="1:7" hidden="1">
      <c r="A1277" s="5" t="s">
        <v>4714</v>
      </c>
      <c r="B1277" t="s">
        <v>5161</v>
      </c>
      <c r="C1277" t="s">
        <v>198</v>
      </c>
      <c r="D1277" t="s">
        <v>6587</v>
      </c>
      <c r="E1277">
        <v>21</v>
      </c>
      <c r="F1277" t="s">
        <v>5163</v>
      </c>
      <c r="G1277" t="s">
        <v>5169</v>
      </c>
    </row>
    <row r="1278" spans="1:7" hidden="1">
      <c r="A1278" s="5" t="s">
        <v>4628</v>
      </c>
      <c r="B1278" t="s">
        <v>5161</v>
      </c>
      <c r="C1278" t="s">
        <v>198</v>
      </c>
      <c r="D1278" t="s">
        <v>6588</v>
      </c>
      <c r="E1278">
        <v>35</v>
      </c>
      <c r="F1278" t="s">
        <v>5163</v>
      </c>
      <c r="G1278" t="s">
        <v>5169</v>
      </c>
    </row>
    <row r="1279" spans="1:7" hidden="1">
      <c r="A1279" s="5" t="s">
        <v>6589</v>
      </c>
      <c r="B1279" t="s">
        <v>5161</v>
      </c>
      <c r="C1279" t="s">
        <v>198</v>
      </c>
      <c r="D1279" t="s">
        <v>6590</v>
      </c>
      <c r="E1279">
        <v>22</v>
      </c>
      <c r="F1279" t="s">
        <v>5163</v>
      </c>
      <c r="G1279" t="s">
        <v>5164</v>
      </c>
    </row>
    <row r="1280" spans="1:7" hidden="1">
      <c r="A1280" s="5" t="s">
        <v>4551</v>
      </c>
      <c r="B1280" t="s">
        <v>5161</v>
      </c>
      <c r="C1280" t="s">
        <v>198</v>
      </c>
      <c r="D1280" t="s">
        <v>6591</v>
      </c>
      <c r="E1280">
        <v>25</v>
      </c>
      <c r="F1280" t="s">
        <v>5172</v>
      </c>
      <c r="G1280" t="s">
        <v>1905</v>
      </c>
    </row>
    <row r="1281" spans="1:7" hidden="1">
      <c r="A1281" s="5" t="s">
        <v>3415</v>
      </c>
      <c r="B1281" t="s">
        <v>5161</v>
      </c>
      <c r="C1281" t="s">
        <v>198</v>
      </c>
      <c r="D1281" t="s">
        <v>6592</v>
      </c>
      <c r="E1281">
        <v>35</v>
      </c>
      <c r="F1281" t="s">
        <v>5163</v>
      </c>
      <c r="G1281" t="s">
        <v>5164</v>
      </c>
    </row>
    <row r="1282" spans="1:7" hidden="1">
      <c r="A1282" s="5" t="s">
        <v>6593</v>
      </c>
      <c r="B1282" t="s">
        <v>5161</v>
      </c>
      <c r="C1282" t="s">
        <v>198</v>
      </c>
      <c r="D1282" t="s">
        <v>6594</v>
      </c>
      <c r="E1282">
        <v>28</v>
      </c>
      <c r="F1282" t="s">
        <v>5163</v>
      </c>
      <c r="G1282" t="s">
        <v>5182</v>
      </c>
    </row>
    <row r="1283" spans="1:7" hidden="1">
      <c r="A1283" s="5" t="s">
        <v>3315</v>
      </c>
      <c r="B1283" t="s">
        <v>5161</v>
      </c>
      <c r="C1283" t="s">
        <v>198</v>
      </c>
      <c r="D1283" t="s">
        <v>6595</v>
      </c>
      <c r="E1283">
        <v>21</v>
      </c>
      <c r="F1283" t="s">
        <v>5163</v>
      </c>
      <c r="G1283" t="s">
        <v>1905</v>
      </c>
    </row>
    <row r="1284" spans="1:7" hidden="1">
      <c r="A1284" s="5" t="s">
        <v>3315</v>
      </c>
      <c r="B1284" t="s">
        <v>5161</v>
      </c>
      <c r="C1284" t="s">
        <v>198</v>
      </c>
      <c r="D1284" t="s">
        <v>6596</v>
      </c>
      <c r="E1284">
        <v>50</v>
      </c>
      <c r="F1284" t="s">
        <v>5163</v>
      </c>
      <c r="G1284" t="s">
        <v>1905</v>
      </c>
    </row>
    <row r="1285" spans="1:7" hidden="1">
      <c r="A1285" s="5" t="s">
        <v>4905</v>
      </c>
      <c r="B1285" t="s">
        <v>5161</v>
      </c>
      <c r="C1285" t="s">
        <v>198</v>
      </c>
      <c r="D1285" t="s">
        <v>6597</v>
      </c>
      <c r="E1285">
        <v>21</v>
      </c>
      <c r="F1285" t="s">
        <v>5163</v>
      </c>
      <c r="G1285" t="s">
        <v>5169</v>
      </c>
    </row>
    <row r="1286" spans="1:7" hidden="1">
      <c r="A1286" s="5" t="s">
        <v>4409</v>
      </c>
      <c r="B1286" t="s">
        <v>5161</v>
      </c>
      <c r="C1286" t="s">
        <v>198</v>
      </c>
      <c r="D1286" t="s">
        <v>6598</v>
      </c>
      <c r="E1286">
        <v>18</v>
      </c>
      <c r="F1286" t="s">
        <v>5163</v>
      </c>
      <c r="G1286" t="s">
        <v>5164</v>
      </c>
    </row>
    <row r="1287" spans="1:7" hidden="1">
      <c r="A1287" s="5" t="s">
        <v>6599</v>
      </c>
      <c r="B1287" t="s">
        <v>5161</v>
      </c>
      <c r="C1287" t="s">
        <v>198</v>
      </c>
      <c r="D1287" t="s">
        <v>6600</v>
      </c>
      <c r="E1287">
        <v>29</v>
      </c>
      <c r="F1287" t="s">
        <v>5163</v>
      </c>
      <c r="G1287" t="s">
        <v>5164</v>
      </c>
    </row>
    <row r="1288" spans="1:7" hidden="1">
      <c r="A1288" s="5" t="s">
        <v>6601</v>
      </c>
      <c r="B1288" t="s">
        <v>5161</v>
      </c>
      <c r="C1288" t="s">
        <v>198</v>
      </c>
      <c r="D1288" t="s">
        <v>6602</v>
      </c>
      <c r="E1288">
        <v>18</v>
      </c>
      <c r="F1288" t="s">
        <v>5163</v>
      </c>
      <c r="G1288" t="s">
        <v>1905</v>
      </c>
    </row>
    <row r="1289" spans="1:7" hidden="1">
      <c r="A1289" s="5" t="s">
        <v>3516</v>
      </c>
      <c r="B1289" t="s">
        <v>5161</v>
      </c>
      <c r="C1289" t="s">
        <v>198</v>
      </c>
      <c r="D1289" t="s">
        <v>6603</v>
      </c>
      <c r="E1289">
        <v>33</v>
      </c>
      <c r="F1289" t="s">
        <v>5163</v>
      </c>
      <c r="G1289" t="s">
        <v>1905</v>
      </c>
    </row>
    <row r="1290" spans="1:7" hidden="1">
      <c r="A1290" s="5" t="s">
        <v>3777</v>
      </c>
      <c r="B1290" t="s">
        <v>5161</v>
      </c>
      <c r="C1290" t="s">
        <v>198</v>
      </c>
      <c r="D1290" t="s">
        <v>6604</v>
      </c>
      <c r="E1290">
        <v>20</v>
      </c>
      <c r="F1290" t="s">
        <v>5163</v>
      </c>
      <c r="G1290" t="s">
        <v>5164</v>
      </c>
    </row>
    <row r="1291" spans="1:7" hidden="1">
      <c r="A1291" s="5" t="s">
        <v>4216</v>
      </c>
      <c r="B1291" t="s">
        <v>5161</v>
      </c>
      <c r="C1291" t="s">
        <v>198</v>
      </c>
      <c r="D1291" t="s">
        <v>6605</v>
      </c>
      <c r="E1291">
        <v>25</v>
      </c>
      <c r="F1291" t="s">
        <v>5163</v>
      </c>
      <c r="G1291" t="s">
        <v>5164</v>
      </c>
    </row>
    <row r="1292" spans="1:7" hidden="1">
      <c r="A1292" s="5" t="s">
        <v>5126</v>
      </c>
      <c r="B1292" t="s">
        <v>5161</v>
      </c>
      <c r="C1292" t="s">
        <v>198</v>
      </c>
      <c r="D1292" t="s">
        <v>5343</v>
      </c>
      <c r="E1292">
        <v>32</v>
      </c>
      <c r="F1292" t="s">
        <v>5163</v>
      </c>
      <c r="G1292" t="s">
        <v>5164</v>
      </c>
    </row>
    <row r="1293" spans="1:7" hidden="1">
      <c r="A1293" s="5" t="s">
        <v>4664</v>
      </c>
      <c r="B1293" t="s">
        <v>5161</v>
      </c>
      <c r="C1293" t="s">
        <v>198</v>
      </c>
      <c r="D1293" t="s">
        <v>6606</v>
      </c>
      <c r="E1293">
        <v>21</v>
      </c>
      <c r="F1293" t="s">
        <v>5163</v>
      </c>
      <c r="G1293" t="s">
        <v>1905</v>
      </c>
    </row>
    <row r="1294" spans="1:7" hidden="1">
      <c r="A1294" s="5" t="s">
        <v>191</v>
      </c>
      <c r="B1294" t="s">
        <v>5161</v>
      </c>
      <c r="C1294" t="s">
        <v>198</v>
      </c>
      <c r="D1294" t="s">
        <v>639</v>
      </c>
      <c r="E1294">
        <v>18</v>
      </c>
      <c r="F1294" t="s">
        <v>5163</v>
      </c>
      <c r="G1294" t="s">
        <v>5164</v>
      </c>
    </row>
    <row r="1295" spans="1:7" hidden="1">
      <c r="A1295" s="5" t="s">
        <v>6607</v>
      </c>
      <c r="B1295" t="s">
        <v>5161</v>
      </c>
      <c r="C1295" t="s">
        <v>198</v>
      </c>
      <c r="D1295" t="s">
        <v>6608</v>
      </c>
      <c r="E1295">
        <v>21</v>
      </c>
      <c r="F1295" t="s">
        <v>5163</v>
      </c>
      <c r="G1295" t="s">
        <v>5169</v>
      </c>
    </row>
    <row r="1296" spans="1:7" hidden="1">
      <c r="A1296" s="5" t="s">
        <v>6609</v>
      </c>
      <c r="B1296" t="s">
        <v>5161</v>
      </c>
      <c r="C1296" t="s">
        <v>198</v>
      </c>
      <c r="D1296" t="s">
        <v>6610</v>
      </c>
      <c r="E1296">
        <v>22</v>
      </c>
      <c r="F1296" t="s">
        <v>5163</v>
      </c>
      <c r="G1296" t="s">
        <v>1905</v>
      </c>
    </row>
    <row r="1297" spans="1:7" hidden="1">
      <c r="A1297" s="5" t="s">
        <v>6611</v>
      </c>
      <c r="B1297" t="s">
        <v>5161</v>
      </c>
      <c r="C1297" t="s">
        <v>198</v>
      </c>
      <c r="D1297" t="s">
        <v>6612</v>
      </c>
      <c r="E1297">
        <v>32</v>
      </c>
      <c r="F1297" t="s">
        <v>5163</v>
      </c>
      <c r="G1297" t="s">
        <v>5164</v>
      </c>
    </row>
    <row r="1298" spans="1:7" hidden="1">
      <c r="A1298" s="5" t="s">
        <v>6613</v>
      </c>
      <c r="B1298" t="s">
        <v>5161</v>
      </c>
      <c r="C1298" t="s">
        <v>214</v>
      </c>
      <c r="D1298" t="s">
        <v>6614</v>
      </c>
      <c r="E1298">
        <v>21</v>
      </c>
      <c r="F1298" t="s">
        <v>5163</v>
      </c>
      <c r="G1298" t="s">
        <v>5169</v>
      </c>
    </row>
    <row r="1299" spans="1:7" hidden="1">
      <c r="A1299" s="5" t="s">
        <v>4156</v>
      </c>
      <c r="B1299" t="s">
        <v>5161</v>
      </c>
      <c r="C1299" t="s">
        <v>214</v>
      </c>
      <c r="D1299" t="s">
        <v>6615</v>
      </c>
      <c r="E1299">
        <v>23</v>
      </c>
      <c r="F1299" t="s">
        <v>5163</v>
      </c>
      <c r="G1299" t="s">
        <v>5164</v>
      </c>
    </row>
    <row r="1300" spans="1:7" hidden="1">
      <c r="A1300" s="5" t="s">
        <v>3430</v>
      </c>
      <c r="B1300" t="s">
        <v>5161</v>
      </c>
      <c r="C1300" t="s">
        <v>214</v>
      </c>
      <c r="D1300" t="s">
        <v>6616</v>
      </c>
      <c r="E1300">
        <v>18</v>
      </c>
      <c r="F1300" t="s">
        <v>5163</v>
      </c>
      <c r="G1300" t="s">
        <v>5164</v>
      </c>
    </row>
    <row r="1301" spans="1:7" hidden="1">
      <c r="A1301" s="5" t="s">
        <v>4198</v>
      </c>
      <c r="B1301" t="s">
        <v>5161</v>
      </c>
      <c r="C1301" t="s">
        <v>214</v>
      </c>
      <c r="D1301" t="s">
        <v>6617</v>
      </c>
      <c r="E1301">
        <v>18</v>
      </c>
      <c r="F1301" t="s">
        <v>5163</v>
      </c>
      <c r="G1301" t="s">
        <v>5164</v>
      </c>
    </row>
    <row r="1302" spans="1:7" hidden="1">
      <c r="A1302" s="5" t="s">
        <v>3822</v>
      </c>
      <c r="B1302" t="s">
        <v>5161</v>
      </c>
      <c r="C1302" t="s">
        <v>214</v>
      </c>
      <c r="D1302" t="s">
        <v>6618</v>
      </c>
      <c r="E1302">
        <v>21</v>
      </c>
      <c r="F1302" t="s">
        <v>5163</v>
      </c>
      <c r="G1302" t="s">
        <v>1905</v>
      </c>
    </row>
    <row r="1303" spans="1:7" hidden="1">
      <c r="A1303" s="5" t="s">
        <v>2354</v>
      </c>
      <c r="B1303" t="s">
        <v>5161</v>
      </c>
      <c r="C1303" t="s">
        <v>214</v>
      </c>
      <c r="D1303" t="s">
        <v>6619</v>
      </c>
      <c r="E1303">
        <v>35</v>
      </c>
      <c r="F1303" t="s">
        <v>5163</v>
      </c>
      <c r="G1303" t="s">
        <v>5169</v>
      </c>
    </row>
    <row r="1304" spans="1:7" hidden="1">
      <c r="A1304" s="5" t="s">
        <v>2972</v>
      </c>
      <c r="B1304" t="s">
        <v>5161</v>
      </c>
      <c r="C1304" t="s">
        <v>214</v>
      </c>
      <c r="D1304" t="s">
        <v>6620</v>
      </c>
      <c r="E1304">
        <v>18</v>
      </c>
      <c r="F1304" t="s">
        <v>5163</v>
      </c>
      <c r="G1304" t="s">
        <v>5164</v>
      </c>
    </row>
    <row r="1305" spans="1:7" hidden="1">
      <c r="A1305" s="5" t="s">
        <v>3079</v>
      </c>
      <c r="B1305" t="s">
        <v>5161</v>
      </c>
      <c r="C1305" t="s">
        <v>214</v>
      </c>
      <c r="D1305" t="s">
        <v>6621</v>
      </c>
      <c r="E1305">
        <v>23</v>
      </c>
      <c r="F1305" t="s">
        <v>5163</v>
      </c>
      <c r="G1305" t="s">
        <v>5164</v>
      </c>
    </row>
    <row r="1306" spans="1:7" hidden="1">
      <c r="A1306" s="5" t="s">
        <v>4998</v>
      </c>
      <c r="B1306" t="s">
        <v>5161</v>
      </c>
      <c r="C1306" t="s">
        <v>214</v>
      </c>
      <c r="D1306" t="s">
        <v>6622</v>
      </c>
      <c r="E1306">
        <v>19</v>
      </c>
      <c r="F1306" t="s">
        <v>5163</v>
      </c>
      <c r="G1306" t="s">
        <v>5169</v>
      </c>
    </row>
    <row r="1307" spans="1:7" hidden="1">
      <c r="A1307" s="5" t="s">
        <v>3883</v>
      </c>
      <c r="B1307" t="s">
        <v>5161</v>
      </c>
      <c r="C1307" t="s">
        <v>214</v>
      </c>
      <c r="D1307" t="s">
        <v>6623</v>
      </c>
      <c r="E1307">
        <v>21</v>
      </c>
      <c r="F1307" t="s">
        <v>5163</v>
      </c>
      <c r="G1307" t="s">
        <v>5164</v>
      </c>
    </row>
    <row r="1308" spans="1:7" hidden="1">
      <c r="A1308" s="5" t="s">
        <v>3911</v>
      </c>
      <c r="B1308" t="s">
        <v>5161</v>
      </c>
      <c r="C1308" t="s">
        <v>214</v>
      </c>
      <c r="D1308" t="s">
        <v>6624</v>
      </c>
      <c r="E1308">
        <v>22</v>
      </c>
      <c r="F1308" t="s">
        <v>5163</v>
      </c>
      <c r="G1308" t="s">
        <v>5164</v>
      </c>
    </row>
    <row r="1309" spans="1:7" hidden="1">
      <c r="A1309" s="5" t="s">
        <v>4347</v>
      </c>
      <c r="B1309" t="s">
        <v>5161</v>
      </c>
      <c r="C1309" t="s">
        <v>214</v>
      </c>
      <c r="D1309" t="s">
        <v>6625</v>
      </c>
      <c r="E1309">
        <v>30</v>
      </c>
      <c r="F1309" t="s">
        <v>5163</v>
      </c>
      <c r="G1309" t="s">
        <v>5164</v>
      </c>
    </row>
    <row r="1310" spans="1:7" hidden="1">
      <c r="A1310" s="5" t="s">
        <v>4347</v>
      </c>
      <c r="B1310" t="s">
        <v>5161</v>
      </c>
      <c r="C1310" t="s">
        <v>214</v>
      </c>
      <c r="D1310" t="s">
        <v>6626</v>
      </c>
      <c r="E1310">
        <v>28</v>
      </c>
      <c r="F1310" t="s">
        <v>5163</v>
      </c>
      <c r="G1310" t="s">
        <v>5164</v>
      </c>
    </row>
    <row r="1311" spans="1:7" hidden="1">
      <c r="A1311" s="5" t="s">
        <v>4347</v>
      </c>
      <c r="B1311" t="s">
        <v>5161</v>
      </c>
      <c r="C1311" t="s">
        <v>214</v>
      </c>
      <c r="D1311" t="s">
        <v>6627</v>
      </c>
      <c r="E1311">
        <v>18</v>
      </c>
      <c r="F1311" t="s">
        <v>5163</v>
      </c>
      <c r="G1311" t="s">
        <v>5164</v>
      </c>
    </row>
    <row r="1312" spans="1:7" hidden="1">
      <c r="A1312" s="5" t="s">
        <v>6628</v>
      </c>
      <c r="B1312" t="s">
        <v>5161</v>
      </c>
      <c r="C1312" t="s">
        <v>214</v>
      </c>
      <c r="D1312" t="s">
        <v>6629</v>
      </c>
      <c r="E1312">
        <v>40</v>
      </c>
      <c r="F1312" t="s">
        <v>5172</v>
      </c>
      <c r="G1312" t="s">
        <v>5182</v>
      </c>
    </row>
    <row r="1313" spans="1:7" hidden="1">
      <c r="A1313" s="5" t="s">
        <v>3106</v>
      </c>
      <c r="B1313" t="s">
        <v>5161</v>
      </c>
      <c r="C1313" t="s">
        <v>214</v>
      </c>
      <c r="D1313" t="s">
        <v>6630</v>
      </c>
      <c r="E1313">
        <v>26</v>
      </c>
      <c r="F1313" t="s">
        <v>5163</v>
      </c>
      <c r="G1313" t="s">
        <v>5164</v>
      </c>
    </row>
    <row r="1314" spans="1:7" hidden="1">
      <c r="A1314" s="5" t="s">
        <v>3106</v>
      </c>
      <c r="B1314" t="s">
        <v>5161</v>
      </c>
      <c r="C1314" t="s">
        <v>214</v>
      </c>
      <c r="D1314" t="s">
        <v>6631</v>
      </c>
      <c r="E1314">
        <v>23</v>
      </c>
      <c r="F1314" t="s">
        <v>5172</v>
      </c>
      <c r="G1314" t="s">
        <v>1905</v>
      </c>
    </row>
    <row r="1315" spans="1:7" hidden="1">
      <c r="A1315" s="5" t="s">
        <v>200</v>
      </c>
      <c r="B1315" t="s">
        <v>5161</v>
      </c>
      <c r="C1315" t="s">
        <v>214</v>
      </c>
      <c r="D1315" t="s">
        <v>655</v>
      </c>
      <c r="E1315">
        <v>26</v>
      </c>
      <c r="F1315" t="s">
        <v>5163</v>
      </c>
      <c r="G1315" t="s">
        <v>5164</v>
      </c>
    </row>
    <row r="1316" spans="1:7" hidden="1">
      <c r="A1316" s="5" t="s">
        <v>3487</v>
      </c>
      <c r="B1316" t="s">
        <v>5161</v>
      </c>
      <c r="C1316" t="s">
        <v>214</v>
      </c>
      <c r="D1316" t="s">
        <v>6632</v>
      </c>
      <c r="E1316">
        <v>18</v>
      </c>
      <c r="F1316" t="s">
        <v>5163</v>
      </c>
      <c r="G1316" t="s">
        <v>5169</v>
      </c>
    </row>
    <row r="1317" spans="1:7" hidden="1">
      <c r="A1317" s="5" t="s">
        <v>213</v>
      </c>
      <c r="B1317" t="s">
        <v>5161</v>
      </c>
      <c r="C1317" t="s">
        <v>214</v>
      </c>
      <c r="D1317" t="s">
        <v>6633</v>
      </c>
      <c r="E1317">
        <v>20</v>
      </c>
      <c r="F1317" t="s">
        <v>5163</v>
      </c>
      <c r="G1317" t="s">
        <v>5164</v>
      </c>
    </row>
    <row r="1318" spans="1:7" hidden="1">
      <c r="A1318" s="5" t="s">
        <v>6634</v>
      </c>
      <c r="B1318" t="s">
        <v>5161</v>
      </c>
      <c r="C1318" t="s">
        <v>214</v>
      </c>
      <c r="D1318" t="s">
        <v>6635</v>
      </c>
      <c r="E1318">
        <v>21</v>
      </c>
      <c r="F1318" t="s">
        <v>5163</v>
      </c>
      <c r="G1318" t="s">
        <v>5164</v>
      </c>
    </row>
    <row r="1319" spans="1:7" hidden="1">
      <c r="A1319" s="5" t="s">
        <v>4731</v>
      </c>
      <c r="B1319" t="s">
        <v>5161</v>
      </c>
      <c r="C1319" t="s">
        <v>214</v>
      </c>
      <c r="D1319" t="s">
        <v>6636</v>
      </c>
      <c r="E1319">
        <v>18</v>
      </c>
      <c r="F1319" t="s">
        <v>5163</v>
      </c>
      <c r="G1319" t="s">
        <v>5164</v>
      </c>
    </row>
    <row r="1320" spans="1:7" hidden="1">
      <c r="A1320" s="5" t="s">
        <v>5013</v>
      </c>
      <c r="B1320" t="s">
        <v>5161</v>
      </c>
      <c r="C1320" t="s">
        <v>214</v>
      </c>
      <c r="D1320" t="s">
        <v>6637</v>
      </c>
      <c r="E1320">
        <v>34</v>
      </c>
      <c r="F1320" t="s">
        <v>5172</v>
      </c>
      <c r="G1320" t="s">
        <v>5182</v>
      </c>
    </row>
    <row r="1321" spans="1:7" hidden="1">
      <c r="A1321" s="5" t="s">
        <v>3018</v>
      </c>
      <c r="B1321" t="s">
        <v>5161</v>
      </c>
      <c r="C1321" t="s">
        <v>214</v>
      </c>
      <c r="D1321" t="s">
        <v>6638</v>
      </c>
      <c r="E1321">
        <v>25</v>
      </c>
      <c r="F1321" t="s">
        <v>5163</v>
      </c>
      <c r="G1321" t="s">
        <v>5169</v>
      </c>
    </row>
    <row r="1322" spans="1:7" hidden="1">
      <c r="A1322" s="5" t="s">
        <v>2991</v>
      </c>
      <c r="B1322" t="s">
        <v>5161</v>
      </c>
      <c r="C1322" t="s">
        <v>214</v>
      </c>
      <c r="D1322" t="s">
        <v>6639</v>
      </c>
      <c r="E1322">
        <v>22</v>
      </c>
      <c r="F1322" t="s">
        <v>5163</v>
      </c>
      <c r="G1322" t="s">
        <v>5169</v>
      </c>
    </row>
    <row r="1323" spans="1:7" hidden="1">
      <c r="A1323" s="5" t="s">
        <v>3212</v>
      </c>
      <c r="B1323" t="s">
        <v>5161</v>
      </c>
      <c r="C1323" t="s">
        <v>214</v>
      </c>
      <c r="D1323" t="s">
        <v>6640</v>
      </c>
      <c r="E1323">
        <v>31</v>
      </c>
      <c r="F1323" t="s">
        <v>5163</v>
      </c>
      <c r="G1323" t="s">
        <v>5164</v>
      </c>
    </row>
    <row r="1324" spans="1:7" hidden="1">
      <c r="A1324" s="5" t="s">
        <v>3212</v>
      </c>
      <c r="B1324" t="s">
        <v>5161</v>
      </c>
      <c r="C1324" t="s">
        <v>214</v>
      </c>
      <c r="D1324" t="s">
        <v>6641</v>
      </c>
      <c r="E1324">
        <v>22</v>
      </c>
      <c r="F1324" t="s">
        <v>5172</v>
      </c>
      <c r="G1324" t="s">
        <v>5164</v>
      </c>
    </row>
    <row r="1325" spans="1:7" hidden="1">
      <c r="A1325" s="5" t="s">
        <v>2239</v>
      </c>
      <c r="B1325" t="s">
        <v>5161</v>
      </c>
      <c r="C1325" t="s">
        <v>214</v>
      </c>
      <c r="D1325" t="s">
        <v>6642</v>
      </c>
      <c r="E1325">
        <v>24</v>
      </c>
      <c r="F1325" t="s">
        <v>5163</v>
      </c>
      <c r="G1325" t="s">
        <v>5182</v>
      </c>
    </row>
    <row r="1326" spans="1:7" hidden="1">
      <c r="A1326" s="5" t="s">
        <v>4981</v>
      </c>
      <c r="B1326" t="s">
        <v>5161</v>
      </c>
      <c r="C1326" t="s">
        <v>214</v>
      </c>
      <c r="D1326" t="s">
        <v>6643</v>
      </c>
      <c r="E1326">
        <v>27</v>
      </c>
      <c r="F1326" t="s">
        <v>5163</v>
      </c>
      <c r="G1326" t="s">
        <v>1905</v>
      </c>
    </row>
    <row r="1327" spans="1:7" hidden="1">
      <c r="A1327" s="5" t="s">
        <v>3064</v>
      </c>
      <c r="B1327" t="s">
        <v>5161</v>
      </c>
      <c r="C1327" t="s">
        <v>214</v>
      </c>
      <c r="D1327" t="s">
        <v>6644</v>
      </c>
      <c r="E1327">
        <v>25</v>
      </c>
      <c r="F1327" t="s">
        <v>5163</v>
      </c>
      <c r="G1327" t="s">
        <v>5164</v>
      </c>
    </row>
    <row r="1328" spans="1:7" hidden="1">
      <c r="A1328" s="5" t="s">
        <v>2125</v>
      </c>
      <c r="B1328" t="s">
        <v>5161</v>
      </c>
      <c r="C1328" t="s">
        <v>214</v>
      </c>
      <c r="D1328" t="s">
        <v>6645</v>
      </c>
      <c r="E1328">
        <v>53</v>
      </c>
      <c r="F1328" t="s">
        <v>5163</v>
      </c>
      <c r="G1328" t="s">
        <v>5164</v>
      </c>
    </row>
    <row r="1329" spans="1:7" hidden="1">
      <c r="A1329" s="5" t="s">
        <v>2125</v>
      </c>
      <c r="B1329" t="s">
        <v>5161</v>
      </c>
      <c r="C1329" t="s">
        <v>214</v>
      </c>
      <c r="D1329" t="s">
        <v>6646</v>
      </c>
      <c r="E1329">
        <v>24</v>
      </c>
      <c r="F1329" t="s">
        <v>5163</v>
      </c>
      <c r="G1329" t="s">
        <v>5164</v>
      </c>
    </row>
    <row r="1330" spans="1:7" hidden="1">
      <c r="A1330" s="5" t="s">
        <v>5046</v>
      </c>
      <c r="B1330" t="s">
        <v>5161</v>
      </c>
      <c r="C1330" t="s">
        <v>214</v>
      </c>
      <c r="D1330" t="s">
        <v>6647</v>
      </c>
      <c r="E1330">
        <v>25</v>
      </c>
      <c r="F1330" t="s">
        <v>5163</v>
      </c>
      <c r="G1330" t="s">
        <v>1905</v>
      </c>
    </row>
    <row r="1331" spans="1:7" hidden="1">
      <c r="A1331" s="5" t="s">
        <v>203</v>
      </c>
      <c r="B1331" t="s">
        <v>5161</v>
      </c>
      <c r="C1331" t="s">
        <v>214</v>
      </c>
      <c r="D1331" t="s">
        <v>660</v>
      </c>
      <c r="E1331">
        <v>25</v>
      </c>
      <c r="F1331" t="s">
        <v>5163</v>
      </c>
      <c r="G1331" t="s">
        <v>5169</v>
      </c>
    </row>
    <row r="1332" spans="1:7" hidden="1">
      <c r="A1332" s="5" t="s">
        <v>4507</v>
      </c>
      <c r="B1332" t="s">
        <v>5161</v>
      </c>
      <c r="C1332" t="s">
        <v>214</v>
      </c>
      <c r="D1332" t="s">
        <v>6648</v>
      </c>
      <c r="E1332">
        <v>24</v>
      </c>
      <c r="F1332" t="s">
        <v>5163</v>
      </c>
      <c r="G1332" t="s">
        <v>5164</v>
      </c>
    </row>
    <row r="1333" spans="1:7" hidden="1">
      <c r="A1333" s="5" t="s">
        <v>2144</v>
      </c>
      <c r="B1333" t="s">
        <v>5161</v>
      </c>
      <c r="C1333" t="s">
        <v>214</v>
      </c>
      <c r="D1333" t="s">
        <v>6649</v>
      </c>
      <c r="E1333">
        <v>18</v>
      </c>
      <c r="F1333" t="s">
        <v>5163</v>
      </c>
      <c r="G1333" t="s">
        <v>1905</v>
      </c>
    </row>
    <row r="1334" spans="1:7" hidden="1">
      <c r="A1334" s="5" t="s">
        <v>4215</v>
      </c>
      <c r="B1334" t="s">
        <v>5161</v>
      </c>
      <c r="C1334" t="s">
        <v>214</v>
      </c>
      <c r="D1334" t="s">
        <v>6650</v>
      </c>
      <c r="E1334">
        <v>23</v>
      </c>
      <c r="F1334" t="s">
        <v>5163</v>
      </c>
      <c r="G1334" t="s">
        <v>5164</v>
      </c>
    </row>
    <row r="1335" spans="1:7" hidden="1">
      <c r="A1335" s="5" t="s">
        <v>5014</v>
      </c>
      <c r="B1335" t="s">
        <v>5161</v>
      </c>
      <c r="C1335" t="s">
        <v>214</v>
      </c>
      <c r="D1335" t="s">
        <v>6651</v>
      </c>
      <c r="E1335">
        <v>29</v>
      </c>
      <c r="F1335" t="s">
        <v>5163</v>
      </c>
      <c r="G1335" t="s">
        <v>1905</v>
      </c>
    </row>
    <row r="1336" spans="1:7" hidden="1">
      <c r="A1336" s="5" t="s">
        <v>206</v>
      </c>
      <c r="B1336" t="s">
        <v>5161</v>
      </c>
      <c r="C1336" t="s">
        <v>214</v>
      </c>
      <c r="D1336" t="s">
        <v>665</v>
      </c>
      <c r="E1336">
        <v>24</v>
      </c>
      <c r="F1336" t="s">
        <v>5163</v>
      </c>
      <c r="G1336" t="s">
        <v>5164</v>
      </c>
    </row>
    <row r="1337" spans="1:7" hidden="1">
      <c r="A1337" s="5" t="s">
        <v>6652</v>
      </c>
      <c r="B1337" t="s">
        <v>5161</v>
      </c>
      <c r="C1337" t="s">
        <v>214</v>
      </c>
      <c r="D1337" t="s">
        <v>6653</v>
      </c>
      <c r="E1337">
        <v>23</v>
      </c>
      <c r="F1337" t="s">
        <v>5163</v>
      </c>
      <c r="G1337" t="s">
        <v>5182</v>
      </c>
    </row>
    <row r="1338" spans="1:7" hidden="1">
      <c r="A1338" s="5" t="s">
        <v>6652</v>
      </c>
      <c r="B1338" t="s">
        <v>5161</v>
      </c>
      <c r="C1338" t="s">
        <v>214</v>
      </c>
      <c r="D1338" t="s">
        <v>6654</v>
      </c>
      <c r="E1338">
        <v>26</v>
      </c>
      <c r="F1338" t="s">
        <v>5163</v>
      </c>
      <c r="G1338" t="s">
        <v>1905</v>
      </c>
    </row>
    <row r="1339" spans="1:7" hidden="1">
      <c r="A1339" s="5" t="s">
        <v>6652</v>
      </c>
      <c r="B1339" t="s">
        <v>5161</v>
      </c>
      <c r="C1339" t="s">
        <v>214</v>
      </c>
      <c r="D1339" t="s">
        <v>6655</v>
      </c>
      <c r="E1339">
        <v>19</v>
      </c>
      <c r="F1339" t="s">
        <v>5163</v>
      </c>
      <c r="G1339" t="s">
        <v>5182</v>
      </c>
    </row>
    <row r="1340" spans="1:7" hidden="1">
      <c r="A1340" s="5" t="s">
        <v>5019</v>
      </c>
      <c r="B1340" t="s">
        <v>5161</v>
      </c>
      <c r="C1340" t="s">
        <v>214</v>
      </c>
      <c r="D1340" t="s">
        <v>6656</v>
      </c>
      <c r="E1340">
        <v>17</v>
      </c>
      <c r="F1340" t="s">
        <v>5163</v>
      </c>
      <c r="G1340" t="s">
        <v>1905</v>
      </c>
    </row>
    <row r="1341" spans="1:7" hidden="1">
      <c r="A1341" s="5" t="s">
        <v>4967</v>
      </c>
      <c r="B1341" t="s">
        <v>5161</v>
      </c>
      <c r="C1341" t="s">
        <v>214</v>
      </c>
      <c r="D1341" t="s">
        <v>6657</v>
      </c>
      <c r="E1341">
        <v>21</v>
      </c>
      <c r="F1341" t="s">
        <v>5163</v>
      </c>
      <c r="G1341" t="s">
        <v>1905</v>
      </c>
    </row>
    <row r="1342" spans="1:7" hidden="1">
      <c r="A1342" s="5" t="s">
        <v>2244</v>
      </c>
      <c r="B1342" t="s">
        <v>5161</v>
      </c>
      <c r="C1342" t="s">
        <v>214</v>
      </c>
      <c r="D1342" t="s">
        <v>6658</v>
      </c>
      <c r="E1342">
        <v>23</v>
      </c>
      <c r="F1342" t="s">
        <v>5163</v>
      </c>
      <c r="G1342" t="s">
        <v>5169</v>
      </c>
    </row>
    <row r="1343" spans="1:7" hidden="1">
      <c r="A1343" s="5" t="s">
        <v>4814</v>
      </c>
      <c r="B1343" t="s">
        <v>5161</v>
      </c>
      <c r="C1343" t="s">
        <v>214</v>
      </c>
      <c r="D1343" t="s">
        <v>6659</v>
      </c>
      <c r="E1343">
        <v>19</v>
      </c>
      <c r="F1343" t="s">
        <v>5172</v>
      </c>
      <c r="G1343" t="s">
        <v>5164</v>
      </c>
    </row>
    <row r="1344" spans="1:7" hidden="1">
      <c r="A1344" s="5" t="s">
        <v>4864</v>
      </c>
      <c r="B1344" t="s">
        <v>5161</v>
      </c>
      <c r="C1344" t="s">
        <v>214</v>
      </c>
      <c r="D1344" t="s">
        <v>6660</v>
      </c>
      <c r="E1344">
        <v>45</v>
      </c>
      <c r="F1344" t="s">
        <v>5163</v>
      </c>
      <c r="G1344" t="s">
        <v>5164</v>
      </c>
    </row>
    <row r="1345" spans="1:7" hidden="1">
      <c r="A1345" s="5" t="s">
        <v>6661</v>
      </c>
      <c r="B1345" t="s">
        <v>5161</v>
      </c>
      <c r="C1345" t="s">
        <v>214</v>
      </c>
      <c r="D1345" t="s">
        <v>6662</v>
      </c>
      <c r="E1345">
        <v>28</v>
      </c>
      <c r="F1345" t="s">
        <v>5163</v>
      </c>
      <c r="G1345" t="s">
        <v>1905</v>
      </c>
    </row>
    <row r="1346" spans="1:7" hidden="1">
      <c r="A1346" s="5" t="s">
        <v>3740</v>
      </c>
      <c r="B1346" t="s">
        <v>5161</v>
      </c>
      <c r="C1346" t="s">
        <v>214</v>
      </c>
      <c r="D1346" t="s">
        <v>6663</v>
      </c>
      <c r="E1346">
        <v>41</v>
      </c>
      <c r="F1346" t="s">
        <v>5163</v>
      </c>
      <c r="G1346" t="s">
        <v>1905</v>
      </c>
    </row>
    <row r="1347" spans="1:7" hidden="1">
      <c r="A1347" s="5" t="s">
        <v>3740</v>
      </c>
      <c r="B1347" t="s">
        <v>5161</v>
      </c>
      <c r="C1347" t="s">
        <v>214</v>
      </c>
      <c r="D1347" t="s">
        <v>6664</v>
      </c>
      <c r="E1347">
        <v>22</v>
      </c>
      <c r="F1347" t="s">
        <v>5163</v>
      </c>
      <c r="G1347" t="s">
        <v>1905</v>
      </c>
    </row>
    <row r="1348" spans="1:7" hidden="1">
      <c r="A1348" s="5" t="s">
        <v>3284</v>
      </c>
      <c r="B1348" t="s">
        <v>5161</v>
      </c>
      <c r="C1348" t="s">
        <v>214</v>
      </c>
      <c r="D1348" t="s">
        <v>6665</v>
      </c>
      <c r="E1348">
        <v>31</v>
      </c>
      <c r="F1348" t="s">
        <v>5163</v>
      </c>
      <c r="G1348" t="s">
        <v>1905</v>
      </c>
    </row>
    <row r="1349" spans="1:7" hidden="1">
      <c r="A1349" s="5" t="s">
        <v>3547</v>
      </c>
      <c r="B1349" t="s">
        <v>5161</v>
      </c>
      <c r="C1349" t="s">
        <v>214</v>
      </c>
      <c r="D1349" t="s">
        <v>6666</v>
      </c>
      <c r="E1349">
        <v>19</v>
      </c>
      <c r="F1349" t="s">
        <v>5163</v>
      </c>
      <c r="G1349" t="s">
        <v>5169</v>
      </c>
    </row>
    <row r="1350" spans="1:7" hidden="1">
      <c r="A1350" s="5" t="s">
        <v>4386</v>
      </c>
      <c r="B1350" t="s">
        <v>5161</v>
      </c>
      <c r="C1350" t="s">
        <v>214</v>
      </c>
      <c r="D1350" t="s">
        <v>6667</v>
      </c>
      <c r="E1350">
        <v>24</v>
      </c>
      <c r="F1350" t="s">
        <v>5163</v>
      </c>
      <c r="G1350" t="s">
        <v>5164</v>
      </c>
    </row>
    <row r="1351" spans="1:7" hidden="1">
      <c r="A1351" s="5" t="s">
        <v>3226</v>
      </c>
      <c r="B1351" t="s">
        <v>5161</v>
      </c>
      <c r="C1351" t="s">
        <v>214</v>
      </c>
      <c r="D1351" t="s">
        <v>6668</v>
      </c>
      <c r="E1351">
        <v>25</v>
      </c>
      <c r="F1351" t="s">
        <v>5172</v>
      </c>
      <c r="G1351" t="s">
        <v>5164</v>
      </c>
    </row>
    <row r="1352" spans="1:7" hidden="1">
      <c r="A1352" s="5" t="s">
        <v>3578</v>
      </c>
      <c r="B1352" t="s">
        <v>5161</v>
      </c>
      <c r="C1352" t="s">
        <v>214</v>
      </c>
      <c r="D1352" t="s">
        <v>6669</v>
      </c>
      <c r="E1352">
        <v>55</v>
      </c>
      <c r="F1352" t="s">
        <v>5163</v>
      </c>
      <c r="G1352" t="s">
        <v>1905</v>
      </c>
    </row>
    <row r="1353" spans="1:7" hidden="1">
      <c r="A1353" s="5" t="s">
        <v>210</v>
      </c>
      <c r="B1353" t="s">
        <v>5161</v>
      </c>
      <c r="C1353" t="s">
        <v>214</v>
      </c>
      <c r="D1353" t="s">
        <v>670</v>
      </c>
      <c r="E1353">
        <v>19</v>
      </c>
      <c r="F1353" t="s">
        <v>5163</v>
      </c>
      <c r="G1353" t="s">
        <v>5164</v>
      </c>
    </row>
    <row r="1354" spans="1:7" hidden="1">
      <c r="A1354" s="5" t="s">
        <v>4212</v>
      </c>
      <c r="B1354" t="s">
        <v>5161</v>
      </c>
      <c r="C1354" t="s">
        <v>214</v>
      </c>
      <c r="D1354" t="s">
        <v>6670</v>
      </c>
      <c r="E1354">
        <v>30</v>
      </c>
      <c r="F1354" t="s">
        <v>5163</v>
      </c>
      <c r="G1354" t="s">
        <v>1905</v>
      </c>
    </row>
    <row r="1355" spans="1:7" hidden="1">
      <c r="A1355" s="5" t="s">
        <v>3630</v>
      </c>
      <c r="B1355" t="s">
        <v>5161</v>
      </c>
      <c r="C1355" t="s">
        <v>214</v>
      </c>
      <c r="D1355" t="s">
        <v>6671</v>
      </c>
      <c r="E1355">
        <v>32</v>
      </c>
      <c r="F1355" t="s">
        <v>5163</v>
      </c>
      <c r="G1355" t="s">
        <v>1905</v>
      </c>
    </row>
    <row r="1356" spans="1:7" hidden="1">
      <c r="A1356" s="5" t="s">
        <v>4170</v>
      </c>
      <c r="B1356" t="s">
        <v>5161</v>
      </c>
      <c r="C1356" t="s">
        <v>214</v>
      </c>
      <c r="D1356" t="s">
        <v>6672</v>
      </c>
      <c r="E1356">
        <v>28</v>
      </c>
      <c r="F1356" t="s">
        <v>5163</v>
      </c>
      <c r="G1356" t="s">
        <v>5164</v>
      </c>
    </row>
    <row r="1357" spans="1:7" hidden="1">
      <c r="A1357" s="5" t="s">
        <v>3183</v>
      </c>
      <c r="B1357" t="s">
        <v>5161</v>
      </c>
      <c r="C1357" t="s">
        <v>214</v>
      </c>
      <c r="D1357" t="s">
        <v>6673</v>
      </c>
      <c r="E1357">
        <v>20</v>
      </c>
      <c r="F1357" t="s">
        <v>5163</v>
      </c>
      <c r="G1357" t="s">
        <v>1905</v>
      </c>
    </row>
    <row r="1358" spans="1:7" hidden="1">
      <c r="A1358" s="5" t="s">
        <v>3183</v>
      </c>
      <c r="B1358" t="s">
        <v>5161</v>
      </c>
      <c r="C1358" t="s">
        <v>214</v>
      </c>
      <c r="D1358" t="s">
        <v>6674</v>
      </c>
      <c r="E1358">
        <v>27</v>
      </c>
      <c r="F1358" t="s">
        <v>5163</v>
      </c>
      <c r="G1358" t="s">
        <v>5164</v>
      </c>
    </row>
    <row r="1359" spans="1:7" hidden="1">
      <c r="A1359" s="5" t="s">
        <v>3183</v>
      </c>
      <c r="B1359" t="s">
        <v>5161</v>
      </c>
      <c r="C1359" t="s">
        <v>214</v>
      </c>
      <c r="D1359" t="s">
        <v>6675</v>
      </c>
      <c r="E1359">
        <v>27</v>
      </c>
      <c r="F1359" t="s">
        <v>5172</v>
      </c>
      <c r="G1359" t="s">
        <v>5164</v>
      </c>
    </row>
    <row r="1360" spans="1:7" hidden="1">
      <c r="A1360" s="5" t="s">
        <v>2387</v>
      </c>
      <c r="B1360" t="s">
        <v>5161</v>
      </c>
      <c r="C1360" t="s">
        <v>214</v>
      </c>
      <c r="D1360" t="s">
        <v>6676</v>
      </c>
      <c r="E1360">
        <v>37</v>
      </c>
      <c r="F1360" t="s">
        <v>5163</v>
      </c>
      <c r="G1360" t="s">
        <v>5164</v>
      </c>
    </row>
    <row r="1361" spans="1:7" hidden="1">
      <c r="A1361" s="5" t="s">
        <v>1583</v>
      </c>
      <c r="B1361" t="s">
        <v>5161</v>
      </c>
      <c r="C1361" t="s">
        <v>214</v>
      </c>
      <c r="D1361" t="s">
        <v>6677</v>
      </c>
      <c r="E1361">
        <v>35</v>
      </c>
      <c r="F1361" t="s">
        <v>5163</v>
      </c>
      <c r="G1361" t="s">
        <v>1905</v>
      </c>
    </row>
    <row r="1362" spans="1:7" hidden="1">
      <c r="A1362" s="5" t="s">
        <v>4278</v>
      </c>
      <c r="B1362" t="s">
        <v>5161</v>
      </c>
      <c r="C1362" t="s">
        <v>214</v>
      </c>
      <c r="D1362" t="s">
        <v>6678</v>
      </c>
      <c r="E1362">
        <v>36</v>
      </c>
      <c r="F1362" t="s">
        <v>5163</v>
      </c>
      <c r="G1362" t="s">
        <v>1905</v>
      </c>
    </row>
    <row r="1363" spans="1:7" hidden="1">
      <c r="A1363" s="5" t="s">
        <v>4278</v>
      </c>
      <c r="B1363" t="s">
        <v>5161</v>
      </c>
      <c r="C1363" t="s">
        <v>214</v>
      </c>
      <c r="D1363" t="s">
        <v>6679</v>
      </c>
      <c r="E1363">
        <v>23</v>
      </c>
      <c r="F1363" t="s">
        <v>5163</v>
      </c>
      <c r="G1363" t="s">
        <v>1905</v>
      </c>
    </row>
    <row r="1364" spans="1:7" hidden="1">
      <c r="A1364" s="5" t="s">
        <v>5096</v>
      </c>
      <c r="B1364" t="s">
        <v>5161</v>
      </c>
      <c r="C1364" t="s">
        <v>214</v>
      </c>
      <c r="D1364" t="s">
        <v>6680</v>
      </c>
      <c r="E1364">
        <v>20</v>
      </c>
      <c r="F1364" t="s">
        <v>5163</v>
      </c>
      <c r="G1364" t="s">
        <v>1905</v>
      </c>
    </row>
    <row r="1365" spans="1:7" hidden="1">
      <c r="A1365" s="5" t="s">
        <v>212</v>
      </c>
      <c r="B1365" t="s">
        <v>5161</v>
      </c>
      <c r="C1365" t="s">
        <v>214</v>
      </c>
      <c r="D1365" t="s">
        <v>6681</v>
      </c>
      <c r="E1365">
        <v>31</v>
      </c>
      <c r="F1365" t="s">
        <v>5163</v>
      </c>
      <c r="G1365" t="s">
        <v>5164</v>
      </c>
    </row>
    <row r="1366" spans="1:7" hidden="1">
      <c r="A1366" s="5" t="s">
        <v>212</v>
      </c>
      <c r="B1366" t="s">
        <v>5161</v>
      </c>
      <c r="C1366" t="s">
        <v>214</v>
      </c>
      <c r="D1366" t="s">
        <v>6682</v>
      </c>
      <c r="E1366">
        <v>37</v>
      </c>
      <c r="F1366" t="s">
        <v>5163</v>
      </c>
      <c r="G1366" t="s">
        <v>5164</v>
      </c>
    </row>
    <row r="1367" spans="1:7" hidden="1">
      <c r="A1367" s="5" t="s">
        <v>3957</v>
      </c>
      <c r="B1367" t="s">
        <v>5161</v>
      </c>
      <c r="C1367" t="s">
        <v>214</v>
      </c>
      <c r="D1367" t="s">
        <v>6683</v>
      </c>
      <c r="E1367">
        <v>33</v>
      </c>
      <c r="F1367" t="s">
        <v>5163</v>
      </c>
      <c r="G1367" t="s">
        <v>1905</v>
      </c>
    </row>
    <row r="1368" spans="1:7" hidden="1">
      <c r="A1368" s="5" t="s">
        <v>4361</v>
      </c>
      <c r="B1368" t="s">
        <v>5161</v>
      </c>
      <c r="C1368" t="s">
        <v>214</v>
      </c>
      <c r="D1368" t="s">
        <v>6684</v>
      </c>
      <c r="E1368">
        <v>32</v>
      </c>
      <c r="F1368" t="s">
        <v>5163</v>
      </c>
      <c r="G1368" t="s">
        <v>5164</v>
      </c>
    </row>
    <row r="1369" spans="1:7" hidden="1">
      <c r="A1369" s="5" t="s">
        <v>211</v>
      </c>
      <c r="B1369" t="s">
        <v>5161</v>
      </c>
      <c r="C1369" t="s">
        <v>214</v>
      </c>
      <c r="D1369" t="s">
        <v>671</v>
      </c>
      <c r="E1369">
        <v>22</v>
      </c>
      <c r="F1369" t="s">
        <v>5163</v>
      </c>
      <c r="G1369" t="s">
        <v>5164</v>
      </c>
    </row>
    <row r="1370" spans="1:7" hidden="1">
      <c r="A1370" s="5" t="s">
        <v>3881</v>
      </c>
      <c r="B1370" t="s">
        <v>5161</v>
      </c>
      <c r="C1370" t="s">
        <v>214</v>
      </c>
      <c r="D1370" t="s">
        <v>6685</v>
      </c>
      <c r="E1370">
        <v>25</v>
      </c>
      <c r="F1370" t="s">
        <v>5163</v>
      </c>
      <c r="G1370" t="s">
        <v>5164</v>
      </c>
    </row>
    <row r="1371" spans="1:7" hidden="1">
      <c r="A1371" s="5" t="s">
        <v>3729</v>
      </c>
      <c r="B1371" t="s">
        <v>5161</v>
      </c>
      <c r="C1371" t="s">
        <v>214</v>
      </c>
      <c r="D1371" t="s">
        <v>6686</v>
      </c>
      <c r="E1371">
        <v>21</v>
      </c>
      <c r="F1371" t="s">
        <v>5163</v>
      </c>
      <c r="G1371" t="s">
        <v>5164</v>
      </c>
    </row>
    <row r="1372" spans="1:7" hidden="1">
      <c r="A1372" s="5" t="s">
        <v>6687</v>
      </c>
      <c r="B1372" t="s">
        <v>5161</v>
      </c>
      <c r="C1372" t="s">
        <v>214</v>
      </c>
      <c r="D1372" t="s">
        <v>6688</v>
      </c>
      <c r="E1372">
        <v>18</v>
      </c>
      <c r="F1372" t="s">
        <v>5163</v>
      </c>
      <c r="G1372" t="s">
        <v>5164</v>
      </c>
    </row>
    <row r="1373" spans="1:7" hidden="1">
      <c r="A1373" s="5" t="s">
        <v>5103</v>
      </c>
      <c r="B1373" t="s">
        <v>5161</v>
      </c>
      <c r="C1373" t="s">
        <v>214</v>
      </c>
      <c r="D1373" t="s">
        <v>6689</v>
      </c>
      <c r="E1373">
        <v>29</v>
      </c>
      <c r="F1373" t="s">
        <v>5163</v>
      </c>
      <c r="G1373" t="s">
        <v>5164</v>
      </c>
    </row>
    <row r="1374" spans="1:7" hidden="1">
      <c r="A1374" s="5" t="s">
        <v>2874</v>
      </c>
      <c r="B1374" t="s">
        <v>5161</v>
      </c>
      <c r="C1374" t="s">
        <v>214</v>
      </c>
      <c r="D1374" t="s">
        <v>6690</v>
      </c>
      <c r="E1374">
        <v>25</v>
      </c>
      <c r="F1374" t="s">
        <v>5163</v>
      </c>
      <c r="G1374" t="s">
        <v>1905</v>
      </c>
    </row>
    <row r="1375" spans="1:7" hidden="1">
      <c r="A1375" s="5" t="s">
        <v>2874</v>
      </c>
      <c r="B1375" t="s">
        <v>5161</v>
      </c>
      <c r="C1375" t="s">
        <v>214</v>
      </c>
      <c r="D1375" t="s">
        <v>6691</v>
      </c>
      <c r="E1375">
        <v>19</v>
      </c>
      <c r="F1375" t="s">
        <v>5172</v>
      </c>
      <c r="G1375" t="s">
        <v>1905</v>
      </c>
    </row>
    <row r="1376" spans="1:7" hidden="1">
      <c r="A1376" s="5" t="s">
        <v>2874</v>
      </c>
      <c r="B1376" t="s">
        <v>5161</v>
      </c>
      <c r="C1376" t="s">
        <v>214</v>
      </c>
      <c r="D1376" t="s">
        <v>6692</v>
      </c>
      <c r="E1376">
        <v>18</v>
      </c>
      <c r="F1376" t="s">
        <v>5163</v>
      </c>
      <c r="G1376" t="s">
        <v>1905</v>
      </c>
    </row>
    <row r="1377" spans="1:7" hidden="1">
      <c r="A1377" s="5" t="s">
        <v>2874</v>
      </c>
      <c r="B1377" t="s">
        <v>5161</v>
      </c>
      <c r="C1377" t="s">
        <v>214</v>
      </c>
      <c r="D1377" t="s">
        <v>6693</v>
      </c>
      <c r="E1377">
        <v>37</v>
      </c>
      <c r="F1377" t="s">
        <v>5163</v>
      </c>
      <c r="G1377" t="s">
        <v>5164</v>
      </c>
    </row>
    <row r="1378" spans="1:7" hidden="1">
      <c r="A1378" s="5" t="s">
        <v>2874</v>
      </c>
      <c r="B1378" t="s">
        <v>5161</v>
      </c>
      <c r="C1378" t="s">
        <v>214</v>
      </c>
      <c r="D1378" t="s">
        <v>6694</v>
      </c>
      <c r="E1378">
        <v>42</v>
      </c>
      <c r="F1378" t="s">
        <v>5163</v>
      </c>
      <c r="G1378" t="s">
        <v>1905</v>
      </c>
    </row>
    <row r="1379" spans="1:7" hidden="1">
      <c r="A1379" s="5" t="s">
        <v>2576</v>
      </c>
      <c r="B1379" t="s">
        <v>5161</v>
      </c>
      <c r="C1379" t="s">
        <v>214</v>
      </c>
      <c r="D1379" t="s">
        <v>6695</v>
      </c>
      <c r="E1379">
        <v>29</v>
      </c>
      <c r="F1379" t="s">
        <v>5163</v>
      </c>
      <c r="G1379" t="s">
        <v>5164</v>
      </c>
    </row>
    <row r="1380" spans="1:7" hidden="1">
      <c r="A1380" s="5" t="s">
        <v>3713</v>
      </c>
      <c r="B1380" t="s">
        <v>5161</v>
      </c>
      <c r="C1380" t="s">
        <v>214</v>
      </c>
      <c r="D1380" t="s">
        <v>6696</v>
      </c>
      <c r="E1380">
        <v>23</v>
      </c>
      <c r="F1380" t="s">
        <v>5163</v>
      </c>
      <c r="G1380" t="s">
        <v>5164</v>
      </c>
    </row>
    <row r="1381" spans="1:7" hidden="1">
      <c r="A1381" s="5" t="s">
        <v>2958</v>
      </c>
      <c r="B1381" t="s">
        <v>5161</v>
      </c>
      <c r="C1381" t="s">
        <v>214</v>
      </c>
      <c r="D1381" t="s">
        <v>6697</v>
      </c>
      <c r="E1381">
        <v>27</v>
      </c>
      <c r="F1381" t="s">
        <v>5163</v>
      </c>
      <c r="G1381" t="s">
        <v>5169</v>
      </c>
    </row>
    <row r="1382" spans="1:7" hidden="1">
      <c r="A1382" s="5" t="s">
        <v>3642</v>
      </c>
      <c r="B1382" t="s">
        <v>5161</v>
      </c>
      <c r="C1382" t="s">
        <v>214</v>
      </c>
      <c r="D1382" t="s">
        <v>6698</v>
      </c>
      <c r="E1382">
        <v>24</v>
      </c>
      <c r="F1382" t="s">
        <v>5163</v>
      </c>
      <c r="G1382" t="s">
        <v>5169</v>
      </c>
    </row>
    <row r="1383" spans="1:7" hidden="1">
      <c r="A1383" s="5" t="s">
        <v>2886</v>
      </c>
      <c r="B1383" t="s">
        <v>5161</v>
      </c>
      <c r="C1383" t="s">
        <v>214</v>
      </c>
      <c r="D1383" t="s">
        <v>6699</v>
      </c>
      <c r="E1383">
        <v>20</v>
      </c>
      <c r="F1383" t="s">
        <v>5172</v>
      </c>
      <c r="G1383" t="s">
        <v>1905</v>
      </c>
    </row>
    <row r="1384" spans="1:7" hidden="1">
      <c r="A1384" s="5" t="s">
        <v>4941</v>
      </c>
      <c r="B1384" t="s">
        <v>5161</v>
      </c>
      <c r="C1384" t="s">
        <v>214</v>
      </c>
      <c r="D1384" t="s">
        <v>6700</v>
      </c>
      <c r="E1384">
        <v>28</v>
      </c>
      <c r="F1384" t="s">
        <v>5163</v>
      </c>
      <c r="G1384" t="s">
        <v>5164</v>
      </c>
    </row>
    <row r="1385" spans="1:7" hidden="1">
      <c r="A1385" s="5" t="s">
        <v>3670</v>
      </c>
      <c r="B1385" t="s">
        <v>5161</v>
      </c>
      <c r="C1385" t="s">
        <v>214</v>
      </c>
      <c r="D1385" t="s">
        <v>6701</v>
      </c>
      <c r="E1385">
        <v>33</v>
      </c>
      <c r="F1385" t="s">
        <v>5163</v>
      </c>
      <c r="G1385" t="s">
        <v>5169</v>
      </c>
    </row>
    <row r="1386" spans="1:7" hidden="1">
      <c r="A1386" s="5" t="s">
        <v>2642</v>
      </c>
      <c r="B1386" t="s">
        <v>5161</v>
      </c>
      <c r="C1386" t="s">
        <v>214</v>
      </c>
      <c r="D1386" t="s">
        <v>6702</v>
      </c>
      <c r="E1386">
        <v>20</v>
      </c>
      <c r="F1386" t="s">
        <v>5163</v>
      </c>
      <c r="G1386" t="s">
        <v>5164</v>
      </c>
    </row>
    <row r="1387" spans="1:7" hidden="1">
      <c r="A1387" s="5" t="s">
        <v>2642</v>
      </c>
      <c r="B1387" t="s">
        <v>5161</v>
      </c>
      <c r="C1387" t="s">
        <v>214</v>
      </c>
      <c r="D1387" t="s">
        <v>6703</v>
      </c>
      <c r="E1387">
        <v>31</v>
      </c>
      <c r="F1387" t="s">
        <v>5163</v>
      </c>
      <c r="G1387" t="s">
        <v>1905</v>
      </c>
    </row>
    <row r="1388" spans="1:7" hidden="1">
      <c r="A1388" s="5" t="s">
        <v>2100</v>
      </c>
      <c r="B1388" t="s">
        <v>5161</v>
      </c>
      <c r="C1388" t="s">
        <v>214</v>
      </c>
      <c r="D1388" t="s">
        <v>6704</v>
      </c>
      <c r="E1388">
        <v>31</v>
      </c>
      <c r="F1388" t="s">
        <v>5172</v>
      </c>
      <c r="G1388" t="s">
        <v>5164</v>
      </c>
    </row>
    <row r="1389" spans="1:7" hidden="1">
      <c r="A1389" s="5" t="s">
        <v>2100</v>
      </c>
      <c r="B1389" t="s">
        <v>5161</v>
      </c>
      <c r="C1389" t="s">
        <v>214</v>
      </c>
      <c r="D1389" t="s">
        <v>6705</v>
      </c>
      <c r="E1389">
        <v>23</v>
      </c>
      <c r="F1389" t="s">
        <v>5163</v>
      </c>
      <c r="G1389" t="s">
        <v>5164</v>
      </c>
    </row>
    <row r="1390" spans="1:7" hidden="1">
      <c r="A1390" s="5" t="s">
        <v>2100</v>
      </c>
      <c r="B1390" t="s">
        <v>5161</v>
      </c>
      <c r="C1390" t="s">
        <v>214</v>
      </c>
      <c r="D1390" t="s">
        <v>6706</v>
      </c>
      <c r="E1390">
        <v>23</v>
      </c>
      <c r="F1390" t="s">
        <v>5163</v>
      </c>
      <c r="G1390" t="s">
        <v>5164</v>
      </c>
    </row>
    <row r="1391" spans="1:7" hidden="1">
      <c r="A1391" s="5" t="s">
        <v>3417</v>
      </c>
      <c r="B1391" t="s">
        <v>5161</v>
      </c>
      <c r="C1391" t="s">
        <v>214</v>
      </c>
      <c r="D1391" t="s">
        <v>6707</v>
      </c>
      <c r="E1391">
        <v>29</v>
      </c>
      <c r="F1391" t="s">
        <v>5163</v>
      </c>
      <c r="G1391" t="s">
        <v>5164</v>
      </c>
    </row>
    <row r="1392" spans="1:7" hidden="1">
      <c r="A1392" s="5" t="s">
        <v>2909</v>
      </c>
      <c r="B1392" t="s">
        <v>5161</v>
      </c>
      <c r="C1392" t="s">
        <v>214</v>
      </c>
      <c r="D1392" t="s">
        <v>6708</v>
      </c>
      <c r="E1392">
        <v>20</v>
      </c>
      <c r="F1392" t="s">
        <v>5163</v>
      </c>
      <c r="G1392" t="s">
        <v>1905</v>
      </c>
    </row>
    <row r="1393" spans="1:7" hidden="1">
      <c r="A1393" s="5" t="s">
        <v>3545</v>
      </c>
      <c r="B1393" t="s">
        <v>5161</v>
      </c>
      <c r="C1393" t="s">
        <v>214</v>
      </c>
      <c r="D1393" t="s">
        <v>6709</v>
      </c>
      <c r="E1393">
        <v>28</v>
      </c>
      <c r="F1393" t="s">
        <v>5163</v>
      </c>
      <c r="G1393" t="s">
        <v>5164</v>
      </c>
    </row>
    <row r="1394" spans="1:7" hidden="1">
      <c r="A1394" s="5" t="s">
        <v>4909</v>
      </c>
      <c r="B1394" t="s">
        <v>5161</v>
      </c>
      <c r="C1394" t="s">
        <v>214</v>
      </c>
      <c r="D1394" t="s">
        <v>6710</v>
      </c>
      <c r="E1394">
        <v>27</v>
      </c>
      <c r="F1394" t="s">
        <v>5163</v>
      </c>
      <c r="G1394" t="s">
        <v>5164</v>
      </c>
    </row>
    <row r="1395" spans="1:7" hidden="1">
      <c r="A1395" s="5" t="s">
        <v>2593</v>
      </c>
      <c r="B1395" t="s">
        <v>5161</v>
      </c>
      <c r="C1395" t="s">
        <v>214</v>
      </c>
      <c r="D1395" t="s">
        <v>6711</v>
      </c>
      <c r="E1395">
        <v>56</v>
      </c>
      <c r="F1395" t="s">
        <v>5172</v>
      </c>
      <c r="G1395" t="s">
        <v>5164</v>
      </c>
    </row>
    <row r="1396" spans="1:7" hidden="1">
      <c r="A1396" s="5" t="s">
        <v>4202</v>
      </c>
      <c r="B1396" t="s">
        <v>5161</v>
      </c>
      <c r="C1396" t="s">
        <v>214</v>
      </c>
      <c r="D1396" t="s">
        <v>6712</v>
      </c>
      <c r="E1396">
        <v>18</v>
      </c>
      <c r="F1396" t="s">
        <v>5163</v>
      </c>
      <c r="G1396" t="s">
        <v>5164</v>
      </c>
    </row>
    <row r="1397" spans="1:7" hidden="1">
      <c r="A1397" s="5" t="s">
        <v>2578</v>
      </c>
      <c r="B1397" t="s">
        <v>5161</v>
      </c>
      <c r="C1397" t="s">
        <v>214</v>
      </c>
      <c r="D1397" t="s">
        <v>6713</v>
      </c>
      <c r="E1397">
        <v>35</v>
      </c>
      <c r="F1397" t="s">
        <v>5172</v>
      </c>
      <c r="G1397" t="s">
        <v>5164</v>
      </c>
    </row>
    <row r="1398" spans="1:7" hidden="1">
      <c r="A1398" s="5" t="s">
        <v>3261</v>
      </c>
      <c r="B1398" t="s">
        <v>5161</v>
      </c>
      <c r="C1398" t="s">
        <v>214</v>
      </c>
      <c r="D1398" t="s">
        <v>6714</v>
      </c>
      <c r="E1398">
        <v>45</v>
      </c>
      <c r="F1398" t="s">
        <v>5163</v>
      </c>
      <c r="G1398" t="s">
        <v>5169</v>
      </c>
    </row>
    <row r="1399" spans="1:7" hidden="1">
      <c r="A1399" s="5" t="s">
        <v>204</v>
      </c>
      <c r="B1399" t="s">
        <v>5161</v>
      </c>
      <c r="C1399" t="s">
        <v>214</v>
      </c>
      <c r="D1399" t="s">
        <v>661</v>
      </c>
      <c r="E1399">
        <v>41</v>
      </c>
      <c r="F1399" t="s">
        <v>5163</v>
      </c>
      <c r="G1399" t="s">
        <v>5164</v>
      </c>
    </row>
    <row r="1400" spans="1:7" hidden="1">
      <c r="A1400" s="5" t="s">
        <v>2907</v>
      </c>
      <c r="B1400" t="s">
        <v>5161</v>
      </c>
      <c r="C1400" t="s">
        <v>214</v>
      </c>
      <c r="D1400" t="s">
        <v>6715</v>
      </c>
      <c r="E1400">
        <v>20</v>
      </c>
      <c r="F1400" t="s">
        <v>5163</v>
      </c>
      <c r="G1400" t="s">
        <v>5164</v>
      </c>
    </row>
    <row r="1401" spans="1:7" hidden="1">
      <c r="A1401" s="5" t="s">
        <v>6716</v>
      </c>
      <c r="B1401" t="s">
        <v>5161</v>
      </c>
      <c r="C1401" t="s">
        <v>214</v>
      </c>
      <c r="D1401" t="s">
        <v>6717</v>
      </c>
      <c r="E1401">
        <v>30</v>
      </c>
      <c r="F1401" t="s">
        <v>5163</v>
      </c>
      <c r="G1401" t="s">
        <v>5164</v>
      </c>
    </row>
    <row r="1402" spans="1:7" hidden="1">
      <c r="A1402" s="5" t="s">
        <v>6716</v>
      </c>
      <c r="B1402" t="s">
        <v>5161</v>
      </c>
      <c r="C1402" t="s">
        <v>214</v>
      </c>
      <c r="D1402" t="s">
        <v>6718</v>
      </c>
      <c r="E1402">
        <v>25</v>
      </c>
      <c r="F1402" t="s">
        <v>5163</v>
      </c>
      <c r="G1402" t="s">
        <v>5169</v>
      </c>
    </row>
    <row r="1403" spans="1:7" hidden="1">
      <c r="A1403" s="5" t="s">
        <v>4588</v>
      </c>
      <c r="B1403" t="s">
        <v>5161</v>
      </c>
      <c r="C1403" t="s">
        <v>214</v>
      </c>
      <c r="D1403" t="s">
        <v>6719</v>
      </c>
      <c r="E1403">
        <v>36</v>
      </c>
      <c r="F1403" t="s">
        <v>5163</v>
      </c>
      <c r="G1403" t="s">
        <v>1905</v>
      </c>
    </row>
    <row r="1404" spans="1:7" hidden="1">
      <c r="A1404" s="5" t="s">
        <v>4057</v>
      </c>
      <c r="B1404" t="s">
        <v>5161</v>
      </c>
      <c r="C1404" t="s">
        <v>214</v>
      </c>
      <c r="D1404" t="s">
        <v>6720</v>
      </c>
      <c r="E1404">
        <v>34</v>
      </c>
      <c r="F1404" t="s">
        <v>5163</v>
      </c>
      <c r="G1404" t="s">
        <v>5169</v>
      </c>
    </row>
    <row r="1405" spans="1:7" hidden="1">
      <c r="A1405" s="5" t="s">
        <v>2943</v>
      </c>
      <c r="B1405" t="s">
        <v>5161</v>
      </c>
      <c r="C1405" t="s">
        <v>214</v>
      </c>
      <c r="D1405" t="s">
        <v>6721</v>
      </c>
      <c r="E1405">
        <v>21</v>
      </c>
      <c r="F1405" t="s">
        <v>5163</v>
      </c>
      <c r="G1405" t="s">
        <v>5164</v>
      </c>
    </row>
    <row r="1406" spans="1:7" hidden="1">
      <c r="A1406" s="5" t="s">
        <v>3408</v>
      </c>
      <c r="B1406" t="s">
        <v>5161</v>
      </c>
      <c r="C1406" t="s">
        <v>214</v>
      </c>
      <c r="D1406" t="s">
        <v>6722</v>
      </c>
      <c r="E1406">
        <v>35</v>
      </c>
      <c r="F1406" t="s">
        <v>5163</v>
      </c>
      <c r="G1406" t="s">
        <v>5164</v>
      </c>
    </row>
    <row r="1407" spans="1:7" hidden="1">
      <c r="A1407" s="5" t="s">
        <v>6723</v>
      </c>
      <c r="B1407" t="s">
        <v>5161</v>
      </c>
      <c r="C1407" t="s">
        <v>214</v>
      </c>
      <c r="D1407" t="s">
        <v>6724</v>
      </c>
      <c r="E1407">
        <v>25</v>
      </c>
      <c r="F1407" t="s">
        <v>5163</v>
      </c>
      <c r="G1407" t="s">
        <v>1905</v>
      </c>
    </row>
    <row r="1408" spans="1:7" hidden="1">
      <c r="A1408" s="5" t="s">
        <v>2706</v>
      </c>
      <c r="B1408" t="s">
        <v>5161</v>
      </c>
      <c r="C1408" t="s">
        <v>214</v>
      </c>
      <c r="D1408" t="s">
        <v>6725</v>
      </c>
      <c r="E1408">
        <v>30</v>
      </c>
      <c r="F1408" t="s">
        <v>5163</v>
      </c>
      <c r="G1408" t="s">
        <v>1905</v>
      </c>
    </row>
    <row r="1409" spans="1:7" hidden="1">
      <c r="A1409" s="5" t="s">
        <v>2706</v>
      </c>
      <c r="B1409" t="s">
        <v>5161</v>
      </c>
      <c r="C1409" t="s">
        <v>214</v>
      </c>
      <c r="D1409" t="s">
        <v>6726</v>
      </c>
      <c r="E1409">
        <v>32</v>
      </c>
      <c r="F1409" t="s">
        <v>5163</v>
      </c>
      <c r="G1409" t="s">
        <v>5164</v>
      </c>
    </row>
    <row r="1410" spans="1:7" hidden="1">
      <c r="A1410" s="5" t="s">
        <v>2781</v>
      </c>
      <c r="B1410" t="s">
        <v>5161</v>
      </c>
      <c r="C1410" t="s">
        <v>214</v>
      </c>
      <c r="D1410" t="s">
        <v>6727</v>
      </c>
      <c r="E1410">
        <v>18</v>
      </c>
      <c r="F1410" t="s">
        <v>5172</v>
      </c>
      <c r="G1410" t="s">
        <v>5164</v>
      </c>
    </row>
    <row r="1411" spans="1:7" hidden="1">
      <c r="A1411" s="5" t="s">
        <v>2938</v>
      </c>
      <c r="B1411" t="s">
        <v>5161</v>
      </c>
      <c r="C1411" t="s">
        <v>214</v>
      </c>
      <c r="D1411" t="s">
        <v>6728</v>
      </c>
      <c r="E1411">
        <v>27</v>
      </c>
      <c r="F1411" t="s">
        <v>5163</v>
      </c>
      <c r="G1411" t="s">
        <v>1905</v>
      </c>
    </row>
    <row r="1412" spans="1:7" hidden="1">
      <c r="A1412" s="5" t="s">
        <v>2938</v>
      </c>
      <c r="B1412" t="s">
        <v>5161</v>
      </c>
      <c r="C1412" t="s">
        <v>214</v>
      </c>
      <c r="D1412" t="s">
        <v>6729</v>
      </c>
      <c r="E1412">
        <v>18</v>
      </c>
      <c r="F1412" t="s">
        <v>5163</v>
      </c>
      <c r="G1412" t="s">
        <v>5169</v>
      </c>
    </row>
    <row r="1413" spans="1:7" hidden="1">
      <c r="A1413" s="5" t="s">
        <v>3242</v>
      </c>
      <c r="B1413" t="s">
        <v>5161</v>
      </c>
      <c r="C1413" t="s">
        <v>214</v>
      </c>
      <c r="D1413" t="s">
        <v>6730</v>
      </c>
      <c r="E1413">
        <v>24</v>
      </c>
      <c r="F1413" t="s">
        <v>5172</v>
      </c>
      <c r="G1413" t="s">
        <v>1905</v>
      </c>
    </row>
    <row r="1414" spans="1:7" hidden="1">
      <c r="A1414" s="5" t="s">
        <v>3228</v>
      </c>
      <c r="B1414" t="s">
        <v>5161</v>
      </c>
      <c r="C1414" t="s">
        <v>214</v>
      </c>
      <c r="D1414" t="s">
        <v>6731</v>
      </c>
      <c r="E1414">
        <v>19</v>
      </c>
      <c r="F1414" t="s">
        <v>5172</v>
      </c>
      <c r="G1414" t="s">
        <v>5164</v>
      </c>
    </row>
    <row r="1415" spans="1:7" hidden="1">
      <c r="A1415" s="5" t="s">
        <v>2712</v>
      </c>
      <c r="B1415" t="s">
        <v>5161</v>
      </c>
      <c r="C1415" t="s">
        <v>214</v>
      </c>
      <c r="D1415" t="s">
        <v>6732</v>
      </c>
      <c r="E1415">
        <v>35</v>
      </c>
      <c r="F1415" t="s">
        <v>5163</v>
      </c>
      <c r="G1415" t="s">
        <v>5169</v>
      </c>
    </row>
    <row r="1416" spans="1:7" hidden="1">
      <c r="A1416" s="5" t="s">
        <v>205</v>
      </c>
      <c r="B1416" t="s">
        <v>5161</v>
      </c>
      <c r="C1416" t="s">
        <v>214</v>
      </c>
      <c r="D1416" t="s">
        <v>663</v>
      </c>
      <c r="E1416">
        <v>27</v>
      </c>
      <c r="F1416" t="s">
        <v>5163</v>
      </c>
      <c r="G1416" t="s">
        <v>1905</v>
      </c>
    </row>
    <row r="1417" spans="1:7" hidden="1">
      <c r="A1417" s="5" t="s">
        <v>2899</v>
      </c>
      <c r="B1417" t="s">
        <v>5161</v>
      </c>
      <c r="C1417" t="s">
        <v>214</v>
      </c>
      <c r="D1417" t="s">
        <v>6733</v>
      </c>
      <c r="E1417">
        <v>18</v>
      </c>
      <c r="F1417" t="s">
        <v>5163</v>
      </c>
      <c r="G1417" t="s">
        <v>5164</v>
      </c>
    </row>
    <row r="1418" spans="1:7" hidden="1">
      <c r="A1418" s="5" t="s">
        <v>202</v>
      </c>
      <c r="B1418" t="s">
        <v>5161</v>
      </c>
      <c r="C1418" t="s">
        <v>214</v>
      </c>
      <c r="D1418" t="s">
        <v>659</v>
      </c>
      <c r="E1418">
        <v>21</v>
      </c>
      <c r="F1418" t="s">
        <v>5163</v>
      </c>
      <c r="G1418" t="s">
        <v>5164</v>
      </c>
    </row>
    <row r="1419" spans="1:7" hidden="1">
      <c r="A1419" s="5" t="s">
        <v>2186</v>
      </c>
      <c r="B1419" t="s">
        <v>5161</v>
      </c>
      <c r="C1419" t="s">
        <v>214</v>
      </c>
      <c r="D1419" t="s">
        <v>6734</v>
      </c>
      <c r="E1419">
        <v>23</v>
      </c>
      <c r="F1419" t="s">
        <v>5163</v>
      </c>
      <c r="G1419" t="s">
        <v>5169</v>
      </c>
    </row>
    <row r="1420" spans="1:7" hidden="1">
      <c r="A1420" s="5" t="s">
        <v>5020</v>
      </c>
      <c r="B1420" t="s">
        <v>5161</v>
      </c>
      <c r="C1420" t="s">
        <v>214</v>
      </c>
      <c r="D1420" t="s">
        <v>6735</v>
      </c>
      <c r="E1420">
        <v>27</v>
      </c>
      <c r="F1420" t="s">
        <v>5163</v>
      </c>
      <c r="G1420" t="s">
        <v>5164</v>
      </c>
    </row>
    <row r="1421" spans="1:7" hidden="1">
      <c r="A1421" s="5" t="s">
        <v>6736</v>
      </c>
      <c r="B1421" t="s">
        <v>5161</v>
      </c>
      <c r="C1421" t="s">
        <v>214</v>
      </c>
      <c r="D1421" t="s">
        <v>6737</v>
      </c>
      <c r="E1421">
        <v>19</v>
      </c>
      <c r="F1421" t="s">
        <v>5163</v>
      </c>
      <c r="G1421" t="s">
        <v>5164</v>
      </c>
    </row>
    <row r="1422" spans="1:7" hidden="1">
      <c r="A1422" s="5" t="s">
        <v>2885</v>
      </c>
      <c r="B1422" t="s">
        <v>5161</v>
      </c>
      <c r="C1422" t="s">
        <v>214</v>
      </c>
      <c r="D1422" t="s">
        <v>6738</v>
      </c>
      <c r="E1422">
        <v>24</v>
      </c>
      <c r="F1422" t="s">
        <v>5163</v>
      </c>
      <c r="G1422" t="s">
        <v>5164</v>
      </c>
    </row>
    <row r="1423" spans="1:7" hidden="1">
      <c r="A1423" s="5" t="s">
        <v>2885</v>
      </c>
      <c r="B1423" t="s">
        <v>5161</v>
      </c>
      <c r="C1423" t="s">
        <v>214</v>
      </c>
      <c r="D1423" t="s">
        <v>6739</v>
      </c>
      <c r="E1423">
        <v>21</v>
      </c>
      <c r="F1423" t="s">
        <v>5163</v>
      </c>
      <c r="G1423" t="s">
        <v>1905</v>
      </c>
    </row>
    <row r="1424" spans="1:7" hidden="1">
      <c r="A1424" s="5" t="s">
        <v>2575</v>
      </c>
      <c r="B1424" t="s">
        <v>5161</v>
      </c>
      <c r="C1424" t="s">
        <v>214</v>
      </c>
      <c r="D1424" t="s">
        <v>6740</v>
      </c>
      <c r="E1424">
        <v>20</v>
      </c>
      <c r="F1424" t="s">
        <v>5163</v>
      </c>
      <c r="G1424" t="s">
        <v>5164</v>
      </c>
    </row>
    <row r="1425" spans="1:7" hidden="1">
      <c r="A1425" s="5" t="s">
        <v>2638</v>
      </c>
      <c r="B1425" t="s">
        <v>5161</v>
      </c>
      <c r="C1425" t="s">
        <v>214</v>
      </c>
      <c r="D1425" t="s">
        <v>6741</v>
      </c>
      <c r="E1425">
        <v>19</v>
      </c>
      <c r="F1425" t="s">
        <v>5163</v>
      </c>
      <c r="G1425" t="s">
        <v>5164</v>
      </c>
    </row>
    <row r="1426" spans="1:7" hidden="1">
      <c r="A1426" s="5" t="s">
        <v>2438</v>
      </c>
      <c r="B1426" t="s">
        <v>5161</v>
      </c>
      <c r="C1426" t="s">
        <v>214</v>
      </c>
      <c r="D1426" t="s">
        <v>6742</v>
      </c>
      <c r="E1426">
        <v>20</v>
      </c>
      <c r="F1426" t="s">
        <v>5163</v>
      </c>
      <c r="G1426" t="s">
        <v>5164</v>
      </c>
    </row>
    <row r="1427" spans="1:7" hidden="1">
      <c r="A1427" s="5" t="s">
        <v>2438</v>
      </c>
      <c r="B1427" t="s">
        <v>5161</v>
      </c>
      <c r="C1427" t="s">
        <v>214</v>
      </c>
      <c r="D1427" t="s">
        <v>6743</v>
      </c>
      <c r="E1427">
        <v>29</v>
      </c>
      <c r="F1427" t="s">
        <v>5163</v>
      </c>
      <c r="G1427" t="s">
        <v>1905</v>
      </c>
    </row>
    <row r="1428" spans="1:7" hidden="1">
      <c r="A1428" s="5" t="s">
        <v>2438</v>
      </c>
      <c r="B1428" t="s">
        <v>5161</v>
      </c>
      <c r="C1428" t="s">
        <v>214</v>
      </c>
      <c r="D1428" t="s">
        <v>6744</v>
      </c>
      <c r="E1428">
        <v>34</v>
      </c>
      <c r="F1428" t="s">
        <v>5163</v>
      </c>
      <c r="G1428" t="s">
        <v>1905</v>
      </c>
    </row>
    <row r="1429" spans="1:7" hidden="1">
      <c r="A1429" s="5" t="s">
        <v>4753</v>
      </c>
      <c r="B1429" t="s">
        <v>5161</v>
      </c>
      <c r="C1429" t="s">
        <v>214</v>
      </c>
      <c r="D1429" t="s">
        <v>6745</v>
      </c>
      <c r="E1429">
        <v>24</v>
      </c>
      <c r="F1429" t="s">
        <v>5163</v>
      </c>
      <c r="G1429" t="s">
        <v>5164</v>
      </c>
    </row>
    <row r="1430" spans="1:7" hidden="1">
      <c r="A1430" s="5" t="s">
        <v>208</v>
      </c>
      <c r="B1430" t="s">
        <v>5161</v>
      </c>
      <c r="C1430" t="s">
        <v>214</v>
      </c>
      <c r="D1430" t="s">
        <v>668</v>
      </c>
      <c r="E1430">
        <v>23</v>
      </c>
      <c r="F1430" t="s">
        <v>5163</v>
      </c>
      <c r="G1430" t="s">
        <v>5169</v>
      </c>
    </row>
    <row r="1431" spans="1:7" hidden="1">
      <c r="A1431" s="5" t="s">
        <v>2370</v>
      </c>
      <c r="B1431" t="s">
        <v>5161</v>
      </c>
      <c r="C1431" t="s">
        <v>214</v>
      </c>
      <c r="D1431" t="s">
        <v>6746</v>
      </c>
      <c r="E1431">
        <v>33</v>
      </c>
      <c r="F1431" t="s">
        <v>5163</v>
      </c>
      <c r="G1431" t="s">
        <v>5169</v>
      </c>
    </row>
    <row r="1432" spans="1:7" hidden="1">
      <c r="A1432" s="5" t="s">
        <v>2645</v>
      </c>
      <c r="B1432" t="s">
        <v>5161</v>
      </c>
      <c r="C1432" t="s">
        <v>214</v>
      </c>
      <c r="D1432" t="s">
        <v>6747</v>
      </c>
      <c r="E1432">
        <v>32</v>
      </c>
      <c r="F1432" t="s">
        <v>5172</v>
      </c>
      <c r="G1432" t="s">
        <v>5164</v>
      </c>
    </row>
    <row r="1433" spans="1:7" hidden="1">
      <c r="A1433" s="5" t="s">
        <v>2645</v>
      </c>
      <c r="B1433" t="s">
        <v>5161</v>
      </c>
      <c r="C1433" t="s">
        <v>214</v>
      </c>
      <c r="D1433" t="s">
        <v>6748</v>
      </c>
      <c r="E1433">
        <v>37</v>
      </c>
      <c r="F1433" t="s">
        <v>5163</v>
      </c>
      <c r="G1433" t="s">
        <v>1905</v>
      </c>
    </row>
    <row r="1434" spans="1:7" hidden="1">
      <c r="A1434" s="5" t="s">
        <v>209</v>
      </c>
      <c r="B1434" t="s">
        <v>5161</v>
      </c>
      <c r="C1434" t="s">
        <v>214</v>
      </c>
      <c r="D1434" t="s">
        <v>669</v>
      </c>
      <c r="E1434">
        <v>24</v>
      </c>
      <c r="F1434" t="s">
        <v>5163</v>
      </c>
      <c r="G1434" t="s">
        <v>5169</v>
      </c>
    </row>
    <row r="1435" spans="1:7" hidden="1">
      <c r="A1435" s="5" t="s">
        <v>4963</v>
      </c>
      <c r="B1435" t="s">
        <v>5161</v>
      </c>
      <c r="C1435" t="s">
        <v>214</v>
      </c>
      <c r="D1435" t="s">
        <v>6749</v>
      </c>
      <c r="E1435">
        <v>18</v>
      </c>
      <c r="F1435" t="s">
        <v>5163</v>
      </c>
      <c r="G1435" t="s">
        <v>5164</v>
      </c>
    </row>
    <row r="1436" spans="1:7" hidden="1">
      <c r="A1436" s="5" t="s">
        <v>4972</v>
      </c>
      <c r="B1436" t="s">
        <v>5161</v>
      </c>
      <c r="C1436" t="s">
        <v>214</v>
      </c>
      <c r="D1436" t="s">
        <v>6750</v>
      </c>
      <c r="E1436">
        <v>20</v>
      </c>
      <c r="F1436" t="s">
        <v>5163</v>
      </c>
      <c r="G1436" t="s">
        <v>5169</v>
      </c>
    </row>
    <row r="1437" spans="1:7" hidden="1">
      <c r="A1437" s="5" t="s">
        <v>3304</v>
      </c>
      <c r="B1437" t="s">
        <v>5161</v>
      </c>
      <c r="C1437" t="s">
        <v>214</v>
      </c>
      <c r="D1437" t="s">
        <v>6751</v>
      </c>
      <c r="E1437">
        <v>19</v>
      </c>
      <c r="F1437" t="s">
        <v>5163</v>
      </c>
      <c r="G1437" t="s">
        <v>1905</v>
      </c>
    </row>
    <row r="1438" spans="1:7" hidden="1">
      <c r="A1438" s="5" t="s">
        <v>2595</v>
      </c>
      <c r="B1438" t="s">
        <v>5161</v>
      </c>
      <c r="C1438" t="s">
        <v>214</v>
      </c>
      <c r="D1438" t="s">
        <v>6752</v>
      </c>
      <c r="E1438">
        <v>18</v>
      </c>
      <c r="F1438" t="s">
        <v>5163</v>
      </c>
      <c r="G1438" t="s">
        <v>1905</v>
      </c>
    </row>
    <row r="1439" spans="1:7" hidden="1">
      <c r="A1439" s="5" t="s">
        <v>4892</v>
      </c>
      <c r="B1439" t="s">
        <v>5161</v>
      </c>
      <c r="C1439" t="s">
        <v>214</v>
      </c>
      <c r="D1439" t="s">
        <v>6753</v>
      </c>
      <c r="E1439">
        <v>21</v>
      </c>
      <c r="F1439" t="s">
        <v>5172</v>
      </c>
      <c r="G1439" t="s">
        <v>5169</v>
      </c>
    </row>
    <row r="1440" spans="1:7" hidden="1">
      <c r="A1440" s="5" t="s">
        <v>4892</v>
      </c>
      <c r="B1440" t="s">
        <v>5161</v>
      </c>
      <c r="C1440" t="s">
        <v>214</v>
      </c>
      <c r="D1440" t="s">
        <v>6754</v>
      </c>
      <c r="E1440">
        <v>36</v>
      </c>
      <c r="F1440" t="s">
        <v>5163</v>
      </c>
      <c r="G1440" t="s">
        <v>5164</v>
      </c>
    </row>
    <row r="1441" spans="1:7" hidden="1">
      <c r="A1441" s="5" t="s">
        <v>4892</v>
      </c>
      <c r="B1441" t="s">
        <v>5161</v>
      </c>
      <c r="C1441" t="s">
        <v>214</v>
      </c>
      <c r="D1441" t="s">
        <v>6755</v>
      </c>
      <c r="E1441">
        <v>35</v>
      </c>
      <c r="F1441" t="s">
        <v>5163</v>
      </c>
      <c r="G1441" t="s">
        <v>1905</v>
      </c>
    </row>
    <row r="1442" spans="1:7" hidden="1">
      <c r="A1442" s="5" t="s">
        <v>201</v>
      </c>
      <c r="B1442" t="s">
        <v>5161</v>
      </c>
      <c r="C1442" t="s">
        <v>214</v>
      </c>
      <c r="D1442" t="s">
        <v>6756</v>
      </c>
      <c r="E1442">
        <v>30</v>
      </c>
      <c r="F1442" t="s">
        <v>5163</v>
      </c>
      <c r="G1442" t="s">
        <v>5169</v>
      </c>
    </row>
    <row r="1443" spans="1:7" hidden="1">
      <c r="A1443" s="5" t="s">
        <v>207</v>
      </c>
      <c r="B1443" t="s">
        <v>5161</v>
      </c>
      <c r="C1443" t="s">
        <v>214</v>
      </c>
      <c r="D1443" t="s">
        <v>666</v>
      </c>
      <c r="E1443">
        <v>36</v>
      </c>
      <c r="F1443" t="s">
        <v>5163</v>
      </c>
      <c r="G1443" t="s">
        <v>5164</v>
      </c>
    </row>
    <row r="1444" spans="1:7" hidden="1">
      <c r="A1444" s="5" t="s">
        <v>6757</v>
      </c>
      <c r="B1444" t="s">
        <v>5161</v>
      </c>
      <c r="C1444" t="s">
        <v>214</v>
      </c>
      <c r="D1444" t="s">
        <v>6758</v>
      </c>
      <c r="E1444">
        <v>28</v>
      </c>
      <c r="F1444" t="s">
        <v>5163</v>
      </c>
      <c r="G1444" t="s">
        <v>1905</v>
      </c>
    </row>
    <row r="1445" spans="1:7" hidden="1">
      <c r="A1445" s="5" t="s">
        <v>4537</v>
      </c>
      <c r="B1445" t="s">
        <v>5161</v>
      </c>
      <c r="C1445" t="s">
        <v>214</v>
      </c>
      <c r="D1445" t="s">
        <v>6759</v>
      </c>
      <c r="E1445">
        <v>32</v>
      </c>
      <c r="F1445" t="s">
        <v>5163</v>
      </c>
      <c r="G1445" t="s">
        <v>5164</v>
      </c>
    </row>
    <row r="1446" spans="1:7" hidden="1">
      <c r="A1446" s="5" t="s">
        <v>2589</v>
      </c>
      <c r="B1446" t="s">
        <v>5161</v>
      </c>
      <c r="C1446" t="s">
        <v>214</v>
      </c>
      <c r="D1446" t="s">
        <v>6760</v>
      </c>
      <c r="E1446">
        <v>18</v>
      </c>
      <c r="F1446" t="s">
        <v>5163</v>
      </c>
      <c r="G1446" t="s">
        <v>1905</v>
      </c>
    </row>
    <row r="1447" spans="1:7" hidden="1">
      <c r="A1447" s="5" t="s">
        <v>2589</v>
      </c>
      <c r="B1447" t="s">
        <v>5161</v>
      </c>
      <c r="C1447" t="s">
        <v>214</v>
      </c>
      <c r="D1447" t="s">
        <v>6761</v>
      </c>
      <c r="E1447">
        <v>27</v>
      </c>
      <c r="F1447" t="s">
        <v>5163</v>
      </c>
      <c r="G1447" t="s">
        <v>1905</v>
      </c>
    </row>
    <row r="1448" spans="1:7" hidden="1">
      <c r="A1448" s="5" t="s">
        <v>5129</v>
      </c>
      <c r="B1448" t="s">
        <v>5161</v>
      </c>
      <c r="C1448" t="s">
        <v>214</v>
      </c>
      <c r="D1448" t="s">
        <v>6762</v>
      </c>
      <c r="E1448">
        <v>22</v>
      </c>
      <c r="F1448" t="s">
        <v>5163</v>
      </c>
      <c r="G1448" t="s">
        <v>1905</v>
      </c>
    </row>
    <row r="1449" spans="1:7" hidden="1">
      <c r="A1449" s="5" t="s">
        <v>4830</v>
      </c>
      <c r="B1449" t="s">
        <v>5161</v>
      </c>
      <c r="C1449" t="s">
        <v>214</v>
      </c>
      <c r="D1449" t="s">
        <v>6763</v>
      </c>
      <c r="E1449">
        <v>32</v>
      </c>
      <c r="F1449" t="s">
        <v>5163</v>
      </c>
      <c r="G1449" t="s">
        <v>5164</v>
      </c>
    </row>
    <row r="1450" spans="1:7" hidden="1">
      <c r="A1450" s="5" t="s">
        <v>2129</v>
      </c>
      <c r="B1450" t="s">
        <v>5161</v>
      </c>
      <c r="C1450" t="s">
        <v>214</v>
      </c>
      <c r="D1450" t="s">
        <v>6764</v>
      </c>
      <c r="E1450">
        <v>21</v>
      </c>
      <c r="F1450" t="s">
        <v>5163</v>
      </c>
      <c r="G1450" t="s">
        <v>5169</v>
      </c>
    </row>
    <row r="1451" spans="1:7" hidden="1">
      <c r="A1451" s="5" t="s">
        <v>4815</v>
      </c>
      <c r="B1451" t="s">
        <v>5161</v>
      </c>
      <c r="C1451" t="s">
        <v>214</v>
      </c>
      <c r="D1451" t="s">
        <v>6765</v>
      </c>
      <c r="E1451">
        <v>21</v>
      </c>
      <c r="F1451" t="s">
        <v>5163</v>
      </c>
      <c r="G1451" t="s">
        <v>5164</v>
      </c>
    </row>
    <row r="1452" spans="1:7" hidden="1">
      <c r="A1452" s="5" t="s">
        <v>4978</v>
      </c>
      <c r="B1452" t="s">
        <v>5161</v>
      </c>
      <c r="C1452" t="s">
        <v>214</v>
      </c>
      <c r="D1452" t="s">
        <v>6766</v>
      </c>
      <c r="E1452">
        <v>20</v>
      </c>
      <c r="F1452" t="s">
        <v>5163</v>
      </c>
      <c r="G1452" t="s">
        <v>1905</v>
      </c>
    </row>
    <row r="1453" spans="1:7" hidden="1">
      <c r="A1453" s="5" t="s">
        <v>2510</v>
      </c>
      <c r="B1453" t="s">
        <v>5161</v>
      </c>
      <c r="C1453" t="s">
        <v>214</v>
      </c>
      <c r="D1453" t="s">
        <v>6767</v>
      </c>
      <c r="E1453">
        <v>39</v>
      </c>
      <c r="F1453" t="s">
        <v>5172</v>
      </c>
      <c r="G1453" t="s">
        <v>1905</v>
      </c>
    </row>
    <row r="1454" spans="1:7" hidden="1">
      <c r="A1454" s="5" t="s">
        <v>4285</v>
      </c>
      <c r="B1454" t="s">
        <v>5161</v>
      </c>
      <c r="C1454" t="s">
        <v>214</v>
      </c>
      <c r="D1454" t="s">
        <v>6768</v>
      </c>
      <c r="E1454">
        <v>49</v>
      </c>
      <c r="F1454" t="s">
        <v>5163</v>
      </c>
      <c r="G1454" t="s">
        <v>1905</v>
      </c>
    </row>
    <row r="1455" spans="1:7" hidden="1">
      <c r="A1455" s="5" t="s">
        <v>4411</v>
      </c>
      <c r="B1455" t="s">
        <v>5161</v>
      </c>
      <c r="C1455" t="s">
        <v>214</v>
      </c>
      <c r="D1455" t="s">
        <v>6769</v>
      </c>
      <c r="E1455">
        <v>26</v>
      </c>
      <c r="F1455" t="s">
        <v>5163</v>
      </c>
      <c r="G1455" t="s">
        <v>5164</v>
      </c>
    </row>
    <row r="1456" spans="1:7" hidden="1">
      <c r="A1456" s="5" t="s">
        <v>3533</v>
      </c>
      <c r="B1456" t="s">
        <v>5161</v>
      </c>
      <c r="C1456" t="s">
        <v>214</v>
      </c>
      <c r="D1456" t="s">
        <v>6770</v>
      </c>
      <c r="E1456">
        <v>21</v>
      </c>
      <c r="F1456" t="s">
        <v>5163</v>
      </c>
      <c r="G1456" t="s">
        <v>5164</v>
      </c>
    </row>
    <row r="1457" spans="1:7" hidden="1">
      <c r="A1457" s="5" t="s">
        <v>6771</v>
      </c>
      <c r="B1457" t="s">
        <v>5161</v>
      </c>
      <c r="C1457" t="s">
        <v>214</v>
      </c>
      <c r="D1457" t="s">
        <v>6772</v>
      </c>
      <c r="E1457">
        <v>49</v>
      </c>
      <c r="F1457" t="s">
        <v>5163</v>
      </c>
      <c r="G1457" t="s">
        <v>5164</v>
      </c>
    </row>
    <row r="1458" spans="1:7" hidden="1">
      <c r="A1458" s="5" t="s">
        <v>5138</v>
      </c>
      <c r="B1458" t="s">
        <v>5161</v>
      </c>
      <c r="C1458" t="s">
        <v>214</v>
      </c>
      <c r="D1458" t="s">
        <v>6773</v>
      </c>
      <c r="E1458">
        <v>24</v>
      </c>
      <c r="F1458" t="s">
        <v>5163</v>
      </c>
      <c r="G1458" t="s">
        <v>5169</v>
      </c>
    </row>
    <row r="1459" spans="1:7" hidden="1">
      <c r="A1459" s="5" t="s">
        <v>5138</v>
      </c>
      <c r="B1459" t="s">
        <v>5161</v>
      </c>
      <c r="C1459" t="s">
        <v>214</v>
      </c>
      <c r="D1459" t="s">
        <v>6773</v>
      </c>
      <c r="E1459">
        <v>24</v>
      </c>
      <c r="F1459" t="s">
        <v>5163</v>
      </c>
      <c r="G1459" t="s">
        <v>5182</v>
      </c>
    </row>
    <row r="1460" spans="1:7" hidden="1">
      <c r="A1460" s="5" t="s">
        <v>5138</v>
      </c>
      <c r="B1460" t="s">
        <v>5161</v>
      </c>
      <c r="C1460" t="s">
        <v>214</v>
      </c>
      <c r="D1460" t="s">
        <v>6774</v>
      </c>
      <c r="E1460">
        <v>28</v>
      </c>
      <c r="F1460" t="s">
        <v>5163</v>
      </c>
      <c r="G1460" t="s">
        <v>5164</v>
      </c>
    </row>
    <row r="1461" spans="1:7" hidden="1">
      <c r="A1461" s="5" t="s">
        <v>2159</v>
      </c>
      <c r="B1461" t="s">
        <v>5161</v>
      </c>
      <c r="C1461" t="s">
        <v>214</v>
      </c>
      <c r="D1461" t="s">
        <v>6775</v>
      </c>
      <c r="E1461">
        <v>43</v>
      </c>
      <c r="F1461" t="s">
        <v>5163</v>
      </c>
      <c r="G1461" t="s">
        <v>5182</v>
      </c>
    </row>
    <row r="1462" spans="1:7" hidden="1">
      <c r="A1462" s="5" t="s">
        <v>4880</v>
      </c>
      <c r="B1462" t="s">
        <v>5161</v>
      </c>
      <c r="C1462" t="s">
        <v>214</v>
      </c>
      <c r="D1462" t="s">
        <v>6776</v>
      </c>
      <c r="E1462">
        <v>23</v>
      </c>
      <c r="F1462" t="s">
        <v>5163</v>
      </c>
      <c r="G1462" t="s">
        <v>1905</v>
      </c>
    </row>
    <row r="1463" spans="1:7" hidden="1">
      <c r="A1463" s="5" t="s">
        <v>6777</v>
      </c>
      <c r="B1463" t="s">
        <v>5161</v>
      </c>
      <c r="C1463" t="s">
        <v>214</v>
      </c>
      <c r="D1463" t="s">
        <v>6778</v>
      </c>
      <c r="E1463">
        <v>51</v>
      </c>
      <c r="F1463" t="s">
        <v>5163</v>
      </c>
      <c r="G1463" t="s">
        <v>1905</v>
      </c>
    </row>
    <row r="1464" spans="1:7" hidden="1">
      <c r="A1464" s="5" t="s">
        <v>4780</v>
      </c>
      <c r="B1464" t="s">
        <v>5161</v>
      </c>
      <c r="C1464" t="s">
        <v>214</v>
      </c>
      <c r="D1464" t="s">
        <v>6779</v>
      </c>
      <c r="E1464">
        <v>21</v>
      </c>
      <c r="F1464" t="s">
        <v>5163</v>
      </c>
      <c r="G1464" t="s">
        <v>5164</v>
      </c>
    </row>
    <row r="1465" spans="1:7" hidden="1">
      <c r="A1465" s="5" t="s">
        <v>4665</v>
      </c>
      <c r="B1465" t="s">
        <v>5161</v>
      </c>
      <c r="C1465" t="s">
        <v>214</v>
      </c>
      <c r="D1465" t="s">
        <v>6780</v>
      </c>
      <c r="E1465">
        <v>22</v>
      </c>
      <c r="F1465" t="s">
        <v>5163</v>
      </c>
      <c r="G1465" t="s">
        <v>5164</v>
      </c>
    </row>
    <row r="1466" spans="1:7" hidden="1">
      <c r="A1466" s="5" t="s">
        <v>3845</v>
      </c>
      <c r="B1466" t="s">
        <v>5161</v>
      </c>
      <c r="C1466" t="s">
        <v>214</v>
      </c>
      <c r="D1466" t="s">
        <v>6781</v>
      </c>
      <c r="E1466">
        <v>18</v>
      </c>
      <c r="F1466" t="s">
        <v>5163</v>
      </c>
      <c r="G1466" t="s">
        <v>5169</v>
      </c>
    </row>
    <row r="1467" spans="1:7" hidden="1">
      <c r="A1467" s="5" t="s">
        <v>3291</v>
      </c>
      <c r="B1467" t="s">
        <v>5161</v>
      </c>
      <c r="C1467" t="s">
        <v>214</v>
      </c>
      <c r="D1467" t="s">
        <v>6782</v>
      </c>
      <c r="E1467">
        <v>18</v>
      </c>
      <c r="F1467" t="s">
        <v>5163</v>
      </c>
      <c r="G1467" t="s">
        <v>5164</v>
      </c>
    </row>
    <row r="1468" spans="1:7" hidden="1">
      <c r="A1468" s="5" t="s">
        <v>5102</v>
      </c>
      <c r="B1468" t="s">
        <v>5161</v>
      </c>
      <c r="C1468" t="s">
        <v>214</v>
      </c>
      <c r="D1468" t="s">
        <v>6783</v>
      </c>
      <c r="E1468">
        <v>26</v>
      </c>
      <c r="F1468" t="s">
        <v>5163</v>
      </c>
      <c r="G1468" t="s">
        <v>5164</v>
      </c>
    </row>
    <row r="1469" spans="1:7" hidden="1">
      <c r="A1469" s="5" t="s">
        <v>5102</v>
      </c>
      <c r="B1469" t="s">
        <v>5161</v>
      </c>
      <c r="C1469" t="s">
        <v>214</v>
      </c>
      <c r="D1469" t="s">
        <v>6784</v>
      </c>
      <c r="E1469">
        <v>25</v>
      </c>
      <c r="F1469" t="s">
        <v>5163</v>
      </c>
      <c r="G1469" t="s">
        <v>5164</v>
      </c>
    </row>
    <row r="1470" spans="1:7" hidden="1">
      <c r="A1470" s="5" t="s">
        <v>4517</v>
      </c>
      <c r="B1470" t="s">
        <v>5161</v>
      </c>
      <c r="C1470" t="s">
        <v>214</v>
      </c>
      <c r="D1470" t="s">
        <v>6785</v>
      </c>
      <c r="E1470">
        <v>19</v>
      </c>
      <c r="F1470" t="s">
        <v>5163</v>
      </c>
      <c r="G1470" t="s">
        <v>5164</v>
      </c>
    </row>
    <row r="1471" spans="1:7" hidden="1">
      <c r="A1471" s="5" t="s">
        <v>199</v>
      </c>
      <c r="B1471" t="s">
        <v>5161</v>
      </c>
      <c r="C1471" t="s">
        <v>214</v>
      </c>
      <c r="D1471" t="s">
        <v>653</v>
      </c>
      <c r="E1471">
        <v>21</v>
      </c>
      <c r="F1471" t="s">
        <v>5163</v>
      </c>
      <c r="G1471" t="s">
        <v>5164</v>
      </c>
    </row>
    <row r="1472" spans="1:7" hidden="1">
      <c r="A1472" s="5" t="s">
        <v>4725</v>
      </c>
      <c r="B1472" t="s">
        <v>5161</v>
      </c>
      <c r="C1472" t="s">
        <v>214</v>
      </c>
      <c r="D1472" t="s">
        <v>6786</v>
      </c>
      <c r="E1472">
        <v>23</v>
      </c>
      <c r="F1472" t="s">
        <v>5163</v>
      </c>
      <c r="G1472" t="s">
        <v>5169</v>
      </c>
    </row>
    <row r="1473" spans="1:7" hidden="1">
      <c r="A1473" s="5" t="s">
        <v>6787</v>
      </c>
      <c r="B1473" t="s">
        <v>5161</v>
      </c>
      <c r="C1473" t="s">
        <v>214</v>
      </c>
      <c r="D1473" t="s">
        <v>6788</v>
      </c>
      <c r="E1473">
        <v>32</v>
      </c>
      <c r="F1473" t="s">
        <v>5163</v>
      </c>
      <c r="G1473" t="s">
        <v>5164</v>
      </c>
    </row>
    <row r="1474" spans="1:7" hidden="1">
      <c r="A1474" s="5" t="s">
        <v>3629</v>
      </c>
      <c r="B1474" t="s">
        <v>5161</v>
      </c>
      <c r="C1474" t="s">
        <v>23</v>
      </c>
      <c r="D1474" t="s">
        <v>6789</v>
      </c>
      <c r="E1474">
        <v>30</v>
      </c>
      <c r="F1474" t="s">
        <v>5163</v>
      </c>
      <c r="G1474" t="s">
        <v>5164</v>
      </c>
    </row>
    <row r="1475" spans="1:7" hidden="1">
      <c r="A1475" s="5" t="s">
        <v>3394</v>
      </c>
      <c r="B1475" t="s">
        <v>5161</v>
      </c>
      <c r="C1475" t="s">
        <v>23</v>
      </c>
      <c r="D1475" t="s">
        <v>6790</v>
      </c>
      <c r="E1475">
        <v>33</v>
      </c>
      <c r="F1475" t="s">
        <v>5163</v>
      </c>
      <c r="G1475" t="s">
        <v>5164</v>
      </c>
    </row>
    <row r="1476" spans="1:7" hidden="1">
      <c r="A1476" s="5" t="s">
        <v>3652</v>
      </c>
      <c r="B1476" t="s">
        <v>5161</v>
      </c>
      <c r="C1476" t="s">
        <v>23</v>
      </c>
      <c r="D1476" t="s">
        <v>6791</v>
      </c>
      <c r="E1476">
        <v>19</v>
      </c>
      <c r="F1476" t="s">
        <v>5163</v>
      </c>
      <c r="G1476" t="s">
        <v>5169</v>
      </c>
    </row>
    <row r="1477" spans="1:7" hidden="1">
      <c r="A1477" s="5" t="s">
        <v>2377</v>
      </c>
      <c r="B1477" t="s">
        <v>5161</v>
      </c>
      <c r="C1477" t="s">
        <v>23</v>
      </c>
      <c r="D1477" t="s">
        <v>6792</v>
      </c>
      <c r="E1477">
        <v>23</v>
      </c>
      <c r="F1477" t="s">
        <v>5163</v>
      </c>
      <c r="G1477" t="s">
        <v>1905</v>
      </c>
    </row>
    <row r="1478" spans="1:7" hidden="1">
      <c r="A1478" s="5" t="s">
        <v>2932</v>
      </c>
      <c r="B1478" t="s">
        <v>5161</v>
      </c>
      <c r="C1478" t="s">
        <v>23</v>
      </c>
      <c r="D1478" t="s">
        <v>6793</v>
      </c>
      <c r="E1478">
        <v>31</v>
      </c>
      <c r="F1478" t="s">
        <v>5163</v>
      </c>
      <c r="G1478" t="s">
        <v>5169</v>
      </c>
    </row>
    <row r="1479" spans="1:7" hidden="1">
      <c r="A1479" s="5" t="s">
        <v>2657</v>
      </c>
      <c r="B1479" t="s">
        <v>5161</v>
      </c>
      <c r="C1479" t="s">
        <v>23</v>
      </c>
      <c r="D1479" t="s">
        <v>6794</v>
      </c>
      <c r="E1479">
        <v>34</v>
      </c>
      <c r="F1479" t="s">
        <v>5163</v>
      </c>
      <c r="G1479" t="s">
        <v>5164</v>
      </c>
    </row>
    <row r="1480" spans="1:7" hidden="1">
      <c r="A1480" s="5" t="s">
        <v>2229</v>
      </c>
      <c r="B1480" t="s">
        <v>5161</v>
      </c>
      <c r="C1480" t="s">
        <v>23</v>
      </c>
      <c r="D1480" t="s">
        <v>6795</v>
      </c>
      <c r="E1480">
        <v>41</v>
      </c>
      <c r="F1480" t="s">
        <v>5163</v>
      </c>
      <c r="G1480" t="s">
        <v>5164</v>
      </c>
    </row>
    <row r="1481" spans="1:7" hidden="1">
      <c r="A1481" s="5" t="s">
        <v>6796</v>
      </c>
      <c r="B1481" t="s">
        <v>5161</v>
      </c>
      <c r="C1481" t="s">
        <v>23</v>
      </c>
      <c r="D1481" t="s">
        <v>6797</v>
      </c>
      <c r="E1481">
        <v>42</v>
      </c>
      <c r="F1481" t="s">
        <v>5163</v>
      </c>
      <c r="G1481" t="s">
        <v>5169</v>
      </c>
    </row>
    <row r="1482" spans="1:7" hidden="1">
      <c r="A1482" s="5" t="s">
        <v>4943</v>
      </c>
      <c r="B1482" t="s">
        <v>5161</v>
      </c>
      <c r="C1482" t="s">
        <v>23</v>
      </c>
      <c r="D1482" t="s">
        <v>6798</v>
      </c>
      <c r="E1482">
        <v>52</v>
      </c>
      <c r="F1482" t="s">
        <v>5163</v>
      </c>
      <c r="G1482" t="s">
        <v>1905</v>
      </c>
    </row>
    <row r="1483" spans="1:7" hidden="1">
      <c r="A1483" s="5" t="s">
        <v>4398</v>
      </c>
      <c r="B1483" t="s">
        <v>5161</v>
      </c>
      <c r="C1483" t="s">
        <v>23</v>
      </c>
      <c r="D1483" t="s">
        <v>6799</v>
      </c>
      <c r="E1483">
        <v>56</v>
      </c>
      <c r="F1483" t="s">
        <v>5163</v>
      </c>
      <c r="G1483" t="s">
        <v>5164</v>
      </c>
    </row>
    <row r="1484" spans="1:7" hidden="1">
      <c r="A1484" s="5" t="s">
        <v>3386</v>
      </c>
      <c r="B1484" t="s">
        <v>5161</v>
      </c>
      <c r="C1484" t="s">
        <v>23</v>
      </c>
      <c r="D1484" t="s">
        <v>6800</v>
      </c>
      <c r="E1484">
        <v>24</v>
      </c>
      <c r="F1484" t="s">
        <v>5163</v>
      </c>
      <c r="G1484" t="s">
        <v>5164</v>
      </c>
    </row>
    <row r="1485" spans="1:7" hidden="1">
      <c r="A1485" s="5" t="s">
        <v>3817</v>
      </c>
      <c r="B1485" t="s">
        <v>5161</v>
      </c>
      <c r="C1485" t="s">
        <v>23</v>
      </c>
      <c r="D1485" t="s">
        <v>6801</v>
      </c>
      <c r="E1485">
        <v>19</v>
      </c>
      <c r="F1485" t="s">
        <v>5163</v>
      </c>
      <c r="G1485" t="s">
        <v>1905</v>
      </c>
    </row>
    <row r="1486" spans="1:7" hidden="1">
      <c r="A1486" s="5" t="s">
        <v>3817</v>
      </c>
      <c r="B1486" t="s">
        <v>5161</v>
      </c>
      <c r="C1486" t="s">
        <v>23</v>
      </c>
      <c r="D1486" t="s">
        <v>6802</v>
      </c>
      <c r="E1486">
        <v>19</v>
      </c>
      <c r="F1486" t="s">
        <v>5163</v>
      </c>
      <c r="G1486" t="s">
        <v>1905</v>
      </c>
    </row>
    <row r="1487" spans="1:7" hidden="1">
      <c r="A1487" s="5" t="s">
        <v>3817</v>
      </c>
      <c r="B1487" t="s">
        <v>5161</v>
      </c>
      <c r="C1487" t="s">
        <v>23</v>
      </c>
      <c r="D1487" t="s">
        <v>6803</v>
      </c>
      <c r="E1487">
        <v>28</v>
      </c>
      <c r="F1487" t="s">
        <v>5163</v>
      </c>
      <c r="G1487" t="s">
        <v>1905</v>
      </c>
    </row>
    <row r="1488" spans="1:7" hidden="1">
      <c r="A1488" s="5" t="s">
        <v>3817</v>
      </c>
      <c r="B1488" t="s">
        <v>5161</v>
      </c>
      <c r="C1488" t="s">
        <v>23</v>
      </c>
      <c r="D1488" t="s">
        <v>6804</v>
      </c>
      <c r="E1488">
        <v>21</v>
      </c>
      <c r="F1488" t="s">
        <v>5163</v>
      </c>
      <c r="G1488" t="s">
        <v>1905</v>
      </c>
    </row>
    <row r="1489" spans="1:7" hidden="1">
      <c r="A1489" s="5" t="s">
        <v>3047</v>
      </c>
      <c r="B1489" t="s">
        <v>5161</v>
      </c>
      <c r="C1489" t="s">
        <v>23</v>
      </c>
      <c r="D1489" t="s">
        <v>6805</v>
      </c>
      <c r="E1489">
        <v>25</v>
      </c>
      <c r="F1489" t="s">
        <v>5163</v>
      </c>
      <c r="G1489" t="s">
        <v>1905</v>
      </c>
    </row>
    <row r="1490" spans="1:7" hidden="1">
      <c r="A1490" s="5" t="s">
        <v>3047</v>
      </c>
      <c r="B1490" t="s">
        <v>5161</v>
      </c>
      <c r="C1490" t="s">
        <v>23</v>
      </c>
      <c r="D1490" t="s">
        <v>6806</v>
      </c>
      <c r="E1490">
        <v>21</v>
      </c>
      <c r="F1490" t="s">
        <v>5163</v>
      </c>
      <c r="G1490" t="s">
        <v>1905</v>
      </c>
    </row>
    <row r="1491" spans="1:7" hidden="1">
      <c r="A1491" s="5" t="s">
        <v>4374</v>
      </c>
      <c r="B1491" t="s">
        <v>5161</v>
      </c>
      <c r="C1491" t="s">
        <v>23</v>
      </c>
      <c r="D1491" t="s">
        <v>6807</v>
      </c>
      <c r="E1491">
        <v>45</v>
      </c>
      <c r="F1491" t="s">
        <v>5163</v>
      </c>
      <c r="G1491" t="s">
        <v>5164</v>
      </c>
    </row>
    <row r="1492" spans="1:7" hidden="1">
      <c r="A1492" s="5" t="s">
        <v>3698</v>
      </c>
      <c r="B1492" t="s">
        <v>5161</v>
      </c>
      <c r="C1492" t="s">
        <v>23</v>
      </c>
      <c r="D1492" t="s">
        <v>6808</v>
      </c>
      <c r="E1492">
        <v>31</v>
      </c>
      <c r="F1492" t="s">
        <v>5163</v>
      </c>
      <c r="G1492" t="s">
        <v>1905</v>
      </c>
    </row>
    <row r="1493" spans="1:7" hidden="1">
      <c r="A1493" s="5" t="s">
        <v>3960</v>
      </c>
      <c r="B1493" t="s">
        <v>5161</v>
      </c>
      <c r="C1493" t="s">
        <v>23</v>
      </c>
      <c r="D1493" t="s">
        <v>6809</v>
      </c>
      <c r="E1493">
        <v>35</v>
      </c>
      <c r="F1493" t="s">
        <v>5163</v>
      </c>
      <c r="G1493" t="s">
        <v>5164</v>
      </c>
    </row>
    <row r="1494" spans="1:7" hidden="1">
      <c r="A1494" s="5" t="s">
        <v>6810</v>
      </c>
      <c r="B1494" t="s">
        <v>5161</v>
      </c>
      <c r="C1494" t="s">
        <v>23</v>
      </c>
      <c r="D1494" t="s">
        <v>6811</v>
      </c>
      <c r="E1494">
        <v>26</v>
      </c>
      <c r="F1494" t="s">
        <v>5163</v>
      </c>
      <c r="G1494" t="s">
        <v>5182</v>
      </c>
    </row>
    <row r="1495" spans="1:7" hidden="1">
      <c r="A1495" s="5" t="s">
        <v>3854</v>
      </c>
      <c r="B1495" t="s">
        <v>5161</v>
      </c>
      <c r="C1495" t="s">
        <v>23</v>
      </c>
      <c r="D1495" t="s">
        <v>6812</v>
      </c>
      <c r="E1495">
        <v>23</v>
      </c>
      <c r="F1495" t="s">
        <v>5163</v>
      </c>
      <c r="G1495" t="s">
        <v>1905</v>
      </c>
    </row>
    <row r="1496" spans="1:7" hidden="1">
      <c r="A1496" s="5" t="s">
        <v>27</v>
      </c>
      <c r="B1496" t="s">
        <v>5161</v>
      </c>
      <c r="C1496" t="s">
        <v>23</v>
      </c>
      <c r="D1496" t="s">
        <v>71</v>
      </c>
      <c r="E1496">
        <v>31</v>
      </c>
      <c r="F1496" t="s">
        <v>5163</v>
      </c>
      <c r="G1496" t="s">
        <v>1905</v>
      </c>
    </row>
    <row r="1497" spans="1:7" hidden="1">
      <c r="A1497" s="5" t="s">
        <v>28</v>
      </c>
      <c r="B1497" t="s">
        <v>5161</v>
      </c>
      <c r="C1497" t="s">
        <v>23</v>
      </c>
      <c r="D1497" t="s">
        <v>6813</v>
      </c>
      <c r="E1497">
        <v>39</v>
      </c>
      <c r="F1497" t="s">
        <v>5163</v>
      </c>
      <c r="G1497" t="s">
        <v>1905</v>
      </c>
    </row>
    <row r="1498" spans="1:7" hidden="1">
      <c r="A1498" s="5" t="s">
        <v>28</v>
      </c>
      <c r="B1498" t="s">
        <v>5161</v>
      </c>
      <c r="C1498" t="s">
        <v>23</v>
      </c>
      <c r="D1498" t="s">
        <v>6814</v>
      </c>
      <c r="E1498">
        <v>21</v>
      </c>
      <c r="F1498" t="s">
        <v>5163</v>
      </c>
      <c r="G1498" t="s">
        <v>1905</v>
      </c>
    </row>
    <row r="1499" spans="1:7" hidden="1">
      <c r="A1499" s="5" t="s">
        <v>2914</v>
      </c>
      <c r="B1499" t="s">
        <v>5161</v>
      </c>
      <c r="C1499" t="s">
        <v>23</v>
      </c>
      <c r="D1499" t="s">
        <v>6815</v>
      </c>
      <c r="E1499">
        <v>46</v>
      </c>
      <c r="F1499" t="s">
        <v>5163</v>
      </c>
      <c r="G1499" t="s">
        <v>5164</v>
      </c>
    </row>
    <row r="1500" spans="1:7" hidden="1">
      <c r="A1500" s="5" t="s">
        <v>2855</v>
      </c>
      <c r="B1500" t="s">
        <v>5161</v>
      </c>
      <c r="C1500" t="s">
        <v>23</v>
      </c>
      <c r="D1500" t="s">
        <v>6816</v>
      </c>
      <c r="E1500" t="s">
        <v>5182</v>
      </c>
      <c r="F1500" t="s">
        <v>5172</v>
      </c>
      <c r="G1500" t="s">
        <v>6817</v>
      </c>
    </row>
    <row r="1501" spans="1:7" hidden="1">
      <c r="A1501" s="5" t="s">
        <v>2855</v>
      </c>
      <c r="B1501" t="s">
        <v>5161</v>
      </c>
      <c r="C1501" t="s">
        <v>23</v>
      </c>
      <c r="D1501" t="s">
        <v>6818</v>
      </c>
      <c r="E1501" t="s">
        <v>5182</v>
      </c>
      <c r="F1501" t="s">
        <v>5163</v>
      </c>
      <c r="G1501" t="s">
        <v>5164</v>
      </c>
    </row>
    <row r="1502" spans="1:7" hidden="1">
      <c r="A1502" s="5" t="s">
        <v>2855</v>
      </c>
      <c r="B1502" t="s">
        <v>5161</v>
      </c>
      <c r="C1502" t="s">
        <v>23</v>
      </c>
      <c r="D1502" t="s">
        <v>6819</v>
      </c>
      <c r="E1502" t="s">
        <v>5182</v>
      </c>
      <c r="F1502" t="s">
        <v>5163</v>
      </c>
      <c r="G1502" t="s">
        <v>1905</v>
      </c>
    </row>
    <row r="1503" spans="1:7" hidden="1">
      <c r="A1503" s="5" t="s">
        <v>3832</v>
      </c>
      <c r="B1503" t="s">
        <v>5161</v>
      </c>
      <c r="C1503" t="s">
        <v>23</v>
      </c>
      <c r="D1503" t="s">
        <v>6820</v>
      </c>
      <c r="E1503" t="s">
        <v>5182</v>
      </c>
      <c r="F1503" t="s">
        <v>5163</v>
      </c>
      <c r="G1503" t="s">
        <v>5169</v>
      </c>
    </row>
    <row r="1504" spans="1:7" hidden="1">
      <c r="A1504" s="5" t="s">
        <v>3832</v>
      </c>
      <c r="B1504" t="s">
        <v>5161</v>
      </c>
      <c r="C1504" t="s">
        <v>23</v>
      </c>
      <c r="D1504" t="s">
        <v>6821</v>
      </c>
      <c r="E1504">
        <v>20</v>
      </c>
      <c r="F1504" t="s">
        <v>5163</v>
      </c>
      <c r="G1504" t="s">
        <v>5164</v>
      </c>
    </row>
    <row r="1505" spans="1:7" hidden="1">
      <c r="A1505" s="5" t="s">
        <v>3589</v>
      </c>
      <c r="B1505" t="s">
        <v>5161</v>
      </c>
      <c r="C1505" t="s">
        <v>23</v>
      </c>
      <c r="D1505" t="s">
        <v>6822</v>
      </c>
      <c r="E1505">
        <v>24</v>
      </c>
      <c r="F1505" t="s">
        <v>5163</v>
      </c>
      <c r="G1505" t="s">
        <v>5164</v>
      </c>
    </row>
    <row r="1506" spans="1:7" hidden="1">
      <c r="A1506" s="5" t="s">
        <v>4792</v>
      </c>
      <c r="B1506" t="s">
        <v>5161</v>
      </c>
      <c r="C1506" t="s">
        <v>23</v>
      </c>
      <c r="D1506" t="s">
        <v>6823</v>
      </c>
      <c r="E1506" t="s">
        <v>5182</v>
      </c>
      <c r="F1506" t="s">
        <v>5172</v>
      </c>
      <c r="G1506" t="s">
        <v>1905</v>
      </c>
    </row>
    <row r="1507" spans="1:7" hidden="1">
      <c r="A1507" s="5" t="s">
        <v>4660</v>
      </c>
      <c r="B1507" t="s">
        <v>5161</v>
      </c>
      <c r="C1507" t="s">
        <v>23</v>
      </c>
      <c r="D1507" t="s">
        <v>6824</v>
      </c>
      <c r="E1507">
        <v>24</v>
      </c>
      <c r="F1507" t="s">
        <v>5163</v>
      </c>
      <c r="G1507" t="s">
        <v>5164</v>
      </c>
    </row>
    <row r="1508" spans="1:7" hidden="1">
      <c r="A1508" s="5" t="s">
        <v>6825</v>
      </c>
      <c r="B1508" t="s">
        <v>5161</v>
      </c>
      <c r="C1508" t="s">
        <v>23</v>
      </c>
      <c r="D1508" t="s">
        <v>6826</v>
      </c>
      <c r="E1508" t="s">
        <v>5182</v>
      </c>
      <c r="F1508" t="s">
        <v>5163</v>
      </c>
      <c r="G1508" t="s">
        <v>5164</v>
      </c>
    </row>
    <row r="1509" spans="1:7" hidden="1">
      <c r="A1509" s="5" t="s">
        <v>6825</v>
      </c>
      <c r="B1509" t="s">
        <v>5161</v>
      </c>
      <c r="C1509" t="s">
        <v>23</v>
      </c>
      <c r="D1509" t="s">
        <v>6827</v>
      </c>
      <c r="E1509" t="s">
        <v>5182</v>
      </c>
      <c r="F1509" t="s">
        <v>5163</v>
      </c>
      <c r="G1509" t="s">
        <v>5164</v>
      </c>
    </row>
    <row r="1510" spans="1:7" hidden="1">
      <c r="A1510" s="5" t="s">
        <v>6825</v>
      </c>
      <c r="B1510" t="s">
        <v>5161</v>
      </c>
      <c r="C1510" t="s">
        <v>23</v>
      </c>
      <c r="D1510" t="s">
        <v>6828</v>
      </c>
      <c r="E1510" t="s">
        <v>5182</v>
      </c>
      <c r="F1510" t="s">
        <v>5163</v>
      </c>
      <c r="G1510" t="s">
        <v>5164</v>
      </c>
    </row>
    <row r="1511" spans="1:7" hidden="1">
      <c r="A1511" s="5" t="s">
        <v>6825</v>
      </c>
      <c r="B1511" t="s">
        <v>5161</v>
      </c>
      <c r="C1511" t="s">
        <v>23</v>
      </c>
      <c r="D1511" t="s">
        <v>6829</v>
      </c>
      <c r="E1511" t="s">
        <v>5182</v>
      </c>
      <c r="F1511" t="s">
        <v>5163</v>
      </c>
      <c r="G1511" t="s">
        <v>5164</v>
      </c>
    </row>
    <row r="1512" spans="1:7" hidden="1">
      <c r="A1512" s="5" t="s">
        <v>3147</v>
      </c>
      <c r="B1512" t="s">
        <v>5161</v>
      </c>
      <c r="C1512" t="s">
        <v>23</v>
      </c>
      <c r="D1512" t="s">
        <v>6830</v>
      </c>
      <c r="E1512">
        <v>26</v>
      </c>
      <c r="F1512" t="s">
        <v>5163</v>
      </c>
      <c r="G1512" t="s">
        <v>1905</v>
      </c>
    </row>
    <row r="1513" spans="1:7" hidden="1">
      <c r="A1513" s="5" t="s">
        <v>3147</v>
      </c>
      <c r="B1513" t="s">
        <v>5161</v>
      </c>
      <c r="C1513" t="s">
        <v>23</v>
      </c>
      <c r="D1513" t="s">
        <v>6831</v>
      </c>
      <c r="E1513">
        <v>25</v>
      </c>
      <c r="F1513" t="s">
        <v>5163</v>
      </c>
      <c r="G1513" t="s">
        <v>1905</v>
      </c>
    </row>
    <row r="1514" spans="1:7" hidden="1">
      <c r="A1514" s="5" t="s">
        <v>3147</v>
      </c>
      <c r="B1514" t="s">
        <v>5161</v>
      </c>
      <c r="C1514" t="s">
        <v>23</v>
      </c>
      <c r="D1514" t="s">
        <v>6832</v>
      </c>
      <c r="E1514">
        <v>30</v>
      </c>
      <c r="F1514" t="s">
        <v>5163</v>
      </c>
      <c r="G1514" t="s">
        <v>1905</v>
      </c>
    </row>
    <row r="1515" spans="1:7" hidden="1">
      <c r="A1515" s="5" t="s">
        <v>3298</v>
      </c>
      <c r="B1515" t="s">
        <v>5161</v>
      </c>
      <c r="C1515" t="s">
        <v>23</v>
      </c>
      <c r="D1515" t="s">
        <v>6833</v>
      </c>
      <c r="E1515">
        <v>29</v>
      </c>
      <c r="F1515" t="s">
        <v>5163</v>
      </c>
      <c r="G1515" t="s">
        <v>1905</v>
      </c>
    </row>
    <row r="1516" spans="1:7" hidden="1">
      <c r="A1516" s="5" t="s">
        <v>3298</v>
      </c>
      <c r="B1516" t="s">
        <v>5161</v>
      </c>
      <c r="C1516" t="s">
        <v>23</v>
      </c>
      <c r="D1516" t="s">
        <v>6834</v>
      </c>
      <c r="E1516">
        <v>26</v>
      </c>
      <c r="F1516" t="s">
        <v>5163</v>
      </c>
      <c r="G1516" t="s">
        <v>5169</v>
      </c>
    </row>
    <row r="1517" spans="1:7" hidden="1">
      <c r="A1517" s="5" t="s">
        <v>3371</v>
      </c>
      <c r="B1517" t="s">
        <v>5161</v>
      </c>
      <c r="C1517" t="s">
        <v>23</v>
      </c>
      <c r="D1517" t="s">
        <v>6835</v>
      </c>
      <c r="E1517">
        <v>18</v>
      </c>
      <c r="F1517" t="s">
        <v>5163</v>
      </c>
      <c r="G1517" t="s">
        <v>1905</v>
      </c>
    </row>
    <row r="1518" spans="1:7" hidden="1">
      <c r="A1518" s="5" t="s">
        <v>2527</v>
      </c>
      <c r="B1518" t="s">
        <v>5161</v>
      </c>
      <c r="C1518" t="s">
        <v>23</v>
      </c>
      <c r="D1518" t="s">
        <v>6836</v>
      </c>
      <c r="E1518">
        <v>31</v>
      </c>
      <c r="F1518" t="s">
        <v>5163</v>
      </c>
      <c r="G1518" t="s">
        <v>1905</v>
      </c>
    </row>
    <row r="1519" spans="1:7" hidden="1">
      <c r="A1519" s="5" t="s">
        <v>6837</v>
      </c>
      <c r="B1519" t="s">
        <v>5161</v>
      </c>
      <c r="C1519" t="s">
        <v>23</v>
      </c>
      <c r="D1519" t="s">
        <v>5410</v>
      </c>
      <c r="E1519">
        <v>34</v>
      </c>
      <c r="F1519" t="s">
        <v>5163</v>
      </c>
      <c r="G1519" t="s">
        <v>5164</v>
      </c>
    </row>
    <row r="1520" spans="1:7" hidden="1">
      <c r="A1520" s="5" t="s">
        <v>4841</v>
      </c>
      <c r="B1520" t="s">
        <v>5161</v>
      </c>
      <c r="C1520" t="s">
        <v>23</v>
      </c>
      <c r="D1520" t="s">
        <v>6838</v>
      </c>
      <c r="E1520">
        <v>39</v>
      </c>
      <c r="F1520" t="s">
        <v>5163</v>
      </c>
      <c r="G1520" t="s">
        <v>5164</v>
      </c>
    </row>
    <row r="1521" spans="1:7" hidden="1">
      <c r="A1521" s="5" t="s">
        <v>4841</v>
      </c>
      <c r="B1521" t="s">
        <v>5161</v>
      </c>
      <c r="C1521" t="s">
        <v>23</v>
      </c>
      <c r="D1521" t="s">
        <v>6839</v>
      </c>
      <c r="E1521">
        <v>42</v>
      </c>
      <c r="F1521" t="s">
        <v>5163</v>
      </c>
      <c r="G1521" t="s">
        <v>5169</v>
      </c>
    </row>
    <row r="1522" spans="1:7" hidden="1">
      <c r="A1522" s="5" t="s">
        <v>4841</v>
      </c>
      <c r="B1522" t="s">
        <v>5161</v>
      </c>
      <c r="C1522" t="s">
        <v>23</v>
      </c>
      <c r="D1522" t="s">
        <v>6840</v>
      </c>
      <c r="E1522">
        <v>44</v>
      </c>
      <c r="F1522" t="s">
        <v>5163</v>
      </c>
      <c r="G1522" t="s">
        <v>1905</v>
      </c>
    </row>
    <row r="1523" spans="1:7" hidden="1">
      <c r="A1523" s="5" t="s">
        <v>3013</v>
      </c>
      <c r="B1523" t="s">
        <v>5161</v>
      </c>
      <c r="C1523" t="s">
        <v>23</v>
      </c>
      <c r="D1523" t="s">
        <v>6841</v>
      </c>
      <c r="E1523">
        <v>32</v>
      </c>
      <c r="F1523" t="s">
        <v>5163</v>
      </c>
      <c r="G1523" t="s">
        <v>5164</v>
      </c>
    </row>
    <row r="1524" spans="1:7" hidden="1">
      <c r="A1524" s="5" t="s">
        <v>3012</v>
      </c>
      <c r="B1524" t="s">
        <v>5161</v>
      </c>
      <c r="C1524" t="s">
        <v>23</v>
      </c>
      <c r="D1524" t="s">
        <v>6842</v>
      </c>
      <c r="E1524">
        <v>26</v>
      </c>
      <c r="F1524" t="s">
        <v>5172</v>
      </c>
      <c r="G1524" t="s">
        <v>1905</v>
      </c>
    </row>
    <row r="1525" spans="1:7" hidden="1">
      <c r="A1525" s="5" t="s">
        <v>3012</v>
      </c>
      <c r="B1525" t="s">
        <v>5161</v>
      </c>
      <c r="C1525" t="s">
        <v>23</v>
      </c>
      <c r="D1525" t="s">
        <v>6843</v>
      </c>
      <c r="E1525">
        <v>57</v>
      </c>
      <c r="F1525" t="s">
        <v>5172</v>
      </c>
      <c r="G1525" t="s">
        <v>1905</v>
      </c>
    </row>
    <row r="1526" spans="1:7" hidden="1">
      <c r="A1526" s="5" t="s">
        <v>2652</v>
      </c>
      <c r="B1526" t="s">
        <v>5161</v>
      </c>
      <c r="C1526" t="s">
        <v>23</v>
      </c>
      <c r="D1526" t="s">
        <v>6844</v>
      </c>
      <c r="E1526">
        <v>27</v>
      </c>
      <c r="F1526" t="s">
        <v>5163</v>
      </c>
      <c r="G1526" t="s">
        <v>5164</v>
      </c>
    </row>
    <row r="1527" spans="1:7" hidden="1">
      <c r="A1527" s="5" t="s">
        <v>2982</v>
      </c>
      <c r="B1527" t="s">
        <v>5161</v>
      </c>
      <c r="C1527" t="s">
        <v>23</v>
      </c>
      <c r="D1527" t="s">
        <v>6845</v>
      </c>
      <c r="E1527">
        <v>26</v>
      </c>
      <c r="F1527" t="s">
        <v>5163</v>
      </c>
      <c r="G1527" t="s">
        <v>5164</v>
      </c>
    </row>
    <row r="1528" spans="1:7" hidden="1">
      <c r="A1528" s="5" t="s">
        <v>2673</v>
      </c>
      <c r="B1528" t="s">
        <v>5161</v>
      </c>
      <c r="C1528" t="s">
        <v>23</v>
      </c>
      <c r="D1528" t="s">
        <v>6846</v>
      </c>
      <c r="E1528">
        <v>36</v>
      </c>
      <c r="F1528" t="s">
        <v>5163</v>
      </c>
      <c r="G1528" t="s">
        <v>5164</v>
      </c>
    </row>
    <row r="1529" spans="1:7" hidden="1">
      <c r="A1529" s="5" t="s">
        <v>2834</v>
      </c>
      <c r="B1529" t="s">
        <v>5161</v>
      </c>
      <c r="C1529" t="s">
        <v>23</v>
      </c>
      <c r="D1529" t="s">
        <v>6847</v>
      </c>
      <c r="E1529">
        <v>20</v>
      </c>
      <c r="F1529" t="s">
        <v>5163</v>
      </c>
      <c r="G1529" t="s">
        <v>5169</v>
      </c>
    </row>
    <row r="1530" spans="1:7" hidden="1">
      <c r="A1530" s="5" t="s">
        <v>2551</v>
      </c>
      <c r="B1530" t="s">
        <v>5161</v>
      </c>
      <c r="C1530" t="s">
        <v>23</v>
      </c>
      <c r="D1530" t="s">
        <v>6848</v>
      </c>
      <c r="E1530">
        <v>38</v>
      </c>
      <c r="F1530" t="s">
        <v>5163</v>
      </c>
      <c r="G1530" t="s">
        <v>5164</v>
      </c>
    </row>
    <row r="1531" spans="1:7" hidden="1">
      <c r="A1531" s="5" t="s">
        <v>2101</v>
      </c>
      <c r="B1531" t="s">
        <v>5161</v>
      </c>
      <c r="C1531" t="s">
        <v>23</v>
      </c>
      <c r="D1531" t="s">
        <v>6849</v>
      </c>
      <c r="E1531">
        <v>27</v>
      </c>
      <c r="F1531" t="s">
        <v>5163</v>
      </c>
      <c r="G1531" t="s">
        <v>5164</v>
      </c>
    </row>
    <row r="1532" spans="1:7" hidden="1">
      <c r="A1532" s="5" t="s">
        <v>2216</v>
      </c>
      <c r="B1532" t="s">
        <v>5161</v>
      </c>
      <c r="C1532" t="s">
        <v>23</v>
      </c>
      <c r="D1532" t="s">
        <v>6850</v>
      </c>
      <c r="E1532">
        <v>22</v>
      </c>
      <c r="F1532" t="s">
        <v>5163</v>
      </c>
      <c r="G1532" t="s">
        <v>1905</v>
      </c>
    </row>
    <row r="1533" spans="1:7" hidden="1">
      <c r="A1533" s="5" t="s">
        <v>2216</v>
      </c>
      <c r="B1533" t="s">
        <v>5161</v>
      </c>
      <c r="C1533" t="s">
        <v>23</v>
      </c>
      <c r="D1533" t="s">
        <v>6851</v>
      </c>
      <c r="E1533">
        <v>26</v>
      </c>
      <c r="F1533" t="s">
        <v>5163</v>
      </c>
      <c r="G1533" t="s">
        <v>5169</v>
      </c>
    </row>
    <row r="1534" spans="1:7" hidden="1">
      <c r="A1534" s="5" t="s">
        <v>4765</v>
      </c>
      <c r="B1534" t="s">
        <v>5161</v>
      </c>
      <c r="C1534" t="s">
        <v>23</v>
      </c>
      <c r="D1534" t="s">
        <v>6852</v>
      </c>
      <c r="E1534">
        <v>38</v>
      </c>
      <c r="F1534" t="s">
        <v>5163</v>
      </c>
      <c r="G1534" t="s">
        <v>5164</v>
      </c>
    </row>
    <row r="1535" spans="1:7" hidden="1">
      <c r="A1535" s="5" t="s">
        <v>4934</v>
      </c>
      <c r="B1535" t="s">
        <v>5161</v>
      </c>
      <c r="C1535" t="s">
        <v>23</v>
      </c>
      <c r="D1535" t="s">
        <v>6853</v>
      </c>
      <c r="E1535">
        <v>26</v>
      </c>
      <c r="F1535" t="s">
        <v>5163</v>
      </c>
      <c r="G1535" t="s">
        <v>5164</v>
      </c>
    </row>
    <row r="1536" spans="1:7" hidden="1">
      <c r="A1536" s="5" t="s">
        <v>4556</v>
      </c>
      <c r="B1536" t="s">
        <v>5161</v>
      </c>
      <c r="C1536" t="s">
        <v>23</v>
      </c>
      <c r="D1536" t="s">
        <v>6854</v>
      </c>
      <c r="E1536">
        <v>36</v>
      </c>
      <c r="F1536" t="s">
        <v>5163</v>
      </c>
      <c r="G1536" t="s">
        <v>5164</v>
      </c>
    </row>
    <row r="1537" spans="1:7" hidden="1">
      <c r="A1537" s="5" t="s">
        <v>3663</v>
      </c>
      <c r="B1537" t="s">
        <v>5161</v>
      </c>
      <c r="C1537" t="s">
        <v>23</v>
      </c>
      <c r="D1537" t="s">
        <v>6855</v>
      </c>
      <c r="E1537">
        <v>38</v>
      </c>
      <c r="F1537" t="s">
        <v>5163</v>
      </c>
      <c r="G1537" t="s">
        <v>5169</v>
      </c>
    </row>
    <row r="1538" spans="1:7" hidden="1">
      <c r="A1538" s="5" t="s">
        <v>3755</v>
      </c>
      <c r="B1538" t="s">
        <v>5161</v>
      </c>
      <c r="C1538" t="s">
        <v>23</v>
      </c>
      <c r="D1538" t="s">
        <v>6856</v>
      </c>
      <c r="E1538">
        <v>21</v>
      </c>
      <c r="F1538" t="s">
        <v>5163</v>
      </c>
      <c r="G1538" t="s">
        <v>1905</v>
      </c>
    </row>
    <row r="1539" spans="1:7" hidden="1">
      <c r="A1539" s="5" t="s">
        <v>3755</v>
      </c>
      <c r="B1539" t="s">
        <v>5161</v>
      </c>
      <c r="C1539" t="s">
        <v>23</v>
      </c>
      <c r="D1539" t="s">
        <v>6857</v>
      </c>
      <c r="E1539">
        <v>23</v>
      </c>
      <c r="F1539" t="s">
        <v>5163</v>
      </c>
      <c r="G1539" t="s">
        <v>5164</v>
      </c>
    </row>
    <row r="1540" spans="1:7" hidden="1">
      <c r="A1540" s="5" t="s">
        <v>3755</v>
      </c>
      <c r="B1540" t="s">
        <v>5161</v>
      </c>
      <c r="C1540" t="s">
        <v>23</v>
      </c>
      <c r="D1540" t="s">
        <v>6858</v>
      </c>
      <c r="E1540">
        <v>27</v>
      </c>
      <c r="F1540" t="s">
        <v>5163</v>
      </c>
      <c r="G1540" t="s">
        <v>5164</v>
      </c>
    </row>
    <row r="1541" spans="1:7" hidden="1">
      <c r="A1541" s="5" t="s">
        <v>81</v>
      </c>
      <c r="B1541" t="s">
        <v>5161</v>
      </c>
      <c r="C1541" t="s">
        <v>23</v>
      </c>
      <c r="D1541" t="s">
        <v>6859</v>
      </c>
      <c r="E1541">
        <v>28</v>
      </c>
      <c r="F1541" t="s">
        <v>5163</v>
      </c>
      <c r="G1541" t="s">
        <v>1905</v>
      </c>
    </row>
    <row r="1542" spans="1:7" hidden="1">
      <c r="A1542" s="5" t="s">
        <v>2199</v>
      </c>
      <c r="B1542" t="s">
        <v>5161</v>
      </c>
      <c r="C1542" t="s">
        <v>23</v>
      </c>
      <c r="D1542" t="s">
        <v>6860</v>
      </c>
      <c r="E1542">
        <v>30</v>
      </c>
      <c r="F1542" t="s">
        <v>5163</v>
      </c>
      <c r="G1542" t="s">
        <v>5164</v>
      </c>
    </row>
    <row r="1543" spans="1:7" hidden="1">
      <c r="A1543" s="5" t="s">
        <v>2167</v>
      </c>
      <c r="B1543" t="s">
        <v>5161</v>
      </c>
      <c r="C1543" t="s">
        <v>23</v>
      </c>
      <c r="D1543" t="s">
        <v>6861</v>
      </c>
      <c r="E1543">
        <v>24</v>
      </c>
      <c r="F1543" t="s">
        <v>5163</v>
      </c>
      <c r="G1543" t="s">
        <v>5164</v>
      </c>
    </row>
    <row r="1544" spans="1:7" hidden="1">
      <c r="A1544" s="5" t="s">
        <v>4739</v>
      </c>
      <c r="B1544" t="s">
        <v>5161</v>
      </c>
      <c r="C1544" t="s">
        <v>23</v>
      </c>
      <c r="D1544" t="s">
        <v>6862</v>
      </c>
      <c r="E1544">
        <v>19</v>
      </c>
      <c r="F1544" t="s">
        <v>5163</v>
      </c>
      <c r="G1544" t="s">
        <v>5164</v>
      </c>
    </row>
    <row r="1545" spans="1:7" hidden="1">
      <c r="A1545" s="5" t="s">
        <v>4764</v>
      </c>
      <c r="B1545" t="s">
        <v>5161</v>
      </c>
      <c r="C1545" t="s">
        <v>23</v>
      </c>
      <c r="D1545" t="s">
        <v>6863</v>
      </c>
      <c r="E1545">
        <v>30</v>
      </c>
      <c r="F1545" t="s">
        <v>5163</v>
      </c>
      <c r="G1545" t="s">
        <v>1905</v>
      </c>
    </row>
    <row r="1546" spans="1:7" hidden="1">
      <c r="A1546" s="5" t="s">
        <v>4450</v>
      </c>
      <c r="B1546" t="s">
        <v>5161</v>
      </c>
      <c r="C1546" t="s">
        <v>23</v>
      </c>
      <c r="D1546" t="s">
        <v>6864</v>
      </c>
      <c r="E1546">
        <v>43</v>
      </c>
      <c r="F1546" t="s">
        <v>5163</v>
      </c>
      <c r="G1546" t="s">
        <v>1905</v>
      </c>
    </row>
    <row r="1547" spans="1:7" hidden="1">
      <c r="A1547" s="5" t="s">
        <v>4134</v>
      </c>
      <c r="B1547" t="s">
        <v>5161</v>
      </c>
      <c r="C1547" t="s">
        <v>23</v>
      </c>
      <c r="D1547" t="s">
        <v>6865</v>
      </c>
      <c r="E1547">
        <v>47</v>
      </c>
      <c r="F1547" t="s">
        <v>5163</v>
      </c>
      <c r="G1547" t="s">
        <v>5169</v>
      </c>
    </row>
    <row r="1548" spans="1:7" hidden="1">
      <c r="A1548" s="5" t="s">
        <v>26</v>
      </c>
      <c r="B1548" t="s">
        <v>5161</v>
      </c>
      <c r="C1548" t="s">
        <v>23</v>
      </c>
      <c r="D1548" t="s">
        <v>47</v>
      </c>
      <c r="E1548">
        <v>27</v>
      </c>
      <c r="F1548" t="s">
        <v>5163</v>
      </c>
      <c r="G1548" t="s">
        <v>5164</v>
      </c>
    </row>
    <row r="1549" spans="1:7" hidden="1">
      <c r="A1549" s="5" t="s">
        <v>6866</v>
      </c>
      <c r="B1549" t="s">
        <v>5161</v>
      </c>
      <c r="C1549" t="s">
        <v>23</v>
      </c>
      <c r="D1549" t="s">
        <v>6867</v>
      </c>
      <c r="E1549" t="s">
        <v>5182</v>
      </c>
      <c r="F1549" t="s">
        <v>5163</v>
      </c>
      <c r="G1549" t="s">
        <v>1905</v>
      </c>
    </row>
    <row r="1550" spans="1:7" hidden="1">
      <c r="A1550" s="5" t="s">
        <v>2425</v>
      </c>
      <c r="B1550" t="s">
        <v>5161</v>
      </c>
      <c r="C1550" t="s">
        <v>225</v>
      </c>
      <c r="D1550" t="s">
        <v>6868</v>
      </c>
      <c r="E1550">
        <v>20</v>
      </c>
      <c r="F1550" t="s">
        <v>5163</v>
      </c>
      <c r="G1550" t="s">
        <v>5164</v>
      </c>
    </row>
    <row r="1551" spans="1:7" hidden="1">
      <c r="A1551" s="5" t="s">
        <v>2425</v>
      </c>
      <c r="B1551" t="s">
        <v>5161</v>
      </c>
      <c r="C1551" t="s">
        <v>225</v>
      </c>
      <c r="D1551" t="s">
        <v>6869</v>
      </c>
      <c r="E1551">
        <v>19</v>
      </c>
      <c r="F1551" t="s">
        <v>5163</v>
      </c>
      <c r="G1551" t="s">
        <v>5164</v>
      </c>
    </row>
    <row r="1552" spans="1:7" hidden="1">
      <c r="A1552" s="5" t="s">
        <v>4426</v>
      </c>
      <c r="B1552" t="s">
        <v>5161</v>
      </c>
      <c r="C1552" t="s">
        <v>225</v>
      </c>
      <c r="D1552" t="s">
        <v>6870</v>
      </c>
      <c r="E1552">
        <v>24</v>
      </c>
      <c r="F1552" t="s">
        <v>5163</v>
      </c>
      <c r="G1552" t="s">
        <v>5164</v>
      </c>
    </row>
    <row r="1553" spans="1:7" hidden="1">
      <c r="A1553" s="5" t="s">
        <v>4252</v>
      </c>
      <c r="B1553" t="s">
        <v>5161</v>
      </c>
      <c r="C1553" t="s">
        <v>225</v>
      </c>
      <c r="D1553" t="s">
        <v>6871</v>
      </c>
      <c r="E1553">
        <v>19</v>
      </c>
      <c r="F1553" t="s">
        <v>5163</v>
      </c>
      <c r="G1553" t="s">
        <v>5169</v>
      </c>
    </row>
    <row r="1554" spans="1:7" hidden="1">
      <c r="A1554" s="5" t="s">
        <v>4226</v>
      </c>
      <c r="B1554" t="s">
        <v>5161</v>
      </c>
      <c r="C1554" t="s">
        <v>225</v>
      </c>
      <c r="D1554" t="s">
        <v>6872</v>
      </c>
      <c r="E1554">
        <v>32</v>
      </c>
      <c r="F1554" t="s">
        <v>5163</v>
      </c>
      <c r="G1554" t="s">
        <v>5164</v>
      </c>
    </row>
    <row r="1555" spans="1:7" hidden="1">
      <c r="A1555" s="5" t="s">
        <v>4223</v>
      </c>
      <c r="B1555" t="s">
        <v>5161</v>
      </c>
      <c r="C1555" t="s">
        <v>225</v>
      </c>
      <c r="D1555" t="s">
        <v>6873</v>
      </c>
      <c r="E1555">
        <v>31</v>
      </c>
      <c r="F1555" t="s">
        <v>5163</v>
      </c>
      <c r="G1555" t="s">
        <v>1905</v>
      </c>
    </row>
    <row r="1556" spans="1:7" hidden="1">
      <c r="A1556" s="5" t="s">
        <v>3253</v>
      </c>
      <c r="B1556" t="s">
        <v>5161</v>
      </c>
      <c r="C1556" t="s">
        <v>225</v>
      </c>
      <c r="D1556" t="s">
        <v>6874</v>
      </c>
      <c r="E1556">
        <v>22</v>
      </c>
      <c r="F1556" t="s">
        <v>5163</v>
      </c>
      <c r="G1556" t="s">
        <v>1905</v>
      </c>
    </row>
    <row r="1557" spans="1:7" hidden="1">
      <c r="A1557" s="5" t="s">
        <v>2567</v>
      </c>
      <c r="B1557" t="s">
        <v>5161</v>
      </c>
      <c r="C1557" t="s">
        <v>225</v>
      </c>
      <c r="D1557" t="s">
        <v>6875</v>
      </c>
      <c r="E1557">
        <v>21</v>
      </c>
      <c r="F1557" t="s">
        <v>5163</v>
      </c>
      <c r="G1557" t="s">
        <v>5182</v>
      </c>
    </row>
    <row r="1558" spans="1:7" hidden="1">
      <c r="A1558" s="5" t="s">
        <v>4210</v>
      </c>
      <c r="B1558" t="s">
        <v>5161</v>
      </c>
      <c r="C1558" t="s">
        <v>225</v>
      </c>
      <c r="D1558" t="s">
        <v>6876</v>
      </c>
      <c r="E1558">
        <v>25</v>
      </c>
      <c r="F1558" t="s">
        <v>5163</v>
      </c>
      <c r="G1558" t="s">
        <v>1905</v>
      </c>
    </row>
    <row r="1559" spans="1:7" hidden="1">
      <c r="A1559" s="5" t="s">
        <v>5063</v>
      </c>
      <c r="B1559" t="s">
        <v>5161</v>
      </c>
      <c r="C1559" t="s">
        <v>225</v>
      </c>
      <c r="D1559" t="s">
        <v>6877</v>
      </c>
      <c r="E1559">
        <v>40</v>
      </c>
      <c r="F1559" t="s">
        <v>5163</v>
      </c>
      <c r="G1559" t="s">
        <v>1905</v>
      </c>
    </row>
    <row r="1560" spans="1:7" hidden="1">
      <c r="A1560" s="5" t="s">
        <v>4027</v>
      </c>
      <c r="B1560" t="s">
        <v>5161</v>
      </c>
      <c r="C1560" t="s">
        <v>225</v>
      </c>
      <c r="D1560" t="s">
        <v>6878</v>
      </c>
      <c r="E1560">
        <v>62</v>
      </c>
      <c r="F1560" t="s">
        <v>5163</v>
      </c>
      <c r="G1560" t="s">
        <v>5164</v>
      </c>
    </row>
    <row r="1561" spans="1:7" hidden="1">
      <c r="A1561" s="5" t="s">
        <v>4365</v>
      </c>
      <c r="B1561" t="s">
        <v>5161</v>
      </c>
      <c r="C1561" t="s">
        <v>225</v>
      </c>
      <c r="D1561" t="s">
        <v>6879</v>
      </c>
      <c r="E1561">
        <v>27</v>
      </c>
      <c r="F1561" t="s">
        <v>5163</v>
      </c>
      <c r="G1561" t="s">
        <v>5164</v>
      </c>
    </row>
    <row r="1562" spans="1:7" hidden="1">
      <c r="A1562" s="5" t="s">
        <v>4390</v>
      </c>
      <c r="B1562" t="s">
        <v>5161</v>
      </c>
      <c r="C1562" t="s">
        <v>225</v>
      </c>
      <c r="D1562" t="s">
        <v>6880</v>
      </c>
      <c r="E1562">
        <v>20</v>
      </c>
      <c r="F1562" t="s">
        <v>5163</v>
      </c>
      <c r="G1562" t="s">
        <v>1905</v>
      </c>
    </row>
    <row r="1563" spans="1:7" hidden="1">
      <c r="A1563" s="5" t="s">
        <v>4067</v>
      </c>
      <c r="B1563" t="s">
        <v>5161</v>
      </c>
      <c r="C1563" t="s">
        <v>225</v>
      </c>
      <c r="D1563" t="s">
        <v>6881</v>
      </c>
      <c r="E1563">
        <v>22</v>
      </c>
      <c r="F1563" t="s">
        <v>5163</v>
      </c>
      <c r="G1563" t="s">
        <v>5164</v>
      </c>
    </row>
    <row r="1564" spans="1:7" hidden="1">
      <c r="A1564" s="5" t="s">
        <v>3781</v>
      </c>
      <c r="B1564" t="s">
        <v>5161</v>
      </c>
      <c r="C1564" t="s">
        <v>225</v>
      </c>
      <c r="D1564" t="s">
        <v>6882</v>
      </c>
      <c r="E1564">
        <v>26</v>
      </c>
      <c r="F1564" t="s">
        <v>5163</v>
      </c>
      <c r="G1564" t="s">
        <v>1905</v>
      </c>
    </row>
    <row r="1565" spans="1:7" hidden="1">
      <c r="A1565" s="5" t="s">
        <v>3243</v>
      </c>
      <c r="B1565" t="s">
        <v>5161</v>
      </c>
      <c r="C1565" t="s">
        <v>225</v>
      </c>
      <c r="D1565" t="s">
        <v>6883</v>
      </c>
      <c r="E1565">
        <v>31</v>
      </c>
      <c r="F1565" t="s">
        <v>5163</v>
      </c>
      <c r="G1565" t="s">
        <v>5169</v>
      </c>
    </row>
    <row r="1566" spans="1:7" hidden="1">
      <c r="A1566" s="5" t="s">
        <v>224</v>
      </c>
      <c r="B1566" t="s">
        <v>5161</v>
      </c>
      <c r="C1566" t="s">
        <v>225</v>
      </c>
      <c r="D1566" t="s">
        <v>785</v>
      </c>
      <c r="E1566">
        <v>34</v>
      </c>
      <c r="F1566" t="s">
        <v>5163</v>
      </c>
      <c r="G1566" t="s">
        <v>5169</v>
      </c>
    </row>
    <row r="1567" spans="1:7" hidden="1">
      <c r="A1567" s="5" t="s">
        <v>2952</v>
      </c>
      <c r="B1567" t="s">
        <v>5161</v>
      </c>
      <c r="C1567" t="s">
        <v>225</v>
      </c>
      <c r="D1567" t="s">
        <v>6884</v>
      </c>
      <c r="E1567">
        <v>25</v>
      </c>
      <c r="F1567" t="s">
        <v>5172</v>
      </c>
      <c r="G1567" t="s">
        <v>5164</v>
      </c>
    </row>
    <row r="1568" spans="1:7" hidden="1">
      <c r="A1568" s="5" t="s">
        <v>3710</v>
      </c>
      <c r="B1568" t="s">
        <v>5161</v>
      </c>
      <c r="C1568" t="s">
        <v>225</v>
      </c>
      <c r="D1568" t="s">
        <v>6885</v>
      </c>
      <c r="E1568">
        <v>19</v>
      </c>
      <c r="F1568" t="s">
        <v>5163</v>
      </c>
      <c r="G1568" t="s">
        <v>1905</v>
      </c>
    </row>
    <row r="1569" spans="1:7" hidden="1">
      <c r="A1569" s="5" t="s">
        <v>2466</v>
      </c>
      <c r="B1569" t="s">
        <v>5161</v>
      </c>
      <c r="C1569" t="s">
        <v>225</v>
      </c>
      <c r="D1569" t="s">
        <v>6886</v>
      </c>
      <c r="E1569">
        <v>23</v>
      </c>
      <c r="F1569" t="s">
        <v>5163</v>
      </c>
      <c r="G1569" t="s">
        <v>5164</v>
      </c>
    </row>
    <row r="1570" spans="1:7" hidden="1">
      <c r="A1570" s="5" t="s">
        <v>2376</v>
      </c>
      <c r="B1570" t="s">
        <v>5161</v>
      </c>
      <c r="C1570" t="s">
        <v>225</v>
      </c>
      <c r="D1570" t="s">
        <v>6887</v>
      </c>
      <c r="E1570">
        <v>24</v>
      </c>
      <c r="F1570" t="s">
        <v>5163</v>
      </c>
      <c r="G1570" t="s">
        <v>5164</v>
      </c>
    </row>
    <row r="1571" spans="1:7" hidden="1">
      <c r="A1571" s="5" t="s">
        <v>3807</v>
      </c>
      <c r="B1571" t="s">
        <v>5161</v>
      </c>
      <c r="C1571" t="s">
        <v>225</v>
      </c>
      <c r="D1571" t="s">
        <v>6888</v>
      </c>
      <c r="E1571">
        <v>24</v>
      </c>
      <c r="F1571" t="s">
        <v>5163</v>
      </c>
      <c r="G1571" t="s">
        <v>5164</v>
      </c>
    </row>
    <row r="1572" spans="1:7" hidden="1">
      <c r="A1572" s="5" t="s">
        <v>223</v>
      </c>
      <c r="B1572" t="s">
        <v>5161</v>
      </c>
      <c r="C1572" t="s">
        <v>225</v>
      </c>
      <c r="D1572" t="s">
        <v>784</v>
      </c>
      <c r="E1572">
        <v>19</v>
      </c>
      <c r="F1572" t="s">
        <v>5163</v>
      </c>
      <c r="G1572" t="s">
        <v>5164</v>
      </c>
    </row>
    <row r="1573" spans="1:7" hidden="1">
      <c r="A1573" s="5" t="s">
        <v>217</v>
      </c>
      <c r="B1573" t="s">
        <v>5161</v>
      </c>
      <c r="C1573" t="s">
        <v>225</v>
      </c>
      <c r="D1573" t="s">
        <v>774</v>
      </c>
      <c r="E1573">
        <v>21</v>
      </c>
      <c r="F1573" t="s">
        <v>5163</v>
      </c>
      <c r="G1573" t="s">
        <v>5164</v>
      </c>
    </row>
    <row r="1574" spans="1:7" hidden="1">
      <c r="A1574" s="5" t="s">
        <v>4159</v>
      </c>
      <c r="B1574" t="s">
        <v>5161</v>
      </c>
      <c r="C1574" t="s">
        <v>225</v>
      </c>
      <c r="D1574" t="s">
        <v>6339</v>
      </c>
      <c r="E1574">
        <v>18</v>
      </c>
      <c r="F1574" t="s">
        <v>5163</v>
      </c>
      <c r="G1574" t="s">
        <v>5164</v>
      </c>
    </row>
    <row r="1575" spans="1:7" hidden="1">
      <c r="A1575" s="5" t="s">
        <v>216</v>
      </c>
      <c r="B1575" t="s">
        <v>5161</v>
      </c>
      <c r="C1575" t="s">
        <v>225</v>
      </c>
      <c r="D1575" t="s">
        <v>773</v>
      </c>
      <c r="E1575">
        <v>27</v>
      </c>
      <c r="F1575" t="s">
        <v>5163</v>
      </c>
      <c r="G1575" t="s">
        <v>5169</v>
      </c>
    </row>
    <row r="1576" spans="1:7" hidden="1">
      <c r="A1576" s="5" t="s">
        <v>3427</v>
      </c>
      <c r="B1576" t="s">
        <v>5161</v>
      </c>
      <c r="C1576" t="s">
        <v>225</v>
      </c>
      <c r="D1576" t="s">
        <v>6889</v>
      </c>
      <c r="E1576">
        <v>26</v>
      </c>
      <c r="F1576" t="s">
        <v>5163</v>
      </c>
      <c r="G1576" t="s">
        <v>5164</v>
      </c>
    </row>
    <row r="1577" spans="1:7" hidden="1">
      <c r="A1577" s="5" t="s">
        <v>219</v>
      </c>
      <c r="B1577" t="s">
        <v>5161</v>
      </c>
      <c r="C1577" t="s">
        <v>225</v>
      </c>
      <c r="D1577" t="s">
        <v>777</v>
      </c>
      <c r="E1577">
        <v>22</v>
      </c>
      <c r="F1577" t="s">
        <v>5163</v>
      </c>
      <c r="G1577" t="s">
        <v>5164</v>
      </c>
    </row>
    <row r="1578" spans="1:7" hidden="1">
      <c r="A1578" s="5" t="s">
        <v>4862</v>
      </c>
      <c r="B1578" t="s">
        <v>5161</v>
      </c>
      <c r="C1578" t="s">
        <v>225</v>
      </c>
      <c r="D1578" t="s">
        <v>6890</v>
      </c>
      <c r="E1578">
        <v>20</v>
      </c>
      <c r="F1578" t="s">
        <v>5163</v>
      </c>
      <c r="G1578" t="s">
        <v>5164</v>
      </c>
    </row>
    <row r="1579" spans="1:7" hidden="1">
      <c r="A1579" s="5" t="s">
        <v>3604</v>
      </c>
      <c r="B1579" t="s">
        <v>5161</v>
      </c>
      <c r="C1579" t="s">
        <v>225</v>
      </c>
      <c r="D1579" t="s">
        <v>6891</v>
      </c>
      <c r="E1579">
        <v>25</v>
      </c>
      <c r="F1579" t="s">
        <v>5163</v>
      </c>
      <c r="G1579" t="s">
        <v>5164</v>
      </c>
    </row>
    <row r="1580" spans="1:7" hidden="1">
      <c r="A1580" s="5" t="s">
        <v>4331</v>
      </c>
      <c r="B1580" t="s">
        <v>5161</v>
      </c>
      <c r="C1580" t="s">
        <v>225</v>
      </c>
      <c r="D1580" t="s">
        <v>6892</v>
      </c>
      <c r="E1580">
        <v>22</v>
      </c>
      <c r="F1580" t="s">
        <v>5163</v>
      </c>
      <c r="G1580" t="s">
        <v>1905</v>
      </c>
    </row>
    <row r="1581" spans="1:7" hidden="1">
      <c r="A1581" s="5" t="s">
        <v>4863</v>
      </c>
      <c r="B1581" t="s">
        <v>5161</v>
      </c>
      <c r="C1581" t="s">
        <v>225</v>
      </c>
      <c r="D1581" t="s">
        <v>6893</v>
      </c>
      <c r="E1581">
        <v>22</v>
      </c>
      <c r="F1581" t="s">
        <v>5163</v>
      </c>
      <c r="G1581" t="s">
        <v>5164</v>
      </c>
    </row>
    <row r="1582" spans="1:7" hidden="1">
      <c r="A1582" s="5" t="s">
        <v>2829</v>
      </c>
      <c r="B1582" t="s">
        <v>5161</v>
      </c>
      <c r="C1582" t="s">
        <v>225</v>
      </c>
      <c r="D1582" t="s">
        <v>6894</v>
      </c>
      <c r="E1582">
        <v>20</v>
      </c>
      <c r="F1582" t="s">
        <v>5163</v>
      </c>
      <c r="G1582" t="s">
        <v>5164</v>
      </c>
    </row>
    <row r="1583" spans="1:7" hidden="1">
      <c r="A1583" s="5" t="s">
        <v>215</v>
      </c>
      <c r="B1583" t="s">
        <v>5161</v>
      </c>
      <c r="C1583" t="s">
        <v>225</v>
      </c>
      <c r="D1583" t="s">
        <v>770</v>
      </c>
      <c r="E1583">
        <v>32</v>
      </c>
      <c r="F1583" t="s">
        <v>5163</v>
      </c>
      <c r="G1583" t="s">
        <v>1905</v>
      </c>
    </row>
    <row r="1584" spans="1:7" hidden="1">
      <c r="A1584" s="5" t="s">
        <v>4330</v>
      </c>
      <c r="B1584" t="s">
        <v>5161</v>
      </c>
      <c r="C1584" t="s">
        <v>225</v>
      </c>
      <c r="D1584" t="s">
        <v>6895</v>
      </c>
      <c r="E1584">
        <v>20</v>
      </c>
      <c r="F1584" t="s">
        <v>5163</v>
      </c>
      <c r="G1584" t="s">
        <v>5164</v>
      </c>
    </row>
    <row r="1585" spans="1:7" hidden="1">
      <c r="A1585" s="5" t="s">
        <v>221</v>
      </c>
      <c r="B1585" t="s">
        <v>5161</v>
      </c>
      <c r="C1585" t="s">
        <v>225</v>
      </c>
      <c r="D1585" t="s">
        <v>6896</v>
      </c>
      <c r="E1585">
        <v>20</v>
      </c>
      <c r="F1585" t="s">
        <v>5163</v>
      </c>
      <c r="G1585" t="s">
        <v>5169</v>
      </c>
    </row>
    <row r="1586" spans="1:7" hidden="1">
      <c r="A1586" s="5" t="s">
        <v>221</v>
      </c>
      <c r="B1586" t="s">
        <v>5161</v>
      </c>
      <c r="C1586" t="s">
        <v>225</v>
      </c>
      <c r="D1586" t="s">
        <v>780</v>
      </c>
      <c r="E1586">
        <v>25</v>
      </c>
      <c r="F1586" t="s">
        <v>5163</v>
      </c>
      <c r="G1586" t="s">
        <v>1905</v>
      </c>
    </row>
    <row r="1587" spans="1:7" hidden="1">
      <c r="A1587" s="5" t="s">
        <v>2964</v>
      </c>
      <c r="B1587" t="s">
        <v>5161</v>
      </c>
      <c r="C1587" t="s">
        <v>225</v>
      </c>
      <c r="D1587" t="s">
        <v>6897</v>
      </c>
      <c r="E1587">
        <v>19</v>
      </c>
      <c r="F1587" t="s">
        <v>5163</v>
      </c>
      <c r="G1587" t="s">
        <v>1905</v>
      </c>
    </row>
    <row r="1588" spans="1:7" hidden="1">
      <c r="A1588" s="5" t="s">
        <v>4784</v>
      </c>
      <c r="B1588" t="s">
        <v>5161</v>
      </c>
      <c r="C1588" t="s">
        <v>225</v>
      </c>
      <c r="D1588" t="s">
        <v>6898</v>
      </c>
      <c r="E1588">
        <v>38</v>
      </c>
      <c r="F1588" t="s">
        <v>5163</v>
      </c>
      <c r="G1588" t="s">
        <v>1905</v>
      </c>
    </row>
    <row r="1589" spans="1:7" hidden="1">
      <c r="A1589" s="5" t="s">
        <v>4918</v>
      </c>
      <c r="B1589" t="s">
        <v>5161</v>
      </c>
      <c r="C1589" t="s">
        <v>225</v>
      </c>
      <c r="D1589" t="s">
        <v>6899</v>
      </c>
      <c r="E1589">
        <v>26</v>
      </c>
      <c r="F1589" t="s">
        <v>5163</v>
      </c>
      <c r="G1589" t="s">
        <v>5164</v>
      </c>
    </row>
    <row r="1590" spans="1:7" hidden="1">
      <c r="A1590" s="5" t="s">
        <v>4903</v>
      </c>
      <c r="B1590" t="s">
        <v>5161</v>
      </c>
      <c r="C1590" t="s">
        <v>225</v>
      </c>
      <c r="D1590" t="s">
        <v>6900</v>
      </c>
      <c r="E1590">
        <v>21</v>
      </c>
      <c r="F1590" t="s">
        <v>5163</v>
      </c>
      <c r="G1590" t="s">
        <v>5164</v>
      </c>
    </row>
    <row r="1591" spans="1:7" hidden="1">
      <c r="A1591" s="5" t="s">
        <v>3550</v>
      </c>
      <c r="B1591" t="s">
        <v>5161</v>
      </c>
      <c r="C1591" t="s">
        <v>225</v>
      </c>
      <c r="D1591" t="s">
        <v>6901</v>
      </c>
      <c r="E1591">
        <v>36</v>
      </c>
      <c r="F1591" t="s">
        <v>5163</v>
      </c>
      <c r="G1591" t="s">
        <v>1905</v>
      </c>
    </row>
    <row r="1592" spans="1:7" hidden="1">
      <c r="A1592" s="5" t="s">
        <v>3550</v>
      </c>
      <c r="B1592" t="s">
        <v>5161</v>
      </c>
      <c r="C1592" t="s">
        <v>225</v>
      </c>
      <c r="D1592" t="s">
        <v>6902</v>
      </c>
      <c r="E1592">
        <v>39</v>
      </c>
      <c r="F1592" t="s">
        <v>5163</v>
      </c>
      <c r="G1592" t="s">
        <v>1905</v>
      </c>
    </row>
    <row r="1593" spans="1:7" hidden="1">
      <c r="A1593" s="5" t="s">
        <v>4807</v>
      </c>
      <c r="B1593" t="s">
        <v>5161</v>
      </c>
      <c r="C1593" t="s">
        <v>225</v>
      </c>
      <c r="D1593" t="s">
        <v>6903</v>
      </c>
      <c r="E1593">
        <v>18</v>
      </c>
      <c r="F1593" t="s">
        <v>5163</v>
      </c>
      <c r="G1593" t="s">
        <v>5164</v>
      </c>
    </row>
    <row r="1594" spans="1:7" hidden="1">
      <c r="A1594" s="5" t="s">
        <v>4540</v>
      </c>
      <c r="B1594" t="s">
        <v>5161</v>
      </c>
      <c r="C1594" t="s">
        <v>225</v>
      </c>
      <c r="D1594" t="s">
        <v>6904</v>
      </c>
      <c r="E1594">
        <v>32</v>
      </c>
      <c r="F1594" t="s">
        <v>5172</v>
      </c>
      <c r="G1594" t="s">
        <v>1905</v>
      </c>
    </row>
    <row r="1595" spans="1:7" hidden="1">
      <c r="A1595" s="5" t="s">
        <v>220</v>
      </c>
      <c r="B1595" t="s">
        <v>5161</v>
      </c>
      <c r="C1595" t="s">
        <v>225</v>
      </c>
      <c r="D1595" t="s">
        <v>6905</v>
      </c>
      <c r="E1595">
        <v>21</v>
      </c>
      <c r="F1595" t="s">
        <v>5163</v>
      </c>
      <c r="G1595" t="s">
        <v>5164</v>
      </c>
    </row>
    <row r="1596" spans="1:7" hidden="1">
      <c r="A1596" s="5" t="s">
        <v>4548</v>
      </c>
      <c r="B1596" t="s">
        <v>5161</v>
      </c>
      <c r="C1596" t="s">
        <v>225</v>
      </c>
      <c r="D1596" t="s">
        <v>6906</v>
      </c>
      <c r="E1596">
        <v>20</v>
      </c>
      <c r="F1596" t="s">
        <v>5172</v>
      </c>
      <c r="G1596" t="s">
        <v>1905</v>
      </c>
    </row>
    <row r="1597" spans="1:7" hidden="1">
      <c r="A1597" s="5" t="s">
        <v>2879</v>
      </c>
      <c r="B1597" t="s">
        <v>5161</v>
      </c>
      <c r="C1597" t="s">
        <v>225</v>
      </c>
      <c r="D1597" t="s">
        <v>6907</v>
      </c>
      <c r="E1597">
        <v>33</v>
      </c>
      <c r="F1597" t="s">
        <v>5163</v>
      </c>
      <c r="G1597" t="s">
        <v>1905</v>
      </c>
    </row>
    <row r="1598" spans="1:7" hidden="1">
      <c r="A1598" s="5" t="s">
        <v>4203</v>
      </c>
      <c r="B1598" t="s">
        <v>5161</v>
      </c>
      <c r="C1598" t="s">
        <v>225</v>
      </c>
      <c r="D1598" t="s">
        <v>6908</v>
      </c>
      <c r="E1598">
        <v>22</v>
      </c>
      <c r="F1598" t="s">
        <v>5163</v>
      </c>
      <c r="G1598" t="s">
        <v>5164</v>
      </c>
    </row>
    <row r="1599" spans="1:7" hidden="1">
      <c r="A1599" s="5" t="s">
        <v>2774</v>
      </c>
      <c r="B1599" t="s">
        <v>5161</v>
      </c>
      <c r="C1599" t="s">
        <v>225</v>
      </c>
      <c r="D1599" t="s">
        <v>6909</v>
      </c>
      <c r="E1599">
        <v>20</v>
      </c>
      <c r="F1599" t="s">
        <v>5163</v>
      </c>
      <c r="G1599" t="s">
        <v>5164</v>
      </c>
    </row>
    <row r="1600" spans="1:7" hidden="1">
      <c r="A1600" s="5" t="s">
        <v>3784</v>
      </c>
      <c r="B1600" t="s">
        <v>5161</v>
      </c>
      <c r="C1600" t="s">
        <v>225</v>
      </c>
      <c r="D1600" t="s">
        <v>6910</v>
      </c>
      <c r="E1600">
        <v>29</v>
      </c>
      <c r="F1600" t="s">
        <v>5163</v>
      </c>
      <c r="G1600" t="s">
        <v>1905</v>
      </c>
    </row>
    <row r="1601" spans="1:7" hidden="1">
      <c r="A1601" s="5" t="s">
        <v>2373</v>
      </c>
      <c r="B1601" t="s">
        <v>5161</v>
      </c>
      <c r="C1601" t="s">
        <v>225</v>
      </c>
      <c r="D1601" t="s">
        <v>6911</v>
      </c>
      <c r="E1601">
        <v>23</v>
      </c>
      <c r="F1601" t="s">
        <v>5163</v>
      </c>
      <c r="G1601" t="s">
        <v>5164</v>
      </c>
    </row>
    <row r="1602" spans="1:7" hidden="1">
      <c r="A1602" s="5" t="s">
        <v>6912</v>
      </c>
      <c r="B1602" t="s">
        <v>5161</v>
      </c>
      <c r="C1602" t="s">
        <v>225</v>
      </c>
      <c r="D1602" t="s">
        <v>6913</v>
      </c>
      <c r="E1602" t="s">
        <v>5182</v>
      </c>
      <c r="F1602" t="s">
        <v>5163</v>
      </c>
      <c r="G1602" t="s">
        <v>5182</v>
      </c>
    </row>
    <row r="1603" spans="1:7" hidden="1">
      <c r="A1603" s="5" t="s">
        <v>3686</v>
      </c>
      <c r="B1603" t="s">
        <v>5161</v>
      </c>
      <c r="C1603" t="s">
        <v>225</v>
      </c>
      <c r="D1603" t="s">
        <v>6914</v>
      </c>
      <c r="E1603">
        <v>19</v>
      </c>
      <c r="F1603" t="s">
        <v>5163</v>
      </c>
      <c r="G1603" t="s">
        <v>5164</v>
      </c>
    </row>
    <row r="1604" spans="1:7" hidden="1">
      <c r="A1604" s="5" t="s">
        <v>3262</v>
      </c>
      <c r="B1604" t="s">
        <v>5161</v>
      </c>
      <c r="C1604" t="s">
        <v>225</v>
      </c>
      <c r="D1604" t="s">
        <v>6915</v>
      </c>
      <c r="E1604">
        <v>38</v>
      </c>
      <c r="F1604" t="s">
        <v>5172</v>
      </c>
      <c r="G1604" t="s">
        <v>1905</v>
      </c>
    </row>
    <row r="1605" spans="1:7" hidden="1">
      <c r="A1605" s="5" t="s">
        <v>2998</v>
      </c>
      <c r="B1605" t="s">
        <v>5161</v>
      </c>
      <c r="C1605" t="s">
        <v>225</v>
      </c>
      <c r="D1605" t="s">
        <v>6916</v>
      </c>
      <c r="E1605">
        <v>26</v>
      </c>
      <c r="F1605" t="s">
        <v>5163</v>
      </c>
      <c r="G1605" t="s">
        <v>1905</v>
      </c>
    </row>
    <row r="1606" spans="1:7" hidden="1">
      <c r="A1606" s="5" t="s">
        <v>3542</v>
      </c>
      <c r="B1606" t="s">
        <v>5161</v>
      </c>
      <c r="C1606" t="s">
        <v>225</v>
      </c>
      <c r="D1606" t="s">
        <v>6917</v>
      </c>
      <c r="E1606">
        <v>40</v>
      </c>
      <c r="F1606" t="s">
        <v>5163</v>
      </c>
      <c r="G1606" t="s">
        <v>5164</v>
      </c>
    </row>
    <row r="1607" spans="1:7" hidden="1">
      <c r="A1607" s="5" t="s">
        <v>4099</v>
      </c>
      <c r="B1607" t="s">
        <v>5161</v>
      </c>
      <c r="C1607" t="s">
        <v>225</v>
      </c>
      <c r="D1607" t="s">
        <v>6918</v>
      </c>
      <c r="E1607">
        <v>18</v>
      </c>
      <c r="F1607" t="s">
        <v>5163</v>
      </c>
      <c r="G1607" t="s">
        <v>5164</v>
      </c>
    </row>
    <row r="1608" spans="1:7" hidden="1">
      <c r="A1608" s="5" t="s">
        <v>3149</v>
      </c>
      <c r="B1608" t="s">
        <v>5161</v>
      </c>
      <c r="C1608" t="s">
        <v>225</v>
      </c>
      <c r="D1608" t="s">
        <v>6919</v>
      </c>
      <c r="E1608">
        <v>29</v>
      </c>
      <c r="F1608" t="s">
        <v>5163</v>
      </c>
      <c r="G1608" t="s">
        <v>1905</v>
      </c>
    </row>
    <row r="1609" spans="1:7" hidden="1">
      <c r="A1609" s="5" t="s">
        <v>3412</v>
      </c>
      <c r="B1609" t="s">
        <v>5161</v>
      </c>
      <c r="C1609" t="s">
        <v>225</v>
      </c>
      <c r="D1609" t="s">
        <v>6920</v>
      </c>
      <c r="E1609">
        <v>19</v>
      </c>
      <c r="F1609" t="s">
        <v>5163</v>
      </c>
      <c r="G1609" t="s">
        <v>5169</v>
      </c>
    </row>
    <row r="1610" spans="1:7" hidden="1">
      <c r="A1610" s="5" t="s">
        <v>218</v>
      </c>
      <c r="B1610" t="s">
        <v>5161</v>
      </c>
      <c r="C1610" t="s">
        <v>225</v>
      </c>
      <c r="D1610" t="s">
        <v>6921</v>
      </c>
      <c r="E1610">
        <v>19</v>
      </c>
      <c r="F1610" t="s">
        <v>5163</v>
      </c>
      <c r="G1610" t="s">
        <v>1905</v>
      </c>
    </row>
    <row r="1611" spans="1:7" hidden="1">
      <c r="A1611" s="5" t="s">
        <v>3361</v>
      </c>
      <c r="B1611" t="s">
        <v>5161</v>
      </c>
      <c r="C1611" t="s">
        <v>225</v>
      </c>
      <c r="D1611" t="s">
        <v>6922</v>
      </c>
      <c r="E1611">
        <v>36</v>
      </c>
      <c r="F1611" t="s">
        <v>5163</v>
      </c>
      <c r="G1611" t="s">
        <v>5164</v>
      </c>
    </row>
    <row r="1612" spans="1:7" hidden="1">
      <c r="A1612" s="5" t="s">
        <v>3309</v>
      </c>
      <c r="B1612" t="s">
        <v>5161</v>
      </c>
      <c r="C1612" t="s">
        <v>225</v>
      </c>
      <c r="D1612" t="s">
        <v>6923</v>
      </c>
      <c r="E1612">
        <v>22</v>
      </c>
      <c r="F1612" t="s">
        <v>5163</v>
      </c>
      <c r="G1612" t="s">
        <v>5164</v>
      </c>
    </row>
    <row r="1613" spans="1:7" hidden="1">
      <c r="A1613" s="5" t="s">
        <v>3181</v>
      </c>
      <c r="B1613" t="s">
        <v>5161</v>
      </c>
      <c r="C1613" t="s">
        <v>225</v>
      </c>
      <c r="D1613" t="s">
        <v>6924</v>
      </c>
      <c r="E1613">
        <v>18</v>
      </c>
      <c r="F1613" t="s">
        <v>5163</v>
      </c>
      <c r="G1613" t="s">
        <v>5169</v>
      </c>
    </row>
    <row r="1614" spans="1:7" hidden="1">
      <c r="A1614" s="5" t="s">
        <v>3181</v>
      </c>
      <c r="B1614" t="s">
        <v>5161</v>
      </c>
      <c r="C1614" t="s">
        <v>225</v>
      </c>
      <c r="D1614" t="s">
        <v>6925</v>
      </c>
      <c r="E1614">
        <v>23</v>
      </c>
      <c r="F1614" t="s">
        <v>5163</v>
      </c>
      <c r="G1614" t="s">
        <v>5169</v>
      </c>
    </row>
    <row r="1615" spans="1:7" hidden="1">
      <c r="A1615" s="5" t="s">
        <v>6926</v>
      </c>
      <c r="B1615" t="s">
        <v>5161</v>
      </c>
      <c r="C1615" t="s">
        <v>225</v>
      </c>
      <c r="D1615" t="s">
        <v>6927</v>
      </c>
      <c r="E1615">
        <v>26</v>
      </c>
      <c r="F1615" t="s">
        <v>5163</v>
      </c>
      <c r="G1615" t="s">
        <v>1905</v>
      </c>
    </row>
    <row r="1616" spans="1:7" hidden="1">
      <c r="A1616" s="5" t="s">
        <v>2490</v>
      </c>
      <c r="B1616" t="s">
        <v>5161</v>
      </c>
      <c r="C1616" t="s">
        <v>225</v>
      </c>
      <c r="D1616" t="s">
        <v>6928</v>
      </c>
      <c r="E1616">
        <v>25</v>
      </c>
      <c r="F1616" t="s">
        <v>5163</v>
      </c>
      <c r="G1616" t="s">
        <v>5164</v>
      </c>
    </row>
    <row r="1617" spans="1:7" hidden="1">
      <c r="A1617" s="5" t="s">
        <v>4098</v>
      </c>
      <c r="B1617" t="s">
        <v>5161</v>
      </c>
      <c r="C1617" t="s">
        <v>225</v>
      </c>
      <c r="D1617" t="s">
        <v>6929</v>
      </c>
      <c r="E1617">
        <v>20</v>
      </c>
      <c r="F1617" t="s">
        <v>5163</v>
      </c>
      <c r="G1617" t="s">
        <v>5164</v>
      </c>
    </row>
    <row r="1618" spans="1:7" hidden="1">
      <c r="A1618" s="5" t="s">
        <v>2975</v>
      </c>
      <c r="B1618" t="s">
        <v>5161</v>
      </c>
      <c r="C1618" t="s">
        <v>225</v>
      </c>
      <c r="D1618" t="s">
        <v>6930</v>
      </c>
      <c r="E1618">
        <v>28</v>
      </c>
      <c r="F1618" t="s">
        <v>5163</v>
      </c>
      <c r="G1618" t="s">
        <v>5164</v>
      </c>
    </row>
    <row r="1619" spans="1:7" hidden="1">
      <c r="A1619" s="5" t="s">
        <v>3220</v>
      </c>
      <c r="B1619" t="s">
        <v>5161</v>
      </c>
      <c r="C1619" t="s">
        <v>225</v>
      </c>
      <c r="D1619" t="s">
        <v>6931</v>
      </c>
      <c r="E1619">
        <v>20</v>
      </c>
      <c r="F1619" t="s">
        <v>5163</v>
      </c>
      <c r="G1619" t="s">
        <v>5164</v>
      </c>
    </row>
    <row r="1620" spans="1:7" hidden="1">
      <c r="A1620" s="5" t="s">
        <v>3220</v>
      </c>
      <c r="B1620" t="s">
        <v>5161</v>
      </c>
      <c r="C1620" t="s">
        <v>225</v>
      </c>
      <c r="D1620" t="s">
        <v>6932</v>
      </c>
      <c r="E1620">
        <v>19</v>
      </c>
      <c r="F1620" t="s">
        <v>5163</v>
      </c>
      <c r="G1620" t="s">
        <v>1905</v>
      </c>
    </row>
    <row r="1621" spans="1:7" hidden="1">
      <c r="A1621" s="5" t="s">
        <v>3220</v>
      </c>
      <c r="B1621" t="s">
        <v>5161</v>
      </c>
      <c r="C1621" t="s">
        <v>225</v>
      </c>
      <c r="D1621" t="s">
        <v>6933</v>
      </c>
      <c r="E1621">
        <v>26</v>
      </c>
      <c r="F1621" t="s">
        <v>5163</v>
      </c>
      <c r="G1621" t="s">
        <v>5169</v>
      </c>
    </row>
    <row r="1622" spans="1:7" hidden="1">
      <c r="A1622" s="5" t="s">
        <v>2839</v>
      </c>
      <c r="B1622" t="s">
        <v>5161</v>
      </c>
      <c r="C1622" t="s">
        <v>225</v>
      </c>
      <c r="D1622" t="s">
        <v>6934</v>
      </c>
      <c r="E1622">
        <v>32</v>
      </c>
      <c r="F1622" t="s">
        <v>5163</v>
      </c>
      <c r="G1622" t="s">
        <v>5164</v>
      </c>
    </row>
    <row r="1623" spans="1:7" hidden="1">
      <c r="A1623" s="5" t="s">
        <v>4372</v>
      </c>
      <c r="B1623" t="s">
        <v>5161</v>
      </c>
      <c r="C1623" t="s">
        <v>225</v>
      </c>
      <c r="D1623" t="s">
        <v>6549</v>
      </c>
      <c r="E1623">
        <v>57</v>
      </c>
      <c r="F1623" t="s">
        <v>5163</v>
      </c>
      <c r="G1623" t="s">
        <v>5164</v>
      </c>
    </row>
    <row r="1624" spans="1:7" hidden="1">
      <c r="A1624" s="5" t="s">
        <v>6935</v>
      </c>
      <c r="B1624" t="s">
        <v>5161</v>
      </c>
      <c r="C1624" t="s">
        <v>225</v>
      </c>
      <c r="D1624" t="s">
        <v>6936</v>
      </c>
      <c r="E1624">
        <v>38</v>
      </c>
      <c r="F1624" t="s">
        <v>5163</v>
      </c>
      <c r="G1624" t="s">
        <v>5164</v>
      </c>
    </row>
    <row r="1625" spans="1:7" hidden="1">
      <c r="A1625" s="5" t="s">
        <v>2669</v>
      </c>
      <c r="B1625" t="s">
        <v>5161</v>
      </c>
      <c r="C1625" t="s">
        <v>225</v>
      </c>
      <c r="D1625" t="s">
        <v>6937</v>
      </c>
      <c r="E1625">
        <v>28</v>
      </c>
      <c r="F1625" t="s">
        <v>5163</v>
      </c>
      <c r="G1625" t="s">
        <v>5182</v>
      </c>
    </row>
    <row r="1626" spans="1:7" hidden="1">
      <c r="A1626" s="5" t="s">
        <v>2896</v>
      </c>
      <c r="B1626" t="s">
        <v>5161</v>
      </c>
      <c r="C1626" t="s">
        <v>225</v>
      </c>
      <c r="D1626" t="s">
        <v>6938</v>
      </c>
      <c r="E1626">
        <v>32</v>
      </c>
      <c r="F1626" t="s">
        <v>5163</v>
      </c>
      <c r="G1626" t="s">
        <v>5164</v>
      </c>
    </row>
    <row r="1627" spans="1:7" hidden="1">
      <c r="A1627" s="5" t="s">
        <v>2896</v>
      </c>
      <c r="B1627" t="s">
        <v>5161</v>
      </c>
      <c r="C1627" t="s">
        <v>225</v>
      </c>
      <c r="D1627" t="s">
        <v>6939</v>
      </c>
      <c r="E1627">
        <v>23</v>
      </c>
      <c r="F1627" t="s">
        <v>5163</v>
      </c>
      <c r="G1627" t="s">
        <v>5164</v>
      </c>
    </row>
    <row r="1628" spans="1:7" hidden="1">
      <c r="A1628" s="5" t="s">
        <v>4265</v>
      </c>
      <c r="B1628" t="s">
        <v>5161</v>
      </c>
      <c r="C1628" t="s">
        <v>225</v>
      </c>
      <c r="D1628" t="s">
        <v>6940</v>
      </c>
      <c r="E1628">
        <v>21</v>
      </c>
      <c r="F1628" t="s">
        <v>5163</v>
      </c>
      <c r="G1628" t="s">
        <v>5164</v>
      </c>
    </row>
    <row r="1629" spans="1:7" hidden="1">
      <c r="A1629" s="5" t="s">
        <v>3985</v>
      </c>
      <c r="B1629" t="s">
        <v>5161</v>
      </c>
      <c r="C1629" t="s">
        <v>225</v>
      </c>
      <c r="D1629" t="s">
        <v>6941</v>
      </c>
      <c r="E1629">
        <v>27</v>
      </c>
      <c r="F1629" t="s">
        <v>5163</v>
      </c>
      <c r="G1629" t="s">
        <v>5164</v>
      </c>
    </row>
    <row r="1630" spans="1:7" hidden="1">
      <c r="A1630" s="5" t="s">
        <v>1257</v>
      </c>
      <c r="B1630" t="s">
        <v>5161</v>
      </c>
      <c r="C1630" t="s">
        <v>225</v>
      </c>
      <c r="D1630" t="s">
        <v>1259</v>
      </c>
      <c r="E1630">
        <v>33</v>
      </c>
      <c r="F1630" t="s">
        <v>5163</v>
      </c>
      <c r="G1630" t="s">
        <v>1905</v>
      </c>
    </row>
    <row r="1631" spans="1:7" hidden="1">
      <c r="A1631" s="5" t="s">
        <v>1257</v>
      </c>
      <c r="B1631" t="s">
        <v>5161</v>
      </c>
      <c r="C1631" t="s">
        <v>225</v>
      </c>
      <c r="D1631" t="s">
        <v>1261</v>
      </c>
      <c r="E1631">
        <v>26</v>
      </c>
      <c r="F1631" t="s">
        <v>5163</v>
      </c>
      <c r="G1631" t="s">
        <v>1905</v>
      </c>
    </row>
    <row r="1632" spans="1:7" hidden="1">
      <c r="A1632" s="5" t="s">
        <v>1257</v>
      </c>
      <c r="B1632" t="s">
        <v>5161</v>
      </c>
      <c r="C1632" t="s">
        <v>225</v>
      </c>
      <c r="D1632" t="s">
        <v>1260</v>
      </c>
      <c r="E1632">
        <v>31</v>
      </c>
      <c r="F1632" t="s">
        <v>5163</v>
      </c>
      <c r="G1632" t="s">
        <v>1905</v>
      </c>
    </row>
    <row r="1633" spans="1:7" hidden="1">
      <c r="A1633" s="5" t="s">
        <v>1257</v>
      </c>
      <c r="B1633" t="s">
        <v>5161</v>
      </c>
      <c r="C1633" t="s">
        <v>225</v>
      </c>
      <c r="D1633" t="s">
        <v>1258</v>
      </c>
      <c r="E1633">
        <v>46</v>
      </c>
      <c r="F1633" t="s">
        <v>5163</v>
      </c>
      <c r="G1633" t="s">
        <v>1905</v>
      </c>
    </row>
    <row r="1634" spans="1:7" hidden="1">
      <c r="A1634" s="5" t="s">
        <v>1257</v>
      </c>
      <c r="B1634" t="s">
        <v>5161</v>
      </c>
      <c r="C1634" t="s">
        <v>225</v>
      </c>
      <c r="D1634" t="s">
        <v>6942</v>
      </c>
      <c r="E1634">
        <v>22</v>
      </c>
      <c r="F1634" t="s">
        <v>5163</v>
      </c>
      <c r="G1634" t="s">
        <v>1905</v>
      </c>
    </row>
    <row r="1635" spans="1:7" hidden="1">
      <c r="A1635" s="5" t="s">
        <v>6943</v>
      </c>
      <c r="B1635" t="s">
        <v>5161</v>
      </c>
      <c r="C1635" t="s">
        <v>225</v>
      </c>
      <c r="D1635" t="s">
        <v>6944</v>
      </c>
      <c r="E1635" t="s">
        <v>5182</v>
      </c>
      <c r="F1635" t="s">
        <v>5172</v>
      </c>
      <c r="G1635" t="s">
        <v>5164</v>
      </c>
    </row>
    <row r="1636" spans="1:7" hidden="1">
      <c r="A1636" s="5" t="s">
        <v>4249</v>
      </c>
      <c r="B1636" t="s">
        <v>5161</v>
      </c>
      <c r="C1636" t="s">
        <v>225</v>
      </c>
      <c r="D1636" t="s">
        <v>6945</v>
      </c>
      <c r="E1636">
        <v>18</v>
      </c>
      <c r="F1636" t="s">
        <v>5163</v>
      </c>
      <c r="G1636" t="s">
        <v>1905</v>
      </c>
    </row>
    <row r="1637" spans="1:7" hidden="1">
      <c r="A1637" s="5" t="s">
        <v>2512</v>
      </c>
      <c r="B1637" t="s">
        <v>5161</v>
      </c>
      <c r="C1637" t="s">
        <v>225</v>
      </c>
      <c r="D1637" t="s">
        <v>6946</v>
      </c>
      <c r="E1637">
        <v>18</v>
      </c>
      <c r="F1637" t="s">
        <v>5163</v>
      </c>
      <c r="G1637" t="s">
        <v>5164</v>
      </c>
    </row>
    <row r="1638" spans="1:7" hidden="1">
      <c r="A1638" s="5" t="s">
        <v>2571</v>
      </c>
      <c r="B1638" t="s">
        <v>5161</v>
      </c>
      <c r="C1638" t="s">
        <v>225</v>
      </c>
      <c r="D1638" t="s">
        <v>6947</v>
      </c>
      <c r="E1638">
        <v>25</v>
      </c>
      <c r="F1638" t="s">
        <v>5163</v>
      </c>
      <c r="G1638" t="s">
        <v>1905</v>
      </c>
    </row>
    <row r="1639" spans="1:7" hidden="1">
      <c r="A1639" s="5" t="s">
        <v>2571</v>
      </c>
      <c r="B1639" t="s">
        <v>5161</v>
      </c>
      <c r="C1639" t="s">
        <v>225</v>
      </c>
      <c r="D1639" t="s">
        <v>6948</v>
      </c>
      <c r="E1639">
        <v>50</v>
      </c>
      <c r="F1639" t="s">
        <v>5163</v>
      </c>
      <c r="G1639" t="s">
        <v>1905</v>
      </c>
    </row>
    <row r="1640" spans="1:7" hidden="1">
      <c r="A1640" s="5" t="s">
        <v>2571</v>
      </c>
      <c r="B1640" t="s">
        <v>5161</v>
      </c>
      <c r="C1640" t="s">
        <v>225</v>
      </c>
      <c r="D1640" t="s">
        <v>6949</v>
      </c>
      <c r="E1640">
        <v>25</v>
      </c>
      <c r="F1640" t="s">
        <v>5163</v>
      </c>
      <c r="G1640" t="s">
        <v>1905</v>
      </c>
    </row>
    <row r="1641" spans="1:7" hidden="1">
      <c r="A1641" s="5" t="s">
        <v>4544</v>
      </c>
      <c r="B1641" t="s">
        <v>5161</v>
      </c>
      <c r="C1641" t="s">
        <v>225</v>
      </c>
      <c r="D1641" t="s">
        <v>6950</v>
      </c>
      <c r="E1641">
        <v>23</v>
      </c>
      <c r="F1641" t="s">
        <v>5163</v>
      </c>
      <c r="G1641" t="s">
        <v>5164</v>
      </c>
    </row>
    <row r="1642" spans="1:7" hidden="1">
      <c r="A1642" s="5" t="s">
        <v>4544</v>
      </c>
      <c r="B1642" t="s">
        <v>5161</v>
      </c>
      <c r="C1642" t="s">
        <v>225</v>
      </c>
      <c r="D1642" t="s">
        <v>6951</v>
      </c>
      <c r="E1642">
        <v>36</v>
      </c>
      <c r="F1642" t="s">
        <v>5163</v>
      </c>
      <c r="G1642" t="s">
        <v>5164</v>
      </c>
    </row>
    <row r="1643" spans="1:7" hidden="1">
      <c r="A1643" s="5" t="s">
        <v>2405</v>
      </c>
      <c r="B1643" t="s">
        <v>5161</v>
      </c>
      <c r="C1643" t="s">
        <v>225</v>
      </c>
      <c r="D1643" t="s">
        <v>6952</v>
      </c>
      <c r="E1643">
        <v>27</v>
      </c>
      <c r="F1643" t="s">
        <v>5163</v>
      </c>
      <c r="G1643" t="s">
        <v>1905</v>
      </c>
    </row>
    <row r="1644" spans="1:7" hidden="1">
      <c r="A1644" s="5" t="s">
        <v>2253</v>
      </c>
      <c r="B1644" t="s">
        <v>5161</v>
      </c>
      <c r="C1644" t="s">
        <v>225</v>
      </c>
      <c r="D1644" t="s">
        <v>6953</v>
      </c>
      <c r="E1644">
        <v>27</v>
      </c>
      <c r="F1644" t="s">
        <v>5163</v>
      </c>
      <c r="G1644" t="s">
        <v>1905</v>
      </c>
    </row>
    <row r="1645" spans="1:7" hidden="1">
      <c r="A1645" s="5" t="s">
        <v>4224</v>
      </c>
      <c r="B1645" t="s">
        <v>5161</v>
      </c>
      <c r="C1645" t="s">
        <v>225</v>
      </c>
      <c r="D1645" t="s">
        <v>6954</v>
      </c>
      <c r="E1645">
        <v>21</v>
      </c>
      <c r="F1645" t="s">
        <v>5163</v>
      </c>
      <c r="G1645" t="s">
        <v>5164</v>
      </c>
    </row>
    <row r="1646" spans="1:7" hidden="1">
      <c r="A1646" s="5" t="s">
        <v>4274</v>
      </c>
      <c r="B1646" t="s">
        <v>5161</v>
      </c>
      <c r="C1646" t="s">
        <v>225</v>
      </c>
      <c r="D1646" t="s">
        <v>6955</v>
      </c>
      <c r="E1646">
        <v>20</v>
      </c>
      <c r="F1646" t="s">
        <v>5163</v>
      </c>
      <c r="G1646" t="s">
        <v>5164</v>
      </c>
    </row>
    <row r="1647" spans="1:7" hidden="1">
      <c r="A1647" s="5" t="s">
        <v>4839</v>
      </c>
      <c r="B1647" t="s">
        <v>5161</v>
      </c>
      <c r="C1647" t="s">
        <v>225</v>
      </c>
      <c r="D1647" t="s">
        <v>6956</v>
      </c>
      <c r="E1647">
        <v>26</v>
      </c>
      <c r="F1647" t="s">
        <v>5163</v>
      </c>
      <c r="G1647" t="s">
        <v>5164</v>
      </c>
    </row>
    <row r="1648" spans="1:7" hidden="1">
      <c r="A1648" s="5" t="s">
        <v>4839</v>
      </c>
      <c r="B1648" t="s">
        <v>5161</v>
      </c>
      <c r="C1648" t="s">
        <v>225</v>
      </c>
      <c r="D1648" t="s">
        <v>6957</v>
      </c>
      <c r="E1648">
        <v>27</v>
      </c>
      <c r="F1648" t="s">
        <v>5163</v>
      </c>
      <c r="G1648" t="s">
        <v>5164</v>
      </c>
    </row>
    <row r="1649" spans="1:7" hidden="1">
      <c r="A1649" s="5" t="s">
        <v>2334</v>
      </c>
      <c r="B1649" t="s">
        <v>5161</v>
      </c>
      <c r="C1649" t="s">
        <v>225</v>
      </c>
      <c r="D1649" t="s">
        <v>6958</v>
      </c>
      <c r="E1649">
        <v>22</v>
      </c>
      <c r="F1649" t="s">
        <v>5163</v>
      </c>
      <c r="G1649" t="s">
        <v>1905</v>
      </c>
    </row>
    <row r="1650" spans="1:7" hidden="1">
      <c r="A1650" s="5" t="s">
        <v>4277</v>
      </c>
      <c r="B1650" t="s">
        <v>5161</v>
      </c>
      <c r="C1650" t="s">
        <v>225</v>
      </c>
      <c r="D1650" t="s">
        <v>6959</v>
      </c>
      <c r="E1650">
        <v>34</v>
      </c>
      <c r="F1650" t="s">
        <v>5163</v>
      </c>
      <c r="G1650" t="s">
        <v>1905</v>
      </c>
    </row>
    <row r="1651" spans="1:7" hidden="1">
      <c r="A1651" s="5" t="s">
        <v>4695</v>
      </c>
      <c r="B1651" t="s">
        <v>5161</v>
      </c>
      <c r="C1651" t="s">
        <v>225</v>
      </c>
      <c r="D1651" t="s">
        <v>6960</v>
      </c>
      <c r="E1651">
        <v>39</v>
      </c>
      <c r="F1651" t="s">
        <v>5163</v>
      </c>
      <c r="G1651" t="s">
        <v>5164</v>
      </c>
    </row>
    <row r="1652" spans="1:7" hidden="1">
      <c r="A1652" s="5" t="s">
        <v>3541</v>
      </c>
      <c r="B1652" t="s">
        <v>5161</v>
      </c>
      <c r="C1652" t="s">
        <v>225</v>
      </c>
      <c r="D1652" t="s">
        <v>6961</v>
      </c>
      <c r="E1652">
        <v>24</v>
      </c>
      <c r="F1652" t="s">
        <v>5163</v>
      </c>
      <c r="G1652" t="s">
        <v>5164</v>
      </c>
    </row>
    <row r="1653" spans="1:7" hidden="1">
      <c r="A1653" s="5" t="s">
        <v>4636</v>
      </c>
      <c r="B1653" t="s">
        <v>5161</v>
      </c>
      <c r="C1653" t="s">
        <v>225</v>
      </c>
      <c r="D1653" t="s">
        <v>6962</v>
      </c>
      <c r="E1653">
        <v>30</v>
      </c>
      <c r="F1653" t="s">
        <v>5163</v>
      </c>
      <c r="G1653" t="s">
        <v>1905</v>
      </c>
    </row>
    <row r="1654" spans="1:7" hidden="1">
      <c r="A1654" s="5" t="s">
        <v>6963</v>
      </c>
      <c r="B1654" t="s">
        <v>5161</v>
      </c>
      <c r="C1654" t="s">
        <v>225</v>
      </c>
      <c r="D1654" t="s">
        <v>6964</v>
      </c>
      <c r="E1654" t="s">
        <v>5182</v>
      </c>
      <c r="F1654" t="s">
        <v>5163</v>
      </c>
      <c r="G1654" t="s">
        <v>5164</v>
      </c>
    </row>
    <row r="1655" spans="1:7" hidden="1">
      <c r="A1655" s="5" t="s">
        <v>4503</v>
      </c>
      <c r="B1655" t="s">
        <v>5161</v>
      </c>
      <c r="C1655" t="s">
        <v>225</v>
      </c>
      <c r="D1655" t="s">
        <v>6965</v>
      </c>
      <c r="E1655">
        <v>36</v>
      </c>
      <c r="F1655" t="s">
        <v>5163</v>
      </c>
      <c r="G1655" t="s">
        <v>5164</v>
      </c>
    </row>
    <row r="1656" spans="1:7" hidden="1">
      <c r="A1656" s="5" t="s">
        <v>2954</v>
      </c>
      <c r="B1656" t="s">
        <v>5161</v>
      </c>
      <c r="C1656" t="s">
        <v>225</v>
      </c>
      <c r="D1656" t="s">
        <v>6966</v>
      </c>
      <c r="E1656">
        <v>21</v>
      </c>
      <c r="F1656" t="s">
        <v>5163</v>
      </c>
      <c r="G1656" t="s">
        <v>1905</v>
      </c>
    </row>
    <row r="1657" spans="1:7" hidden="1">
      <c r="A1657" s="5" t="s">
        <v>4492</v>
      </c>
      <c r="B1657" t="s">
        <v>5161</v>
      </c>
      <c r="C1657" t="s">
        <v>225</v>
      </c>
      <c r="D1657" t="s">
        <v>6967</v>
      </c>
      <c r="E1657">
        <v>18</v>
      </c>
      <c r="F1657" t="s">
        <v>5163</v>
      </c>
      <c r="G1657" t="s">
        <v>1905</v>
      </c>
    </row>
    <row r="1658" spans="1:7" hidden="1">
      <c r="A1658" s="5" t="s">
        <v>2112</v>
      </c>
      <c r="B1658" t="s">
        <v>5161</v>
      </c>
      <c r="C1658" t="s">
        <v>225</v>
      </c>
      <c r="D1658" t="s">
        <v>6968</v>
      </c>
      <c r="E1658">
        <v>28</v>
      </c>
      <c r="F1658" t="s">
        <v>5163</v>
      </c>
      <c r="G1658" t="s">
        <v>5164</v>
      </c>
    </row>
    <row r="1659" spans="1:7" hidden="1">
      <c r="A1659" s="5" t="s">
        <v>6969</v>
      </c>
      <c r="B1659" t="s">
        <v>5161</v>
      </c>
      <c r="C1659" t="s">
        <v>225</v>
      </c>
      <c r="D1659" t="s">
        <v>6970</v>
      </c>
      <c r="E1659">
        <v>0</v>
      </c>
      <c r="F1659" t="s">
        <v>5163</v>
      </c>
      <c r="G1659" t="s">
        <v>5182</v>
      </c>
    </row>
    <row r="1660" spans="1:7" hidden="1">
      <c r="A1660" s="5" t="s">
        <v>1319</v>
      </c>
      <c r="B1660" t="s">
        <v>5161</v>
      </c>
      <c r="C1660" t="s">
        <v>225</v>
      </c>
      <c r="D1660" t="s">
        <v>1320</v>
      </c>
      <c r="E1660">
        <v>20</v>
      </c>
      <c r="F1660" t="s">
        <v>5172</v>
      </c>
      <c r="G1660" t="s">
        <v>5164</v>
      </c>
    </row>
    <row r="1661" spans="1:7" hidden="1">
      <c r="A1661" s="5" t="s">
        <v>1319</v>
      </c>
      <c r="B1661" t="s">
        <v>5161</v>
      </c>
      <c r="C1661" t="s">
        <v>225</v>
      </c>
      <c r="D1661" t="s">
        <v>6971</v>
      </c>
      <c r="E1661">
        <v>26</v>
      </c>
      <c r="F1661" t="s">
        <v>5172</v>
      </c>
      <c r="G1661" t="s">
        <v>5164</v>
      </c>
    </row>
    <row r="1662" spans="1:7" hidden="1">
      <c r="A1662" s="5" t="s">
        <v>4797</v>
      </c>
      <c r="B1662" t="s">
        <v>5161</v>
      </c>
      <c r="C1662" t="s">
        <v>225</v>
      </c>
      <c r="D1662" t="s">
        <v>6972</v>
      </c>
      <c r="E1662">
        <v>19</v>
      </c>
      <c r="F1662" t="s">
        <v>5163</v>
      </c>
      <c r="G1662" t="s">
        <v>1905</v>
      </c>
    </row>
    <row r="1663" spans="1:7" hidden="1">
      <c r="A1663" s="5" t="s">
        <v>4686</v>
      </c>
      <c r="B1663" t="s">
        <v>5161</v>
      </c>
      <c r="C1663" t="s">
        <v>225</v>
      </c>
      <c r="D1663" t="s">
        <v>6973</v>
      </c>
      <c r="E1663">
        <v>18</v>
      </c>
      <c r="F1663" t="s">
        <v>5163</v>
      </c>
      <c r="G1663" t="s">
        <v>5169</v>
      </c>
    </row>
    <row r="1664" spans="1:7" hidden="1">
      <c r="A1664" s="5" t="s">
        <v>6974</v>
      </c>
      <c r="B1664" t="s">
        <v>5161</v>
      </c>
      <c r="C1664" t="s">
        <v>225</v>
      </c>
      <c r="D1664" t="s">
        <v>6975</v>
      </c>
      <c r="E1664">
        <v>20</v>
      </c>
      <c r="F1664" t="s">
        <v>5172</v>
      </c>
      <c r="G1664" t="s">
        <v>1905</v>
      </c>
    </row>
    <row r="1665" spans="1:7" hidden="1">
      <c r="A1665" s="5" t="s">
        <v>4339</v>
      </c>
      <c r="B1665" t="s">
        <v>5161</v>
      </c>
      <c r="C1665" t="s">
        <v>225</v>
      </c>
      <c r="D1665" t="s">
        <v>6976</v>
      </c>
      <c r="E1665">
        <v>28</v>
      </c>
      <c r="F1665" t="s">
        <v>5163</v>
      </c>
      <c r="G1665" t="s">
        <v>1905</v>
      </c>
    </row>
    <row r="1666" spans="1:7" hidden="1">
      <c r="A1666" s="5" t="s">
        <v>222</v>
      </c>
      <c r="B1666" t="s">
        <v>5161</v>
      </c>
      <c r="C1666" t="s">
        <v>225</v>
      </c>
      <c r="D1666" t="s">
        <v>782</v>
      </c>
      <c r="E1666">
        <v>21</v>
      </c>
      <c r="F1666" t="s">
        <v>5163</v>
      </c>
      <c r="G1666" t="s">
        <v>1905</v>
      </c>
    </row>
    <row r="1667" spans="1:7" hidden="1">
      <c r="A1667" s="5" t="s">
        <v>4601</v>
      </c>
      <c r="B1667" t="s">
        <v>5161</v>
      </c>
      <c r="C1667" t="s">
        <v>225</v>
      </c>
      <c r="D1667" t="s">
        <v>6977</v>
      </c>
      <c r="E1667">
        <v>32</v>
      </c>
      <c r="F1667" t="s">
        <v>5163</v>
      </c>
      <c r="G1667" t="s">
        <v>1905</v>
      </c>
    </row>
    <row r="1668" spans="1:7" hidden="1">
      <c r="A1668" s="5" t="s">
        <v>3438</v>
      </c>
      <c r="B1668" t="s">
        <v>5161</v>
      </c>
      <c r="C1668" t="s">
        <v>225</v>
      </c>
      <c r="D1668" t="s">
        <v>6978</v>
      </c>
      <c r="E1668">
        <v>39</v>
      </c>
      <c r="F1668" t="s">
        <v>5163</v>
      </c>
      <c r="G1668" t="s">
        <v>5169</v>
      </c>
    </row>
    <row r="1669" spans="1:7" hidden="1">
      <c r="A1669" s="5" t="s">
        <v>3438</v>
      </c>
      <c r="B1669" t="s">
        <v>5161</v>
      </c>
      <c r="C1669" t="s">
        <v>225</v>
      </c>
      <c r="D1669" t="s">
        <v>6979</v>
      </c>
      <c r="E1669">
        <v>41</v>
      </c>
      <c r="F1669" t="s">
        <v>5172</v>
      </c>
      <c r="G1669" t="s">
        <v>5169</v>
      </c>
    </row>
    <row r="1670" spans="1:7" hidden="1">
      <c r="A1670" s="5" t="s">
        <v>3388</v>
      </c>
      <c r="B1670" t="s">
        <v>5161</v>
      </c>
      <c r="C1670" t="s">
        <v>225</v>
      </c>
      <c r="D1670" t="s">
        <v>6980</v>
      </c>
      <c r="E1670">
        <v>39</v>
      </c>
      <c r="F1670" t="s">
        <v>5172</v>
      </c>
      <c r="G1670" t="s">
        <v>5164</v>
      </c>
    </row>
    <row r="1671" spans="1:7" hidden="1">
      <c r="A1671" s="5" t="s">
        <v>3977</v>
      </c>
      <c r="B1671" t="s">
        <v>5161</v>
      </c>
      <c r="C1671" t="s">
        <v>225</v>
      </c>
      <c r="D1671" t="s">
        <v>6981</v>
      </c>
      <c r="E1671">
        <v>27</v>
      </c>
      <c r="F1671" t="s">
        <v>5163</v>
      </c>
      <c r="G1671" t="s">
        <v>5169</v>
      </c>
    </row>
    <row r="1672" spans="1:7" hidden="1">
      <c r="A1672" s="5" t="s">
        <v>4240</v>
      </c>
      <c r="B1672" t="s">
        <v>5161</v>
      </c>
      <c r="C1672" t="s">
        <v>225</v>
      </c>
      <c r="D1672" t="s">
        <v>6982</v>
      </c>
      <c r="E1672">
        <v>42</v>
      </c>
      <c r="F1672" t="s">
        <v>5163</v>
      </c>
      <c r="G1672" t="s">
        <v>1905</v>
      </c>
    </row>
    <row r="1673" spans="1:7" hidden="1">
      <c r="A1673" s="5" t="s">
        <v>4240</v>
      </c>
      <c r="B1673" t="s">
        <v>5161</v>
      </c>
      <c r="C1673" t="s">
        <v>225</v>
      </c>
      <c r="D1673" t="s">
        <v>6983</v>
      </c>
      <c r="E1673">
        <v>29</v>
      </c>
      <c r="F1673" t="s">
        <v>5172</v>
      </c>
      <c r="G1673" t="s">
        <v>1905</v>
      </c>
    </row>
    <row r="1674" spans="1:7" hidden="1">
      <c r="A1674" s="5" t="s">
        <v>3001</v>
      </c>
      <c r="B1674" t="s">
        <v>5161</v>
      </c>
      <c r="C1674" t="s">
        <v>225</v>
      </c>
      <c r="D1674" t="s">
        <v>6984</v>
      </c>
      <c r="E1674">
        <v>35</v>
      </c>
      <c r="F1674" t="s">
        <v>5163</v>
      </c>
      <c r="G1674" t="s">
        <v>5164</v>
      </c>
    </row>
    <row r="1675" spans="1:7" hidden="1">
      <c r="A1675" s="5" t="s">
        <v>3001</v>
      </c>
      <c r="B1675" t="s">
        <v>5161</v>
      </c>
      <c r="C1675" t="s">
        <v>225</v>
      </c>
      <c r="D1675" t="s">
        <v>6985</v>
      </c>
      <c r="E1675">
        <v>25</v>
      </c>
      <c r="F1675" t="s">
        <v>5163</v>
      </c>
      <c r="G1675" t="s">
        <v>5182</v>
      </c>
    </row>
    <row r="1676" spans="1:7" hidden="1">
      <c r="A1676" s="5" t="s">
        <v>3290</v>
      </c>
      <c r="B1676" t="s">
        <v>5161</v>
      </c>
      <c r="C1676" t="s">
        <v>225</v>
      </c>
      <c r="D1676" t="s">
        <v>6986</v>
      </c>
      <c r="E1676">
        <v>18</v>
      </c>
      <c r="F1676" t="s">
        <v>5163</v>
      </c>
      <c r="G1676" t="s">
        <v>5164</v>
      </c>
    </row>
    <row r="1677" spans="1:7" hidden="1">
      <c r="A1677" s="5" t="s">
        <v>3658</v>
      </c>
      <c r="B1677" t="s">
        <v>5161</v>
      </c>
      <c r="C1677" t="s">
        <v>225</v>
      </c>
      <c r="D1677" t="s">
        <v>6987</v>
      </c>
      <c r="E1677">
        <v>22</v>
      </c>
      <c r="F1677" t="s">
        <v>5163</v>
      </c>
      <c r="G1677" t="s">
        <v>1905</v>
      </c>
    </row>
    <row r="1678" spans="1:7" hidden="1">
      <c r="A1678" s="5" t="s">
        <v>3658</v>
      </c>
      <c r="B1678" t="s">
        <v>5161</v>
      </c>
      <c r="C1678" t="s">
        <v>225</v>
      </c>
      <c r="D1678" t="s">
        <v>6988</v>
      </c>
      <c r="E1678">
        <v>29</v>
      </c>
      <c r="F1678" t="s">
        <v>5163</v>
      </c>
      <c r="G1678" t="s">
        <v>1905</v>
      </c>
    </row>
    <row r="1679" spans="1:7" hidden="1">
      <c r="A1679" s="5" t="s">
        <v>4305</v>
      </c>
      <c r="B1679" t="s">
        <v>5161</v>
      </c>
      <c r="C1679" t="s">
        <v>225</v>
      </c>
      <c r="D1679" t="s">
        <v>5507</v>
      </c>
      <c r="E1679">
        <v>30</v>
      </c>
      <c r="F1679" t="s">
        <v>5163</v>
      </c>
      <c r="G1679" t="s">
        <v>1905</v>
      </c>
    </row>
    <row r="1680" spans="1:7" hidden="1">
      <c r="A1680" s="5" t="s">
        <v>4522</v>
      </c>
      <c r="B1680" t="s">
        <v>5161</v>
      </c>
      <c r="C1680" t="s">
        <v>225</v>
      </c>
      <c r="D1680" t="s">
        <v>6989</v>
      </c>
      <c r="E1680">
        <v>26</v>
      </c>
      <c r="F1680" t="s">
        <v>5163</v>
      </c>
      <c r="G1680" t="s">
        <v>5164</v>
      </c>
    </row>
    <row r="1681" spans="1:7" hidden="1">
      <c r="A1681" s="5" t="s">
        <v>4070</v>
      </c>
      <c r="B1681" t="s">
        <v>5161</v>
      </c>
      <c r="C1681" t="s">
        <v>241</v>
      </c>
      <c r="D1681" t="s">
        <v>6990</v>
      </c>
      <c r="E1681">
        <v>-73</v>
      </c>
      <c r="F1681" t="s">
        <v>5163</v>
      </c>
      <c r="G1681" t="s">
        <v>5164</v>
      </c>
    </row>
    <row r="1682" spans="1:7" hidden="1">
      <c r="A1682" s="5" t="s">
        <v>4424</v>
      </c>
      <c r="B1682" t="s">
        <v>5161</v>
      </c>
      <c r="C1682" t="s">
        <v>241</v>
      </c>
      <c r="D1682" t="s">
        <v>6991</v>
      </c>
      <c r="E1682">
        <v>19</v>
      </c>
      <c r="F1682" t="s">
        <v>5163</v>
      </c>
      <c r="G1682" t="s">
        <v>5164</v>
      </c>
    </row>
    <row r="1683" spans="1:7" hidden="1">
      <c r="A1683" s="5" t="s">
        <v>4400</v>
      </c>
      <c r="B1683" t="s">
        <v>5161</v>
      </c>
      <c r="C1683" t="s">
        <v>241</v>
      </c>
      <c r="D1683" t="s">
        <v>6992</v>
      </c>
      <c r="E1683">
        <v>24</v>
      </c>
      <c r="F1683" t="s">
        <v>5163</v>
      </c>
      <c r="G1683" t="s">
        <v>5169</v>
      </c>
    </row>
    <row r="1684" spans="1:7" hidden="1">
      <c r="A1684" s="5" t="s">
        <v>4493</v>
      </c>
      <c r="B1684" t="s">
        <v>5161</v>
      </c>
      <c r="C1684" t="s">
        <v>241</v>
      </c>
      <c r="D1684" t="s">
        <v>6993</v>
      </c>
      <c r="E1684">
        <v>21</v>
      </c>
      <c r="F1684" t="s">
        <v>5163</v>
      </c>
      <c r="G1684" t="s">
        <v>1905</v>
      </c>
    </row>
    <row r="1685" spans="1:7" hidden="1">
      <c r="A1685" s="5" t="s">
        <v>3754</v>
      </c>
      <c r="B1685" t="s">
        <v>5161</v>
      </c>
      <c r="C1685" t="s">
        <v>241</v>
      </c>
      <c r="D1685" t="s">
        <v>6994</v>
      </c>
      <c r="E1685">
        <v>21</v>
      </c>
      <c r="F1685" t="s">
        <v>5163</v>
      </c>
      <c r="G1685" t="s">
        <v>5164</v>
      </c>
    </row>
    <row r="1686" spans="1:7" hidden="1">
      <c r="A1686" s="5" t="s">
        <v>4425</v>
      </c>
      <c r="B1686" t="s">
        <v>5161</v>
      </c>
      <c r="C1686" t="s">
        <v>241</v>
      </c>
      <c r="D1686" t="s">
        <v>850</v>
      </c>
      <c r="E1686">
        <v>19</v>
      </c>
      <c r="F1686" t="s">
        <v>5163</v>
      </c>
      <c r="G1686" t="s">
        <v>5164</v>
      </c>
    </row>
    <row r="1687" spans="1:7" hidden="1">
      <c r="A1687" s="5" t="s">
        <v>4387</v>
      </c>
      <c r="B1687" t="s">
        <v>5161</v>
      </c>
      <c r="C1687" t="s">
        <v>241</v>
      </c>
      <c r="D1687" t="s">
        <v>6995</v>
      </c>
      <c r="E1687">
        <v>43</v>
      </c>
      <c r="F1687" t="s">
        <v>5163</v>
      </c>
      <c r="G1687" t="s">
        <v>1905</v>
      </c>
    </row>
    <row r="1688" spans="1:7" hidden="1">
      <c r="A1688" s="5" t="s">
        <v>3472</v>
      </c>
      <c r="B1688" t="s">
        <v>5161</v>
      </c>
      <c r="C1688" t="s">
        <v>241</v>
      </c>
      <c r="D1688" t="s">
        <v>6996</v>
      </c>
      <c r="E1688">
        <v>31</v>
      </c>
      <c r="F1688" t="s">
        <v>5172</v>
      </c>
      <c r="G1688" t="s">
        <v>5164</v>
      </c>
    </row>
    <row r="1689" spans="1:7" hidden="1">
      <c r="A1689" s="5" t="s">
        <v>3472</v>
      </c>
      <c r="B1689" t="s">
        <v>5161</v>
      </c>
      <c r="C1689" t="s">
        <v>241</v>
      </c>
      <c r="D1689" t="s">
        <v>6997</v>
      </c>
      <c r="E1689">
        <v>21</v>
      </c>
      <c r="F1689" t="s">
        <v>5172</v>
      </c>
      <c r="G1689" t="s">
        <v>1905</v>
      </c>
    </row>
    <row r="1690" spans="1:7" hidden="1">
      <c r="A1690" s="5" t="s">
        <v>3472</v>
      </c>
      <c r="B1690" t="s">
        <v>5161</v>
      </c>
      <c r="C1690" t="s">
        <v>241</v>
      </c>
      <c r="D1690" t="s">
        <v>6998</v>
      </c>
      <c r="E1690">
        <v>25</v>
      </c>
      <c r="F1690" t="s">
        <v>5163</v>
      </c>
      <c r="G1690" t="s">
        <v>5164</v>
      </c>
    </row>
    <row r="1691" spans="1:7" hidden="1">
      <c r="A1691" s="5" t="s">
        <v>3472</v>
      </c>
      <c r="B1691" t="s">
        <v>5161</v>
      </c>
      <c r="C1691" t="s">
        <v>241</v>
      </c>
      <c r="D1691" t="s">
        <v>6999</v>
      </c>
      <c r="E1691">
        <v>25</v>
      </c>
      <c r="F1691" t="s">
        <v>5163</v>
      </c>
      <c r="G1691" t="s">
        <v>5169</v>
      </c>
    </row>
    <row r="1692" spans="1:7" hidden="1">
      <c r="A1692" s="5" t="s">
        <v>4153</v>
      </c>
      <c r="B1692" t="s">
        <v>5161</v>
      </c>
      <c r="C1692" t="s">
        <v>241</v>
      </c>
      <c r="D1692" t="s">
        <v>7000</v>
      </c>
      <c r="E1692">
        <v>34</v>
      </c>
      <c r="F1692" t="s">
        <v>5163</v>
      </c>
      <c r="G1692" t="s">
        <v>1905</v>
      </c>
    </row>
    <row r="1693" spans="1:7" hidden="1">
      <c r="A1693" s="5" t="s">
        <v>4008</v>
      </c>
      <c r="B1693" t="s">
        <v>5161</v>
      </c>
      <c r="C1693" t="s">
        <v>241</v>
      </c>
      <c r="D1693" t="s">
        <v>7001</v>
      </c>
      <c r="E1693">
        <v>31</v>
      </c>
      <c r="F1693" t="s">
        <v>5163</v>
      </c>
      <c r="G1693" t="s">
        <v>1905</v>
      </c>
    </row>
    <row r="1694" spans="1:7" hidden="1">
      <c r="A1694" s="5" t="s">
        <v>3962</v>
      </c>
      <c r="B1694" t="s">
        <v>5161</v>
      </c>
      <c r="C1694" t="s">
        <v>241</v>
      </c>
      <c r="D1694" t="s">
        <v>7002</v>
      </c>
      <c r="E1694">
        <v>21</v>
      </c>
      <c r="F1694" t="s">
        <v>5163</v>
      </c>
      <c r="G1694" t="s">
        <v>1905</v>
      </c>
    </row>
    <row r="1695" spans="1:7" hidden="1">
      <c r="A1695" s="5" t="s">
        <v>229</v>
      </c>
      <c r="B1695" t="s">
        <v>5161</v>
      </c>
      <c r="C1695" t="s">
        <v>241</v>
      </c>
      <c r="D1695" t="s">
        <v>684</v>
      </c>
      <c r="E1695">
        <v>26</v>
      </c>
      <c r="F1695" t="s">
        <v>5163</v>
      </c>
      <c r="G1695" t="s">
        <v>5169</v>
      </c>
    </row>
    <row r="1696" spans="1:7" hidden="1">
      <c r="A1696" s="5" t="s">
        <v>4786</v>
      </c>
      <c r="B1696" t="s">
        <v>5161</v>
      </c>
      <c r="C1696" t="s">
        <v>241</v>
      </c>
      <c r="D1696" t="s">
        <v>7003</v>
      </c>
      <c r="E1696">
        <v>18</v>
      </c>
      <c r="F1696" t="s">
        <v>5163</v>
      </c>
      <c r="G1696" t="s">
        <v>5164</v>
      </c>
    </row>
    <row r="1697" spans="1:7" hidden="1">
      <c r="A1697" s="5" t="s">
        <v>3772</v>
      </c>
      <c r="B1697" t="s">
        <v>5161</v>
      </c>
      <c r="C1697" t="s">
        <v>241</v>
      </c>
      <c r="D1697" t="s">
        <v>7004</v>
      </c>
      <c r="E1697">
        <v>21</v>
      </c>
      <c r="F1697" t="s">
        <v>5163</v>
      </c>
      <c r="G1697" t="s">
        <v>5164</v>
      </c>
    </row>
    <row r="1698" spans="1:7" hidden="1">
      <c r="A1698" s="5" t="s">
        <v>2609</v>
      </c>
      <c r="B1698" t="s">
        <v>5161</v>
      </c>
      <c r="C1698" t="s">
        <v>241</v>
      </c>
      <c r="D1698" t="s">
        <v>7005</v>
      </c>
      <c r="E1698">
        <v>22</v>
      </c>
      <c r="F1698" t="s">
        <v>5163</v>
      </c>
      <c r="G1698" t="s">
        <v>1905</v>
      </c>
    </row>
    <row r="1699" spans="1:7" hidden="1">
      <c r="A1699" s="5" t="s">
        <v>4258</v>
      </c>
      <c r="B1699" t="s">
        <v>5161</v>
      </c>
      <c r="C1699" t="s">
        <v>241</v>
      </c>
      <c r="D1699" t="s">
        <v>7006</v>
      </c>
      <c r="E1699">
        <v>18</v>
      </c>
      <c r="F1699" t="s">
        <v>5163</v>
      </c>
      <c r="G1699" t="s">
        <v>5164</v>
      </c>
    </row>
    <row r="1700" spans="1:7" hidden="1">
      <c r="A1700" s="5" t="s">
        <v>3426</v>
      </c>
      <c r="B1700" t="s">
        <v>5161</v>
      </c>
      <c r="C1700" t="s">
        <v>241</v>
      </c>
      <c r="D1700" t="s">
        <v>7007</v>
      </c>
      <c r="E1700">
        <v>27</v>
      </c>
      <c r="F1700" t="s">
        <v>5163</v>
      </c>
      <c r="G1700" t="s">
        <v>5164</v>
      </c>
    </row>
    <row r="1701" spans="1:7" hidden="1">
      <c r="A1701" s="5" t="s">
        <v>3654</v>
      </c>
      <c r="B1701" t="s">
        <v>5161</v>
      </c>
      <c r="C1701" t="s">
        <v>241</v>
      </c>
      <c r="D1701" t="s">
        <v>7008</v>
      </c>
      <c r="E1701">
        <v>34</v>
      </c>
      <c r="F1701" t="s">
        <v>5163</v>
      </c>
      <c r="G1701" t="s">
        <v>1905</v>
      </c>
    </row>
    <row r="1702" spans="1:7" hidden="1">
      <c r="A1702" s="5" t="s">
        <v>3654</v>
      </c>
      <c r="B1702" t="s">
        <v>5161</v>
      </c>
      <c r="C1702" t="s">
        <v>241</v>
      </c>
      <c r="D1702" t="s">
        <v>7009</v>
      </c>
      <c r="E1702">
        <v>32</v>
      </c>
      <c r="F1702" t="s">
        <v>5172</v>
      </c>
      <c r="G1702" t="s">
        <v>1905</v>
      </c>
    </row>
    <row r="1703" spans="1:7" hidden="1">
      <c r="A1703" s="5" t="s">
        <v>3654</v>
      </c>
      <c r="B1703" t="s">
        <v>5161</v>
      </c>
      <c r="C1703" t="s">
        <v>241</v>
      </c>
      <c r="D1703" t="s">
        <v>7010</v>
      </c>
      <c r="E1703" t="s">
        <v>5182</v>
      </c>
      <c r="F1703" t="s">
        <v>5163</v>
      </c>
      <c r="G1703" t="s">
        <v>5164</v>
      </c>
    </row>
    <row r="1704" spans="1:7" hidden="1">
      <c r="A1704" s="5" t="s">
        <v>240</v>
      </c>
      <c r="B1704" t="s">
        <v>5161</v>
      </c>
      <c r="C1704" t="s">
        <v>241</v>
      </c>
      <c r="D1704" t="s">
        <v>701</v>
      </c>
      <c r="E1704">
        <v>28</v>
      </c>
      <c r="F1704" t="s">
        <v>5163</v>
      </c>
      <c r="G1704" t="s">
        <v>1905</v>
      </c>
    </row>
    <row r="1705" spans="1:7" hidden="1">
      <c r="A1705" s="5" t="s">
        <v>2962</v>
      </c>
      <c r="B1705" t="s">
        <v>5161</v>
      </c>
      <c r="C1705" t="s">
        <v>241</v>
      </c>
      <c r="D1705" t="s">
        <v>7011</v>
      </c>
      <c r="E1705">
        <v>35</v>
      </c>
      <c r="F1705" t="s">
        <v>5172</v>
      </c>
      <c r="G1705" t="s">
        <v>5169</v>
      </c>
    </row>
    <row r="1706" spans="1:7" hidden="1">
      <c r="A1706" s="5" t="s">
        <v>3418</v>
      </c>
      <c r="B1706" t="s">
        <v>5161</v>
      </c>
      <c r="C1706" t="s">
        <v>241</v>
      </c>
      <c r="D1706" t="s">
        <v>7012</v>
      </c>
      <c r="E1706">
        <v>30</v>
      </c>
      <c r="F1706" t="s">
        <v>5163</v>
      </c>
      <c r="G1706" t="s">
        <v>1905</v>
      </c>
    </row>
    <row r="1707" spans="1:7" hidden="1">
      <c r="A1707" s="5" t="s">
        <v>3418</v>
      </c>
      <c r="B1707" t="s">
        <v>5161</v>
      </c>
      <c r="C1707" t="s">
        <v>241</v>
      </c>
      <c r="D1707" t="s">
        <v>7013</v>
      </c>
      <c r="E1707">
        <v>19</v>
      </c>
      <c r="F1707" t="s">
        <v>5163</v>
      </c>
      <c r="G1707" t="s">
        <v>1905</v>
      </c>
    </row>
    <row r="1708" spans="1:7" hidden="1">
      <c r="A1708" s="5" t="s">
        <v>3418</v>
      </c>
      <c r="B1708" t="s">
        <v>5161</v>
      </c>
      <c r="C1708" t="s">
        <v>241</v>
      </c>
      <c r="D1708" t="s">
        <v>7014</v>
      </c>
      <c r="E1708">
        <v>32</v>
      </c>
      <c r="F1708" t="s">
        <v>5163</v>
      </c>
      <c r="G1708" t="s">
        <v>5182</v>
      </c>
    </row>
    <row r="1709" spans="1:7" hidden="1">
      <c r="A1709" s="5" t="s">
        <v>3307</v>
      </c>
      <c r="B1709" t="s">
        <v>5161</v>
      </c>
      <c r="C1709" t="s">
        <v>241</v>
      </c>
      <c r="D1709" t="s">
        <v>7015</v>
      </c>
      <c r="E1709">
        <v>20</v>
      </c>
      <c r="F1709" t="s">
        <v>5163</v>
      </c>
      <c r="G1709" t="s">
        <v>5169</v>
      </c>
    </row>
    <row r="1710" spans="1:7" hidden="1">
      <c r="A1710" s="5" t="s">
        <v>4472</v>
      </c>
      <c r="B1710" t="s">
        <v>5161</v>
      </c>
      <c r="C1710" t="s">
        <v>241</v>
      </c>
      <c r="D1710" t="s">
        <v>7016</v>
      </c>
      <c r="E1710">
        <v>39</v>
      </c>
      <c r="F1710" t="s">
        <v>5163</v>
      </c>
      <c r="G1710" t="s">
        <v>1905</v>
      </c>
    </row>
    <row r="1711" spans="1:7" hidden="1">
      <c r="A1711" s="5" t="s">
        <v>3263</v>
      </c>
      <c r="B1711" t="s">
        <v>5161</v>
      </c>
      <c r="C1711" t="s">
        <v>241</v>
      </c>
      <c r="D1711" t="s">
        <v>7017</v>
      </c>
      <c r="E1711">
        <v>20</v>
      </c>
      <c r="F1711" t="s">
        <v>5163</v>
      </c>
      <c r="G1711" t="s">
        <v>5164</v>
      </c>
    </row>
    <row r="1712" spans="1:7" hidden="1">
      <c r="A1712" s="5" t="s">
        <v>3173</v>
      </c>
      <c r="B1712" t="s">
        <v>5161</v>
      </c>
      <c r="C1712" t="s">
        <v>241</v>
      </c>
      <c r="D1712" t="s">
        <v>7018</v>
      </c>
      <c r="E1712">
        <v>23</v>
      </c>
      <c r="F1712" t="s">
        <v>5172</v>
      </c>
      <c r="G1712" t="s">
        <v>1905</v>
      </c>
    </row>
    <row r="1713" spans="1:7" hidden="1">
      <c r="A1713" s="5" t="s">
        <v>4882</v>
      </c>
      <c r="B1713" t="s">
        <v>5161</v>
      </c>
      <c r="C1713" t="s">
        <v>241</v>
      </c>
      <c r="D1713" t="s">
        <v>7019</v>
      </c>
      <c r="E1713">
        <v>20</v>
      </c>
      <c r="F1713" t="s">
        <v>5163</v>
      </c>
      <c r="G1713" t="s">
        <v>1905</v>
      </c>
    </row>
    <row r="1714" spans="1:7" hidden="1">
      <c r="A1714" s="5" t="s">
        <v>2369</v>
      </c>
      <c r="B1714" t="s">
        <v>5161</v>
      </c>
      <c r="C1714" t="s">
        <v>241</v>
      </c>
      <c r="D1714" t="s">
        <v>7020</v>
      </c>
      <c r="E1714">
        <v>18</v>
      </c>
      <c r="F1714" t="s">
        <v>5163</v>
      </c>
      <c r="G1714" t="s">
        <v>5164</v>
      </c>
    </row>
    <row r="1715" spans="1:7" hidden="1">
      <c r="A1715" s="5" t="s">
        <v>2750</v>
      </c>
      <c r="B1715" t="s">
        <v>5161</v>
      </c>
      <c r="C1715" t="s">
        <v>241</v>
      </c>
      <c r="D1715" t="s">
        <v>7021</v>
      </c>
      <c r="E1715">
        <v>22</v>
      </c>
      <c r="F1715" t="s">
        <v>5163</v>
      </c>
      <c r="G1715" t="s">
        <v>1905</v>
      </c>
    </row>
    <row r="1716" spans="1:7" hidden="1">
      <c r="A1716" s="5" t="s">
        <v>2750</v>
      </c>
      <c r="B1716" t="s">
        <v>5161</v>
      </c>
      <c r="C1716" t="s">
        <v>241</v>
      </c>
      <c r="D1716" t="s">
        <v>7022</v>
      </c>
      <c r="E1716">
        <v>24</v>
      </c>
      <c r="F1716" t="s">
        <v>5163</v>
      </c>
      <c r="G1716" t="s">
        <v>5169</v>
      </c>
    </row>
    <row r="1717" spans="1:7" hidden="1">
      <c r="A1717" s="5" t="s">
        <v>4994</v>
      </c>
      <c r="B1717" t="s">
        <v>5161</v>
      </c>
      <c r="C1717" t="s">
        <v>241</v>
      </c>
      <c r="D1717" t="s">
        <v>7023</v>
      </c>
      <c r="E1717">
        <v>52</v>
      </c>
      <c r="F1717" t="s">
        <v>5163</v>
      </c>
      <c r="G1717" t="s">
        <v>5164</v>
      </c>
    </row>
    <row r="1718" spans="1:7" hidden="1">
      <c r="A1718" s="5" t="s">
        <v>2749</v>
      </c>
      <c r="B1718" t="s">
        <v>5161</v>
      </c>
      <c r="C1718" t="s">
        <v>241</v>
      </c>
      <c r="D1718" t="s">
        <v>7024</v>
      </c>
      <c r="E1718">
        <v>35</v>
      </c>
      <c r="F1718" t="s">
        <v>5163</v>
      </c>
      <c r="G1718" t="s">
        <v>5169</v>
      </c>
    </row>
    <row r="1719" spans="1:7" hidden="1">
      <c r="A1719" s="5" t="s">
        <v>2153</v>
      </c>
      <c r="B1719" t="s">
        <v>5161</v>
      </c>
      <c r="C1719" t="s">
        <v>241</v>
      </c>
      <c r="D1719" t="s">
        <v>7025</v>
      </c>
      <c r="E1719">
        <v>39</v>
      </c>
      <c r="F1719" t="s">
        <v>5163</v>
      </c>
      <c r="G1719" t="s">
        <v>1905</v>
      </c>
    </row>
    <row r="1720" spans="1:7" hidden="1">
      <c r="A1720" s="5" t="s">
        <v>4030</v>
      </c>
      <c r="B1720" t="s">
        <v>5161</v>
      </c>
      <c r="C1720" t="s">
        <v>241</v>
      </c>
      <c r="D1720" t="s">
        <v>7026</v>
      </c>
      <c r="E1720">
        <v>25</v>
      </c>
      <c r="F1720" t="s">
        <v>5163</v>
      </c>
      <c r="G1720" t="s">
        <v>1905</v>
      </c>
    </row>
    <row r="1721" spans="1:7" hidden="1">
      <c r="A1721" s="5" t="s">
        <v>4268</v>
      </c>
      <c r="B1721" t="s">
        <v>5161</v>
      </c>
      <c r="C1721" t="s">
        <v>241</v>
      </c>
      <c r="D1721" t="s">
        <v>7027</v>
      </c>
      <c r="E1721">
        <v>24</v>
      </c>
      <c r="F1721" t="s">
        <v>5163</v>
      </c>
      <c r="G1721" t="s">
        <v>5164</v>
      </c>
    </row>
    <row r="1722" spans="1:7" hidden="1">
      <c r="A1722" s="5" t="s">
        <v>2897</v>
      </c>
      <c r="B1722" t="s">
        <v>5161</v>
      </c>
      <c r="C1722" t="s">
        <v>241</v>
      </c>
      <c r="D1722" t="s">
        <v>6015</v>
      </c>
      <c r="E1722">
        <v>32</v>
      </c>
      <c r="F1722" t="s">
        <v>5163</v>
      </c>
      <c r="G1722" t="s">
        <v>5164</v>
      </c>
    </row>
    <row r="1723" spans="1:7" hidden="1">
      <c r="A1723" s="5" t="s">
        <v>5032</v>
      </c>
      <c r="B1723" t="s">
        <v>5161</v>
      </c>
      <c r="C1723" t="s">
        <v>241</v>
      </c>
      <c r="D1723" t="s">
        <v>7028</v>
      </c>
      <c r="E1723">
        <v>24</v>
      </c>
      <c r="F1723" t="s">
        <v>5163</v>
      </c>
      <c r="G1723" t="s">
        <v>1905</v>
      </c>
    </row>
    <row r="1724" spans="1:7" hidden="1">
      <c r="A1724" s="5" t="s">
        <v>3207</v>
      </c>
      <c r="B1724" t="s">
        <v>5161</v>
      </c>
      <c r="C1724" t="s">
        <v>241</v>
      </c>
      <c r="D1724" t="s">
        <v>7029</v>
      </c>
      <c r="E1724">
        <v>26</v>
      </c>
      <c r="F1724" t="s">
        <v>5172</v>
      </c>
      <c r="G1724" t="s">
        <v>1905</v>
      </c>
    </row>
    <row r="1725" spans="1:7" hidden="1">
      <c r="A1725" s="5" t="s">
        <v>4480</v>
      </c>
      <c r="B1725" t="s">
        <v>5161</v>
      </c>
      <c r="C1725" t="s">
        <v>241</v>
      </c>
      <c r="D1725" t="s">
        <v>7030</v>
      </c>
      <c r="E1725">
        <v>34</v>
      </c>
      <c r="F1725" t="s">
        <v>5163</v>
      </c>
      <c r="G1725" t="s">
        <v>1905</v>
      </c>
    </row>
    <row r="1726" spans="1:7" hidden="1">
      <c r="A1726" s="5" t="s">
        <v>4038</v>
      </c>
      <c r="B1726" t="s">
        <v>5161</v>
      </c>
      <c r="C1726" t="s">
        <v>241</v>
      </c>
      <c r="D1726" t="s">
        <v>7031</v>
      </c>
      <c r="E1726">
        <v>25</v>
      </c>
      <c r="F1726" t="s">
        <v>5163</v>
      </c>
      <c r="G1726" t="s">
        <v>1905</v>
      </c>
    </row>
    <row r="1727" spans="1:7" hidden="1">
      <c r="A1727" s="5" t="s">
        <v>3374</v>
      </c>
      <c r="B1727" t="s">
        <v>5161</v>
      </c>
      <c r="C1727" t="s">
        <v>241</v>
      </c>
      <c r="D1727" t="s">
        <v>7032</v>
      </c>
      <c r="E1727">
        <v>19</v>
      </c>
      <c r="F1727" t="s">
        <v>5163</v>
      </c>
      <c r="G1727" t="s">
        <v>5164</v>
      </c>
    </row>
    <row r="1728" spans="1:7" hidden="1">
      <c r="A1728" s="5" t="s">
        <v>7033</v>
      </c>
      <c r="B1728" t="s">
        <v>5161</v>
      </c>
      <c r="C1728" t="s">
        <v>241</v>
      </c>
      <c r="D1728" t="s">
        <v>7034</v>
      </c>
      <c r="E1728">
        <v>29</v>
      </c>
      <c r="F1728" t="s">
        <v>5172</v>
      </c>
      <c r="G1728" t="s">
        <v>1905</v>
      </c>
    </row>
    <row r="1729" spans="1:7" hidden="1">
      <c r="A1729" s="5" t="s">
        <v>4737</v>
      </c>
      <c r="B1729" t="s">
        <v>5161</v>
      </c>
      <c r="C1729" t="s">
        <v>241</v>
      </c>
      <c r="D1729" t="s">
        <v>7035</v>
      </c>
      <c r="E1729">
        <v>19</v>
      </c>
      <c r="F1729" t="s">
        <v>5163</v>
      </c>
      <c r="G1729" t="s">
        <v>5164</v>
      </c>
    </row>
    <row r="1730" spans="1:7" hidden="1">
      <c r="A1730" s="5" t="s">
        <v>3375</v>
      </c>
      <c r="B1730" t="s">
        <v>5161</v>
      </c>
      <c r="C1730" t="s">
        <v>241</v>
      </c>
      <c r="D1730" t="s">
        <v>7036</v>
      </c>
      <c r="E1730">
        <v>26</v>
      </c>
      <c r="F1730" t="s">
        <v>5163</v>
      </c>
      <c r="G1730" t="s">
        <v>5182</v>
      </c>
    </row>
    <row r="1731" spans="1:7" hidden="1">
      <c r="A1731" s="5" t="s">
        <v>4257</v>
      </c>
      <c r="B1731" t="s">
        <v>5161</v>
      </c>
      <c r="C1731" t="s">
        <v>241</v>
      </c>
      <c r="D1731" t="s">
        <v>7037</v>
      </c>
      <c r="E1731">
        <v>39</v>
      </c>
      <c r="F1731" t="s">
        <v>5163</v>
      </c>
      <c r="G1731" t="s">
        <v>1905</v>
      </c>
    </row>
    <row r="1732" spans="1:7" hidden="1">
      <c r="A1732" s="5" t="s">
        <v>3419</v>
      </c>
      <c r="B1732" t="s">
        <v>5161</v>
      </c>
      <c r="C1732" t="s">
        <v>241</v>
      </c>
      <c r="D1732" t="s">
        <v>7038</v>
      </c>
      <c r="E1732">
        <v>23</v>
      </c>
      <c r="F1732" t="s">
        <v>5172</v>
      </c>
      <c r="G1732" t="s">
        <v>5169</v>
      </c>
    </row>
    <row r="1733" spans="1:7" hidden="1">
      <c r="A1733" s="5" t="s">
        <v>4572</v>
      </c>
      <c r="B1733" t="s">
        <v>5161</v>
      </c>
      <c r="C1733" t="s">
        <v>241</v>
      </c>
      <c r="D1733" t="s">
        <v>7039</v>
      </c>
      <c r="E1733">
        <v>19</v>
      </c>
      <c r="F1733" t="s">
        <v>5163</v>
      </c>
      <c r="G1733" t="s">
        <v>5182</v>
      </c>
    </row>
    <row r="1734" spans="1:7" hidden="1">
      <c r="A1734" s="5" t="s">
        <v>4229</v>
      </c>
      <c r="B1734" t="s">
        <v>5161</v>
      </c>
      <c r="C1734" t="s">
        <v>241</v>
      </c>
      <c r="D1734" t="s">
        <v>7040</v>
      </c>
      <c r="E1734">
        <v>18</v>
      </c>
      <c r="F1734" t="s">
        <v>5163</v>
      </c>
      <c r="G1734" t="s">
        <v>1905</v>
      </c>
    </row>
    <row r="1735" spans="1:7" hidden="1">
      <c r="A1735" s="5" t="s">
        <v>4516</v>
      </c>
      <c r="B1735" t="s">
        <v>5161</v>
      </c>
      <c r="C1735" t="s">
        <v>241</v>
      </c>
      <c r="D1735" t="s">
        <v>7041</v>
      </c>
      <c r="E1735">
        <v>23</v>
      </c>
      <c r="F1735" t="s">
        <v>5163</v>
      </c>
      <c r="G1735" t="s">
        <v>5164</v>
      </c>
    </row>
    <row r="1736" spans="1:7" hidden="1">
      <c r="A1736" s="5" t="s">
        <v>3179</v>
      </c>
      <c r="B1736" t="s">
        <v>5161</v>
      </c>
      <c r="C1736" t="s">
        <v>241</v>
      </c>
      <c r="D1736" t="s">
        <v>7042</v>
      </c>
      <c r="E1736">
        <v>22</v>
      </c>
      <c r="F1736" t="s">
        <v>5163</v>
      </c>
      <c r="G1736" t="s">
        <v>5164</v>
      </c>
    </row>
    <row r="1737" spans="1:7" hidden="1">
      <c r="A1737" s="5" t="s">
        <v>4069</v>
      </c>
      <c r="B1737" t="s">
        <v>5161</v>
      </c>
      <c r="C1737" t="s">
        <v>241</v>
      </c>
      <c r="D1737" t="s">
        <v>7043</v>
      </c>
      <c r="E1737">
        <v>24</v>
      </c>
      <c r="F1737" t="s">
        <v>5163</v>
      </c>
      <c r="G1737" t="s">
        <v>5169</v>
      </c>
    </row>
    <row r="1738" spans="1:7" hidden="1">
      <c r="A1738" s="5" t="s">
        <v>2610</v>
      </c>
      <c r="B1738" t="s">
        <v>5161</v>
      </c>
      <c r="C1738" t="s">
        <v>241</v>
      </c>
      <c r="D1738" t="s">
        <v>6249</v>
      </c>
      <c r="E1738">
        <v>19</v>
      </c>
      <c r="F1738" t="s">
        <v>5163</v>
      </c>
      <c r="G1738" t="s">
        <v>5164</v>
      </c>
    </row>
    <row r="1739" spans="1:7" hidden="1">
      <c r="A1739" s="5" t="s">
        <v>230</v>
      </c>
      <c r="B1739" t="s">
        <v>5161</v>
      </c>
      <c r="C1739" t="s">
        <v>241</v>
      </c>
      <c r="D1739" t="s">
        <v>7044</v>
      </c>
      <c r="E1739">
        <v>26</v>
      </c>
      <c r="F1739" t="s">
        <v>5163</v>
      </c>
      <c r="G1739" t="s">
        <v>5164</v>
      </c>
    </row>
    <row r="1740" spans="1:7" hidden="1">
      <c r="A1740" s="5" t="s">
        <v>230</v>
      </c>
      <c r="B1740" t="s">
        <v>5161</v>
      </c>
      <c r="C1740" t="s">
        <v>241</v>
      </c>
      <c r="D1740" t="s">
        <v>7045</v>
      </c>
      <c r="E1740">
        <v>18</v>
      </c>
      <c r="F1740" t="s">
        <v>5163</v>
      </c>
      <c r="G1740" t="s">
        <v>1905</v>
      </c>
    </row>
    <row r="1741" spans="1:7" hidden="1">
      <c r="A1741" s="5" t="s">
        <v>3421</v>
      </c>
      <c r="B1741" t="s">
        <v>5161</v>
      </c>
      <c r="C1741" t="s">
        <v>241</v>
      </c>
      <c r="D1741" t="s">
        <v>7046</v>
      </c>
      <c r="E1741">
        <v>21</v>
      </c>
      <c r="F1741" t="s">
        <v>5172</v>
      </c>
      <c r="G1741" t="s">
        <v>5164</v>
      </c>
    </row>
    <row r="1742" spans="1:7" hidden="1">
      <c r="A1742" s="5" t="s">
        <v>2808</v>
      </c>
      <c r="B1742" t="s">
        <v>5161</v>
      </c>
      <c r="C1742" t="s">
        <v>241</v>
      </c>
      <c r="D1742" t="s">
        <v>7047</v>
      </c>
      <c r="E1742">
        <v>57</v>
      </c>
      <c r="F1742" t="s">
        <v>5163</v>
      </c>
      <c r="G1742" t="s">
        <v>1905</v>
      </c>
    </row>
    <row r="1743" spans="1:7" hidden="1">
      <c r="A1743" s="5" t="s">
        <v>2808</v>
      </c>
      <c r="B1743" t="s">
        <v>5161</v>
      </c>
      <c r="C1743" t="s">
        <v>241</v>
      </c>
      <c r="D1743" t="s">
        <v>7048</v>
      </c>
      <c r="E1743">
        <v>28</v>
      </c>
      <c r="F1743" t="s">
        <v>5163</v>
      </c>
      <c r="G1743" t="s">
        <v>1905</v>
      </c>
    </row>
    <row r="1744" spans="1:7" hidden="1">
      <c r="A1744" s="5" t="s">
        <v>2808</v>
      </c>
      <c r="B1744" t="s">
        <v>5161</v>
      </c>
      <c r="C1744" t="s">
        <v>241</v>
      </c>
      <c r="D1744" t="s">
        <v>7049</v>
      </c>
      <c r="E1744">
        <v>39</v>
      </c>
      <c r="F1744" t="s">
        <v>5163</v>
      </c>
      <c r="G1744" t="s">
        <v>1905</v>
      </c>
    </row>
    <row r="1745" spans="1:7" hidden="1">
      <c r="A1745" s="5" t="s">
        <v>3771</v>
      </c>
      <c r="B1745" t="s">
        <v>5161</v>
      </c>
      <c r="C1745" t="s">
        <v>241</v>
      </c>
      <c r="D1745" t="s">
        <v>7050</v>
      </c>
      <c r="E1745">
        <v>25</v>
      </c>
      <c r="F1745" t="s">
        <v>5163</v>
      </c>
      <c r="G1745" t="s">
        <v>5164</v>
      </c>
    </row>
    <row r="1746" spans="1:7" hidden="1">
      <c r="A1746" s="5" t="s">
        <v>3771</v>
      </c>
      <c r="B1746" t="s">
        <v>5161</v>
      </c>
      <c r="C1746" t="s">
        <v>241</v>
      </c>
      <c r="D1746" t="s">
        <v>7051</v>
      </c>
      <c r="E1746">
        <v>18</v>
      </c>
      <c r="F1746" t="s">
        <v>5163</v>
      </c>
      <c r="G1746" t="s">
        <v>5169</v>
      </c>
    </row>
    <row r="1747" spans="1:7" hidden="1">
      <c r="A1747" s="5" t="s">
        <v>3771</v>
      </c>
      <c r="B1747" t="s">
        <v>5161</v>
      </c>
      <c r="C1747" t="s">
        <v>241</v>
      </c>
      <c r="D1747" t="s">
        <v>7052</v>
      </c>
      <c r="E1747">
        <v>18</v>
      </c>
      <c r="F1747" t="s">
        <v>5163</v>
      </c>
      <c r="G1747" t="s">
        <v>5169</v>
      </c>
    </row>
    <row r="1748" spans="1:7" hidden="1">
      <c r="A1748" s="5" t="s">
        <v>3647</v>
      </c>
      <c r="B1748" t="s">
        <v>5161</v>
      </c>
      <c r="C1748" t="s">
        <v>241</v>
      </c>
      <c r="D1748" t="s">
        <v>7053</v>
      </c>
      <c r="E1748">
        <v>22</v>
      </c>
      <c r="F1748" t="s">
        <v>5163</v>
      </c>
      <c r="G1748" t="s">
        <v>1905</v>
      </c>
    </row>
    <row r="1749" spans="1:7" hidden="1">
      <c r="A1749" s="5" t="s">
        <v>3108</v>
      </c>
      <c r="B1749" t="s">
        <v>5161</v>
      </c>
      <c r="C1749" t="s">
        <v>241</v>
      </c>
      <c r="D1749" t="s">
        <v>7054</v>
      </c>
      <c r="E1749">
        <v>20</v>
      </c>
      <c r="F1749" t="s">
        <v>5163</v>
      </c>
      <c r="G1749" t="s">
        <v>1905</v>
      </c>
    </row>
    <row r="1750" spans="1:7" hidden="1">
      <c r="A1750" s="5" t="s">
        <v>3108</v>
      </c>
      <c r="B1750" t="s">
        <v>5161</v>
      </c>
      <c r="C1750" t="s">
        <v>241</v>
      </c>
      <c r="D1750" t="s">
        <v>7055</v>
      </c>
      <c r="E1750">
        <v>18</v>
      </c>
      <c r="F1750" t="s">
        <v>5163</v>
      </c>
      <c r="G1750" t="s">
        <v>1905</v>
      </c>
    </row>
    <row r="1751" spans="1:7" hidden="1">
      <c r="A1751" s="5" t="s">
        <v>3773</v>
      </c>
      <c r="B1751" t="s">
        <v>5161</v>
      </c>
      <c r="C1751" t="s">
        <v>241</v>
      </c>
      <c r="D1751" t="s">
        <v>7056</v>
      </c>
      <c r="E1751">
        <v>24</v>
      </c>
      <c r="F1751" t="s">
        <v>5163</v>
      </c>
      <c r="G1751" t="s">
        <v>5164</v>
      </c>
    </row>
    <row r="1752" spans="1:7" hidden="1">
      <c r="A1752" s="5" t="s">
        <v>2131</v>
      </c>
      <c r="B1752" t="s">
        <v>5161</v>
      </c>
      <c r="C1752" t="s">
        <v>241</v>
      </c>
      <c r="D1752" t="s">
        <v>7057</v>
      </c>
      <c r="E1752">
        <v>40</v>
      </c>
      <c r="F1752" t="s">
        <v>5172</v>
      </c>
      <c r="G1752" t="s">
        <v>1905</v>
      </c>
    </row>
    <row r="1753" spans="1:7" hidden="1">
      <c r="A1753" s="5" t="s">
        <v>3668</v>
      </c>
      <c r="B1753" t="s">
        <v>5161</v>
      </c>
      <c r="C1753" t="s">
        <v>241</v>
      </c>
      <c r="D1753" t="s">
        <v>7058</v>
      </c>
      <c r="E1753">
        <v>33</v>
      </c>
      <c r="F1753" t="s">
        <v>5172</v>
      </c>
      <c r="G1753" t="s">
        <v>5164</v>
      </c>
    </row>
    <row r="1754" spans="1:7" hidden="1">
      <c r="A1754" s="5" t="s">
        <v>234</v>
      </c>
      <c r="B1754" t="s">
        <v>5161</v>
      </c>
      <c r="C1754" t="s">
        <v>241</v>
      </c>
      <c r="D1754" t="s">
        <v>693</v>
      </c>
      <c r="E1754">
        <v>43</v>
      </c>
      <c r="F1754" t="s">
        <v>5163</v>
      </c>
      <c r="G1754" t="s">
        <v>5169</v>
      </c>
    </row>
    <row r="1755" spans="1:7" hidden="1">
      <c r="A1755" s="5" t="s">
        <v>3420</v>
      </c>
      <c r="B1755" t="s">
        <v>5161</v>
      </c>
      <c r="C1755" t="s">
        <v>241</v>
      </c>
      <c r="D1755" t="s">
        <v>7059</v>
      </c>
      <c r="E1755">
        <v>46</v>
      </c>
      <c r="F1755" t="s">
        <v>5163</v>
      </c>
      <c r="G1755" t="s">
        <v>5164</v>
      </c>
    </row>
    <row r="1756" spans="1:7" hidden="1">
      <c r="A1756" s="5" t="s">
        <v>3531</v>
      </c>
      <c r="B1756" t="s">
        <v>5161</v>
      </c>
      <c r="C1756" t="s">
        <v>241</v>
      </c>
      <c r="D1756" t="s">
        <v>7060</v>
      </c>
      <c r="E1756">
        <v>30</v>
      </c>
      <c r="F1756" t="s">
        <v>5163</v>
      </c>
      <c r="G1756" t="s">
        <v>5164</v>
      </c>
    </row>
    <row r="1757" spans="1:7" hidden="1">
      <c r="A1757" s="5" t="s">
        <v>3132</v>
      </c>
      <c r="B1757" t="s">
        <v>5161</v>
      </c>
      <c r="C1757" t="s">
        <v>241</v>
      </c>
      <c r="D1757" t="s">
        <v>7061</v>
      </c>
      <c r="E1757">
        <v>36</v>
      </c>
      <c r="F1757" t="s">
        <v>5163</v>
      </c>
      <c r="G1757" t="s">
        <v>1905</v>
      </c>
    </row>
    <row r="1758" spans="1:7" hidden="1">
      <c r="A1758" s="5" t="s">
        <v>228</v>
      </c>
      <c r="B1758" t="s">
        <v>5161</v>
      </c>
      <c r="C1758" t="s">
        <v>241</v>
      </c>
      <c r="D1758" t="s">
        <v>682</v>
      </c>
      <c r="E1758">
        <v>19</v>
      </c>
      <c r="F1758" t="s">
        <v>5163</v>
      </c>
      <c r="G1758" t="s">
        <v>1905</v>
      </c>
    </row>
    <row r="1759" spans="1:7" hidden="1">
      <c r="A1759" s="5" t="s">
        <v>4460</v>
      </c>
      <c r="B1759" t="s">
        <v>5161</v>
      </c>
      <c r="C1759" t="s">
        <v>241</v>
      </c>
      <c r="D1759" t="s">
        <v>6348</v>
      </c>
      <c r="E1759">
        <v>20</v>
      </c>
      <c r="F1759" t="s">
        <v>5163</v>
      </c>
      <c r="G1759" t="s">
        <v>1905</v>
      </c>
    </row>
    <row r="1760" spans="1:7" hidden="1">
      <c r="A1760" s="5" t="s">
        <v>3500</v>
      </c>
      <c r="B1760" t="s">
        <v>5161</v>
      </c>
      <c r="C1760" t="s">
        <v>241</v>
      </c>
      <c r="D1760" t="s">
        <v>7062</v>
      </c>
      <c r="E1760">
        <v>22</v>
      </c>
      <c r="F1760" t="s">
        <v>5163</v>
      </c>
      <c r="G1760" t="s">
        <v>5164</v>
      </c>
    </row>
    <row r="1761" spans="1:7" hidden="1">
      <c r="A1761" s="5" t="s">
        <v>4360</v>
      </c>
      <c r="B1761" t="s">
        <v>5161</v>
      </c>
      <c r="C1761" t="s">
        <v>241</v>
      </c>
      <c r="D1761" t="s">
        <v>7063</v>
      </c>
      <c r="E1761">
        <v>23</v>
      </c>
      <c r="F1761" t="s">
        <v>5163</v>
      </c>
      <c r="G1761" t="s">
        <v>1905</v>
      </c>
    </row>
    <row r="1762" spans="1:7" hidden="1">
      <c r="A1762" s="5" t="s">
        <v>3667</v>
      </c>
      <c r="B1762" t="s">
        <v>5161</v>
      </c>
      <c r="C1762" t="s">
        <v>241</v>
      </c>
      <c r="D1762" t="s">
        <v>7064</v>
      </c>
      <c r="E1762">
        <v>27</v>
      </c>
      <c r="F1762" t="s">
        <v>5163</v>
      </c>
      <c r="G1762" t="s">
        <v>5164</v>
      </c>
    </row>
    <row r="1763" spans="1:7" hidden="1">
      <c r="A1763" s="5" t="s">
        <v>2985</v>
      </c>
      <c r="B1763" t="s">
        <v>5161</v>
      </c>
      <c r="C1763" t="s">
        <v>241</v>
      </c>
      <c r="D1763" t="s">
        <v>7065</v>
      </c>
      <c r="E1763">
        <v>45</v>
      </c>
      <c r="F1763" t="s">
        <v>5163</v>
      </c>
      <c r="G1763" t="s">
        <v>1905</v>
      </c>
    </row>
    <row r="1764" spans="1:7" hidden="1">
      <c r="A1764" s="5" t="s">
        <v>2386</v>
      </c>
      <c r="B1764" t="s">
        <v>5161</v>
      </c>
      <c r="C1764" t="s">
        <v>241</v>
      </c>
      <c r="D1764" t="s">
        <v>7066</v>
      </c>
      <c r="E1764">
        <v>20</v>
      </c>
      <c r="F1764" t="s">
        <v>5163</v>
      </c>
      <c r="G1764" t="s">
        <v>5164</v>
      </c>
    </row>
    <row r="1765" spans="1:7" hidden="1">
      <c r="A1765" s="5" t="s">
        <v>3146</v>
      </c>
      <c r="B1765" t="s">
        <v>5161</v>
      </c>
      <c r="C1765" t="s">
        <v>241</v>
      </c>
      <c r="D1765" t="s">
        <v>7067</v>
      </c>
      <c r="E1765">
        <v>25</v>
      </c>
      <c r="F1765" t="s">
        <v>5163</v>
      </c>
      <c r="G1765" t="s">
        <v>5169</v>
      </c>
    </row>
    <row r="1766" spans="1:7" hidden="1">
      <c r="A1766" s="5" t="s">
        <v>3355</v>
      </c>
      <c r="B1766" t="s">
        <v>5161</v>
      </c>
      <c r="C1766" t="s">
        <v>241</v>
      </c>
      <c r="D1766" t="s">
        <v>7068</v>
      </c>
      <c r="E1766">
        <v>24</v>
      </c>
      <c r="F1766" t="s">
        <v>5163</v>
      </c>
      <c r="G1766" t="s">
        <v>5164</v>
      </c>
    </row>
    <row r="1767" spans="1:7" hidden="1">
      <c r="A1767" s="5" t="s">
        <v>3277</v>
      </c>
      <c r="B1767" t="s">
        <v>5161</v>
      </c>
      <c r="C1767" t="s">
        <v>241</v>
      </c>
      <c r="D1767" t="s">
        <v>7069</v>
      </c>
      <c r="E1767">
        <v>18</v>
      </c>
      <c r="F1767" t="s">
        <v>5163</v>
      </c>
      <c r="G1767" t="s">
        <v>1905</v>
      </c>
    </row>
    <row r="1768" spans="1:7" hidden="1">
      <c r="A1768" s="5" t="s">
        <v>4303</v>
      </c>
      <c r="B1768" t="s">
        <v>5161</v>
      </c>
      <c r="C1768" t="s">
        <v>241</v>
      </c>
      <c r="D1768" t="s">
        <v>7070</v>
      </c>
      <c r="E1768">
        <v>18</v>
      </c>
      <c r="F1768" t="s">
        <v>5163</v>
      </c>
      <c r="G1768" t="s">
        <v>5169</v>
      </c>
    </row>
    <row r="1769" spans="1:7" hidden="1">
      <c r="A1769" s="5" t="s">
        <v>2530</v>
      </c>
      <c r="B1769" t="s">
        <v>5161</v>
      </c>
      <c r="C1769" t="s">
        <v>241</v>
      </c>
      <c r="D1769" t="s">
        <v>7071</v>
      </c>
      <c r="E1769">
        <v>25</v>
      </c>
      <c r="F1769" t="s">
        <v>5163</v>
      </c>
      <c r="G1769" t="s">
        <v>5182</v>
      </c>
    </row>
    <row r="1770" spans="1:7" hidden="1">
      <c r="A1770" s="5" t="s">
        <v>2530</v>
      </c>
      <c r="B1770" t="s">
        <v>5161</v>
      </c>
      <c r="C1770" t="s">
        <v>241</v>
      </c>
      <c r="D1770" t="s">
        <v>7072</v>
      </c>
      <c r="E1770">
        <v>32</v>
      </c>
      <c r="F1770" t="s">
        <v>5163</v>
      </c>
      <c r="G1770" t="s">
        <v>5182</v>
      </c>
    </row>
    <row r="1771" spans="1:7" hidden="1">
      <c r="A1771" s="5" t="s">
        <v>2530</v>
      </c>
      <c r="B1771" t="s">
        <v>5161</v>
      </c>
      <c r="C1771" t="s">
        <v>241</v>
      </c>
      <c r="D1771" t="s">
        <v>7073</v>
      </c>
      <c r="E1771">
        <v>47</v>
      </c>
      <c r="F1771" t="s">
        <v>5163</v>
      </c>
      <c r="G1771" t="s">
        <v>5182</v>
      </c>
    </row>
    <row r="1772" spans="1:7" hidden="1">
      <c r="A1772" s="5" t="s">
        <v>3294</v>
      </c>
      <c r="B1772" t="s">
        <v>5161</v>
      </c>
      <c r="C1772" t="s">
        <v>241</v>
      </c>
      <c r="D1772" t="s">
        <v>7074</v>
      </c>
      <c r="E1772">
        <v>29</v>
      </c>
      <c r="F1772" t="s">
        <v>5163</v>
      </c>
      <c r="G1772" t="s">
        <v>5164</v>
      </c>
    </row>
    <row r="1773" spans="1:7" hidden="1">
      <c r="A1773" s="5" t="s">
        <v>7075</v>
      </c>
      <c r="B1773" t="s">
        <v>5161</v>
      </c>
      <c r="C1773" t="s">
        <v>241</v>
      </c>
      <c r="D1773" t="s">
        <v>7076</v>
      </c>
      <c r="E1773" t="s">
        <v>5182</v>
      </c>
      <c r="F1773" t="s">
        <v>5163</v>
      </c>
      <c r="G1773" t="s">
        <v>1905</v>
      </c>
    </row>
    <row r="1774" spans="1:7" hidden="1">
      <c r="A1774" s="5" t="s">
        <v>7075</v>
      </c>
      <c r="B1774" t="s">
        <v>5161</v>
      </c>
      <c r="C1774" t="s">
        <v>241</v>
      </c>
      <c r="D1774" t="s">
        <v>7077</v>
      </c>
      <c r="E1774" t="s">
        <v>5182</v>
      </c>
      <c r="F1774" t="s">
        <v>5172</v>
      </c>
      <c r="G1774" t="s">
        <v>1905</v>
      </c>
    </row>
    <row r="1775" spans="1:7" hidden="1">
      <c r="A1775" s="5" t="s">
        <v>7075</v>
      </c>
      <c r="B1775" t="s">
        <v>5161</v>
      </c>
      <c r="C1775" t="s">
        <v>241</v>
      </c>
      <c r="D1775" t="s">
        <v>7078</v>
      </c>
      <c r="E1775" t="s">
        <v>5182</v>
      </c>
      <c r="F1775" t="s">
        <v>5172</v>
      </c>
      <c r="G1775" t="s">
        <v>1905</v>
      </c>
    </row>
    <row r="1776" spans="1:7" hidden="1">
      <c r="A1776" s="5" t="s">
        <v>2806</v>
      </c>
      <c r="B1776" t="s">
        <v>5161</v>
      </c>
      <c r="C1776" t="s">
        <v>241</v>
      </c>
      <c r="D1776" t="s">
        <v>7079</v>
      </c>
      <c r="E1776">
        <v>27</v>
      </c>
      <c r="F1776" t="s">
        <v>5163</v>
      </c>
      <c r="G1776" t="s">
        <v>5164</v>
      </c>
    </row>
    <row r="1777" spans="1:7" hidden="1">
      <c r="A1777" s="5" t="s">
        <v>2806</v>
      </c>
      <c r="B1777" t="s">
        <v>5161</v>
      </c>
      <c r="C1777" t="s">
        <v>241</v>
      </c>
      <c r="D1777" t="s">
        <v>7080</v>
      </c>
      <c r="E1777">
        <v>33</v>
      </c>
      <c r="F1777" t="s">
        <v>5163</v>
      </c>
      <c r="G1777" t="s">
        <v>5164</v>
      </c>
    </row>
    <row r="1778" spans="1:7" hidden="1">
      <c r="A1778" s="5" t="s">
        <v>4081</v>
      </c>
      <c r="B1778" t="s">
        <v>5161</v>
      </c>
      <c r="C1778" t="s">
        <v>241</v>
      </c>
      <c r="D1778" t="s">
        <v>7081</v>
      </c>
      <c r="E1778">
        <v>29</v>
      </c>
      <c r="F1778" t="s">
        <v>5163</v>
      </c>
      <c r="G1778" t="s">
        <v>1905</v>
      </c>
    </row>
    <row r="1779" spans="1:7" hidden="1">
      <c r="A1779" s="5" t="s">
        <v>239</v>
      </c>
      <c r="B1779" t="s">
        <v>5161</v>
      </c>
      <c r="C1779" t="s">
        <v>241</v>
      </c>
      <c r="D1779" t="s">
        <v>700</v>
      </c>
      <c r="E1779">
        <v>25</v>
      </c>
      <c r="F1779" t="s">
        <v>5163</v>
      </c>
      <c r="G1779" t="s">
        <v>1905</v>
      </c>
    </row>
    <row r="1780" spans="1:7" hidden="1">
      <c r="A1780" s="5" t="s">
        <v>3348</v>
      </c>
      <c r="B1780" t="s">
        <v>5161</v>
      </c>
      <c r="C1780" t="s">
        <v>241</v>
      </c>
      <c r="D1780" t="s">
        <v>7082</v>
      </c>
      <c r="E1780">
        <v>23</v>
      </c>
      <c r="F1780" t="s">
        <v>5163</v>
      </c>
      <c r="G1780" t="s">
        <v>5169</v>
      </c>
    </row>
    <row r="1781" spans="1:7" hidden="1">
      <c r="A1781" s="5" t="s">
        <v>3348</v>
      </c>
      <c r="B1781" t="s">
        <v>5161</v>
      </c>
      <c r="C1781" t="s">
        <v>241</v>
      </c>
      <c r="D1781" t="s">
        <v>7083</v>
      </c>
      <c r="E1781">
        <v>21</v>
      </c>
      <c r="F1781" t="s">
        <v>5163</v>
      </c>
      <c r="G1781" t="s">
        <v>1905</v>
      </c>
    </row>
    <row r="1782" spans="1:7" hidden="1">
      <c r="A1782" s="5" t="s">
        <v>3059</v>
      </c>
      <c r="B1782" t="s">
        <v>5161</v>
      </c>
      <c r="C1782" t="s">
        <v>241</v>
      </c>
      <c r="D1782" t="s">
        <v>7084</v>
      </c>
      <c r="E1782">
        <v>18</v>
      </c>
      <c r="F1782" t="s">
        <v>5163</v>
      </c>
      <c r="G1782" t="s">
        <v>1905</v>
      </c>
    </row>
    <row r="1783" spans="1:7" hidden="1">
      <c r="A1783" s="5" t="s">
        <v>3059</v>
      </c>
      <c r="B1783" t="s">
        <v>5161</v>
      </c>
      <c r="C1783" t="s">
        <v>241</v>
      </c>
      <c r="D1783" t="s">
        <v>7085</v>
      </c>
      <c r="E1783">
        <v>22</v>
      </c>
      <c r="F1783" t="s">
        <v>5163</v>
      </c>
      <c r="G1783" t="s">
        <v>1905</v>
      </c>
    </row>
    <row r="1784" spans="1:7" hidden="1">
      <c r="A1784" s="5" t="s">
        <v>2785</v>
      </c>
      <c r="B1784" t="s">
        <v>5161</v>
      </c>
      <c r="C1784" t="s">
        <v>241</v>
      </c>
      <c r="D1784" t="s">
        <v>7086</v>
      </c>
      <c r="E1784">
        <v>23</v>
      </c>
      <c r="F1784" t="s">
        <v>5163</v>
      </c>
      <c r="G1784" t="s">
        <v>5164</v>
      </c>
    </row>
    <row r="1785" spans="1:7" hidden="1">
      <c r="A1785" s="5" t="s">
        <v>3572</v>
      </c>
      <c r="B1785" t="s">
        <v>5161</v>
      </c>
      <c r="C1785" t="s">
        <v>241</v>
      </c>
      <c r="D1785" t="s">
        <v>7087</v>
      </c>
      <c r="E1785">
        <v>23</v>
      </c>
      <c r="F1785" t="s">
        <v>5163</v>
      </c>
      <c r="G1785" t="s">
        <v>5164</v>
      </c>
    </row>
    <row r="1786" spans="1:7" hidden="1">
      <c r="A1786" s="5" t="s">
        <v>4531</v>
      </c>
      <c r="B1786" t="s">
        <v>5161</v>
      </c>
      <c r="C1786" t="s">
        <v>241</v>
      </c>
      <c r="D1786" t="s">
        <v>7088</v>
      </c>
      <c r="E1786">
        <v>31</v>
      </c>
      <c r="F1786" t="s">
        <v>5163</v>
      </c>
      <c r="G1786" t="s">
        <v>1905</v>
      </c>
    </row>
    <row r="1787" spans="1:7" hidden="1">
      <c r="A1787" s="5" t="s">
        <v>4494</v>
      </c>
      <c r="B1787" t="s">
        <v>5161</v>
      </c>
      <c r="C1787" t="s">
        <v>241</v>
      </c>
      <c r="D1787" t="s">
        <v>7089</v>
      </c>
      <c r="E1787">
        <v>20</v>
      </c>
      <c r="F1787" t="s">
        <v>5163</v>
      </c>
      <c r="G1787" t="s">
        <v>5164</v>
      </c>
    </row>
    <row r="1788" spans="1:7" hidden="1">
      <c r="A1788" s="5" t="s">
        <v>2479</v>
      </c>
      <c r="B1788" t="s">
        <v>5161</v>
      </c>
      <c r="C1788" t="s">
        <v>241</v>
      </c>
      <c r="D1788" t="s">
        <v>7090</v>
      </c>
      <c r="E1788">
        <v>20</v>
      </c>
      <c r="F1788" t="s">
        <v>5172</v>
      </c>
      <c r="G1788" t="s">
        <v>5164</v>
      </c>
    </row>
    <row r="1789" spans="1:7" hidden="1">
      <c r="A1789" s="5" t="s">
        <v>4245</v>
      </c>
      <c r="B1789" t="s">
        <v>5161</v>
      </c>
      <c r="C1789" t="s">
        <v>241</v>
      </c>
      <c r="D1789" t="s">
        <v>6468</v>
      </c>
      <c r="E1789">
        <v>18</v>
      </c>
      <c r="F1789" t="s">
        <v>5163</v>
      </c>
      <c r="G1789" t="s">
        <v>1905</v>
      </c>
    </row>
    <row r="1790" spans="1:7" hidden="1">
      <c r="A1790" s="5" t="s">
        <v>2450</v>
      </c>
      <c r="B1790" t="s">
        <v>5161</v>
      </c>
      <c r="C1790" t="s">
        <v>241</v>
      </c>
      <c r="D1790" t="s">
        <v>7091</v>
      </c>
      <c r="E1790">
        <v>34</v>
      </c>
      <c r="F1790" t="s">
        <v>5163</v>
      </c>
      <c r="G1790" t="s">
        <v>1905</v>
      </c>
    </row>
    <row r="1791" spans="1:7" hidden="1">
      <c r="A1791" s="5" t="s">
        <v>3609</v>
      </c>
      <c r="B1791" t="s">
        <v>5161</v>
      </c>
      <c r="C1791" t="s">
        <v>241</v>
      </c>
      <c r="D1791" t="s">
        <v>7092</v>
      </c>
      <c r="E1791">
        <v>26</v>
      </c>
      <c r="F1791" t="s">
        <v>5163</v>
      </c>
      <c r="G1791" t="s">
        <v>5164</v>
      </c>
    </row>
    <row r="1792" spans="1:7" hidden="1">
      <c r="A1792" s="5" t="s">
        <v>2915</v>
      </c>
      <c r="B1792" t="s">
        <v>5161</v>
      </c>
      <c r="C1792" t="s">
        <v>241</v>
      </c>
      <c r="D1792" t="s">
        <v>7093</v>
      </c>
      <c r="E1792">
        <v>26</v>
      </c>
      <c r="F1792" t="s">
        <v>5163</v>
      </c>
      <c r="G1792" t="s">
        <v>5164</v>
      </c>
    </row>
    <row r="1793" spans="1:7" hidden="1">
      <c r="A1793" s="5" t="s">
        <v>2572</v>
      </c>
      <c r="B1793" t="s">
        <v>5161</v>
      </c>
      <c r="C1793" t="s">
        <v>241</v>
      </c>
      <c r="D1793" t="s">
        <v>7094</v>
      </c>
      <c r="E1793">
        <v>32</v>
      </c>
      <c r="F1793" t="s">
        <v>5163</v>
      </c>
      <c r="G1793" t="s">
        <v>1905</v>
      </c>
    </row>
    <row r="1794" spans="1:7" hidden="1">
      <c r="A1794" s="5" t="s">
        <v>3484</v>
      </c>
      <c r="B1794" t="s">
        <v>5161</v>
      </c>
      <c r="C1794" t="s">
        <v>241</v>
      </c>
      <c r="D1794" t="s">
        <v>7095</v>
      </c>
      <c r="E1794">
        <v>23</v>
      </c>
      <c r="F1794" t="s">
        <v>5163</v>
      </c>
      <c r="G1794" t="s">
        <v>5164</v>
      </c>
    </row>
    <row r="1795" spans="1:7" hidden="1">
      <c r="A1795" s="5" t="s">
        <v>2297</v>
      </c>
      <c r="B1795" t="s">
        <v>5161</v>
      </c>
      <c r="C1795" t="s">
        <v>241</v>
      </c>
      <c r="D1795" t="s">
        <v>7096</v>
      </c>
      <c r="E1795">
        <v>46</v>
      </c>
      <c r="F1795" t="s">
        <v>5163</v>
      </c>
      <c r="G1795" t="s">
        <v>5169</v>
      </c>
    </row>
    <row r="1796" spans="1:7" hidden="1">
      <c r="A1796" s="5" t="s">
        <v>2297</v>
      </c>
      <c r="B1796" t="s">
        <v>5161</v>
      </c>
      <c r="C1796" t="s">
        <v>241</v>
      </c>
      <c r="D1796" t="s">
        <v>7097</v>
      </c>
      <c r="E1796">
        <v>25</v>
      </c>
      <c r="F1796" t="s">
        <v>5172</v>
      </c>
      <c r="G1796" t="s">
        <v>5169</v>
      </c>
    </row>
    <row r="1797" spans="1:7" hidden="1">
      <c r="A1797" s="5" t="s">
        <v>2656</v>
      </c>
      <c r="B1797" t="s">
        <v>5161</v>
      </c>
      <c r="C1797" t="s">
        <v>241</v>
      </c>
      <c r="D1797" t="s">
        <v>7098</v>
      </c>
      <c r="E1797">
        <v>28</v>
      </c>
      <c r="F1797" t="s">
        <v>5163</v>
      </c>
      <c r="G1797" t="s">
        <v>5164</v>
      </c>
    </row>
    <row r="1798" spans="1:7" hidden="1">
      <c r="A1798" s="5" t="s">
        <v>2656</v>
      </c>
      <c r="B1798" t="s">
        <v>5161</v>
      </c>
      <c r="C1798" t="s">
        <v>241</v>
      </c>
      <c r="D1798" t="s">
        <v>7099</v>
      </c>
      <c r="E1798">
        <v>25</v>
      </c>
      <c r="F1798" t="s">
        <v>5163</v>
      </c>
      <c r="G1798" t="s">
        <v>5169</v>
      </c>
    </row>
    <row r="1799" spans="1:7" hidden="1">
      <c r="A1799" s="5" t="s">
        <v>2656</v>
      </c>
      <c r="B1799" t="s">
        <v>5161</v>
      </c>
      <c r="C1799" t="s">
        <v>241</v>
      </c>
      <c r="D1799" t="s">
        <v>7100</v>
      </c>
      <c r="E1799">
        <v>21</v>
      </c>
      <c r="F1799" t="s">
        <v>5163</v>
      </c>
      <c r="G1799" t="s">
        <v>5164</v>
      </c>
    </row>
    <row r="1800" spans="1:7" hidden="1">
      <c r="A1800" s="5" t="s">
        <v>2947</v>
      </c>
      <c r="B1800" t="s">
        <v>5161</v>
      </c>
      <c r="C1800" t="s">
        <v>241</v>
      </c>
      <c r="D1800" t="s">
        <v>7101</v>
      </c>
      <c r="E1800">
        <v>22</v>
      </c>
      <c r="F1800" t="s">
        <v>5163</v>
      </c>
      <c r="G1800" t="s">
        <v>5164</v>
      </c>
    </row>
    <row r="1801" spans="1:7" hidden="1">
      <c r="A1801" s="5" t="s">
        <v>3444</v>
      </c>
      <c r="B1801" t="s">
        <v>5161</v>
      </c>
      <c r="C1801" t="s">
        <v>241</v>
      </c>
      <c r="D1801" t="s">
        <v>7102</v>
      </c>
      <c r="E1801">
        <v>19</v>
      </c>
      <c r="F1801" t="s">
        <v>5163</v>
      </c>
      <c r="G1801" t="s">
        <v>5164</v>
      </c>
    </row>
    <row r="1802" spans="1:7" hidden="1">
      <c r="A1802" s="5" t="s">
        <v>2898</v>
      </c>
      <c r="B1802" t="s">
        <v>5161</v>
      </c>
      <c r="C1802" t="s">
        <v>241</v>
      </c>
      <c r="D1802" t="s">
        <v>7103</v>
      </c>
      <c r="E1802">
        <v>52</v>
      </c>
      <c r="F1802" t="s">
        <v>5172</v>
      </c>
      <c r="G1802" t="s">
        <v>5164</v>
      </c>
    </row>
    <row r="1803" spans="1:7" hidden="1">
      <c r="A1803" s="5" t="s">
        <v>2898</v>
      </c>
      <c r="B1803" t="s">
        <v>5161</v>
      </c>
      <c r="C1803" t="s">
        <v>241</v>
      </c>
      <c r="D1803" t="s">
        <v>7104</v>
      </c>
      <c r="E1803">
        <v>20</v>
      </c>
      <c r="F1803" t="s">
        <v>5163</v>
      </c>
      <c r="G1803" t="s">
        <v>5164</v>
      </c>
    </row>
    <row r="1804" spans="1:7" hidden="1">
      <c r="A1804" s="5" t="s">
        <v>2818</v>
      </c>
      <c r="B1804" t="s">
        <v>5161</v>
      </c>
      <c r="C1804" t="s">
        <v>241</v>
      </c>
      <c r="D1804" t="s">
        <v>7105</v>
      </c>
      <c r="E1804">
        <v>23</v>
      </c>
      <c r="F1804" t="s">
        <v>5163</v>
      </c>
      <c r="G1804" t="s">
        <v>1905</v>
      </c>
    </row>
    <row r="1805" spans="1:7" hidden="1">
      <c r="A1805" s="5" t="s">
        <v>237</v>
      </c>
      <c r="B1805" t="s">
        <v>5161</v>
      </c>
      <c r="C1805" t="s">
        <v>241</v>
      </c>
      <c r="D1805" t="s">
        <v>697</v>
      </c>
      <c r="E1805">
        <v>21</v>
      </c>
      <c r="F1805" t="s">
        <v>5163</v>
      </c>
      <c r="G1805" t="s">
        <v>1905</v>
      </c>
    </row>
    <row r="1806" spans="1:7" hidden="1">
      <c r="A1806" s="5" t="s">
        <v>2262</v>
      </c>
      <c r="B1806" t="s">
        <v>5161</v>
      </c>
      <c r="C1806" t="s">
        <v>241</v>
      </c>
      <c r="D1806" t="s">
        <v>7106</v>
      </c>
      <c r="E1806">
        <v>29</v>
      </c>
      <c r="F1806" t="s">
        <v>5163</v>
      </c>
      <c r="G1806" t="s">
        <v>1905</v>
      </c>
    </row>
    <row r="1807" spans="1:7" hidden="1">
      <c r="A1807" s="5" t="s">
        <v>2507</v>
      </c>
      <c r="B1807" t="s">
        <v>5161</v>
      </c>
      <c r="C1807" t="s">
        <v>241</v>
      </c>
      <c r="D1807" t="s">
        <v>7107</v>
      </c>
      <c r="E1807">
        <v>29</v>
      </c>
      <c r="F1807" t="s">
        <v>5163</v>
      </c>
      <c r="G1807" t="s">
        <v>5169</v>
      </c>
    </row>
    <row r="1808" spans="1:7" hidden="1">
      <c r="A1808" s="5" t="s">
        <v>2507</v>
      </c>
      <c r="B1808" t="s">
        <v>5161</v>
      </c>
      <c r="C1808" t="s">
        <v>241</v>
      </c>
      <c r="D1808" t="s">
        <v>928</v>
      </c>
      <c r="E1808">
        <v>22</v>
      </c>
      <c r="F1808" t="s">
        <v>5163</v>
      </c>
      <c r="G1808" t="s">
        <v>1905</v>
      </c>
    </row>
    <row r="1809" spans="1:7" hidden="1">
      <c r="A1809" s="5" t="s">
        <v>233</v>
      </c>
      <c r="B1809" t="s">
        <v>5161</v>
      </c>
      <c r="C1809" t="s">
        <v>241</v>
      </c>
      <c r="D1809" t="s">
        <v>692</v>
      </c>
      <c r="E1809">
        <v>21</v>
      </c>
      <c r="F1809" t="s">
        <v>5163</v>
      </c>
      <c r="G1809" t="s">
        <v>5182</v>
      </c>
    </row>
    <row r="1810" spans="1:7" hidden="1">
      <c r="A1810" s="5" t="s">
        <v>2573</v>
      </c>
      <c r="B1810" t="s">
        <v>5161</v>
      </c>
      <c r="C1810" t="s">
        <v>241</v>
      </c>
      <c r="D1810" t="s">
        <v>7108</v>
      </c>
      <c r="E1810">
        <v>20</v>
      </c>
      <c r="F1810" t="s">
        <v>5163</v>
      </c>
      <c r="G1810" t="s">
        <v>5164</v>
      </c>
    </row>
    <row r="1811" spans="1:7" hidden="1">
      <c r="A1811" s="5" t="s">
        <v>2495</v>
      </c>
      <c r="B1811" t="s">
        <v>5161</v>
      </c>
      <c r="C1811" t="s">
        <v>241</v>
      </c>
      <c r="D1811" t="s">
        <v>7109</v>
      </c>
      <c r="E1811">
        <v>21</v>
      </c>
      <c r="F1811" t="s">
        <v>5163</v>
      </c>
      <c r="G1811" t="s">
        <v>1905</v>
      </c>
    </row>
    <row r="1812" spans="1:7" hidden="1">
      <c r="A1812" s="5" t="s">
        <v>3485</v>
      </c>
      <c r="B1812" t="s">
        <v>5161</v>
      </c>
      <c r="C1812" t="s">
        <v>241</v>
      </c>
      <c r="D1812" t="s">
        <v>7110</v>
      </c>
      <c r="E1812">
        <v>35</v>
      </c>
      <c r="F1812" t="s">
        <v>5163</v>
      </c>
      <c r="G1812" t="s">
        <v>5164</v>
      </c>
    </row>
    <row r="1813" spans="1:7" hidden="1">
      <c r="A1813" s="5" t="s">
        <v>2213</v>
      </c>
      <c r="B1813" t="s">
        <v>5161</v>
      </c>
      <c r="C1813" t="s">
        <v>241</v>
      </c>
      <c r="D1813" t="s">
        <v>6043</v>
      </c>
      <c r="E1813">
        <v>32</v>
      </c>
      <c r="F1813" t="s">
        <v>5172</v>
      </c>
      <c r="G1813" t="s">
        <v>5164</v>
      </c>
    </row>
    <row r="1814" spans="1:7" hidden="1">
      <c r="A1814" s="5" t="s">
        <v>2183</v>
      </c>
      <c r="B1814" t="s">
        <v>5161</v>
      </c>
      <c r="C1814" t="s">
        <v>241</v>
      </c>
      <c r="D1814" t="s">
        <v>7111</v>
      </c>
      <c r="E1814">
        <v>35</v>
      </c>
      <c r="F1814" t="s">
        <v>5163</v>
      </c>
      <c r="G1814" t="s">
        <v>1905</v>
      </c>
    </row>
    <row r="1815" spans="1:7" hidden="1">
      <c r="A1815" s="5" t="s">
        <v>4534</v>
      </c>
      <c r="B1815" t="s">
        <v>5161</v>
      </c>
      <c r="C1815" t="s">
        <v>241</v>
      </c>
      <c r="D1815" t="s">
        <v>7112</v>
      </c>
      <c r="E1815">
        <v>30</v>
      </c>
      <c r="F1815" t="s">
        <v>5163</v>
      </c>
      <c r="G1815" t="s">
        <v>1905</v>
      </c>
    </row>
    <row r="1816" spans="1:7" hidden="1">
      <c r="A1816" s="5" t="s">
        <v>4534</v>
      </c>
      <c r="B1816" t="s">
        <v>5161</v>
      </c>
      <c r="C1816" t="s">
        <v>241</v>
      </c>
      <c r="D1816" t="s">
        <v>7113</v>
      </c>
      <c r="E1816">
        <v>37</v>
      </c>
      <c r="F1816" t="s">
        <v>5163</v>
      </c>
      <c r="G1816" t="s">
        <v>1905</v>
      </c>
    </row>
    <row r="1817" spans="1:7" hidden="1">
      <c r="A1817" s="5" t="s">
        <v>4534</v>
      </c>
      <c r="B1817" t="s">
        <v>5161</v>
      </c>
      <c r="C1817" t="s">
        <v>241</v>
      </c>
      <c r="D1817" t="s">
        <v>7114</v>
      </c>
      <c r="E1817">
        <v>58</v>
      </c>
      <c r="F1817" t="s">
        <v>5163</v>
      </c>
      <c r="G1817" t="s">
        <v>1905</v>
      </c>
    </row>
    <row r="1818" spans="1:7" hidden="1">
      <c r="A1818" s="5" t="s">
        <v>4976</v>
      </c>
      <c r="B1818" t="s">
        <v>5161</v>
      </c>
      <c r="C1818" t="s">
        <v>241</v>
      </c>
      <c r="D1818" t="s">
        <v>7115</v>
      </c>
      <c r="E1818">
        <v>18</v>
      </c>
      <c r="F1818" t="s">
        <v>5163</v>
      </c>
      <c r="G1818" t="s">
        <v>1905</v>
      </c>
    </row>
    <row r="1819" spans="1:7" hidden="1">
      <c r="A1819" s="5" t="s">
        <v>4848</v>
      </c>
      <c r="B1819" t="s">
        <v>5161</v>
      </c>
      <c r="C1819" t="s">
        <v>241</v>
      </c>
      <c r="D1819" t="s">
        <v>7116</v>
      </c>
      <c r="E1819">
        <v>18</v>
      </c>
      <c r="F1819" t="s">
        <v>5163</v>
      </c>
      <c r="G1819" t="s">
        <v>5164</v>
      </c>
    </row>
    <row r="1820" spans="1:7" hidden="1">
      <c r="A1820" s="5" t="s">
        <v>2402</v>
      </c>
      <c r="B1820" t="s">
        <v>5161</v>
      </c>
      <c r="C1820" t="s">
        <v>241</v>
      </c>
      <c r="D1820" t="s">
        <v>7117</v>
      </c>
      <c r="E1820">
        <v>22</v>
      </c>
      <c r="F1820" t="s">
        <v>5163</v>
      </c>
      <c r="G1820" t="s">
        <v>5164</v>
      </c>
    </row>
    <row r="1821" spans="1:7" hidden="1">
      <c r="A1821" s="5" t="s">
        <v>3910</v>
      </c>
      <c r="B1821" t="s">
        <v>5161</v>
      </c>
      <c r="C1821" t="s">
        <v>241</v>
      </c>
      <c r="D1821" t="s">
        <v>7118</v>
      </c>
      <c r="E1821">
        <v>27</v>
      </c>
      <c r="F1821" t="s">
        <v>5163</v>
      </c>
      <c r="G1821" t="s">
        <v>6496</v>
      </c>
    </row>
    <row r="1822" spans="1:7" hidden="1">
      <c r="A1822" s="5" t="s">
        <v>3910</v>
      </c>
      <c r="B1822" t="s">
        <v>5161</v>
      </c>
      <c r="C1822" t="s">
        <v>241</v>
      </c>
      <c r="D1822" t="s">
        <v>7119</v>
      </c>
      <c r="E1822">
        <v>19</v>
      </c>
      <c r="F1822" t="s">
        <v>5163</v>
      </c>
      <c r="G1822" t="s">
        <v>5164</v>
      </c>
    </row>
    <row r="1823" spans="1:7" hidden="1">
      <c r="A1823" s="5" t="s">
        <v>4881</v>
      </c>
      <c r="B1823" t="s">
        <v>5161</v>
      </c>
      <c r="C1823" t="s">
        <v>241</v>
      </c>
      <c r="D1823" t="s">
        <v>7120</v>
      </c>
      <c r="E1823">
        <v>63</v>
      </c>
      <c r="F1823" t="s">
        <v>5163</v>
      </c>
      <c r="G1823" t="s">
        <v>1905</v>
      </c>
    </row>
    <row r="1824" spans="1:7" hidden="1">
      <c r="A1824" s="5" t="s">
        <v>4881</v>
      </c>
      <c r="B1824" t="s">
        <v>5161</v>
      </c>
      <c r="C1824" t="s">
        <v>241</v>
      </c>
      <c r="D1824" t="s">
        <v>7121</v>
      </c>
      <c r="E1824">
        <v>19</v>
      </c>
      <c r="F1824" t="s">
        <v>5163</v>
      </c>
      <c r="G1824" t="s">
        <v>1905</v>
      </c>
    </row>
    <row r="1825" spans="1:7" hidden="1">
      <c r="A1825" s="5" t="s">
        <v>5022</v>
      </c>
      <c r="B1825" t="s">
        <v>5161</v>
      </c>
      <c r="C1825" t="s">
        <v>241</v>
      </c>
      <c r="D1825" t="s">
        <v>7122</v>
      </c>
      <c r="E1825">
        <v>22</v>
      </c>
      <c r="F1825" t="s">
        <v>5163</v>
      </c>
      <c r="G1825" t="s">
        <v>5164</v>
      </c>
    </row>
    <row r="1826" spans="1:7" hidden="1">
      <c r="A1826" s="5" t="s">
        <v>4602</v>
      </c>
      <c r="B1826" t="s">
        <v>5161</v>
      </c>
      <c r="C1826" t="s">
        <v>241</v>
      </c>
      <c r="D1826" t="s">
        <v>7123</v>
      </c>
      <c r="E1826">
        <v>21</v>
      </c>
      <c r="F1826" t="s">
        <v>5163</v>
      </c>
      <c r="G1826" t="s">
        <v>5164</v>
      </c>
    </row>
    <row r="1827" spans="1:7" hidden="1">
      <c r="A1827" s="5" t="s">
        <v>4602</v>
      </c>
      <c r="B1827" t="s">
        <v>5161</v>
      </c>
      <c r="C1827" t="s">
        <v>241</v>
      </c>
      <c r="D1827" t="s">
        <v>7124</v>
      </c>
      <c r="E1827">
        <v>30</v>
      </c>
      <c r="F1827" t="s">
        <v>5163</v>
      </c>
      <c r="G1827" t="s">
        <v>1905</v>
      </c>
    </row>
    <row r="1828" spans="1:7" hidden="1">
      <c r="A1828" s="5" t="s">
        <v>2212</v>
      </c>
      <c r="B1828" t="s">
        <v>5161</v>
      </c>
      <c r="C1828" t="s">
        <v>241</v>
      </c>
      <c r="D1828" t="s">
        <v>7125</v>
      </c>
      <c r="E1828">
        <v>22</v>
      </c>
      <c r="F1828" t="s">
        <v>5163</v>
      </c>
      <c r="G1828" t="s">
        <v>5164</v>
      </c>
    </row>
    <row r="1829" spans="1:7" hidden="1">
      <c r="A1829" s="5" t="s">
        <v>4893</v>
      </c>
      <c r="B1829" t="s">
        <v>5161</v>
      </c>
      <c r="C1829" t="s">
        <v>241</v>
      </c>
      <c r="D1829" t="s">
        <v>7126</v>
      </c>
      <c r="E1829">
        <v>21</v>
      </c>
      <c r="F1829" t="s">
        <v>5163</v>
      </c>
      <c r="G1829" t="s">
        <v>5164</v>
      </c>
    </row>
    <row r="1830" spans="1:7" hidden="1">
      <c r="A1830" s="5" t="s">
        <v>4987</v>
      </c>
      <c r="B1830" t="s">
        <v>5161</v>
      </c>
      <c r="C1830" t="s">
        <v>241</v>
      </c>
      <c r="D1830" t="s">
        <v>6340</v>
      </c>
      <c r="E1830">
        <v>27</v>
      </c>
      <c r="F1830" t="s">
        <v>5163</v>
      </c>
      <c r="G1830" t="s">
        <v>1905</v>
      </c>
    </row>
    <row r="1831" spans="1:7" hidden="1">
      <c r="A1831" s="5" t="s">
        <v>2156</v>
      </c>
      <c r="B1831" t="s">
        <v>5161</v>
      </c>
      <c r="C1831" t="s">
        <v>241</v>
      </c>
      <c r="D1831" t="s">
        <v>7127</v>
      </c>
      <c r="E1831">
        <v>34</v>
      </c>
      <c r="F1831" t="s">
        <v>5163</v>
      </c>
      <c r="G1831" t="s">
        <v>5164</v>
      </c>
    </row>
    <row r="1832" spans="1:7" hidden="1">
      <c r="A1832" s="5" t="s">
        <v>5141</v>
      </c>
      <c r="B1832" t="s">
        <v>5161</v>
      </c>
      <c r="C1832" t="s">
        <v>241</v>
      </c>
      <c r="D1832" t="s">
        <v>7128</v>
      </c>
      <c r="E1832">
        <v>40</v>
      </c>
      <c r="F1832" t="s">
        <v>5163</v>
      </c>
      <c r="G1832" t="s">
        <v>5169</v>
      </c>
    </row>
    <row r="1833" spans="1:7" hidden="1">
      <c r="A1833" s="5" t="s">
        <v>4901</v>
      </c>
      <c r="B1833" t="s">
        <v>5161</v>
      </c>
      <c r="C1833" t="s">
        <v>241</v>
      </c>
      <c r="D1833" t="s">
        <v>7129</v>
      </c>
      <c r="E1833">
        <v>24</v>
      </c>
      <c r="F1833" t="s">
        <v>5163</v>
      </c>
      <c r="G1833" t="s">
        <v>5169</v>
      </c>
    </row>
    <row r="1834" spans="1:7" hidden="1">
      <c r="A1834" s="5" t="s">
        <v>4975</v>
      </c>
      <c r="B1834" t="s">
        <v>5161</v>
      </c>
      <c r="C1834" t="s">
        <v>241</v>
      </c>
      <c r="D1834" t="s">
        <v>7130</v>
      </c>
      <c r="E1834">
        <v>28</v>
      </c>
      <c r="F1834" t="s">
        <v>5163</v>
      </c>
      <c r="G1834" t="s">
        <v>5164</v>
      </c>
    </row>
    <row r="1835" spans="1:7" hidden="1">
      <c r="A1835" s="5" t="s">
        <v>4986</v>
      </c>
      <c r="B1835" t="s">
        <v>5161</v>
      </c>
      <c r="C1835" t="s">
        <v>241</v>
      </c>
      <c r="D1835" t="s">
        <v>7131</v>
      </c>
      <c r="E1835">
        <v>35</v>
      </c>
      <c r="F1835" t="s">
        <v>5163</v>
      </c>
      <c r="G1835" t="s">
        <v>1905</v>
      </c>
    </row>
    <row r="1836" spans="1:7" hidden="1">
      <c r="A1836" s="5" t="s">
        <v>4896</v>
      </c>
      <c r="B1836" t="s">
        <v>5161</v>
      </c>
      <c r="C1836" t="s">
        <v>241</v>
      </c>
      <c r="D1836" t="s">
        <v>7132</v>
      </c>
      <c r="E1836">
        <v>30</v>
      </c>
      <c r="F1836" t="s">
        <v>5163</v>
      </c>
      <c r="G1836" t="s">
        <v>1905</v>
      </c>
    </row>
    <row r="1837" spans="1:7" hidden="1">
      <c r="A1837" s="5" t="s">
        <v>4059</v>
      </c>
      <c r="B1837" t="s">
        <v>5161</v>
      </c>
      <c r="C1837" t="s">
        <v>241</v>
      </c>
      <c r="D1837" t="s">
        <v>7133</v>
      </c>
      <c r="E1837">
        <v>23</v>
      </c>
      <c r="F1837" t="s">
        <v>5163</v>
      </c>
      <c r="G1837" t="s">
        <v>5169</v>
      </c>
    </row>
    <row r="1838" spans="1:7" hidden="1">
      <c r="A1838" s="5" t="s">
        <v>4651</v>
      </c>
      <c r="B1838" t="s">
        <v>5161</v>
      </c>
      <c r="C1838" t="s">
        <v>241</v>
      </c>
      <c r="D1838" t="s">
        <v>7134</v>
      </c>
      <c r="E1838">
        <v>43</v>
      </c>
      <c r="F1838" t="s">
        <v>5163</v>
      </c>
      <c r="G1838" t="s">
        <v>1905</v>
      </c>
    </row>
    <row r="1839" spans="1:7" hidden="1">
      <c r="A1839" s="5" t="s">
        <v>4651</v>
      </c>
      <c r="B1839" t="s">
        <v>5161</v>
      </c>
      <c r="C1839" t="s">
        <v>241</v>
      </c>
      <c r="D1839" t="s">
        <v>7135</v>
      </c>
      <c r="E1839">
        <v>38</v>
      </c>
      <c r="F1839" t="s">
        <v>5163</v>
      </c>
      <c r="G1839" t="s">
        <v>1905</v>
      </c>
    </row>
    <row r="1840" spans="1:7" hidden="1">
      <c r="A1840" s="5" t="s">
        <v>7136</v>
      </c>
      <c r="B1840" t="s">
        <v>5161</v>
      </c>
      <c r="C1840" t="s">
        <v>241</v>
      </c>
      <c r="D1840" t="s">
        <v>7137</v>
      </c>
      <c r="E1840">
        <v>41</v>
      </c>
      <c r="F1840" t="s">
        <v>5172</v>
      </c>
      <c r="G1840" t="s">
        <v>1905</v>
      </c>
    </row>
    <row r="1841" spans="1:7" hidden="1">
      <c r="A1841" s="5" t="s">
        <v>226</v>
      </c>
      <c r="B1841" t="s">
        <v>5161</v>
      </c>
      <c r="C1841" t="s">
        <v>241</v>
      </c>
      <c r="D1841" t="s">
        <v>678</v>
      </c>
      <c r="E1841">
        <v>51</v>
      </c>
      <c r="F1841" t="s">
        <v>5172</v>
      </c>
      <c r="G1841" t="s">
        <v>5164</v>
      </c>
    </row>
    <row r="1842" spans="1:7" hidden="1">
      <c r="A1842" s="5" t="s">
        <v>4592</v>
      </c>
      <c r="B1842" t="s">
        <v>5161</v>
      </c>
      <c r="C1842" t="s">
        <v>241</v>
      </c>
      <c r="D1842" t="s">
        <v>7138</v>
      </c>
      <c r="E1842">
        <v>29</v>
      </c>
      <c r="F1842" t="s">
        <v>5163</v>
      </c>
      <c r="G1842" t="s">
        <v>5164</v>
      </c>
    </row>
    <row r="1843" spans="1:7" hidden="1">
      <c r="A1843" s="5" t="s">
        <v>4592</v>
      </c>
      <c r="B1843" t="s">
        <v>5161</v>
      </c>
      <c r="C1843" t="s">
        <v>241</v>
      </c>
      <c r="D1843" t="s">
        <v>7139</v>
      </c>
      <c r="E1843">
        <v>24</v>
      </c>
      <c r="F1843" t="s">
        <v>5163</v>
      </c>
      <c r="G1843" t="s">
        <v>1905</v>
      </c>
    </row>
    <row r="1844" spans="1:7" hidden="1">
      <c r="A1844" s="5" t="s">
        <v>3897</v>
      </c>
      <c r="B1844" t="s">
        <v>5161</v>
      </c>
      <c r="C1844" t="s">
        <v>241</v>
      </c>
      <c r="D1844" t="s">
        <v>7140</v>
      </c>
      <c r="E1844">
        <v>32</v>
      </c>
      <c r="F1844" t="s">
        <v>5163</v>
      </c>
      <c r="G1844" t="s">
        <v>5164</v>
      </c>
    </row>
    <row r="1845" spans="1:7" hidden="1">
      <c r="A1845" s="5" t="s">
        <v>2294</v>
      </c>
      <c r="B1845" t="s">
        <v>5161</v>
      </c>
      <c r="C1845" t="s">
        <v>241</v>
      </c>
      <c r="D1845" t="s">
        <v>7141</v>
      </c>
      <c r="E1845">
        <v>39</v>
      </c>
      <c r="F1845" t="s">
        <v>5163</v>
      </c>
      <c r="G1845" t="s">
        <v>5164</v>
      </c>
    </row>
    <row r="1846" spans="1:7" hidden="1">
      <c r="A1846" s="5" t="s">
        <v>4222</v>
      </c>
      <c r="B1846" t="s">
        <v>5161</v>
      </c>
      <c r="C1846" t="s">
        <v>241</v>
      </c>
      <c r="D1846" t="s">
        <v>7142</v>
      </c>
      <c r="E1846">
        <v>31</v>
      </c>
      <c r="F1846" t="s">
        <v>5163</v>
      </c>
      <c r="G1846" t="s">
        <v>5164</v>
      </c>
    </row>
    <row r="1847" spans="1:7" hidden="1">
      <c r="A1847" s="5" t="s">
        <v>4011</v>
      </c>
      <c r="B1847" t="s">
        <v>5161</v>
      </c>
      <c r="C1847" t="s">
        <v>251</v>
      </c>
      <c r="D1847" t="s">
        <v>7143</v>
      </c>
      <c r="E1847">
        <v>18</v>
      </c>
      <c r="F1847" t="s">
        <v>5172</v>
      </c>
      <c r="G1847" t="s">
        <v>5164</v>
      </c>
    </row>
    <row r="1848" spans="1:7" hidden="1">
      <c r="A1848" s="5" t="s">
        <v>4011</v>
      </c>
      <c r="B1848" t="s">
        <v>5161</v>
      </c>
      <c r="C1848" t="s">
        <v>251</v>
      </c>
      <c r="D1848" t="s">
        <v>7144</v>
      </c>
      <c r="E1848">
        <v>32</v>
      </c>
      <c r="F1848" t="s">
        <v>5172</v>
      </c>
      <c r="G1848" t="s">
        <v>5164</v>
      </c>
    </row>
    <row r="1849" spans="1:7" hidden="1">
      <c r="A1849" s="5" t="s">
        <v>2547</v>
      </c>
      <c r="B1849" t="s">
        <v>5161</v>
      </c>
      <c r="C1849" t="s">
        <v>251</v>
      </c>
      <c r="D1849" t="s">
        <v>7145</v>
      </c>
      <c r="E1849">
        <v>26</v>
      </c>
      <c r="F1849" t="s">
        <v>5163</v>
      </c>
      <c r="G1849" t="s">
        <v>1905</v>
      </c>
    </row>
    <row r="1850" spans="1:7" hidden="1">
      <c r="A1850" s="5" t="s">
        <v>3995</v>
      </c>
      <c r="B1850" t="s">
        <v>5161</v>
      </c>
      <c r="C1850" t="s">
        <v>251</v>
      </c>
      <c r="D1850" t="s">
        <v>7146</v>
      </c>
      <c r="E1850">
        <v>58</v>
      </c>
      <c r="F1850" t="s">
        <v>5163</v>
      </c>
      <c r="G1850" t="s">
        <v>5164</v>
      </c>
    </row>
    <row r="1851" spans="1:7" hidden="1">
      <c r="A1851" s="5" t="s">
        <v>4071</v>
      </c>
      <c r="B1851" t="s">
        <v>5161</v>
      </c>
      <c r="C1851" t="s">
        <v>251</v>
      </c>
      <c r="D1851" t="s">
        <v>7147</v>
      </c>
      <c r="E1851">
        <v>20</v>
      </c>
      <c r="F1851" t="s">
        <v>5163</v>
      </c>
      <c r="G1851" t="s">
        <v>5164</v>
      </c>
    </row>
    <row r="1852" spans="1:7" hidden="1">
      <c r="A1852" s="5" t="s">
        <v>4173</v>
      </c>
      <c r="B1852" t="s">
        <v>5161</v>
      </c>
      <c r="C1852" t="s">
        <v>251</v>
      </c>
      <c r="D1852" t="s">
        <v>7148</v>
      </c>
      <c r="E1852">
        <v>26</v>
      </c>
      <c r="F1852" t="s">
        <v>5163</v>
      </c>
      <c r="G1852" t="s">
        <v>5164</v>
      </c>
    </row>
    <row r="1853" spans="1:7" hidden="1">
      <c r="A1853" s="5" t="s">
        <v>245</v>
      </c>
      <c r="B1853" t="s">
        <v>5161</v>
      </c>
      <c r="C1853" t="s">
        <v>251</v>
      </c>
      <c r="D1853" t="s">
        <v>711</v>
      </c>
      <c r="E1853">
        <v>19</v>
      </c>
      <c r="F1853" t="s">
        <v>5163</v>
      </c>
      <c r="G1853" t="s">
        <v>1905</v>
      </c>
    </row>
    <row r="1854" spans="1:7" hidden="1">
      <c r="A1854" s="5" t="s">
        <v>3356</v>
      </c>
      <c r="B1854" t="s">
        <v>5161</v>
      </c>
      <c r="C1854" t="s">
        <v>251</v>
      </c>
      <c r="D1854" t="s">
        <v>7149</v>
      </c>
      <c r="E1854">
        <v>26</v>
      </c>
      <c r="F1854" t="s">
        <v>5163</v>
      </c>
      <c r="G1854" t="s">
        <v>5164</v>
      </c>
    </row>
    <row r="1855" spans="1:7" hidden="1">
      <c r="A1855" s="5" t="s">
        <v>3725</v>
      </c>
      <c r="B1855" t="s">
        <v>5161</v>
      </c>
      <c r="C1855" t="s">
        <v>251</v>
      </c>
      <c r="D1855" t="s">
        <v>7150</v>
      </c>
      <c r="E1855">
        <v>38</v>
      </c>
      <c r="F1855" t="s">
        <v>5163</v>
      </c>
      <c r="G1855" t="s">
        <v>5164</v>
      </c>
    </row>
    <row r="1856" spans="1:7" hidden="1">
      <c r="A1856" s="5" t="s">
        <v>3608</v>
      </c>
      <c r="B1856" t="s">
        <v>5161</v>
      </c>
      <c r="C1856" t="s">
        <v>251</v>
      </c>
      <c r="D1856" t="s">
        <v>7151</v>
      </c>
      <c r="E1856">
        <v>28</v>
      </c>
      <c r="F1856" t="s">
        <v>5172</v>
      </c>
      <c r="G1856" t="s">
        <v>5164</v>
      </c>
    </row>
    <row r="1857" spans="1:7" hidden="1">
      <c r="A1857" s="5" t="s">
        <v>3595</v>
      </c>
      <c r="B1857" t="s">
        <v>5161</v>
      </c>
      <c r="C1857" t="s">
        <v>251</v>
      </c>
      <c r="D1857" t="s">
        <v>7152</v>
      </c>
      <c r="E1857">
        <v>-79</v>
      </c>
      <c r="F1857" t="s">
        <v>5163</v>
      </c>
      <c r="G1857" t="s">
        <v>5169</v>
      </c>
    </row>
    <row r="1858" spans="1:7" hidden="1">
      <c r="A1858" s="5" t="s">
        <v>3554</v>
      </c>
      <c r="B1858" t="s">
        <v>5161</v>
      </c>
      <c r="C1858" t="s">
        <v>251</v>
      </c>
      <c r="D1858" t="s">
        <v>7153</v>
      </c>
      <c r="E1858">
        <v>23</v>
      </c>
      <c r="F1858" t="s">
        <v>5163</v>
      </c>
      <c r="G1858" t="s">
        <v>5164</v>
      </c>
    </row>
    <row r="1859" spans="1:7" hidden="1">
      <c r="A1859" s="5" t="s">
        <v>3555</v>
      </c>
      <c r="B1859" t="s">
        <v>5161</v>
      </c>
      <c r="C1859" t="s">
        <v>251</v>
      </c>
      <c r="D1859" t="s">
        <v>7154</v>
      </c>
      <c r="E1859">
        <v>20</v>
      </c>
      <c r="F1859" t="s">
        <v>5163</v>
      </c>
      <c r="G1859" t="s">
        <v>5164</v>
      </c>
    </row>
    <row r="1860" spans="1:7" hidden="1">
      <c r="A1860" s="5" t="s">
        <v>2431</v>
      </c>
      <c r="B1860" t="s">
        <v>5161</v>
      </c>
      <c r="C1860" t="s">
        <v>251</v>
      </c>
      <c r="D1860" t="s">
        <v>7155</v>
      </c>
      <c r="E1860">
        <v>19</v>
      </c>
      <c r="F1860" t="s">
        <v>5163</v>
      </c>
      <c r="G1860" t="s">
        <v>5164</v>
      </c>
    </row>
    <row r="1861" spans="1:7" hidden="1">
      <c r="A1861" s="5" t="s">
        <v>3048</v>
      </c>
      <c r="B1861" t="s">
        <v>5161</v>
      </c>
      <c r="C1861" t="s">
        <v>251</v>
      </c>
      <c r="D1861" t="s">
        <v>7156</v>
      </c>
      <c r="E1861">
        <v>40</v>
      </c>
      <c r="F1861" t="s">
        <v>5172</v>
      </c>
      <c r="G1861" t="s">
        <v>1905</v>
      </c>
    </row>
    <row r="1862" spans="1:7" hidden="1">
      <c r="A1862" s="5" t="s">
        <v>244</v>
      </c>
      <c r="B1862" t="s">
        <v>5161</v>
      </c>
      <c r="C1862" t="s">
        <v>251</v>
      </c>
      <c r="D1862" t="s">
        <v>710</v>
      </c>
      <c r="E1862">
        <v>25</v>
      </c>
      <c r="F1862" t="s">
        <v>5163</v>
      </c>
      <c r="G1862" t="s">
        <v>5164</v>
      </c>
    </row>
    <row r="1863" spans="1:7" hidden="1">
      <c r="A1863" s="5" t="s">
        <v>2942</v>
      </c>
      <c r="B1863" t="s">
        <v>5161</v>
      </c>
      <c r="C1863" t="s">
        <v>251</v>
      </c>
      <c r="D1863" t="s">
        <v>7157</v>
      </c>
      <c r="E1863">
        <v>20</v>
      </c>
      <c r="F1863" t="s">
        <v>5163</v>
      </c>
      <c r="G1863" t="s">
        <v>1905</v>
      </c>
    </row>
    <row r="1864" spans="1:7" hidden="1">
      <c r="A1864" s="5" t="s">
        <v>3866</v>
      </c>
      <c r="B1864" t="s">
        <v>5161</v>
      </c>
      <c r="C1864" t="s">
        <v>251</v>
      </c>
      <c r="D1864" t="s">
        <v>7158</v>
      </c>
      <c r="E1864">
        <v>21</v>
      </c>
      <c r="F1864" t="s">
        <v>5163</v>
      </c>
      <c r="G1864" t="s">
        <v>5164</v>
      </c>
    </row>
    <row r="1865" spans="1:7" hidden="1">
      <c r="A1865" s="5" t="s">
        <v>3182</v>
      </c>
      <c r="B1865" t="s">
        <v>5161</v>
      </c>
      <c r="C1865" t="s">
        <v>251</v>
      </c>
      <c r="D1865" t="s">
        <v>7159</v>
      </c>
      <c r="E1865">
        <v>26</v>
      </c>
      <c r="F1865" t="s">
        <v>5163</v>
      </c>
      <c r="G1865" t="s">
        <v>5164</v>
      </c>
    </row>
    <row r="1866" spans="1:7" hidden="1">
      <c r="A1866" s="5" t="s">
        <v>2702</v>
      </c>
      <c r="B1866" t="s">
        <v>5161</v>
      </c>
      <c r="C1866" t="s">
        <v>251</v>
      </c>
      <c r="D1866" t="s">
        <v>7160</v>
      </c>
      <c r="E1866">
        <v>22</v>
      </c>
      <c r="F1866" t="s">
        <v>5163</v>
      </c>
      <c r="G1866" t="s">
        <v>1905</v>
      </c>
    </row>
    <row r="1867" spans="1:7" hidden="1">
      <c r="A1867" s="5" t="s">
        <v>2939</v>
      </c>
      <c r="B1867" t="s">
        <v>5161</v>
      </c>
      <c r="C1867" t="s">
        <v>251</v>
      </c>
      <c r="D1867" t="s">
        <v>7161</v>
      </c>
      <c r="E1867">
        <v>40</v>
      </c>
      <c r="F1867" t="s">
        <v>5163</v>
      </c>
      <c r="G1867" t="s">
        <v>5169</v>
      </c>
    </row>
    <row r="1868" spans="1:7" hidden="1">
      <c r="A1868" s="5" t="s">
        <v>2193</v>
      </c>
      <c r="B1868" t="s">
        <v>5161</v>
      </c>
      <c r="C1868" t="s">
        <v>251</v>
      </c>
      <c r="D1868" t="s">
        <v>7162</v>
      </c>
      <c r="E1868">
        <v>36</v>
      </c>
      <c r="F1868" t="s">
        <v>5163</v>
      </c>
      <c r="G1868" t="s">
        <v>1905</v>
      </c>
    </row>
    <row r="1869" spans="1:7" hidden="1">
      <c r="A1869" s="5" t="s">
        <v>2193</v>
      </c>
      <c r="B1869" t="s">
        <v>5161</v>
      </c>
      <c r="C1869" t="s">
        <v>251</v>
      </c>
      <c r="D1869" t="s">
        <v>7163</v>
      </c>
      <c r="E1869">
        <v>41</v>
      </c>
      <c r="F1869" t="s">
        <v>5163</v>
      </c>
      <c r="G1869" t="s">
        <v>1905</v>
      </c>
    </row>
    <row r="1870" spans="1:7" hidden="1">
      <c r="A1870" s="5" t="s">
        <v>2135</v>
      </c>
      <c r="B1870" t="s">
        <v>5161</v>
      </c>
      <c r="C1870" t="s">
        <v>251</v>
      </c>
      <c r="D1870" t="s">
        <v>7164</v>
      </c>
      <c r="E1870">
        <v>25</v>
      </c>
      <c r="F1870" t="s">
        <v>5163</v>
      </c>
      <c r="G1870" t="s">
        <v>1905</v>
      </c>
    </row>
    <row r="1871" spans="1:7" hidden="1">
      <c r="A1871" s="5" t="s">
        <v>2135</v>
      </c>
      <c r="B1871" t="s">
        <v>5161</v>
      </c>
      <c r="C1871" t="s">
        <v>251</v>
      </c>
      <c r="D1871" t="s">
        <v>7165</v>
      </c>
      <c r="E1871">
        <v>26</v>
      </c>
      <c r="F1871" t="s">
        <v>5163</v>
      </c>
      <c r="G1871" t="s">
        <v>1905</v>
      </c>
    </row>
    <row r="1872" spans="1:7" hidden="1">
      <c r="A1872" s="5" t="s">
        <v>2382</v>
      </c>
      <c r="B1872" t="s">
        <v>5161</v>
      </c>
      <c r="C1872" t="s">
        <v>251</v>
      </c>
      <c r="D1872" t="s">
        <v>7166</v>
      </c>
      <c r="E1872">
        <v>20</v>
      </c>
      <c r="F1872" t="s">
        <v>5163</v>
      </c>
      <c r="G1872" t="s">
        <v>5164</v>
      </c>
    </row>
    <row r="1873" spans="1:7" hidden="1">
      <c r="A1873" s="5" t="s">
        <v>2509</v>
      </c>
      <c r="B1873" t="s">
        <v>5161</v>
      </c>
      <c r="C1873" t="s">
        <v>251</v>
      </c>
      <c r="D1873" t="s">
        <v>7167</v>
      </c>
      <c r="E1873">
        <v>28</v>
      </c>
      <c r="F1873" t="s">
        <v>5163</v>
      </c>
      <c r="G1873" t="s">
        <v>5164</v>
      </c>
    </row>
    <row r="1874" spans="1:7" hidden="1">
      <c r="A1874" s="5" t="s">
        <v>2509</v>
      </c>
      <c r="B1874" t="s">
        <v>5161</v>
      </c>
      <c r="C1874" t="s">
        <v>251</v>
      </c>
      <c r="D1874" t="s">
        <v>7168</v>
      </c>
      <c r="E1874">
        <v>26</v>
      </c>
      <c r="F1874" t="s">
        <v>5163</v>
      </c>
      <c r="G1874" t="s">
        <v>5164</v>
      </c>
    </row>
    <row r="1875" spans="1:7" hidden="1">
      <c r="A1875" s="5" t="s">
        <v>2509</v>
      </c>
      <c r="B1875" t="s">
        <v>5161</v>
      </c>
      <c r="C1875" t="s">
        <v>251</v>
      </c>
      <c r="D1875" t="s">
        <v>7169</v>
      </c>
      <c r="E1875">
        <v>23</v>
      </c>
      <c r="F1875" t="s">
        <v>5163</v>
      </c>
      <c r="G1875" t="s">
        <v>5182</v>
      </c>
    </row>
    <row r="1876" spans="1:7" hidden="1">
      <c r="A1876" s="5" t="s">
        <v>2265</v>
      </c>
      <c r="B1876" t="s">
        <v>5161</v>
      </c>
      <c r="C1876" t="s">
        <v>251</v>
      </c>
      <c r="D1876" t="s">
        <v>7170</v>
      </c>
      <c r="E1876">
        <v>36</v>
      </c>
      <c r="F1876" t="s">
        <v>5163</v>
      </c>
      <c r="G1876" t="s">
        <v>5164</v>
      </c>
    </row>
    <row r="1877" spans="1:7" hidden="1">
      <c r="A1877" s="5" t="s">
        <v>2622</v>
      </c>
      <c r="B1877" t="s">
        <v>5161</v>
      </c>
      <c r="C1877" t="s">
        <v>251</v>
      </c>
      <c r="D1877" t="s">
        <v>7171</v>
      </c>
      <c r="E1877">
        <v>21</v>
      </c>
      <c r="F1877" t="s">
        <v>5163</v>
      </c>
      <c r="G1877" t="s">
        <v>5164</v>
      </c>
    </row>
    <row r="1878" spans="1:7" hidden="1">
      <c r="A1878" s="5" t="s">
        <v>3689</v>
      </c>
      <c r="B1878" t="s">
        <v>5161</v>
      </c>
      <c r="C1878" t="s">
        <v>251</v>
      </c>
      <c r="D1878" t="s">
        <v>7172</v>
      </c>
      <c r="E1878">
        <v>18</v>
      </c>
      <c r="F1878" t="s">
        <v>5163</v>
      </c>
      <c r="G1878" t="s">
        <v>1905</v>
      </c>
    </row>
    <row r="1879" spans="1:7" hidden="1">
      <c r="A1879" s="5" t="s">
        <v>3336</v>
      </c>
      <c r="B1879" t="s">
        <v>5161</v>
      </c>
      <c r="C1879" t="s">
        <v>251</v>
      </c>
      <c r="D1879" t="s">
        <v>7173</v>
      </c>
      <c r="E1879">
        <v>29</v>
      </c>
      <c r="F1879" t="s">
        <v>5163</v>
      </c>
      <c r="G1879" t="s">
        <v>5164</v>
      </c>
    </row>
    <row r="1880" spans="1:7" hidden="1">
      <c r="A1880" s="5" t="s">
        <v>3916</v>
      </c>
      <c r="B1880" t="s">
        <v>5161</v>
      </c>
      <c r="C1880" t="s">
        <v>251</v>
      </c>
      <c r="D1880" t="s">
        <v>7174</v>
      </c>
      <c r="E1880">
        <v>41</v>
      </c>
      <c r="F1880" t="s">
        <v>5163</v>
      </c>
      <c r="G1880" t="s">
        <v>1905</v>
      </c>
    </row>
    <row r="1881" spans="1:7" hidden="1">
      <c r="A1881" s="5" t="s">
        <v>3925</v>
      </c>
      <c r="B1881" t="s">
        <v>5161</v>
      </c>
      <c r="C1881" t="s">
        <v>251</v>
      </c>
      <c r="D1881" t="s">
        <v>7175</v>
      </c>
      <c r="E1881">
        <v>37</v>
      </c>
      <c r="F1881" t="s">
        <v>5163</v>
      </c>
      <c r="G1881" t="s">
        <v>1905</v>
      </c>
    </row>
    <row r="1882" spans="1:7" hidden="1">
      <c r="A1882" s="5" t="s">
        <v>5018</v>
      </c>
      <c r="B1882" t="s">
        <v>5161</v>
      </c>
      <c r="C1882" t="s">
        <v>251</v>
      </c>
      <c r="D1882" t="s">
        <v>7176</v>
      </c>
      <c r="E1882">
        <v>20</v>
      </c>
      <c r="F1882" t="s">
        <v>5163</v>
      </c>
      <c r="G1882" t="s">
        <v>5164</v>
      </c>
    </row>
    <row r="1883" spans="1:7" hidden="1">
      <c r="A1883" s="5" t="s">
        <v>5018</v>
      </c>
      <c r="B1883" t="s">
        <v>5161</v>
      </c>
      <c r="C1883" t="s">
        <v>251</v>
      </c>
      <c r="D1883" t="s">
        <v>7177</v>
      </c>
      <c r="E1883">
        <v>25</v>
      </c>
      <c r="F1883" t="s">
        <v>5163</v>
      </c>
      <c r="G1883" t="s">
        <v>5169</v>
      </c>
    </row>
    <row r="1884" spans="1:7" hidden="1">
      <c r="A1884" s="5" t="s">
        <v>5018</v>
      </c>
      <c r="B1884" t="s">
        <v>5161</v>
      </c>
      <c r="C1884" t="s">
        <v>251</v>
      </c>
      <c r="D1884" t="s">
        <v>7178</v>
      </c>
      <c r="E1884">
        <v>19</v>
      </c>
      <c r="F1884" t="s">
        <v>5163</v>
      </c>
      <c r="G1884" t="s">
        <v>5164</v>
      </c>
    </row>
    <row r="1885" spans="1:7" hidden="1">
      <c r="A1885" s="5" t="s">
        <v>5018</v>
      </c>
      <c r="B1885" t="s">
        <v>5161</v>
      </c>
      <c r="C1885" t="s">
        <v>251</v>
      </c>
      <c r="D1885" t="s">
        <v>7179</v>
      </c>
      <c r="E1885">
        <v>19</v>
      </c>
      <c r="F1885" t="s">
        <v>5163</v>
      </c>
      <c r="G1885" t="s">
        <v>5164</v>
      </c>
    </row>
    <row r="1886" spans="1:7" hidden="1">
      <c r="A1886" s="5" t="s">
        <v>242</v>
      </c>
      <c r="B1886" t="s">
        <v>5161</v>
      </c>
      <c r="C1886" t="s">
        <v>251</v>
      </c>
      <c r="D1886" t="s">
        <v>704</v>
      </c>
      <c r="E1886">
        <v>21</v>
      </c>
      <c r="F1886" t="s">
        <v>5163</v>
      </c>
      <c r="G1886" t="s">
        <v>5182</v>
      </c>
    </row>
    <row r="1887" spans="1:7" hidden="1">
      <c r="A1887" s="5" t="s">
        <v>243</v>
      </c>
      <c r="B1887" t="s">
        <v>5161</v>
      </c>
      <c r="C1887" t="s">
        <v>251</v>
      </c>
      <c r="D1887" t="s">
        <v>707</v>
      </c>
      <c r="E1887">
        <v>41</v>
      </c>
      <c r="F1887" t="s">
        <v>5163</v>
      </c>
      <c r="G1887" t="s">
        <v>1905</v>
      </c>
    </row>
    <row r="1888" spans="1:7" hidden="1">
      <c r="A1888" s="5" t="s">
        <v>4230</v>
      </c>
      <c r="B1888" t="s">
        <v>5161</v>
      </c>
      <c r="C1888" t="s">
        <v>251</v>
      </c>
      <c r="D1888" t="s">
        <v>7180</v>
      </c>
      <c r="E1888">
        <v>18</v>
      </c>
      <c r="F1888" t="s">
        <v>5163</v>
      </c>
      <c r="G1888" t="s">
        <v>5169</v>
      </c>
    </row>
    <row r="1889" spans="1:7" hidden="1">
      <c r="A1889" s="5" t="s">
        <v>4230</v>
      </c>
      <c r="B1889" t="s">
        <v>5161</v>
      </c>
      <c r="C1889" t="s">
        <v>251</v>
      </c>
      <c r="D1889" t="s">
        <v>7181</v>
      </c>
      <c r="E1889">
        <v>18</v>
      </c>
      <c r="F1889" t="s">
        <v>5163</v>
      </c>
      <c r="G1889" t="s">
        <v>1905</v>
      </c>
    </row>
    <row r="1890" spans="1:7" hidden="1">
      <c r="A1890" s="5" t="s">
        <v>250</v>
      </c>
      <c r="B1890" t="s">
        <v>5161</v>
      </c>
      <c r="C1890" t="s">
        <v>251</v>
      </c>
      <c r="D1890" t="s">
        <v>721</v>
      </c>
      <c r="E1890">
        <v>22</v>
      </c>
      <c r="F1890" t="s">
        <v>5163</v>
      </c>
      <c r="G1890" t="s">
        <v>5164</v>
      </c>
    </row>
    <row r="1891" spans="1:7" hidden="1">
      <c r="A1891" s="5" t="s">
        <v>2590</v>
      </c>
      <c r="B1891" t="s">
        <v>5161</v>
      </c>
      <c r="C1891" t="s">
        <v>251</v>
      </c>
      <c r="D1891" t="s">
        <v>7182</v>
      </c>
      <c r="E1891">
        <v>23</v>
      </c>
      <c r="F1891" t="s">
        <v>5163</v>
      </c>
      <c r="G1891" t="s">
        <v>5164</v>
      </c>
    </row>
    <row r="1892" spans="1:7" hidden="1">
      <c r="A1892" s="5" t="s">
        <v>7183</v>
      </c>
      <c r="B1892" t="s">
        <v>5161</v>
      </c>
      <c r="C1892" t="s">
        <v>251</v>
      </c>
      <c r="D1892" t="s">
        <v>7184</v>
      </c>
      <c r="E1892" t="s">
        <v>5182</v>
      </c>
      <c r="F1892" t="s">
        <v>5163</v>
      </c>
      <c r="G1892" t="s">
        <v>1905</v>
      </c>
    </row>
    <row r="1893" spans="1:7" hidden="1">
      <c r="A1893" s="5" t="s">
        <v>3362</v>
      </c>
      <c r="B1893" t="s">
        <v>5161</v>
      </c>
      <c r="C1893" t="s">
        <v>251</v>
      </c>
      <c r="D1893" t="s">
        <v>7185</v>
      </c>
      <c r="E1893">
        <v>26</v>
      </c>
      <c r="F1893" t="s">
        <v>5163</v>
      </c>
      <c r="G1893" t="s">
        <v>5164</v>
      </c>
    </row>
    <row r="1894" spans="1:7" hidden="1">
      <c r="A1894" s="5" t="s">
        <v>3172</v>
      </c>
      <c r="B1894" t="s">
        <v>5161</v>
      </c>
      <c r="C1894" t="s">
        <v>251</v>
      </c>
      <c r="D1894" t="s">
        <v>7186</v>
      </c>
      <c r="E1894">
        <v>25</v>
      </c>
      <c r="F1894" t="s">
        <v>5163</v>
      </c>
      <c r="G1894" t="s">
        <v>5169</v>
      </c>
    </row>
    <row r="1895" spans="1:7" hidden="1">
      <c r="A1895" s="5" t="s">
        <v>3952</v>
      </c>
      <c r="B1895" t="s">
        <v>5161</v>
      </c>
      <c r="C1895" t="s">
        <v>251</v>
      </c>
      <c r="D1895" t="s">
        <v>7187</v>
      </c>
      <c r="E1895">
        <v>39</v>
      </c>
      <c r="F1895" t="s">
        <v>5163</v>
      </c>
      <c r="G1895" t="s">
        <v>5164</v>
      </c>
    </row>
    <row r="1896" spans="1:7" hidden="1">
      <c r="A1896" s="5" t="s">
        <v>3688</v>
      </c>
      <c r="B1896" t="s">
        <v>5161</v>
      </c>
      <c r="C1896" t="s">
        <v>251</v>
      </c>
      <c r="D1896" t="s">
        <v>7188</v>
      </c>
      <c r="E1896">
        <v>51</v>
      </c>
      <c r="F1896" t="s">
        <v>5163</v>
      </c>
      <c r="G1896" t="s">
        <v>5164</v>
      </c>
    </row>
    <row r="1897" spans="1:7" hidden="1">
      <c r="A1897" s="5" t="s">
        <v>3765</v>
      </c>
      <c r="B1897" t="s">
        <v>5161</v>
      </c>
      <c r="C1897" t="s">
        <v>251</v>
      </c>
      <c r="D1897" t="s">
        <v>7189</v>
      </c>
      <c r="E1897">
        <v>30</v>
      </c>
      <c r="F1897" t="s">
        <v>5163</v>
      </c>
      <c r="G1897" t="s">
        <v>5164</v>
      </c>
    </row>
    <row r="1898" spans="1:7" hidden="1">
      <c r="A1898" s="5" t="s">
        <v>3661</v>
      </c>
      <c r="B1898" t="s">
        <v>5161</v>
      </c>
      <c r="C1898" t="s">
        <v>251</v>
      </c>
      <c r="D1898" t="s">
        <v>7190</v>
      </c>
      <c r="E1898">
        <v>46</v>
      </c>
      <c r="F1898" t="s">
        <v>5172</v>
      </c>
      <c r="G1898" t="s">
        <v>5169</v>
      </c>
    </row>
    <row r="1899" spans="1:7" hidden="1">
      <c r="A1899" s="5" t="s">
        <v>3123</v>
      </c>
      <c r="B1899" t="s">
        <v>5161</v>
      </c>
      <c r="C1899" t="s">
        <v>251</v>
      </c>
      <c r="D1899" t="s">
        <v>7191</v>
      </c>
      <c r="E1899">
        <v>22</v>
      </c>
      <c r="F1899" t="s">
        <v>5163</v>
      </c>
      <c r="G1899" t="s">
        <v>5164</v>
      </c>
    </row>
    <row r="1900" spans="1:7" hidden="1">
      <c r="A1900" s="5" t="s">
        <v>4626</v>
      </c>
      <c r="B1900" t="s">
        <v>5161</v>
      </c>
      <c r="C1900" t="s">
        <v>251</v>
      </c>
      <c r="D1900" t="s">
        <v>5520</v>
      </c>
      <c r="E1900">
        <v>27</v>
      </c>
      <c r="F1900" t="s">
        <v>5163</v>
      </c>
      <c r="G1900" t="s">
        <v>5164</v>
      </c>
    </row>
    <row r="1901" spans="1:7" hidden="1">
      <c r="A1901" s="5" t="s">
        <v>3607</v>
      </c>
      <c r="B1901" t="s">
        <v>5161</v>
      </c>
      <c r="C1901" t="s">
        <v>251</v>
      </c>
      <c r="D1901" t="s">
        <v>7192</v>
      </c>
      <c r="E1901">
        <v>24</v>
      </c>
      <c r="F1901" t="s">
        <v>5163</v>
      </c>
      <c r="G1901" t="s">
        <v>5169</v>
      </c>
    </row>
    <row r="1902" spans="1:7" hidden="1">
      <c r="A1902" s="5" t="s">
        <v>248</v>
      </c>
      <c r="B1902" t="s">
        <v>5161</v>
      </c>
      <c r="C1902" t="s">
        <v>251</v>
      </c>
      <c r="D1902" t="s">
        <v>719</v>
      </c>
      <c r="E1902">
        <v>26</v>
      </c>
      <c r="F1902" t="s">
        <v>5163</v>
      </c>
      <c r="G1902" t="s">
        <v>5164</v>
      </c>
    </row>
    <row r="1903" spans="1:7" hidden="1">
      <c r="A1903" s="5" t="s">
        <v>2521</v>
      </c>
      <c r="B1903" t="s">
        <v>5161</v>
      </c>
      <c r="C1903" t="s">
        <v>251</v>
      </c>
      <c r="D1903" t="s">
        <v>7193</v>
      </c>
      <c r="E1903">
        <v>24</v>
      </c>
      <c r="F1903" t="s">
        <v>5163</v>
      </c>
      <c r="G1903" t="s">
        <v>5164</v>
      </c>
    </row>
    <row r="1904" spans="1:7" hidden="1">
      <c r="A1904" s="5" t="s">
        <v>4919</v>
      </c>
      <c r="B1904" t="s">
        <v>5161</v>
      </c>
      <c r="C1904" t="s">
        <v>251</v>
      </c>
      <c r="D1904" t="s">
        <v>7194</v>
      </c>
      <c r="E1904">
        <v>59</v>
      </c>
      <c r="F1904" t="s">
        <v>5163</v>
      </c>
      <c r="G1904" t="s">
        <v>1905</v>
      </c>
    </row>
    <row r="1905" spans="1:7" hidden="1">
      <c r="A1905" s="5" t="s">
        <v>7195</v>
      </c>
      <c r="B1905" t="s">
        <v>5161</v>
      </c>
      <c r="C1905" t="s">
        <v>251</v>
      </c>
      <c r="D1905" t="s">
        <v>7196</v>
      </c>
      <c r="E1905" t="s">
        <v>5182</v>
      </c>
      <c r="F1905" t="s">
        <v>5163</v>
      </c>
      <c r="G1905" t="s">
        <v>6817</v>
      </c>
    </row>
    <row r="1906" spans="1:7" hidden="1">
      <c r="A1906" s="5" t="s">
        <v>3124</v>
      </c>
      <c r="B1906" t="s">
        <v>5161</v>
      </c>
      <c r="C1906" t="s">
        <v>251</v>
      </c>
      <c r="D1906" t="s">
        <v>7197</v>
      </c>
      <c r="E1906">
        <v>25</v>
      </c>
      <c r="F1906" t="s">
        <v>5163</v>
      </c>
      <c r="G1906" t="s">
        <v>5164</v>
      </c>
    </row>
    <row r="1907" spans="1:7" hidden="1">
      <c r="A1907" s="5" t="s">
        <v>4766</v>
      </c>
      <c r="B1907" t="s">
        <v>5161</v>
      </c>
      <c r="C1907" t="s">
        <v>251</v>
      </c>
      <c r="D1907" t="s">
        <v>7198</v>
      </c>
      <c r="E1907" t="s">
        <v>5182</v>
      </c>
      <c r="F1907" t="s">
        <v>5163</v>
      </c>
      <c r="G1907" t="s">
        <v>5164</v>
      </c>
    </row>
    <row r="1908" spans="1:7" hidden="1">
      <c r="A1908" s="5" t="s">
        <v>3437</v>
      </c>
      <c r="B1908" t="s">
        <v>5161</v>
      </c>
      <c r="C1908" t="s">
        <v>251</v>
      </c>
      <c r="D1908" t="s">
        <v>7199</v>
      </c>
      <c r="E1908">
        <v>38</v>
      </c>
      <c r="F1908" t="s">
        <v>5172</v>
      </c>
      <c r="G1908" t="s">
        <v>5164</v>
      </c>
    </row>
    <row r="1909" spans="1:7" hidden="1">
      <c r="A1909" s="5" t="s">
        <v>3383</v>
      </c>
      <c r="B1909" t="s">
        <v>5161</v>
      </c>
      <c r="C1909" t="s">
        <v>251</v>
      </c>
      <c r="D1909" t="s">
        <v>7200</v>
      </c>
      <c r="E1909">
        <v>20</v>
      </c>
      <c r="F1909" t="s">
        <v>5163</v>
      </c>
      <c r="G1909" t="s">
        <v>1905</v>
      </c>
    </row>
    <row r="1910" spans="1:7" hidden="1">
      <c r="A1910" s="5" t="s">
        <v>2795</v>
      </c>
      <c r="B1910" t="s">
        <v>5161</v>
      </c>
      <c r="C1910" t="s">
        <v>251</v>
      </c>
      <c r="D1910" t="s">
        <v>7201</v>
      </c>
      <c r="E1910">
        <v>23</v>
      </c>
      <c r="F1910" t="s">
        <v>5163</v>
      </c>
      <c r="G1910" t="s">
        <v>1905</v>
      </c>
    </row>
    <row r="1911" spans="1:7" hidden="1">
      <c r="A1911" s="5" t="s">
        <v>7202</v>
      </c>
      <c r="B1911" t="s">
        <v>5161</v>
      </c>
      <c r="C1911" t="s">
        <v>251</v>
      </c>
      <c r="D1911" t="s">
        <v>7203</v>
      </c>
      <c r="E1911" t="s">
        <v>5182</v>
      </c>
      <c r="F1911" t="s">
        <v>5163</v>
      </c>
      <c r="G1911" t="s">
        <v>1905</v>
      </c>
    </row>
    <row r="1912" spans="1:7" hidden="1">
      <c r="A1912" s="5" t="s">
        <v>7202</v>
      </c>
      <c r="B1912" t="s">
        <v>5161</v>
      </c>
      <c r="C1912" t="s">
        <v>251</v>
      </c>
      <c r="D1912" t="s">
        <v>7204</v>
      </c>
      <c r="E1912" t="s">
        <v>5182</v>
      </c>
      <c r="F1912" t="s">
        <v>5163</v>
      </c>
      <c r="G1912" t="s">
        <v>1905</v>
      </c>
    </row>
    <row r="1913" spans="1:7" hidden="1">
      <c r="A1913" s="5" t="s">
        <v>4300</v>
      </c>
      <c r="B1913" t="s">
        <v>5161</v>
      </c>
      <c r="C1913" t="s">
        <v>251</v>
      </c>
      <c r="D1913" t="s">
        <v>7205</v>
      </c>
      <c r="E1913" t="s">
        <v>5182</v>
      </c>
      <c r="F1913" t="s">
        <v>5163</v>
      </c>
      <c r="G1913" t="s">
        <v>5164</v>
      </c>
    </row>
    <row r="1914" spans="1:7" hidden="1">
      <c r="A1914" s="5" t="s">
        <v>3006</v>
      </c>
      <c r="B1914" t="s">
        <v>5161</v>
      </c>
      <c r="C1914" t="s">
        <v>251</v>
      </c>
      <c r="D1914" t="s">
        <v>7206</v>
      </c>
      <c r="E1914">
        <v>27</v>
      </c>
      <c r="F1914" t="s">
        <v>5163</v>
      </c>
      <c r="G1914" t="s">
        <v>5164</v>
      </c>
    </row>
    <row r="1915" spans="1:7" hidden="1">
      <c r="A1915" s="5" t="s">
        <v>2523</v>
      </c>
      <c r="B1915" t="s">
        <v>5161</v>
      </c>
      <c r="C1915" t="s">
        <v>251</v>
      </c>
      <c r="D1915" t="s">
        <v>7207</v>
      </c>
      <c r="E1915">
        <v>36</v>
      </c>
      <c r="F1915" t="s">
        <v>5163</v>
      </c>
      <c r="G1915" t="s">
        <v>5169</v>
      </c>
    </row>
    <row r="1916" spans="1:7" hidden="1">
      <c r="A1916" s="5" t="s">
        <v>2523</v>
      </c>
      <c r="B1916" t="s">
        <v>5161</v>
      </c>
      <c r="C1916" t="s">
        <v>251</v>
      </c>
      <c r="D1916" t="s">
        <v>7208</v>
      </c>
      <c r="E1916">
        <v>18</v>
      </c>
      <c r="F1916" t="s">
        <v>5163</v>
      </c>
      <c r="G1916" t="s">
        <v>1905</v>
      </c>
    </row>
    <row r="1917" spans="1:7" hidden="1">
      <c r="A1917" s="5" t="s">
        <v>2830</v>
      </c>
      <c r="B1917" t="s">
        <v>5161</v>
      </c>
      <c r="C1917" t="s">
        <v>251</v>
      </c>
      <c r="D1917" t="s">
        <v>7209</v>
      </c>
      <c r="E1917">
        <v>31</v>
      </c>
      <c r="F1917" t="s">
        <v>5163</v>
      </c>
      <c r="G1917" t="s">
        <v>5164</v>
      </c>
    </row>
    <row r="1918" spans="1:7" hidden="1">
      <c r="A1918" s="5" t="s">
        <v>2876</v>
      </c>
      <c r="B1918" t="s">
        <v>5161</v>
      </c>
      <c r="C1918" t="s">
        <v>251</v>
      </c>
      <c r="D1918" t="s">
        <v>7210</v>
      </c>
      <c r="E1918">
        <v>18</v>
      </c>
      <c r="F1918" t="s">
        <v>5163</v>
      </c>
      <c r="G1918" t="s">
        <v>1905</v>
      </c>
    </row>
    <row r="1919" spans="1:7" hidden="1">
      <c r="A1919" s="5" t="s">
        <v>2637</v>
      </c>
      <c r="B1919" t="s">
        <v>5161</v>
      </c>
      <c r="C1919" t="s">
        <v>251</v>
      </c>
      <c r="D1919" t="s">
        <v>7211</v>
      </c>
      <c r="E1919">
        <v>28</v>
      </c>
      <c r="F1919" t="s">
        <v>5163</v>
      </c>
      <c r="G1919" t="s">
        <v>1905</v>
      </c>
    </row>
    <row r="1920" spans="1:7" hidden="1">
      <c r="A1920" s="5" t="s">
        <v>4717</v>
      </c>
      <c r="B1920" t="s">
        <v>5161</v>
      </c>
      <c r="C1920" t="s">
        <v>251</v>
      </c>
      <c r="D1920" t="s">
        <v>7212</v>
      </c>
      <c r="E1920">
        <v>25</v>
      </c>
      <c r="F1920" t="s">
        <v>5163</v>
      </c>
      <c r="G1920" t="s">
        <v>5164</v>
      </c>
    </row>
    <row r="1921" spans="1:7" hidden="1">
      <c r="A1921" s="5" t="s">
        <v>4248</v>
      </c>
      <c r="B1921" t="s">
        <v>5161</v>
      </c>
      <c r="C1921" t="s">
        <v>251</v>
      </c>
      <c r="D1921" t="s">
        <v>7213</v>
      </c>
      <c r="E1921">
        <v>26</v>
      </c>
      <c r="F1921" t="s">
        <v>5163</v>
      </c>
      <c r="G1921" t="s">
        <v>1905</v>
      </c>
    </row>
    <row r="1922" spans="1:7" hidden="1">
      <c r="A1922" s="5" t="s">
        <v>4485</v>
      </c>
      <c r="B1922" t="s">
        <v>5161</v>
      </c>
      <c r="C1922" t="s">
        <v>251</v>
      </c>
      <c r="D1922" t="s">
        <v>7214</v>
      </c>
      <c r="E1922">
        <v>34</v>
      </c>
      <c r="F1922" t="s">
        <v>5163</v>
      </c>
      <c r="G1922" t="s">
        <v>5164</v>
      </c>
    </row>
    <row r="1923" spans="1:7" hidden="1">
      <c r="A1923" s="5" t="s">
        <v>4485</v>
      </c>
      <c r="B1923" t="s">
        <v>5161</v>
      </c>
      <c r="C1923" t="s">
        <v>251</v>
      </c>
      <c r="D1923" t="s">
        <v>7215</v>
      </c>
      <c r="E1923">
        <v>18</v>
      </c>
      <c r="F1923" t="s">
        <v>5163</v>
      </c>
      <c r="G1923" t="s">
        <v>5164</v>
      </c>
    </row>
    <row r="1924" spans="1:7" hidden="1">
      <c r="A1924" s="5" t="s">
        <v>2646</v>
      </c>
      <c r="B1924" t="s">
        <v>5161</v>
      </c>
      <c r="C1924" t="s">
        <v>251</v>
      </c>
      <c r="D1924" t="s">
        <v>7216</v>
      </c>
      <c r="E1924" t="s">
        <v>5182</v>
      </c>
      <c r="F1924" t="s">
        <v>5163</v>
      </c>
      <c r="G1924" t="s">
        <v>1905</v>
      </c>
    </row>
    <row r="1925" spans="1:7" hidden="1">
      <c r="A1925" s="5" t="s">
        <v>2715</v>
      </c>
      <c r="B1925" t="s">
        <v>5161</v>
      </c>
      <c r="C1925" t="s">
        <v>251</v>
      </c>
      <c r="D1925" t="s">
        <v>7217</v>
      </c>
      <c r="E1925">
        <v>27</v>
      </c>
      <c r="F1925" t="s">
        <v>5163</v>
      </c>
      <c r="G1925" t="s">
        <v>5164</v>
      </c>
    </row>
    <row r="1926" spans="1:7" hidden="1">
      <c r="A1926" s="5" t="s">
        <v>4547</v>
      </c>
      <c r="B1926" t="s">
        <v>5161</v>
      </c>
      <c r="C1926" t="s">
        <v>251</v>
      </c>
      <c r="D1926" t="s">
        <v>7218</v>
      </c>
      <c r="E1926">
        <v>22</v>
      </c>
      <c r="F1926" t="s">
        <v>5163</v>
      </c>
      <c r="G1926" t="s">
        <v>1905</v>
      </c>
    </row>
    <row r="1927" spans="1:7" hidden="1">
      <c r="A1927" s="5" t="s">
        <v>4547</v>
      </c>
      <c r="B1927" t="s">
        <v>5161</v>
      </c>
      <c r="C1927" t="s">
        <v>251</v>
      </c>
      <c r="D1927" t="s">
        <v>7219</v>
      </c>
      <c r="E1927">
        <v>19</v>
      </c>
      <c r="F1927" t="s">
        <v>5163</v>
      </c>
      <c r="G1927" t="s">
        <v>1905</v>
      </c>
    </row>
    <row r="1928" spans="1:7" hidden="1">
      <c r="A1928" s="5" t="s">
        <v>247</v>
      </c>
      <c r="B1928" t="s">
        <v>5161</v>
      </c>
      <c r="C1928" t="s">
        <v>251</v>
      </c>
      <c r="D1928" t="s">
        <v>717</v>
      </c>
      <c r="E1928">
        <v>23</v>
      </c>
      <c r="F1928" t="s">
        <v>5163</v>
      </c>
      <c r="G1928" t="s">
        <v>1905</v>
      </c>
    </row>
    <row r="1929" spans="1:7" hidden="1">
      <c r="A1929" s="5" t="s">
        <v>247</v>
      </c>
      <c r="B1929" t="s">
        <v>5161</v>
      </c>
      <c r="C1929" t="s">
        <v>251</v>
      </c>
      <c r="D1929" t="s">
        <v>7220</v>
      </c>
      <c r="E1929">
        <v>21</v>
      </c>
      <c r="F1929" t="s">
        <v>5163</v>
      </c>
      <c r="G1929" t="s">
        <v>5182</v>
      </c>
    </row>
    <row r="1930" spans="1:7" hidden="1">
      <c r="A1930" s="5" t="s">
        <v>2122</v>
      </c>
      <c r="B1930" t="s">
        <v>5161</v>
      </c>
      <c r="C1930" t="s">
        <v>251</v>
      </c>
      <c r="D1930" t="s">
        <v>7221</v>
      </c>
      <c r="E1930">
        <v>21</v>
      </c>
      <c r="F1930" t="s">
        <v>5163</v>
      </c>
      <c r="G1930" t="s">
        <v>5164</v>
      </c>
    </row>
    <row r="1931" spans="1:7" hidden="1">
      <c r="A1931" s="5" t="s">
        <v>2122</v>
      </c>
      <c r="B1931" t="s">
        <v>5161</v>
      </c>
      <c r="C1931" t="s">
        <v>251</v>
      </c>
      <c r="D1931" t="s">
        <v>7222</v>
      </c>
      <c r="E1931">
        <v>28</v>
      </c>
      <c r="F1931" t="s">
        <v>5163</v>
      </c>
      <c r="G1931" t="s">
        <v>5169</v>
      </c>
    </row>
    <row r="1932" spans="1:7" hidden="1">
      <c r="A1932" s="5" t="s">
        <v>2122</v>
      </c>
      <c r="B1932" t="s">
        <v>5161</v>
      </c>
      <c r="C1932" t="s">
        <v>251</v>
      </c>
      <c r="D1932" t="s">
        <v>7223</v>
      </c>
      <c r="E1932">
        <v>27</v>
      </c>
      <c r="F1932" t="s">
        <v>5163</v>
      </c>
      <c r="G1932" t="s">
        <v>5164</v>
      </c>
    </row>
    <row r="1933" spans="1:7" hidden="1">
      <c r="A1933" s="5" t="s">
        <v>4719</v>
      </c>
      <c r="B1933" t="s">
        <v>5161</v>
      </c>
      <c r="C1933" t="s">
        <v>251</v>
      </c>
      <c r="D1933" t="s">
        <v>7224</v>
      </c>
      <c r="E1933" t="s">
        <v>5182</v>
      </c>
      <c r="F1933" t="s">
        <v>5163</v>
      </c>
      <c r="G1933" t="s">
        <v>1905</v>
      </c>
    </row>
    <row r="1934" spans="1:7" hidden="1">
      <c r="A1934" s="5" t="s">
        <v>2664</v>
      </c>
      <c r="B1934" t="s">
        <v>5161</v>
      </c>
      <c r="C1934" t="s">
        <v>251</v>
      </c>
      <c r="D1934" t="s">
        <v>7225</v>
      </c>
      <c r="E1934">
        <v>21</v>
      </c>
      <c r="F1934" t="s">
        <v>5163</v>
      </c>
      <c r="G1934" t="s">
        <v>1905</v>
      </c>
    </row>
    <row r="1935" spans="1:7" hidden="1">
      <c r="A1935" s="5" t="s">
        <v>3404</v>
      </c>
      <c r="B1935" t="s">
        <v>5161</v>
      </c>
      <c r="C1935" t="s">
        <v>251</v>
      </c>
      <c r="D1935" t="s">
        <v>7226</v>
      </c>
      <c r="E1935">
        <v>58</v>
      </c>
      <c r="F1935" t="s">
        <v>5163</v>
      </c>
      <c r="G1935" t="s">
        <v>1905</v>
      </c>
    </row>
    <row r="1936" spans="1:7" hidden="1">
      <c r="A1936" s="5" t="s">
        <v>3935</v>
      </c>
      <c r="B1936" t="s">
        <v>5161</v>
      </c>
      <c r="C1936" t="s">
        <v>251</v>
      </c>
      <c r="D1936" t="s">
        <v>7227</v>
      </c>
      <c r="E1936">
        <v>41</v>
      </c>
      <c r="F1936" t="s">
        <v>5163</v>
      </c>
      <c r="G1936" t="s">
        <v>1905</v>
      </c>
    </row>
    <row r="1937" spans="1:7" hidden="1">
      <c r="A1937" s="5" t="s">
        <v>5007</v>
      </c>
      <c r="B1937" t="s">
        <v>5161</v>
      </c>
      <c r="C1937" t="s">
        <v>251</v>
      </c>
      <c r="D1937" t="s">
        <v>7228</v>
      </c>
      <c r="E1937">
        <v>18</v>
      </c>
      <c r="F1937" t="s">
        <v>5163</v>
      </c>
      <c r="G1937" t="s">
        <v>5169</v>
      </c>
    </row>
    <row r="1938" spans="1:7" hidden="1">
      <c r="A1938" s="5" t="s">
        <v>5007</v>
      </c>
      <c r="B1938" t="s">
        <v>5161</v>
      </c>
      <c r="C1938" t="s">
        <v>251</v>
      </c>
      <c r="D1938" t="s">
        <v>7229</v>
      </c>
      <c r="E1938">
        <v>30</v>
      </c>
      <c r="F1938" t="s">
        <v>5163</v>
      </c>
      <c r="G1938" t="s">
        <v>1905</v>
      </c>
    </row>
    <row r="1939" spans="1:7" hidden="1">
      <c r="A1939" s="5" t="s">
        <v>4959</v>
      </c>
      <c r="B1939" t="s">
        <v>5161</v>
      </c>
      <c r="C1939" t="s">
        <v>251</v>
      </c>
      <c r="D1939" t="s">
        <v>7230</v>
      </c>
      <c r="E1939">
        <v>25</v>
      </c>
      <c r="F1939" t="s">
        <v>5163</v>
      </c>
      <c r="G1939" t="s">
        <v>5169</v>
      </c>
    </row>
    <row r="1940" spans="1:7" hidden="1">
      <c r="A1940" s="5" t="s">
        <v>2383</v>
      </c>
      <c r="B1940" t="s">
        <v>5161</v>
      </c>
      <c r="C1940" t="s">
        <v>251</v>
      </c>
      <c r="D1940" t="s">
        <v>7231</v>
      </c>
      <c r="E1940">
        <v>20</v>
      </c>
      <c r="F1940" t="s">
        <v>5163</v>
      </c>
      <c r="G1940" t="s">
        <v>1905</v>
      </c>
    </row>
    <row r="1941" spans="1:7" hidden="1">
      <c r="A1941" s="5" t="s">
        <v>2605</v>
      </c>
      <c r="B1941" t="s">
        <v>5161</v>
      </c>
      <c r="C1941" t="s">
        <v>251</v>
      </c>
      <c r="D1941" t="s">
        <v>7232</v>
      </c>
      <c r="E1941">
        <v>36</v>
      </c>
      <c r="F1941" t="s">
        <v>5172</v>
      </c>
      <c r="G1941" t="s">
        <v>1905</v>
      </c>
    </row>
    <row r="1942" spans="1:7" hidden="1">
      <c r="A1942" s="5" t="s">
        <v>2385</v>
      </c>
      <c r="B1942" t="s">
        <v>5161</v>
      </c>
      <c r="C1942" t="s">
        <v>251</v>
      </c>
      <c r="D1942" t="s">
        <v>7233</v>
      </c>
      <c r="E1942">
        <v>22</v>
      </c>
      <c r="F1942" t="s">
        <v>5163</v>
      </c>
      <c r="G1942" t="s">
        <v>5164</v>
      </c>
    </row>
    <row r="1943" spans="1:7" hidden="1">
      <c r="A1943" s="5" t="s">
        <v>2912</v>
      </c>
      <c r="B1943" t="s">
        <v>5161</v>
      </c>
      <c r="C1943" t="s">
        <v>251</v>
      </c>
      <c r="D1943" t="s">
        <v>7234</v>
      </c>
      <c r="E1943">
        <v>42</v>
      </c>
      <c r="F1943" t="s">
        <v>5163</v>
      </c>
      <c r="G1943" t="s">
        <v>5169</v>
      </c>
    </row>
    <row r="1944" spans="1:7" hidden="1">
      <c r="A1944" s="5" t="s">
        <v>2912</v>
      </c>
      <c r="B1944" t="s">
        <v>5161</v>
      </c>
      <c r="C1944" t="s">
        <v>251</v>
      </c>
      <c r="D1944" t="s">
        <v>7235</v>
      </c>
      <c r="E1944">
        <v>28</v>
      </c>
      <c r="F1944" t="s">
        <v>5163</v>
      </c>
      <c r="G1944" t="s">
        <v>1905</v>
      </c>
    </row>
    <row r="1945" spans="1:7" hidden="1">
      <c r="A1945" s="5" t="s">
        <v>2987</v>
      </c>
      <c r="B1945" t="s">
        <v>5161</v>
      </c>
      <c r="C1945" t="s">
        <v>251</v>
      </c>
      <c r="D1945" t="s">
        <v>7236</v>
      </c>
      <c r="E1945">
        <v>25</v>
      </c>
      <c r="F1945" t="s">
        <v>5163</v>
      </c>
      <c r="G1945" t="s">
        <v>5164</v>
      </c>
    </row>
    <row r="1946" spans="1:7" hidden="1">
      <c r="A1946" s="5" t="s">
        <v>7237</v>
      </c>
      <c r="B1946" t="s">
        <v>5161</v>
      </c>
      <c r="C1946" t="s">
        <v>251</v>
      </c>
      <c r="D1946" t="s">
        <v>7238</v>
      </c>
      <c r="E1946">
        <v>22</v>
      </c>
      <c r="F1946" t="s">
        <v>5163</v>
      </c>
      <c r="G1946" t="s">
        <v>5164</v>
      </c>
    </row>
    <row r="1947" spans="1:7" hidden="1">
      <c r="A1947" s="5" t="s">
        <v>4635</v>
      </c>
      <c r="B1947" t="s">
        <v>5161</v>
      </c>
      <c r="C1947" t="s">
        <v>251</v>
      </c>
      <c r="D1947" t="s">
        <v>7239</v>
      </c>
      <c r="E1947">
        <v>27</v>
      </c>
      <c r="F1947" t="s">
        <v>5163</v>
      </c>
      <c r="G1947" t="s">
        <v>1905</v>
      </c>
    </row>
    <row r="1948" spans="1:7" hidden="1">
      <c r="A1948" s="5" t="s">
        <v>2801</v>
      </c>
      <c r="B1948" t="s">
        <v>5161</v>
      </c>
      <c r="C1948" t="s">
        <v>251</v>
      </c>
      <c r="D1948" t="s">
        <v>7240</v>
      </c>
      <c r="E1948">
        <v>29</v>
      </c>
      <c r="F1948" t="s">
        <v>5163</v>
      </c>
      <c r="G1948" t="s">
        <v>5169</v>
      </c>
    </row>
    <row r="1949" spans="1:7" hidden="1">
      <c r="A1949" s="5" t="s">
        <v>2801</v>
      </c>
      <c r="B1949" t="s">
        <v>5161</v>
      </c>
      <c r="C1949" t="s">
        <v>251</v>
      </c>
      <c r="D1949" t="s">
        <v>7241</v>
      </c>
      <c r="E1949">
        <v>18</v>
      </c>
      <c r="F1949" t="s">
        <v>5163</v>
      </c>
      <c r="G1949" t="s">
        <v>5164</v>
      </c>
    </row>
    <row r="1950" spans="1:7" hidden="1">
      <c r="A1950" s="5" t="s">
        <v>5016</v>
      </c>
      <c r="B1950" t="s">
        <v>5161</v>
      </c>
      <c r="C1950" t="s">
        <v>251</v>
      </c>
      <c r="D1950" t="s">
        <v>6918</v>
      </c>
      <c r="E1950">
        <v>28</v>
      </c>
      <c r="F1950" t="s">
        <v>5163</v>
      </c>
      <c r="G1950" t="s">
        <v>5164</v>
      </c>
    </row>
    <row r="1951" spans="1:7" hidden="1">
      <c r="A1951" s="5" t="s">
        <v>4958</v>
      </c>
      <c r="B1951" t="s">
        <v>5161</v>
      </c>
      <c r="C1951" t="s">
        <v>251</v>
      </c>
      <c r="D1951" t="s">
        <v>7242</v>
      </c>
      <c r="E1951">
        <v>26</v>
      </c>
      <c r="F1951" t="s">
        <v>5163</v>
      </c>
      <c r="G1951" t="s">
        <v>5164</v>
      </c>
    </row>
    <row r="1952" spans="1:7" hidden="1">
      <c r="A1952" s="5" t="s">
        <v>249</v>
      </c>
      <c r="B1952" t="s">
        <v>5161</v>
      </c>
      <c r="C1952" t="s">
        <v>251</v>
      </c>
      <c r="D1952" t="s">
        <v>720</v>
      </c>
      <c r="E1952">
        <v>26</v>
      </c>
      <c r="F1952" t="s">
        <v>5163</v>
      </c>
      <c r="G1952" t="s">
        <v>5164</v>
      </c>
    </row>
    <row r="1953" spans="1:7" hidden="1">
      <c r="A1953" s="5" t="s">
        <v>4936</v>
      </c>
      <c r="B1953" t="s">
        <v>5161</v>
      </c>
      <c r="C1953" t="s">
        <v>251</v>
      </c>
      <c r="D1953" t="s">
        <v>7243</v>
      </c>
      <c r="E1953">
        <v>26</v>
      </c>
      <c r="F1953" t="s">
        <v>5163</v>
      </c>
      <c r="G1953" t="s">
        <v>5164</v>
      </c>
    </row>
    <row r="1954" spans="1:7" hidden="1">
      <c r="A1954" s="5" t="s">
        <v>2194</v>
      </c>
      <c r="B1954" t="s">
        <v>5161</v>
      </c>
      <c r="C1954" t="s">
        <v>251</v>
      </c>
      <c r="D1954" t="s">
        <v>7244</v>
      </c>
      <c r="E1954">
        <v>37</v>
      </c>
      <c r="F1954" t="s">
        <v>5163</v>
      </c>
      <c r="G1954" t="s">
        <v>5169</v>
      </c>
    </row>
    <row r="1955" spans="1:7" hidden="1">
      <c r="A1955" s="5" t="s">
        <v>4235</v>
      </c>
      <c r="B1955" t="s">
        <v>5161</v>
      </c>
      <c r="C1955" t="s">
        <v>251</v>
      </c>
      <c r="D1955" t="s">
        <v>7245</v>
      </c>
      <c r="E1955">
        <v>29</v>
      </c>
      <c r="F1955" t="s">
        <v>5163</v>
      </c>
      <c r="G1955" t="s">
        <v>5169</v>
      </c>
    </row>
    <row r="1956" spans="1:7" hidden="1">
      <c r="A1956" s="5" t="s">
        <v>4446</v>
      </c>
      <c r="B1956" t="s">
        <v>5161</v>
      </c>
      <c r="C1956" t="s">
        <v>251</v>
      </c>
      <c r="D1956" t="s">
        <v>7246</v>
      </c>
      <c r="E1956">
        <v>34</v>
      </c>
      <c r="F1956" t="s">
        <v>5163</v>
      </c>
      <c r="G1956" t="s">
        <v>5164</v>
      </c>
    </row>
    <row r="1957" spans="1:7" hidden="1">
      <c r="A1957" s="5" t="s">
        <v>7247</v>
      </c>
      <c r="B1957" t="s">
        <v>5161</v>
      </c>
      <c r="C1957" t="s">
        <v>251</v>
      </c>
      <c r="D1957" t="s">
        <v>7248</v>
      </c>
      <c r="E1957">
        <v>27</v>
      </c>
      <c r="F1957" t="s">
        <v>5163</v>
      </c>
      <c r="G1957" t="s">
        <v>5164</v>
      </c>
    </row>
    <row r="1958" spans="1:7" hidden="1">
      <c r="A1958" s="5" t="s">
        <v>4705</v>
      </c>
      <c r="B1958" t="s">
        <v>5161</v>
      </c>
      <c r="C1958" t="s">
        <v>251</v>
      </c>
      <c r="D1958" t="s">
        <v>7249</v>
      </c>
      <c r="E1958">
        <v>19</v>
      </c>
      <c r="F1958" t="s">
        <v>5163</v>
      </c>
      <c r="G1958" t="s">
        <v>5164</v>
      </c>
    </row>
    <row r="1959" spans="1:7" hidden="1">
      <c r="A1959" s="5" t="s">
        <v>3333</v>
      </c>
      <c r="B1959" t="s">
        <v>5161</v>
      </c>
      <c r="C1959" t="s">
        <v>251</v>
      </c>
      <c r="D1959" t="s">
        <v>7250</v>
      </c>
      <c r="E1959">
        <v>18</v>
      </c>
      <c r="F1959" t="s">
        <v>5163</v>
      </c>
      <c r="G1959" t="s">
        <v>5164</v>
      </c>
    </row>
    <row r="1960" spans="1:7" hidden="1">
      <c r="A1960" s="5" t="s">
        <v>3333</v>
      </c>
      <c r="B1960" t="s">
        <v>5161</v>
      </c>
      <c r="C1960" t="s">
        <v>251</v>
      </c>
      <c r="D1960" t="s">
        <v>7251</v>
      </c>
      <c r="E1960">
        <v>33</v>
      </c>
      <c r="F1960" t="s">
        <v>5163</v>
      </c>
      <c r="G1960" t="s">
        <v>5164</v>
      </c>
    </row>
    <row r="1961" spans="1:7" hidden="1">
      <c r="A1961" s="5" t="s">
        <v>246</v>
      </c>
      <c r="B1961" t="s">
        <v>5161</v>
      </c>
      <c r="C1961" t="s">
        <v>251</v>
      </c>
      <c r="D1961" t="s">
        <v>7252</v>
      </c>
      <c r="E1961">
        <v>25</v>
      </c>
      <c r="F1961" t="s">
        <v>5163</v>
      </c>
      <c r="G1961" t="s">
        <v>5164</v>
      </c>
    </row>
    <row r="1962" spans="1:7" hidden="1">
      <c r="A1962" s="5" t="s">
        <v>3691</v>
      </c>
      <c r="B1962" t="s">
        <v>5161</v>
      </c>
      <c r="C1962" t="s">
        <v>251</v>
      </c>
      <c r="D1962" t="s">
        <v>7253</v>
      </c>
      <c r="E1962">
        <v>39</v>
      </c>
      <c r="F1962" t="s">
        <v>5163</v>
      </c>
      <c r="G1962" t="s">
        <v>1905</v>
      </c>
    </row>
    <row r="1963" spans="1:7" hidden="1">
      <c r="A1963" s="5" t="s">
        <v>3497</v>
      </c>
      <c r="B1963" t="s">
        <v>5161</v>
      </c>
      <c r="C1963" t="s">
        <v>251</v>
      </c>
      <c r="D1963" t="s">
        <v>7254</v>
      </c>
      <c r="E1963">
        <v>36</v>
      </c>
      <c r="F1963" t="s">
        <v>5172</v>
      </c>
      <c r="G1963" t="s">
        <v>5169</v>
      </c>
    </row>
    <row r="1964" spans="1:7" hidden="1">
      <c r="A1964" s="5" t="s">
        <v>2900</v>
      </c>
      <c r="B1964" t="s">
        <v>5161</v>
      </c>
      <c r="C1964" t="s">
        <v>251</v>
      </c>
      <c r="D1964" t="s">
        <v>7255</v>
      </c>
      <c r="E1964">
        <v>76</v>
      </c>
      <c r="F1964" t="s">
        <v>5163</v>
      </c>
      <c r="G1964" t="s">
        <v>1905</v>
      </c>
    </row>
    <row r="1965" spans="1:7" hidden="1">
      <c r="A1965" s="5" t="s">
        <v>4010</v>
      </c>
      <c r="B1965" t="s">
        <v>5161</v>
      </c>
      <c r="C1965" t="s">
        <v>251</v>
      </c>
      <c r="D1965" t="s">
        <v>7256</v>
      </c>
      <c r="E1965">
        <v>27</v>
      </c>
      <c r="F1965" t="s">
        <v>5163</v>
      </c>
      <c r="G1965" t="s">
        <v>5164</v>
      </c>
    </row>
    <row r="1966" spans="1:7" hidden="1">
      <c r="A1966" s="5" t="s">
        <v>4532</v>
      </c>
      <c r="B1966" t="s">
        <v>5161</v>
      </c>
      <c r="C1966" t="s">
        <v>251</v>
      </c>
      <c r="D1966" t="s">
        <v>7257</v>
      </c>
      <c r="E1966">
        <v>36</v>
      </c>
      <c r="F1966" t="s">
        <v>5163</v>
      </c>
      <c r="G1966" t="s">
        <v>1905</v>
      </c>
    </row>
    <row r="1967" spans="1:7" hidden="1">
      <c r="A1967" s="5" t="s">
        <v>4933</v>
      </c>
      <c r="B1967" t="s">
        <v>5161</v>
      </c>
      <c r="C1967" t="s">
        <v>251</v>
      </c>
      <c r="D1967" t="s">
        <v>7258</v>
      </c>
      <c r="E1967">
        <v>27</v>
      </c>
      <c r="F1967" t="s">
        <v>5163</v>
      </c>
      <c r="G1967" t="s">
        <v>5164</v>
      </c>
    </row>
    <row r="1968" spans="1:7" hidden="1">
      <c r="A1968" s="5" t="s">
        <v>7259</v>
      </c>
      <c r="B1968" t="s">
        <v>5161</v>
      </c>
      <c r="C1968" t="s">
        <v>251</v>
      </c>
      <c r="D1968" t="s">
        <v>7260</v>
      </c>
      <c r="E1968" t="s">
        <v>5182</v>
      </c>
      <c r="F1968" t="s">
        <v>5172</v>
      </c>
      <c r="G1968" t="s">
        <v>1905</v>
      </c>
    </row>
    <row r="1969" spans="1:7" hidden="1">
      <c r="A1969" s="5" t="s">
        <v>4538</v>
      </c>
      <c r="B1969" t="s">
        <v>5161</v>
      </c>
      <c r="C1969" t="s">
        <v>264</v>
      </c>
      <c r="D1969" t="s">
        <v>7261</v>
      </c>
      <c r="E1969">
        <v>28</v>
      </c>
      <c r="F1969" t="s">
        <v>5163</v>
      </c>
      <c r="G1969" t="s">
        <v>5169</v>
      </c>
    </row>
    <row r="1970" spans="1:7" hidden="1">
      <c r="A1970" s="5" t="s">
        <v>4172</v>
      </c>
      <c r="B1970" t="s">
        <v>5161</v>
      </c>
      <c r="C1970" t="s">
        <v>264</v>
      </c>
      <c r="D1970" t="s">
        <v>7262</v>
      </c>
      <c r="E1970">
        <v>18</v>
      </c>
      <c r="F1970" t="s">
        <v>5163</v>
      </c>
      <c r="G1970" t="s">
        <v>1905</v>
      </c>
    </row>
    <row r="1971" spans="1:7" hidden="1">
      <c r="A1971" s="5" t="s">
        <v>4108</v>
      </c>
      <c r="B1971" t="s">
        <v>5161</v>
      </c>
      <c r="C1971" t="s">
        <v>264</v>
      </c>
      <c r="D1971" t="s">
        <v>7263</v>
      </c>
      <c r="E1971">
        <v>19</v>
      </c>
      <c r="F1971" t="s">
        <v>5163</v>
      </c>
      <c r="G1971" t="s">
        <v>5164</v>
      </c>
    </row>
    <row r="1972" spans="1:7" hidden="1">
      <c r="A1972" s="5" t="s">
        <v>4074</v>
      </c>
      <c r="B1972" t="s">
        <v>5161</v>
      </c>
      <c r="C1972" t="s">
        <v>264</v>
      </c>
      <c r="D1972" t="s">
        <v>7264</v>
      </c>
      <c r="E1972">
        <v>38</v>
      </c>
      <c r="F1972" t="s">
        <v>5163</v>
      </c>
      <c r="G1972" t="s">
        <v>5164</v>
      </c>
    </row>
    <row r="1973" spans="1:7" hidden="1">
      <c r="A1973" s="5" t="s">
        <v>4477</v>
      </c>
      <c r="B1973" t="s">
        <v>5161</v>
      </c>
      <c r="C1973" t="s">
        <v>264</v>
      </c>
      <c r="D1973" t="s">
        <v>7265</v>
      </c>
      <c r="E1973">
        <v>36</v>
      </c>
      <c r="F1973" t="s">
        <v>5163</v>
      </c>
      <c r="G1973" t="s">
        <v>1905</v>
      </c>
    </row>
    <row r="1974" spans="1:7" hidden="1">
      <c r="A1974" s="5" t="s">
        <v>4477</v>
      </c>
      <c r="B1974" t="s">
        <v>5161</v>
      </c>
      <c r="C1974" t="s">
        <v>264</v>
      </c>
      <c r="D1974" t="s">
        <v>7266</v>
      </c>
      <c r="E1974">
        <v>45</v>
      </c>
      <c r="F1974" t="s">
        <v>5163</v>
      </c>
      <c r="G1974" t="s">
        <v>5164</v>
      </c>
    </row>
    <row r="1975" spans="1:7" hidden="1">
      <c r="A1975" s="5" t="s">
        <v>3311</v>
      </c>
      <c r="B1975" t="s">
        <v>5161</v>
      </c>
      <c r="C1975" t="s">
        <v>264</v>
      </c>
      <c r="D1975" t="s">
        <v>7267</v>
      </c>
      <c r="E1975">
        <v>48</v>
      </c>
      <c r="F1975" t="s">
        <v>5163</v>
      </c>
      <c r="G1975" t="s">
        <v>1905</v>
      </c>
    </row>
    <row r="1976" spans="1:7" hidden="1">
      <c r="A1976" s="5" t="s">
        <v>4242</v>
      </c>
      <c r="B1976" t="s">
        <v>5161</v>
      </c>
      <c r="C1976" t="s">
        <v>264</v>
      </c>
      <c r="D1976" t="s">
        <v>7268</v>
      </c>
      <c r="E1976">
        <v>26</v>
      </c>
      <c r="F1976" t="s">
        <v>5163</v>
      </c>
      <c r="G1976" t="s">
        <v>1905</v>
      </c>
    </row>
    <row r="1977" spans="1:7" hidden="1">
      <c r="A1977" s="5" t="s">
        <v>255</v>
      </c>
      <c r="B1977" t="s">
        <v>5161</v>
      </c>
      <c r="C1977" t="s">
        <v>264</v>
      </c>
      <c r="D1977" t="s">
        <v>729</v>
      </c>
      <c r="E1977">
        <v>41</v>
      </c>
      <c r="F1977" t="s">
        <v>5163</v>
      </c>
      <c r="G1977" t="s">
        <v>5164</v>
      </c>
    </row>
    <row r="1978" spans="1:7" hidden="1">
      <c r="A1978" s="5" t="s">
        <v>3525</v>
      </c>
      <c r="B1978" t="s">
        <v>5161</v>
      </c>
      <c r="C1978" t="s">
        <v>264</v>
      </c>
      <c r="D1978" t="s">
        <v>7269</v>
      </c>
      <c r="E1978">
        <v>26</v>
      </c>
      <c r="F1978" t="s">
        <v>5163</v>
      </c>
      <c r="G1978" t="s">
        <v>5164</v>
      </c>
    </row>
    <row r="1979" spans="1:7" hidden="1">
      <c r="A1979" s="5" t="s">
        <v>3566</v>
      </c>
      <c r="B1979" t="s">
        <v>5161</v>
      </c>
      <c r="C1979" t="s">
        <v>264</v>
      </c>
      <c r="D1979" t="s">
        <v>7270</v>
      </c>
      <c r="E1979">
        <v>20</v>
      </c>
      <c r="F1979" t="s">
        <v>5163</v>
      </c>
      <c r="G1979" t="s">
        <v>5164</v>
      </c>
    </row>
    <row r="1980" spans="1:7" hidden="1">
      <c r="A1980" s="5" t="s">
        <v>3853</v>
      </c>
      <c r="B1980" t="s">
        <v>5161</v>
      </c>
      <c r="C1980" t="s">
        <v>264</v>
      </c>
      <c r="D1980" t="s">
        <v>7271</v>
      </c>
      <c r="E1980">
        <v>43</v>
      </c>
      <c r="F1980" t="s">
        <v>5163</v>
      </c>
      <c r="G1980" t="s">
        <v>5164</v>
      </c>
    </row>
    <row r="1981" spans="1:7" hidden="1">
      <c r="A1981" s="5" t="s">
        <v>3853</v>
      </c>
      <c r="B1981" t="s">
        <v>5161</v>
      </c>
      <c r="C1981" t="s">
        <v>264</v>
      </c>
      <c r="D1981" t="s">
        <v>7272</v>
      </c>
      <c r="E1981">
        <v>22</v>
      </c>
      <c r="F1981" t="s">
        <v>5172</v>
      </c>
      <c r="G1981" t="s">
        <v>5164</v>
      </c>
    </row>
    <row r="1982" spans="1:7" hidden="1">
      <c r="A1982" s="5" t="s">
        <v>3853</v>
      </c>
      <c r="B1982" t="s">
        <v>5161</v>
      </c>
      <c r="C1982" t="s">
        <v>264</v>
      </c>
      <c r="D1982" t="s">
        <v>7273</v>
      </c>
      <c r="E1982">
        <v>23</v>
      </c>
      <c r="F1982" t="s">
        <v>5163</v>
      </c>
      <c r="G1982" t="s">
        <v>5164</v>
      </c>
    </row>
    <row r="1983" spans="1:7" hidden="1">
      <c r="A1983" s="5" t="s">
        <v>3565</v>
      </c>
      <c r="B1983" t="s">
        <v>5161</v>
      </c>
      <c r="C1983" t="s">
        <v>264</v>
      </c>
      <c r="D1983" t="s">
        <v>7274</v>
      </c>
      <c r="E1983">
        <v>34</v>
      </c>
      <c r="F1983" t="s">
        <v>5163</v>
      </c>
      <c r="G1983" t="s">
        <v>5164</v>
      </c>
    </row>
    <row r="1984" spans="1:7" hidden="1">
      <c r="A1984" s="5" t="s">
        <v>3166</v>
      </c>
      <c r="B1984" t="s">
        <v>5161</v>
      </c>
      <c r="C1984" t="s">
        <v>264</v>
      </c>
      <c r="D1984" t="s">
        <v>7275</v>
      </c>
      <c r="E1984">
        <v>19</v>
      </c>
      <c r="F1984" t="s">
        <v>5163</v>
      </c>
      <c r="G1984" t="s">
        <v>6496</v>
      </c>
    </row>
    <row r="1985" spans="1:7" hidden="1">
      <c r="A1985" s="5" t="s">
        <v>4462</v>
      </c>
      <c r="B1985" t="s">
        <v>5161</v>
      </c>
      <c r="C1985" t="s">
        <v>264</v>
      </c>
      <c r="D1985" t="s">
        <v>7276</v>
      </c>
      <c r="E1985">
        <v>18</v>
      </c>
      <c r="F1985" t="s">
        <v>5163</v>
      </c>
      <c r="G1985" t="s">
        <v>5169</v>
      </c>
    </row>
    <row r="1986" spans="1:7" hidden="1">
      <c r="A1986" s="5" t="s">
        <v>4272</v>
      </c>
      <c r="B1986" t="s">
        <v>5161</v>
      </c>
      <c r="C1986" t="s">
        <v>264</v>
      </c>
      <c r="D1986" t="s">
        <v>7277</v>
      </c>
      <c r="E1986">
        <v>31</v>
      </c>
      <c r="F1986" t="s">
        <v>5163</v>
      </c>
      <c r="G1986" t="s">
        <v>1905</v>
      </c>
    </row>
    <row r="1987" spans="1:7" hidden="1">
      <c r="A1987" s="5" t="s">
        <v>2925</v>
      </c>
      <c r="B1987" t="s">
        <v>5161</v>
      </c>
      <c r="C1987" t="s">
        <v>264</v>
      </c>
      <c r="D1987" t="s">
        <v>7278</v>
      </c>
      <c r="E1987">
        <v>25</v>
      </c>
      <c r="F1987" t="s">
        <v>5163</v>
      </c>
      <c r="G1987" t="s">
        <v>1905</v>
      </c>
    </row>
    <row r="1988" spans="1:7" hidden="1">
      <c r="A1988" s="5" t="s">
        <v>2526</v>
      </c>
      <c r="B1988" t="s">
        <v>5161</v>
      </c>
      <c r="C1988" t="s">
        <v>264</v>
      </c>
      <c r="D1988" t="s">
        <v>7279</v>
      </c>
      <c r="E1988">
        <v>18</v>
      </c>
      <c r="F1988" t="s">
        <v>5163</v>
      </c>
      <c r="G1988" t="s">
        <v>1905</v>
      </c>
    </row>
    <row r="1989" spans="1:7" hidden="1">
      <c r="A1989" s="5" t="s">
        <v>4154</v>
      </c>
      <c r="B1989" t="s">
        <v>5161</v>
      </c>
      <c r="C1989" t="s">
        <v>264</v>
      </c>
      <c r="D1989" t="s">
        <v>7280</v>
      </c>
      <c r="E1989">
        <v>36</v>
      </c>
      <c r="F1989" t="s">
        <v>5163</v>
      </c>
      <c r="G1989" t="s">
        <v>5169</v>
      </c>
    </row>
    <row r="1990" spans="1:7" hidden="1">
      <c r="A1990" s="5" t="s">
        <v>2327</v>
      </c>
      <c r="B1990" t="s">
        <v>5161</v>
      </c>
      <c r="C1990" t="s">
        <v>264</v>
      </c>
      <c r="D1990" t="s">
        <v>7281</v>
      </c>
      <c r="E1990">
        <v>31</v>
      </c>
      <c r="F1990" t="s">
        <v>5163</v>
      </c>
      <c r="G1990" t="s">
        <v>1905</v>
      </c>
    </row>
    <row r="1991" spans="1:7" hidden="1">
      <c r="A1991" s="5" t="s">
        <v>2327</v>
      </c>
      <c r="B1991" t="s">
        <v>5161</v>
      </c>
      <c r="C1991" t="s">
        <v>264</v>
      </c>
      <c r="D1991" t="s">
        <v>7282</v>
      </c>
      <c r="E1991">
        <v>18</v>
      </c>
      <c r="F1991" t="s">
        <v>5163</v>
      </c>
      <c r="G1991" t="s">
        <v>1905</v>
      </c>
    </row>
    <row r="1992" spans="1:7" hidden="1">
      <c r="A1992" s="5" t="s">
        <v>2327</v>
      </c>
      <c r="B1992" t="s">
        <v>5161</v>
      </c>
      <c r="C1992" t="s">
        <v>264</v>
      </c>
      <c r="D1992" t="s">
        <v>7283</v>
      </c>
      <c r="E1992">
        <v>25</v>
      </c>
      <c r="F1992" t="s">
        <v>5163</v>
      </c>
      <c r="G1992" t="s">
        <v>1905</v>
      </c>
    </row>
    <row r="1993" spans="1:7" hidden="1">
      <c r="A1993" s="5" t="s">
        <v>263</v>
      </c>
      <c r="B1993" t="s">
        <v>5161</v>
      </c>
      <c r="C1993" t="s">
        <v>264</v>
      </c>
      <c r="D1993" t="s">
        <v>745</v>
      </c>
      <c r="E1993">
        <v>31</v>
      </c>
      <c r="F1993" t="s">
        <v>5163</v>
      </c>
      <c r="G1993" t="s">
        <v>1905</v>
      </c>
    </row>
    <row r="1994" spans="1:7" hidden="1">
      <c r="A1994" s="5" t="s">
        <v>2197</v>
      </c>
      <c r="B1994" t="s">
        <v>5161</v>
      </c>
      <c r="C1994" t="s">
        <v>264</v>
      </c>
      <c r="D1994" t="s">
        <v>7284</v>
      </c>
      <c r="E1994">
        <v>18</v>
      </c>
      <c r="F1994" t="s">
        <v>5163</v>
      </c>
      <c r="G1994" t="s">
        <v>5164</v>
      </c>
    </row>
    <row r="1995" spans="1:7" hidden="1">
      <c r="A1995" s="5" t="s">
        <v>3996</v>
      </c>
      <c r="B1995" t="s">
        <v>5161</v>
      </c>
      <c r="C1995" t="s">
        <v>264</v>
      </c>
      <c r="D1995" t="s">
        <v>7285</v>
      </c>
      <c r="E1995">
        <v>18</v>
      </c>
      <c r="F1995" t="s">
        <v>5163</v>
      </c>
      <c r="G1995" t="s">
        <v>1905</v>
      </c>
    </row>
    <row r="1996" spans="1:7" hidden="1">
      <c r="A1996" s="5" t="s">
        <v>4878</v>
      </c>
      <c r="B1996" t="s">
        <v>5161</v>
      </c>
      <c r="C1996" t="s">
        <v>264</v>
      </c>
      <c r="D1996" t="s">
        <v>7286</v>
      </c>
      <c r="E1996">
        <v>46</v>
      </c>
      <c r="F1996" t="s">
        <v>5163</v>
      </c>
      <c r="G1996" t="s">
        <v>1905</v>
      </c>
    </row>
    <row r="1997" spans="1:7" hidden="1">
      <c r="A1997" s="5" t="s">
        <v>4573</v>
      </c>
      <c r="B1997" t="s">
        <v>5161</v>
      </c>
      <c r="C1997" t="s">
        <v>264</v>
      </c>
      <c r="D1997" t="s">
        <v>7287</v>
      </c>
      <c r="E1997">
        <v>41</v>
      </c>
      <c r="F1997" t="s">
        <v>5163</v>
      </c>
      <c r="G1997" t="s">
        <v>1905</v>
      </c>
    </row>
    <row r="1998" spans="1:7" hidden="1">
      <c r="A1998" s="5" t="s">
        <v>4877</v>
      </c>
      <c r="B1998" t="s">
        <v>5161</v>
      </c>
      <c r="C1998" t="s">
        <v>264</v>
      </c>
      <c r="D1998" t="s">
        <v>7288</v>
      </c>
      <c r="E1998">
        <v>35</v>
      </c>
      <c r="F1998" t="s">
        <v>5163</v>
      </c>
      <c r="G1998" t="s">
        <v>1905</v>
      </c>
    </row>
    <row r="1999" spans="1:7" hidden="1">
      <c r="A1999" s="5" t="s">
        <v>4805</v>
      </c>
      <c r="B1999" t="s">
        <v>5161</v>
      </c>
      <c r="C1999" t="s">
        <v>264</v>
      </c>
      <c r="D1999" t="s">
        <v>5558</v>
      </c>
      <c r="E1999">
        <v>18</v>
      </c>
      <c r="F1999" t="s">
        <v>5163</v>
      </c>
      <c r="G1999" t="s">
        <v>5164</v>
      </c>
    </row>
    <row r="2000" spans="1:7" hidden="1">
      <c r="A2000" s="5" t="s">
        <v>3864</v>
      </c>
      <c r="B2000" t="s">
        <v>5161</v>
      </c>
      <c r="C2000" t="s">
        <v>264</v>
      </c>
      <c r="D2000" t="s">
        <v>7289</v>
      </c>
      <c r="E2000">
        <v>18</v>
      </c>
      <c r="F2000" t="s">
        <v>5163</v>
      </c>
      <c r="G2000" t="s">
        <v>5164</v>
      </c>
    </row>
    <row r="2001" spans="1:7" hidden="1">
      <c r="A2001" s="5" t="s">
        <v>3864</v>
      </c>
      <c r="B2001" t="s">
        <v>5161</v>
      </c>
      <c r="C2001" t="s">
        <v>264</v>
      </c>
      <c r="D2001" t="s">
        <v>7290</v>
      </c>
      <c r="E2001">
        <v>19</v>
      </c>
      <c r="F2001" t="s">
        <v>5163</v>
      </c>
      <c r="G2001" t="s">
        <v>5164</v>
      </c>
    </row>
    <row r="2002" spans="1:7" hidden="1">
      <c r="A2002" s="5" t="s">
        <v>3864</v>
      </c>
      <c r="B2002" t="s">
        <v>5161</v>
      </c>
      <c r="C2002" t="s">
        <v>264</v>
      </c>
      <c r="D2002" t="s">
        <v>7291</v>
      </c>
      <c r="E2002">
        <v>33</v>
      </c>
      <c r="F2002" t="s">
        <v>5163</v>
      </c>
      <c r="G2002" t="s">
        <v>5169</v>
      </c>
    </row>
    <row r="2003" spans="1:7" hidden="1">
      <c r="A2003" s="5" t="s">
        <v>4420</v>
      </c>
      <c r="B2003" t="s">
        <v>5161</v>
      </c>
      <c r="C2003" t="s">
        <v>264</v>
      </c>
      <c r="D2003" t="s">
        <v>7292</v>
      </c>
      <c r="E2003">
        <v>19</v>
      </c>
      <c r="F2003" t="s">
        <v>5163</v>
      </c>
      <c r="G2003" t="s">
        <v>5164</v>
      </c>
    </row>
    <row r="2004" spans="1:7" hidden="1">
      <c r="A2004" s="5" t="s">
        <v>261</v>
      </c>
      <c r="B2004" t="s">
        <v>5161</v>
      </c>
      <c r="C2004" t="s">
        <v>264</v>
      </c>
      <c r="D2004" t="s">
        <v>740</v>
      </c>
      <c r="E2004">
        <v>48</v>
      </c>
      <c r="F2004" t="s">
        <v>5163</v>
      </c>
      <c r="G2004" t="s">
        <v>1905</v>
      </c>
    </row>
    <row r="2005" spans="1:7" hidden="1">
      <c r="A2005" s="5" t="s">
        <v>261</v>
      </c>
      <c r="B2005" t="s">
        <v>5161</v>
      </c>
      <c r="C2005" t="s">
        <v>264</v>
      </c>
      <c r="D2005" t="s">
        <v>7293</v>
      </c>
      <c r="E2005">
        <v>38</v>
      </c>
      <c r="F2005" t="s">
        <v>5163</v>
      </c>
      <c r="G2005" t="s">
        <v>5164</v>
      </c>
    </row>
    <row r="2006" spans="1:7" hidden="1">
      <c r="A2006" s="5" t="s">
        <v>3954</v>
      </c>
      <c r="B2006" t="s">
        <v>5161</v>
      </c>
      <c r="C2006" t="s">
        <v>264</v>
      </c>
      <c r="D2006" t="s">
        <v>7294</v>
      </c>
      <c r="E2006">
        <v>20</v>
      </c>
      <c r="F2006" t="s">
        <v>5163</v>
      </c>
      <c r="G2006" t="s">
        <v>5182</v>
      </c>
    </row>
    <row r="2007" spans="1:7" hidden="1">
      <c r="A2007" s="5" t="s">
        <v>3954</v>
      </c>
      <c r="B2007" t="s">
        <v>5161</v>
      </c>
      <c r="C2007" t="s">
        <v>264</v>
      </c>
      <c r="D2007" t="s">
        <v>7295</v>
      </c>
      <c r="E2007">
        <v>27</v>
      </c>
      <c r="F2007" t="s">
        <v>5163</v>
      </c>
      <c r="G2007" t="s">
        <v>5164</v>
      </c>
    </row>
    <row r="2008" spans="1:7" hidden="1">
      <c r="A2008" s="5" t="s">
        <v>258</v>
      </c>
      <c r="B2008" t="s">
        <v>5161</v>
      </c>
      <c r="C2008" t="s">
        <v>264</v>
      </c>
      <c r="D2008" t="s">
        <v>733</v>
      </c>
      <c r="E2008">
        <v>29</v>
      </c>
      <c r="F2008" t="s">
        <v>5163</v>
      </c>
      <c r="G2008" t="s">
        <v>5164</v>
      </c>
    </row>
    <row r="2009" spans="1:7" hidden="1">
      <c r="A2009" s="5" t="s">
        <v>260</v>
      </c>
      <c r="B2009" t="s">
        <v>5161</v>
      </c>
      <c r="C2009" t="s">
        <v>264</v>
      </c>
      <c r="D2009" t="s">
        <v>736</v>
      </c>
      <c r="E2009">
        <v>27</v>
      </c>
      <c r="F2009" t="s">
        <v>5163</v>
      </c>
      <c r="G2009" t="s">
        <v>5164</v>
      </c>
    </row>
    <row r="2010" spans="1:7" hidden="1">
      <c r="A2010" s="5" t="s">
        <v>4356</v>
      </c>
      <c r="B2010" t="s">
        <v>5161</v>
      </c>
      <c r="C2010" t="s">
        <v>264</v>
      </c>
      <c r="D2010" t="s">
        <v>7296</v>
      </c>
      <c r="E2010">
        <v>20</v>
      </c>
      <c r="F2010" t="s">
        <v>5163</v>
      </c>
      <c r="G2010" t="s">
        <v>5164</v>
      </c>
    </row>
    <row r="2011" spans="1:7" hidden="1">
      <c r="A2011" s="5" t="s">
        <v>3783</v>
      </c>
      <c r="B2011" t="s">
        <v>5161</v>
      </c>
      <c r="C2011" t="s">
        <v>264</v>
      </c>
      <c r="D2011" t="s">
        <v>7297</v>
      </c>
      <c r="E2011">
        <v>30</v>
      </c>
      <c r="F2011" t="s">
        <v>5163</v>
      </c>
      <c r="G2011" t="s">
        <v>5164</v>
      </c>
    </row>
    <row r="2012" spans="1:7" hidden="1">
      <c r="A2012" s="5" t="s">
        <v>3783</v>
      </c>
      <c r="B2012" t="s">
        <v>5161</v>
      </c>
      <c r="C2012" t="s">
        <v>264</v>
      </c>
      <c r="D2012" t="s">
        <v>7298</v>
      </c>
      <c r="E2012">
        <v>25</v>
      </c>
      <c r="F2012" t="s">
        <v>5163</v>
      </c>
      <c r="G2012" t="s">
        <v>1905</v>
      </c>
    </row>
    <row r="2013" spans="1:7" hidden="1">
      <c r="A2013" s="5" t="s">
        <v>3783</v>
      </c>
      <c r="B2013" t="s">
        <v>5161</v>
      </c>
      <c r="C2013" t="s">
        <v>264</v>
      </c>
      <c r="D2013" t="s">
        <v>7299</v>
      </c>
      <c r="E2013">
        <v>21</v>
      </c>
      <c r="F2013" t="s">
        <v>5163</v>
      </c>
      <c r="G2013" t="s">
        <v>5182</v>
      </c>
    </row>
    <row r="2014" spans="1:7" hidden="1">
      <c r="A2014" s="5" t="s">
        <v>4174</v>
      </c>
      <c r="B2014" t="s">
        <v>5161</v>
      </c>
      <c r="C2014" t="s">
        <v>264</v>
      </c>
      <c r="D2014" t="s">
        <v>7300</v>
      </c>
      <c r="E2014">
        <v>29</v>
      </c>
      <c r="F2014" t="s">
        <v>5163</v>
      </c>
      <c r="G2014" t="s">
        <v>5164</v>
      </c>
    </row>
    <row r="2015" spans="1:7" hidden="1">
      <c r="A2015" s="5" t="s">
        <v>3973</v>
      </c>
      <c r="B2015" t="s">
        <v>5161</v>
      </c>
      <c r="C2015" t="s">
        <v>264</v>
      </c>
      <c r="D2015" t="s">
        <v>7301</v>
      </c>
      <c r="E2015">
        <v>27</v>
      </c>
      <c r="F2015" t="s">
        <v>5163</v>
      </c>
      <c r="G2015" t="s">
        <v>5164</v>
      </c>
    </row>
    <row r="2016" spans="1:7" hidden="1">
      <c r="A2016" s="5" t="s">
        <v>3851</v>
      </c>
      <c r="B2016" t="s">
        <v>5161</v>
      </c>
      <c r="C2016" t="s">
        <v>264</v>
      </c>
      <c r="D2016" t="s">
        <v>7302</v>
      </c>
      <c r="E2016">
        <v>24</v>
      </c>
      <c r="F2016" t="s">
        <v>5163</v>
      </c>
      <c r="G2016" t="s">
        <v>5164</v>
      </c>
    </row>
    <row r="2017" spans="1:7" hidden="1">
      <c r="A2017" s="5" t="s">
        <v>4004</v>
      </c>
      <c r="B2017" t="s">
        <v>5161</v>
      </c>
      <c r="C2017" t="s">
        <v>264</v>
      </c>
      <c r="D2017" t="s">
        <v>7303</v>
      </c>
      <c r="E2017">
        <v>28</v>
      </c>
      <c r="F2017" t="s">
        <v>5163</v>
      </c>
      <c r="G2017" t="s">
        <v>5164</v>
      </c>
    </row>
    <row r="2018" spans="1:7" hidden="1">
      <c r="A2018" s="5" t="s">
        <v>4499</v>
      </c>
      <c r="B2018" t="s">
        <v>5161</v>
      </c>
      <c r="C2018" t="s">
        <v>264</v>
      </c>
      <c r="D2018" t="s">
        <v>7304</v>
      </c>
      <c r="E2018">
        <v>27</v>
      </c>
      <c r="F2018" t="s">
        <v>5172</v>
      </c>
      <c r="G2018" t="s">
        <v>1905</v>
      </c>
    </row>
    <row r="2019" spans="1:7" hidden="1">
      <c r="A2019" s="5" t="s">
        <v>3831</v>
      </c>
      <c r="B2019" t="s">
        <v>5161</v>
      </c>
      <c r="C2019" t="s">
        <v>264</v>
      </c>
      <c r="D2019" t="s">
        <v>7305</v>
      </c>
      <c r="E2019">
        <v>26</v>
      </c>
      <c r="F2019" t="s">
        <v>5163</v>
      </c>
      <c r="G2019" t="s">
        <v>5164</v>
      </c>
    </row>
    <row r="2020" spans="1:7" hidden="1">
      <c r="A2020" s="5" t="s">
        <v>3690</v>
      </c>
      <c r="B2020" t="s">
        <v>5161</v>
      </c>
      <c r="C2020" t="s">
        <v>264</v>
      </c>
      <c r="D2020" t="s">
        <v>7306</v>
      </c>
      <c r="E2020">
        <v>50</v>
      </c>
      <c r="F2020" t="s">
        <v>5163</v>
      </c>
      <c r="G2020" t="s">
        <v>5164</v>
      </c>
    </row>
    <row r="2021" spans="1:7" hidden="1">
      <c r="A2021" s="5" t="s">
        <v>3164</v>
      </c>
      <c r="B2021" t="s">
        <v>5161</v>
      </c>
      <c r="C2021" t="s">
        <v>264</v>
      </c>
      <c r="D2021" t="s">
        <v>7307</v>
      </c>
      <c r="E2021">
        <v>30</v>
      </c>
      <c r="F2021" t="s">
        <v>5163</v>
      </c>
      <c r="G2021" t="s">
        <v>5164</v>
      </c>
    </row>
    <row r="2022" spans="1:7" hidden="1">
      <c r="A2022" s="5" t="s">
        <v>7308</v>
      </c>
      <c r="B2022" t="s">
        <v>5161</v>
      </c>
      <c r="C2022" t="s">
        <v>264</v>
      </c>
      <c r="D2022" t="s">
        <v>7309</v>
      </c>
      <c r="E2022" t="s">
        <v>5182</v>
      </c>
      <c r="F2022" t="s">
        <v>5163</v>
      </c>
      <c r="G2022" t="s">
        <v>1905</v>
      </c>
    </row>
    <row r="2023" spans="1:7" hidden="1">
      <c r="A2023" s="5" t="s">
        <v>3657</v>
      </c>
      <c r="B2023" t="s">
        <v>5161</v>
      </c>
      <c r="C2023" t="s">
        <v>264</v>
      </c>
      <c r="D2023" t="s">
        <v>7310</v>
      </c>
      <c r="E2023">
        <v>47</v>
      </c>
      <c r="F2023" t="s">
        <v>5163</v>
      </c>
      <c r="G2023" t="s">
        <v>5164</v>
      </c>
    </row>
    <row r="2024" spans="1:7" hidden="1">
      <c r="A2024" s="5" t="s">
        <v>3475</v>
      </c>
      <c r="B2024" t="s">
        <v>5161</v>
      </c>
      <c r="C2024" t="s">
        <v>264</v>
      </c>
      <c r="D2024" t="s">
        <v>7311</v>
      </c>
      <c r="E2024">
        <v>22</v>
      </c>
      <c r="F2024" t="s">
        <v>5163</v>
      </c>
      <c r="G2024" t="s">
        <v>5164</v>
      </c>
    </row>
    <row r="2025" spans="1:7" hidden="1">
      <c r="A2025" s="5" t="s">
        <v>2882</v>
      </c>
      <c r="B2025" t="s">
        <v>5161</v>
      </c>
      <c r="C2025" t="s">
        <v>264</v>
      </c>
      <c r="D2025" t="s">
        <v>7312</v>
      </c>
      <c r="E2025">
        <v>35</v>
      </c>
      <c r="F2025" t="s">
        <v>5163</v>
      </c>
      <c r="G2025" t="s">
        <v>1905</v>
      </c>
    </row>
    <row r="2026" spans="1:7" hidden="1">
      <c r="A2026" s="5" t="s">
        <v>3703</v>
      </c>
      <c r="B2026" t="s">
        <v>5161</v>
      </c>
      <c r="C2026" t="s">
        <v>264</v>
      </c>
      <c r="D2026" t="s">
        <v>7313</v>
      </c>
      <c r="E2026">
        <v>21</v>
      </c>
      <c r="F2026" t="s">
        <v>5163</v>
      </c>
      <c r="G2026" t="s">
        <v>1905</v>
      </c>
    </row>
    <row r="2027" spans="1:7" hidden="1">
      <c r="A2027" s="5" t="s">
        <v>2226</v>
      </c>
      <c r="B2027" t="s">
        <v>5161</v>
      </c>
      <c r="C2027" t="s">
        <v>264</v>
      </c>
      <c r="D2027" t="s">
        <v>7314</v>
      </c>
      <c r="E2027">
        <v>27</v>
      </c>
      <c r="F2027" t="s">
        <v>5163</v>
      </c>
      <c r="G2027" t="s">
        <v>5164</v>
      </c>
    </row>
    <row r="2028" spans="1:7" hidden="1">
      <c r="A2028" s="5" t="s">
        <v>256</v>
      </c>
      <c r="B2028" t="s">
        <v>5161</v>
      </c>
      <c r="C2028" t="s">
        <v>264</v>
      </c>
      <c r="D2028" t="s">
        <v>7315</v>
      </c>
      <c r="E2028">
        <v>43</v>
      </c>
      <c r="F2028" t="s">
        <v>5163</v>
      </c>
      <c r="G2028" t="s">
        <v>5164</v>
      </c>
    </row>
    <row r="2029" spans="1:7" hidden="1">
      <c r="A2029" s="5" t="s">
        <v>256</v>
      </c>
      <c r="B2029" t="s">
        <v>5161</v>
      </c>
      <c r="C2029" t="s">
        <v>264</v>
      </c>
      <c r="D2029" t="s">
        <v>731</v>
      </c>
      <c r="E2029">
        <v>24</v>
      </c>
      <c r="F2029" t="s">
        <v>5163</v>
      </c>
      <c r="G2029" t="s">
        <v>5164</v>
      </c>
    </row>
    <row r="2030" spans="1:7" hidden="1">
      <c r="A2030" s="5" t="s">
        <v>3599</v>
      </c>
      <c r="B2030" t="s">
        <v>5161</v>
      </c>
      <c r="C2030" t="s">
        <v>264</v>
      </c>
      <c r="D2030" t="s">
        <v>7316</v>
      </c>
      <c r="E2030">
        <v>19</v>
      </c>
      <c r="F2030" t="s">
        <v>5163</v>
      </c>
      <c r="G2030" t="s">
        <v>1905</v>
      </c>
    </row>
    <row r="2031" spans="1:7" hidden="1">
      <c r="A2031" s="5" t="s">
        <v>3200</v>
      </c>
      <c r="B2031" t="s">
        <v>5161</v>
      </c>
      <c r="C2031" t="s">
        <v>264</v>
      </c>
      <c r="D2031" t="s">
        <v>7317</v>
      </c>
      <c r="E2031">
        <v>37</v>
      </c>
      <c r="F2031" t="s">
        <v>5163</v>
      </c>
      <c r="G2031" t="s">
        <v>1905</v>
      </c>
    </row>
    <row r="2032" spans="1:7" hidden="1">
      <c r="A2032" s="5" t="s">
        <v>3053</v>
      </c>
      <c r="B2032" t="s">
        <v>5161</v>
      </c>
      <c r="C2032" t="s">
        <v>264</v>
      </c>
      <c r="D2032" t="s">
        <v>7318</v>
      </c>
      <c r="E2032">
        <v>29</v>
      </c>
      <c r="F2032" t="s">
        <v>5163</v>
      </c>
      <c r="G2032" t="s">
        <v>5164</v>
      </c>
    </row>
    <row r="2033" spans="1:7" hidden="1">
      <c r="A2033" s="5" t="s">
        <v>2970</v>
      </c>
      <c r="B2033" t="s">
        <v>5161</v>
      </c>
      <c r="C2033" t="s">
        <v>264</v>
      </c>
      <c r="D2033" t="s">
        <v>7319</v>
      </c>
      <c r="E2033">
        <v>24</v>
      </c>
      <c r="F2033" t="s">
        <v>5163</v>
      </c>
      <c r="G2033" t="s">
        <v>5164</v>
      </c>
    </row>
    <row r="2034" spans="1:7" hidden="1">
      <c r="A2034" s="5" t="s">
        <v>3050</v>
      </c>
      <c r="B2034" t="s">
        <v>5161</v>
      </c>
      <c r="C2034" t="s">
        <v>264</v>
      </c>
      <c r="D2034" t="s">
        <v>7320</v>
      </c>
      <c r="E2034">
        <v>24</v>
      </c>
      <c r="F2034" t="s">
        <v>5163</v>
      </c>
      <c r="G2034" t="s">
        <v>5164</v>
      </c>
    </row>
    <row r="2035" spans="1:7" hidden="1">
      <c r="A2035" s="5" t="s">
        <v>7321</v>
      </c>
      <c r="B2035" t="s">
        <v>5161</v>
      </c>
      <c r="C2035" t="s">
        <v>264</v>
      </c>
      <c r="D2035" t="s">
        <v>7322</v>
      </c>
      <c r="E2035">
        <v>30</v>
      </c>
      <c r="F2035" t="s">
        <v>5163</v>
      </c>
      <c r="G2035" t="s">
        <v>1905</v>
      </c>
    </row>
    <row r="2036" spans="1:7" hidden="1">
      <c r="A2036" s="5" t="s">
        <v>3384</v>
      </c>
      <c r="B2036" t="s">
        <v>5161</v>
      </c>
      <c r="C2036" t="s">
        <v>264</v>
      </c>
      <c r="D2036" t="s">
        <v>7323</v>
      </c>
      <c r="E2036">
        <v>21</v>
      </c>
      <c r="F2036" t="s">
        <v>5163</v>
      </c>
      <c r="G2036" t="s">
        <v>1905</v>
      </c>
    </row>
    <row r="2037" spans="1:7" hidden="1">
      <c r="A2037" s="5" t="s">
        <v>3378</v>
      </c>
      <c r="B2037" t="s">
        <v>5161</v>
      </c>
      <c r="C2037" t="s">
        <v>264</v>
      </c>
      <c r="D2037" t="s">
        <v>7324</v>
      </c>
      <c r="E2037">
        <v>37</v>
      </c>
      <c r="F2037" t="s">
        <v>5163</v>
      </c>
      <c r="G2037" t="s">
        <v>1905</v>
      </c>
    </row>
    <row r="2038" spans="1:7" hidden="1">
      <c r="A2038" s="5" t="s">
        <v>259</v>
      </c>
      <c r="B2038" t="s">
        <v>5161</v>
      </c>
      <c r="C2038" t="s">
        <v>264</v>
      </c>
      <c r="D2038" t="s">
        <v>734</v>
      </c>
      <c r="E2038">
        <v>45</v>
      </c>
      <c r="F2038" t="s">
        <v>5163</v>
      </c>
      <c r="G2038" t="s">
        <v>5169</v>
      </c>
    </row>
    <row r="2039" spans="1:7" hidden="1">
      <c r="A2039" s="5" t="s">
        <v>2945</v>
      </c>
      <c r="B2039" t="s">
        <v>5161</v>
      </c>
      <c r="C2039" t="s">
        <v>264</v>
      </c>
      <c r="D2039" t="s">
        <v>7325</v>
      </c>
      <c r="E2039">
        <v>45</v>
      </c>
      <c r="F2039" t="s">
        <v>5163</v>
      </c>
      <c r="G2039" t="s">
        <v>5164</v>
      </c>
    </row>
    <row r="2040" spans="1:7" hidden="1">
      <c r="A2040" s="5" t="s">
        <v>2430</v>
      </c>
      <c r="B2040" t="s">
        <v>5161</v>
      </c>
      <c r="C2040" t="s">
        <v>264</v>
      </c>
      <c r="D2040" t="s">
        <v>7326</v>
      </c>
      <c r="E2040">
        <v>57</v>
      </c>
      <c r="F2040" t="s">
        <v>5163</v>
      </c>
      <c r="G2040" t="s">
        <v>5169</v>
      </c>
    </row>
    <row r="2041" spans="1:7" hidden="1">
      <c r="A2041" s="5" t="s">
        <v>3199</v>
      </c>
      <c r="B2041" t="s">
        <v>5161</v>
      </c>
      <c r="C2041" t="s">
        <v>264</v>
      </c>
      <c r="D2041" t="s">
        <v>7327</v>
      </c>
      <c r="E2041">
        <v>44</v>
      </c>
      <c r="F2041" t="s">
        <v>5163</v>
      </c>
      <c r="G2041" t="s">
        <v>1905</v>
      </c>
    </row>
    <row r="2042" spans="1:7" hidden="1">
      <c r="A2042" s="5" t="s">
        <v>3199</v>
      </c>
      <c r="B2042" t="s">
        <v>5161</v>
      </c>
      <c r="C2042" t="s">
        <v>264</v>
      </c>
      <c r="D2042" t="s">
        <v>7328</v>
      </c>
      <c r="E2042">
        <v>19</v>
      </c>
      <c r="F2042" t="s">
        <v>5163</v>
      </c>
      <c r="G2042" t="s">
        <v>1905</v>
      </c>
    </row>
    <row r="2043" spans="1:7" hidden="1">
      <c r="A2043" s="5" t="s">
        <v>3491</v>
      </c>
      <c r="B2043" t="s">
        <v>5161</v>
      </c>
      <c r="C2043" t="s">
        <v>264</v>
      </c>
      <c r="D2043" t="s">
        <v>7329</v>
      </c>
      <c r="E2043">
        <v>22</v>
      </c>
      <c r="F2043" t="s">
        <v>5163</v>
      </c>
      <c r="G2043" t="s">
        <v>1905</v>
      </c>
    </row>
    <row r="2044" spans="1:7" hidden="1">
      <c r="A2044" s="5" t="s">
        <v>254</v>
      </c>
      <c r="B2044" t="s">
        <v>5161</v>
      </c>
      <c r="C2044" t="s">
        <v>264</v>
      </c>
      <c r="D2044" t="s">
        <v>727</v>
      </c>
      <c r="E2044">
        <v>25</v>
      </c>
      <c r="F2044" t="s">
        <v>5163</v>
      </c>
      <c r="G2044" t="s">
        <v>5164</v>
      </c>
    </row>
    <row r="2045" spans="1:7" hidden="1">
      <c r="A2045" s="5" t="s">
        <v>3198</v>
      </c>
      <c r="B2045" t="s">
        <v>5161</v>
      </c>
      <c r="C2045" t="s">
        <v>264</v>
      </c>
      <c r="D2045" t="s">
        <v>7330</v>
      </c>
      <c r="E2045">
        <v>32</v>
      </c>
      <c r="F2045" t="s">
        <v>5163</v>
      </c>
      <c r="G2045" t="s">
        <v>5164</v>
      </c>
    </row>
    <row r="2046" spans="1:7" hidden="1">
      <c r="A2046" s="5" t="s">
        <v>2804</v>
      </c>
      <c r="B2046" t="s">
        <v>5161</v>
      </c>
      <c r="C2046" t="s">
        <v>264</v>
      </c>
      <c r="D2046" t="s">
        <v>7331</v>
      </c>
      <c r="E2046">
        <v>28</v>
      </c>
      <c r="F2046" t="s">
        <v>5163</v>
      </c>
      <c r="G2046" t="s">
        <v>1905</v>
      </c>
    </row>
    <row r="2047" spans="1:7" hidden="1">
      <c r="A2047" s="5" t="s">
        <v>3230</v>
      </c>
      <c r="B2047" t="s">
        <v>5161</v>
      </c>
      <c r="C2047" t="s">
        <v>264</v>
      </c>
      <c r="D2047" t="s">
        <v>7332</v>
      </c>
      <c r="E2047">
        <v>19</v>
      </c>
      <c r="F2047" t="s">
        <v>5163</v>
      </c>
      <c r="G2047" t="s">
        <v>1905</v>
      </c>
    </row>
    <row r="2048" spans="1:7" hidden="1">
      <c r="A2048" s="5" t="s">
        <v>2969</v>
      </c>
      <c r="B2048" t="s">
        <v>5161</v>
      </c>
      <c r="C2048" t="s">
        <v>264</v>
      </c>
      <c r="D2048" t="s">
        <v>7333</v>
      </c>
      <c r="E2048">
        <v>18</v>
      </c>
      <c r="F2048" t="s">
        <v>5172</v>
      </c>
      <c r="G2048" t="s">
        <v>1905</v>
      </c>
    </row>
    <row r="2049" spans="1:7" hidden="1">
      <c r="A2049" s="5" t="s">
        <v>2868</v>
      </c>
      <c r="B2049" t="s">
        <v>5161</v>
      </c>
      <c r="C2049" t="s">
        <v>264</v>
      </c>
      <c r="D2049" t="s">
        <v>7334</v>
      </c>
      <c r="E2049">
        <v>28</v>
      </c>
      <c r="F2049" t="s">
        <v>5163</v>
      </c>
      <c r="G2049" t="s">
        <v>5164</v>
      </c>
    </row>
    <row r="2050" spans="1:7" hidden="1">
      <c r="A2050" s="5" t="s">
        <v>3128</v>
      </c>
      <c r="B2050" t="s">
        <v>5161</v>
      </c>
      <c r="C2050" t="s">
        <v>264</v>
      </c>
      <c r="D2050" t="s">
        <v>7335</v>
      </c>
      <c r="E2050">
        <v>25</v>
      </c>
      <c r="F2050" t="s">
        <v>5163</v>
      </c>
      <c r="G2050" t="s">
        <v>5164</v>
      </c>
    </row>
    <row r="2051" spans="1:7" hidden="1">
      <c r="A2051" s="5" t="s">
        <v>262</v>
      </c>
      <c r="B2051" t="s">
        <v>5161</v>
      </c>
      <c r="C2051" t="s">
        <v>264</v>
      </c>
      <c r="D2051" t="s">
        <v>743</v>
      </c>
      <c r="E2051">
        <v>24</v>
      </c>
      <c r="F2051" t="s">
        <v>5163</v>
      </c>
      <c r="G2051" t="s">
        <v>5164</v>
      </c>
    </row>
    <row r="2052" spans="1:7" hidden="1">
      <c r="A2052" s="5" t="s">
        <v>2741</v>
      </c>
      <c r="B2052" t="s">
        <v>5161</v>
      </c>
      <c r="C2052" t="s">
        <v>264</v>
      </c>
      <c r="D2052" t="s">
        <v>7336</v>
      </c>
      <c r="E2052">
        <v>35</v>
      </c>
      <c r="F2052" t="s">
        <v>5163</v>
      </c>
      <c r="G2052" t="s">
        <v>1905</v>
      </c>
    </row>
    <row r="2053" spans="1:7" hidden="1">
      <c r="A2053" s="5" t="s">
        <v>3205</v>
      </c>
      <c r="B2053" t="s">
        <v>5161</v>
      </c>
      <c r="C2053" t="s">
        <v>264</v>
      </c>
      <c r="D2053" t="s">
        <v>7337</v>
      </c>
      <c r="E2053">
        <v>20</v>
      </c>
      <c r="F2053" t="s">
        <v>5163</v>
      </c>
      <c r="G2053" t="s">
        <v>5164</v>
      </c>
    </row>
    <row r="2054" spans="1:7" hidden="1">
      <c r="A2054" s="5" t="s">
        <v>2667</v>
      </c>
      <c r="B2054" t="s">
        <v>5161</v>
      </c>
      <c r="C2054" t="s">
        <v>264</v>
      </c>
      <c r="D2054" t="s">
        <v>7338</v>
      </c>
      <c r="E2054">
        <v>22</v>
      </c>
      <c r="F2054" t="s">
        <v>5163</v>
      </c>
      <c r="G2054" t="s">
        <v>5164</v>
      </c>
    </row>
    <row r="2055" spans="1:7" hidden="1">
      <c r="A2055" s="5" t="s">
        <v>2968</v>
      </c>
      <c r="B2055" t="s">
        <v>5161</v>
      </c>
      <c r="C2055" t="s">
        <v>264</v>
      </c>
      <c r="D2055" t="s">
        <v>7339</v>
      </c>
      <c r="E2055">
        <v>24</v>
      </c>
      <c r="F2055" t="s">
        <v>5163</v>
      </c>
      <c r="G2055" t="s">
        <v>1905</v>
      </c>
    </row>
    <row r="2056" spans="1:7" hidden="1">
      <c r="A2056" s="5" t="s">
        <v>2543</v>
      </c>
      <c r="B2056" t="s">
        <v>5161</v>
      </c>
      <c r="C2056" t="s">
        <v>264</v>
      </c>
      <c r="D2056" t="s">
        <v>7340</v>
      </c>
      <c r="E2056">
        <v>24</v>
      </c>
      <c r="F2056" t="s">
        <v>5163</v>
      </c>
      <c r="G2056" t="s">
        <v>1905</v>
      </c>
    </row>
    <row r="2057" spans="1:7" hidden="1">
      <c r="A2057" s="5" t="s">
        <v>2671</v>
      </c>
      <c r="B2057" t="s">
        <v>5161</v>
      </c>
      <c r="C2057" t="s">
        <v>264</v>
      </c>
      <c r="D2057" t="s">
        <v>7341</v>
      </c>
      <c r="E2057">
        <v>30</v>
      </c>
      <c r="F2057" t="s">
        <v>5163</v>
      </c>
      <c r="G2057" t="s">
        <v>5169</v>
      </c>
    </row>
    <row r="2058" spans="1:7" hidden="1">
      <c r="A2058" s="5" t="s">
        <v>4810</v>
      </c>
      <c r="B2058" t="s">
        <v>5161</v>
      </c>
      <c r="C2058" t="s">
        <v>264</v>
      </c>
      <c r="D2058" t="s">
        <v>7342</v>
      </c>
      <c r="E2058" t="s">
        <v>5182</v>
      </c>
      <c r="F2058" t="s">
        <v>5163</v>
      </c>
      <c r="G2058" t="s">
        <v>5164</v>
      </c>
    </row>
    <row r="2059" spans="1:7" hidden="1">
      <c r="A2059" s="5" t="s">
        <v>2831</v>
      </c>
      <c r="B2059" t="s">
        <v>5161</v>
      </c>
      <c r="C2059" t="s">
        <v>264</v>
      </c>
      <c r="D2059" t="s">
        <v>7343</v>
      </c>
      <c r="E2059">
        <v>18</v>
      </c>
      <c r="F2059" t="s">
        <v>5163</v>
      </c>
      <c r="G2059" t="s">
        <v>5164</v>
      </c>
    </row>
    <row r="2060" spans="1:7" hidden="1">
      <c r="A2060" s="5" t="s">
        <v>2944</v>
      </c>
      <c r="B2060" t="s">
        <v>5161</v>
      </c>
      <c r="C2060" t="s">
        <v>264</v>
      </c>
      <c r="D2060" t="s">
        <v>7344</v>
      </c>
      <c r="E2060">
        <v>33</v>
      </c>
      <c r="F2060" t="s">
        <v>5163</v>
      </c>
      <c r="G2060" t="s">
        <v>5164</v>
      </c>
    </row>
    <row r="2061" spans="1:7" hidden="1">
      <c r="A2061" s="5" t="s">
        <v>7345</v>
      </c>
      <c r="B2061" t="s">
        <v>5161</v>
      </c>
      <c r="C2061" t="s">
        <v>264</v>
      </c>
      <c r="D2061" t="s">
        <v>7346</v>
      </c>
      <c r="E2061">
        <v>18</v>
      </c>
      <c r="F2061" t="s">
        <v>5163</v>
      </c>
      <c r="G2061" t="s">
        <v>5164</v>
      </c>
    </row>
    <row r="2062" spans="1:7" hidden="1">
      <c r="A2062" s="5" t="s">
        <v>4658</v>
      </c>
      <c r="B2062" t="s">
        <v>5161</v>
      </c>
      <c r="C2062" t="s">
        <v>264</v>
      </c>
      <c r="D2062" t="s">
        <v>7347</v>
      </c>
      <c r="E2062">
        <v>19</v>
      </c>
      <c r="F2062" t="s">
        <v>5163</v>
      </c>
      <c r="G2062" t="s">
        <v>1905</v>
      </c>
    </row>
    <row r="2063" spans="1:7" hidden="1">
      <c r="A2063" s="5" t="s">
        <v>4435</v>
      </c>
      <c r="B2063" t="s">
        <v>5161</v>
      </c>
      <c r="C2063" t="s">
        <v>264</v>
      </c>
      <c r="D2063" t="s">
        <v>7348</v>
      </c>
      <c r="E2063">
        <v>21</v>
      </c>
      <c r="F2063" t="s">
        <v>5163</v>
      </c>
      <c r="G2063" t="s">
        <v>1905</v>
      </c>
    </row>
    <row r="2064" spans="1:7" hidden="1">
      <c r="A2064" s="5" t="s">
        <v>2250</v>
      </c>
      <c r="B2064" t="s">
        <v>5161</v>
      </c>
      <c r="C2064" t="s">
        <v>264</v>
      </c>
      <c r="D2064" t="s">
        <v>7349</v>
      </c>
      <c r="E2064">
        <v>31</v>
      </c>
      <c r="F2064" t="s">
        <v>5163</v>
      </c>
      <c r="G2064" t="s">
        <v>1905</v>
      </c>
    </row>
    <row r="2065" spans="1:7" hidden="1">
      <c r="A2065" s="5" t="s">
        <v>2633</v>
      </c>
      <c r="B2065" t="s">
        <v>5161</v>
      </c>
      <c r="C2065" t="s">
        <v>264</v>
      </c>
      <c r="D2065" t="s">
        <v>7350</v>
      </c>
      <c r="E2065">
        <v>37</v>
      </c>
      <c r="F2065" t="s">
        <v>5163</v>
      </c>
      <c r="G2065" t="s">
        <v>1905</v>
      </c>
    </row>
    <row r="2066" spans="1:7" hidden="1">
      <c r="A2066" s="5" t="s">
        <v>2856</v>
      </c>
      <c r="B2066" t="s">
        <v>5161</v>
      </c>
      <c r="C2066" t="s">
        <v>264</v>
      </c>
      <c r="D2066" t="s">
        <v>7351</v>
      </c>
      <c r="E2066">
        <v>25</v>
      </c>
      <c r="F2066" t="s">
        <v>5163</v>
      </c>
      <c r="G2066" t="s">
        <v>5164</v>
      </c>
    </row>
    <row r="2067" spans="1:7" hidden="1">
      <c r="A2067" s="5" t="s">
        <v>5010</v>
      </c>
      <c r="B2067" t="s">
        <v>5161</v>
      </c>
      <c r="C2067" t="s">
        <v>264</v>
      </c>
      <c r="D2067" t="s">
        <v>7352</v>
      </c>
      <c r="E2067">
        <v>21</v>
      </c>
      <c r="F2067" t="s">
        <v>5163</v>
      </c>
      <c r="G2067" t="s">
        <v>5169</v>
      </c>
    </row>
    <row r="2068" spans="1:7" hidden="1">
      <c r="A2068" s="5" t="s">
        <v>257</v>
      </c>
      <c r="B2068" t="s">
        <v>5161</v>
      </c>
      <c r="C2068" t="s">
        <v>264</v>
      </c>
      <c r="D2068" t="s">
        <v>732</v>
      </c>
      <c r="E2068">
        <v>22</v>
      </c>
      <c r="F2068" t="s">
        <v>5163</v>
      </c>
      <c r="G2068" t="s">
        <v>1905</v>
      </c>
    </row>
    <row r="2069" spans="1:7" hidden="1">
      <c r="A2069" s="5" t="s">
        <v>2406</v>
      </c>
      <c r="B2069" t="s">
        <v>5161</v>
      </c>
      <c r="C2069" t="s">
        <v>264</v>
      </c>
      <c r="D2069" t="s">
        <v>7353</v>
      </c>
      <c r="E2069">
        <v>31</v>
      </c>
      <c r="F2069" t="s">
        <v>5163</v>
      </c>
      <c r="G2069" t="s">
        <v>5164</v>
      </c>
    </row>
    <row r="2070" spans="1:7" hidden="1">
      <c r="A2070" s="5" t="s">
        <v>2404</v>
      </c>
      <c r="B2070" t="s">
        <v>5161</v>
      </c>
      <c r="C2070" t="s">
        <v>264</v>
      </c>
      <c r="D2070" t="s">
        <v>7354</v>
      </c>
      <c r="E2070">
        <v>27</v>
      </c>
      <c r="F2070" t="s">
        <v>5163</v>
      </c>
      <c r="G2070" t="s">
        <v>5164</v>
      </c>
    </row>
    <row r="2071" spans="1:7" hidden="1">
      <c r="A2071" s="5" t="s">
        <v>4969</v>
      </c>
      <c r="B2071" t="s">
        <v>5161</v>
      </c>
      <c r="C2071" t="s">
        <v>264</v>
      </c>
      <c r="D2071" t="s">
        <v>7355</v>
      </c>
      <c r="E2071">
        <v>33</v>
      </c>
      <c r="F2071" t="s">
        <v>5163</v>
      </c>
      <c r="G2071" t="s">
        <v>5164</v>
      </c>
    </row>
    <row r="2072" spans="1:7" hidden="1">
      <c r="A2072" s="5" t="s">
        <v>2778</v>
      </c>
      <c r="B2072" t="s">
        <v>5161</v>
      </c>
      <c r="C2072" t="s">
        <v>264</v>
      </c>
      <c r="D2072" t="s">
        <v>7356</v>
      </c>
      <c r="E2072">
        <v>19</v>
      </c>
      <c r="F2072" t="s">
        <v>5163</v>
      </c>
      <c r="G2072" t="s">
        <v>5164</v>
      </c>
    </row>
    <row r="2073" spans="1:7" hidden="1">
      <c r="A2073" s="5" t="s">
        <v>2196</v>
      </c>
      <c r="B2073" t="s">
        <v>5161</v>
      </c>
      <c r="C2073" t="s">
        <v>264</v>
      </c>
      <c r="D2073" t="s">
        <v>7357</v>
      </c>
      <c r="E2073">
        <v>24</v>
      </c>
      <c r="F2073" t="s">
        <v>5163</v>
      </c>
      <c r="G2073" t="s">
        <v>1905</v>
      </c>
    </row>
    <row r="2074" spans="1:7" hidden="1">
      <c r="A2074" s="5" t="s">
        <v>4971</v>
      </c>
      <c r="B2074" t="s">
        <v>5161</v>
      </c>
      <c r="C2074" t="s">
        <v>264</v>
      </c>
      <c r="D2074" t="s">
        <v>7358</v>
      </c>
      <c r="E2074">
        <v>25</v>
      </c>
      <c r="F2074" t="s">
        <v>5163</v>
      </c>
      <c r="G2074" t="s">
        <v>5169</v>
      </c>
    </row>
    <row r="2075" spans="1:7" hidden="1">
      <c r="A2075" s="5" t="s">
        <v>2384</v>
      </c>
      <c r="B2075" t="s">
        <v>5161</v>
      </c>
      <c r="C2075" t="s">
        <v>264</v>
      </c>
      <c r="D2075" t="s">
        <v>7359</v>
      </c>
      <c r="E2075">
        <v>24</v>
      </c>
      <c r="F2075" t="s">
        <v>5163</v>
      </c>
      <c r="G2075" t="s">
        <v>5164</v>
      </c>
    </row>
    <row r="2076" spans="1:7" hidden="1">
      <c r="A2076" s="5" t="s">
        <v>2384</v>
      </c>
      <c r="B2076" t="s">
        <v>5161</v>
      </c>
      <c r="C2076" t="s">
        <v>264</v>
      </c>
      <c r="D2076" t="s">
        <v>7360</v>
      </c>
      <c r="E2076">
        <v>20</v>
      </c>
      <c r="F2076" t="s">
        <v>5163</v>
      </c>
      <c r="G2076" t="s">
        <v>5169</v>
      </c>
    </row>
    <row r="2077" spans="1:7" hidden="1">
      <c r="A2077" s="5" t="s">
        <v>2275</v>
      </c>
      <c r="B2077" t="s">
        <v>5161</v>
      </c>
      <c r="C2077" t="s">
        <v>264</v>
      </c>
      <c r="D2077" t="s">
        <v>7361</v>
      </c>
      <c r="E2077">
        <v>21</v>
      </c>
      <c r="F2077" t="s">
        <v>5163</v>
      </c>
      <c r="G2077" t="s">
        <v>1905</v>
      </c>
    </row>
    <row r="2078" spans="1:7" hidden="1">
      <c r="A2078" s="5" t="s">
        <v>2275</v>
      </c>
      <c r="B2078" t="s">
        <v>5161</v>
      </c>
      <c r="C2078" t="s">
        <v>264</v>
      </c>
      <c r="D2078" t="s">
        <v>7362</v>
      </c>
      <c r="E2078">
        <v>26</v>
      </c>
      <c r="F2078" t="s">
        <v>5163</v>
      </c>
      <c r="G2078" t="s">
        <v>1905</v>
      </c>
    </row>
    <row r="2079" spans="1:7" hidden="1">
      <c r="A2079" s="5" t="s">
        <v>4939</v>
      </c>
      <c r="B2079" t="s">
        <v>5161</v>
      </c>
      <c r="C2079" t="s">
        <v>264</v>
      </c>
      <c r="D2079" t="s">
        <v>7363</v>
      </c>
      <c r="E2079">
        <v>38</v>
      </c>
      <c r="F2079" t="s">
        <v>5163</v>
      </c>
      <c r="G2079" t="s">
        <v>1905</v>
      </c>
    </row>
    <row r="2080" spans="1:7" hidden="1">
      <c r="A2080" s="5" t="s">
        <v>3021</v>
      </c>
      <c r="B2080" t="s">
        <v>5161</v>
      </c>
      <c r="C2080" t="s">
        <v>264</v>
      </c>
      <c r="D2080" t="s">
        <v>7364</v>
      </c>
      <c r="E2080">
        <v>29</v>
      </c>
      <c r="F2080" t="s">
        <v>5163</v>
      </c>
      <c r="G2080" t="s">
        <v>5164</v>
      </c>
    </row>
    <row r="2081" spans="1:7" hidden="1">
      <c r="A2081" s="5" t="s">
        <v>4533</v>
      </c>
      <c r="B2081" t="s">
        <v>5161</v>
      </c>
      <c r="C2081" t="s">
        <v>264</v>
      </c>
      <c r="D2081" t="s">
        <v>7365</v>
      </c>
      <c r="E2081">
        <v>20</v>
      </c>
      <c r="F2081" t="s">
        <v>5163</v>
      </c>
      <c r="G2081" t="s">
        <v>1905</v>
      </c>
    </row>
    <row r="2082" spans="1:7" hidden="1">
      <c r="A2082" s="5" t="s">
        <v>4533</v>
      </c>
      <c r="B2082" t="s">
        <v>5161</v>
      </c>
      <c r="C2082" t="s">
        <v>264</v>
      </c>
      <c r="D2082" t="s">
        <v>7366</v>
      </c>
      <c r="E2082">
        <v>36</v>
      </c>
      <c r="F2082" t="s">
        <v>5163</v>
      </c>
      <c r="G2082" t="s">
        <v>5164</v>
      </c>
    </row>
    <row r="2083" spans="1:7" hidden="1">
      <c r="A2083" s="5" t="s">
        <v>7367</v>
      </c>
      <c r="B2083" t="s">
        <v>5161</v>
      </c>
      <c r="C2083" t="s">
        <v>264</v>
      </c>
      <c r="D2083" t="s">
        <v>7368</v>
      </c>
      <c r="E2083">
        <v>37</v>
      </c>
      <c r="F2083" t="s">
        <v>5163</v>
      </c>
      <c r="G2083" t="s">
        <v>1905</v>
      </c>
    </row>
    <row r="2084" spans="1:7" hidden="1">
      <c r="A2084" s="5" t="s">
        <v>7367</v>
      </c>
      <c r="B2084" t="s">
        <v>5161</v>
      </c>
      <c r="C2084" t="s">
        <v>264</v>
      </c>
      <c r="D2084" t="s">
        <v>7369</v>
      </c>
      <c r="E2084">
        <v>33</v>
      </c>
      <c r="F2084" t="s">
        <v>5163</v>
      </c>
      <c r="G2084" t="s">
        <v>5164</v>
      </c>
    </row>
    <row r="2085" spans="1:7" hidden="1">
      <c r="A2085" s="5" t="s">
        <v>7367</v>
      </c>
      <c r="B2085" t="s">
        <v>5161</v>
      </c>
      <c r="C2085" t="s">
        <v>264</v>
      </c>
      <c r="D2085" t="s">
        <v>7370</v>
      </c>
      <c r="E2085">
        <v>31</v>
      </c>
      <c r="F2085" t="s">
        <v>5163</v>
      </c>
      <c r="G2085" t="s">
        <v>1905</v>
      </c>
    </row>
    <row r="2086" spans="1:7" hidden="1">
      <c r="A2086" s="5" t="s">
        <v>4890</v>
      </c>
      <c r="B2086" t="s">
        <v>5161</v>
      </c>
      <c r="C2086" t="s">
        <v>264</v>
      </c>
      <c r="D2086" t="s">
        <v>7371</v>
      </c>
      <c r="E2086">
        <v>23</v>
      </c>
      <c r="F2086" t="s">
        <v>5163</v>
      </c>
      <c r="G2086" t="s">
        <v>5164</v>
      </c>
    </row>
    <row r="2087" spans="1:7" hidden="1">
      <c r="A2087" s="5" t="s">
        <v>7372</v>
      </c>
      <c r="B2087" t="s">
        <v>5161</v>
      </c>
      <c r="C2087" t="s">
        <v>264</v>
      </c>
      <c r="D2087" t="s">
        <v>7373</v>
      </c>
      <c r="E2087">
        <v>35</v>
      </c>
      <c r="F2087" t="s">
        <v>5163</v>
      </c>
      <c r="G2087" t="s">
        <v>5164</v>
      </c>
    </row>
    <row r="2088" spans="1:7" hidden="1">
      <c r="A2088" s="5" t="s">
        <v>253</v>
      </c>
      <c r="B2088" t="s">
        <v>5161</v>
      </c>
      <c r="C2088" t="s">
        <v>264</v>
      </c>
      <c r="D2088" t="s">
        <v>726</v>
      </c>
      <c r="E2088">
        <v>34</v>
      </c>
      <c r="F2088" t="s">
        <v>5163</v>
      </c>
      <c r="G2088" t="s">
        <v>1905</v>
      </c>
    </row>
    <row r="2089" spans="1:7" hidden="1">
      <c r="A2089" s="5" t="s">
        <v>4678</v>
      </c>
      <c r="B2089" t="s">
        <v>5161</v>
      </c>
      <c r="C2089" t="s">
        <v>264</v>
      </c>
      <c r="D2089" t="s">
        <v>7374</v>
      </c>
      <c r="E2089">
        <v>19</v>
      </c>
      <c r="F2089" t="s">
        <v>5163</v>
      </c>
      <c r="G2089" t="s">
        <v>5164</v>
      </c>
    </row>
    <row r="2090" spans="1:7" hidden="1">
      <c r="A2090" s="5" t="s">
        <v>4937</v>
      </c>
      <c r="B2090" t="s">
        <v>5161</v>
      </c>
      <c r="C2090" t="s">
        <v>264</v>
      </c>
      <c r="D2090" t="s">
        <v>7375</v>
      </c>
      <c r="E2090">
        <v>40</v>
      </c>
      <c r="F2090" t="s">
        <v>5163</v>
      </c>
      <c r="G2090" t="s">
        <v>1905</v>
      </c>
    </row>
    <row r="2091" spans="1:7" hidden="1">
      <c r="A2091" s="5" t="s">
        <v>4324</v>
      </c>
      <c r="B2091" t="s">
        <v>5161</v>
      </c>
      <c r="C2091" t="s">
        <v>264</v>
      </c>
      <c r="D2091" t="s">
        <v>7376</v>
      </c>
      <c r="E2091">
        <v>27</v>
      </c>
      <c r="F2091" t="s">
        <v>5163</v>
      </c>
      <c r="G2091" t="s">
        <v>5164</v>
      </c>
    </row>
    <row r="2092" spans="1:7" hidden="1">
      <c r="A2092" s="5" t="s">
        <v>4324</v>
      </c>
      <c r="B2092" t="s">
        <v>5161</v>
      </c>
      <c r="C2092" t="s">
        <v>264</v>
      </c>
      <c r="D2092" t="s">
        <v>7377</v>
      </c>
      <c r="E2092">
        <v>20</v>
      </c>
      <c r="F2092" t="s">
        <v>5163</v>
      </c>
      <c r="G2092" t="s">
        <v>5164</v>
      </c>
    </row>
    <row r="2093" spans="1:7" hidden="1">
      <c r="A2093" s="5" t="s">
        <v>4324</v>
      </c>
      <c r="B2093" t="s">
        <v>5161</v>
      </c>
      <c r="C2093" t="s">
        <v>264</v>
      </c>
      <c r="D2093" t="s">
        <v>7378</v>
      </c>
      <c r="E2093">
        <v>28</v>
      </c>
      <c r="F2093" t="s">
        <v>5163</v>
      </c>
      <c r="G2093" t="s">
        <v>5169</v>
      </c>
    </row>
    <row r="2094" spans="1:7" hidden="1">
      <c r="A2094" s="5" t="s">
        <v>4324</v>
      </c>
      <c r="B2094" t="s">
        <v>5161</v>
      </c>
      <c r="C2094" t="s">
        <v>264</v>
      </c>
      <c r="D2094" t="s">
        <v>7379</v>
      </c>
      <c r="E2094">
        <v>31</v>
      </c>
      <c r="F2094" t="s">
        <v>5163</v>
      </c>
      <c r="G2094" t="s">
        <v>5164</v>
      </c>
    </row>
    <row r="2095" spans="1:7" hidden="1">
      <c r="A2095" s="5" t="s">
        <v>4324</v>
      </c>
      <c r="B2095" t="s">
        <v>5161</v>
      </c>
      <c r="C2095" t="s">
        <v>264</v>
      </c>
      <c r="D2095" t="s">
        <v>7380</v>
      </c>
      <c r="E2095">
        <v>25</v>
      </c>
      <c r="F2095" t="s">
        <v>5163</v>
      </c>
      <c r="G2095" t="s">
        <v>5164</v>
      </c>
    </row>
    <row r="2096" spans="1:7" hidden="1">
      <c r="A2096" s="5" t="s">
        <v>4324</v>
      </c>
      <c r="B2096" t="s">
        <v>5161</v>
      </c>
      <c r="C2096" t="s">
        <v>264</v>
      </c>
      <c r="D2096" t="s">
        <v>7381</v>
      </c>
      <c r="E2096">
        <v>23</v>
      </c>
      <c r="F2096" t="s">
        <v>5172</v>
      </c>
      <c r="G2096" t="s">
        <v>1905</v>
      </c>
    </row>
    <row r="2097" spans="1:7" hidden="1">
      <c r="A2097" s="5" t="s">
        <v>4324</v>
      </c>
      <c r="B2097" t="s">
        <v>5161</v>
      </c>
      <c r="C2097" t="s">
        <v>264</v>
      </c>
      <c r="D2097" t="s">
        <v>7382</v>
      </c>
      <c r="E2097">
        <v>21</v>
      </c>
      <c r="F2097" t="s">
        <v>5163</v>
      </c>
      <c r="G2097" t="s">
        <v>5164</v>
      </c>
    </row>
    <row r="2098" spans="1:7" hidden="1">
      <c r="A2098" s="5" t="s">
        <v>4324</v>
      </c>
      <c r="B2098" t="s">
        <v>5161</v>
      </c>
      <c r="C2098" t="s">
        <v>264</v>
      </c>
      <c r="D2098" t="s">
        <v>7383</v>
      </c>
      <c r="E2098">
        <v>19</v>
      </c>
      <c r="F2098" t="s">
        <v>5163</v>
      </c>
      <c r="G2098" t="s">
        <v>5164</v>
      </c>
    </row>
    <row r="2099" spans="1:7" hidden="1">
      <c r="A2099" s="5" t="s">
        <v>4791</v>
      </c>
      <c r="B2099" t="s">
        <v>5161</v>
      </c>
      <c r="C2099" t="s">
        <v>264</v>
      </c>
      <c r="D2099" t="s">
        <v>7384</v>
      </c>
      <c r="E2099">
        <v>20</v>
      </c>
      <c r="F2099" t="s">
        <v>5163</v>
      </c>
      <c r="G2099" t="s">
        <v>5164</v>
      </c>
    </row>
    <row r="2100" spans="1:7" hidden="1">
      <c r="A2100" s="5" t="s">
        <v>4773</v>
      </c>
      <c r="B2100" t="s">
        <v>5161</v>
      </c>
      <c r="C2100" t="s">
        <v>264</v>
      </c>
      <c r="D2100" t="s">
        <v>7385</v>
      </c>
      <c r="E2100">
        <v>23</v>
      </c>
      <c r="F2100" t="s">
        <v>5163</v>
      </c>
      <c r="G2100" t="s">
        <v>5169</v>
      </c>
    </row>
    <row r="2101" spans="1:7" hidden="1">
      <c r="A2101" s="5" t="s">
        <v>4713</v>
      </c>
      <c r="B2101" t="s">
        <v>5161</v>
      </c>
      <c r="C2101" t="s">
        <v>264</v>
      </c>
      <c r="D2101" t="s">
        <v>7386</v>
      </c>
      <c r="E2101">
        <v>20</v>
      </c>
      <c r="F2101" t="s">
        <v>5163</v>
      </c>
      <c r="G2101" t="s">
        <v>5164</v>
      </c>
    </row>
    <row r="2102" spans="1:7" hidden="1">
      <c r="A2102" s="5" t="s">
        <v>4787</v>
      </c>
      <c r="B2102" t="s">
        <v>5161</v>
      </c>
      <c r="C2102" t="s">
        <v>264</v>
      </c>
      <c r="D2102" t="s">
        <v>7387</v>
      </c>
      <c r="E2102">
        <v>33</v>
      </c>
      <c r="F2102" t="s">
        <v>5163</v>
      </c>
      <c r="G2102" t="s">
        <v>1905</v>
      </c>
    </row>
    <row r="2103" spans="1:7" hidden="1">
      <c r="A2103" s="5" t="s">
        <v>4574</v>
      </c>
      <c r="B2103" t="s">
        <v>5161</v>
      </c>
      <c r="C2103" t="s">
        <v>264</v>
      </c>
      <c r="D2103" t="s">
        <v>7388</v>
      </c>
      <c r="E2103">
        <v>18</v>
      </c>
      <c r="F2103" t="s">
        <v>5163</v>
      </c>
      <c r="G2103" t="s">
        <v>5169</v>
      </c>
    </row>
    <row r="2104" spans="1:7" hidden="1">
      <c r="A2104" s="5" t="s">
        <v>3422</v>
      </c>
      <c r="B2104" t="s">
        <v>5161</v>
      </c>
      <c r="C2104" t="s">
        <v>264</v>
      </c>
      <c r="D2104" t="s">
        <v>5930</v>
      </c>
      <c r="E2104">
        <v>34</v>
      </c>
      <c r="F2104" t="s">
        <v>5163</v>
      </c>
      <c r="G2104" t="s">
        <v>5169</v>
      </c>
    </row>
    <row r="2105" spans="1:7" hidden="1">
      <c r="A2105" s="5" t="s">
        <v>4640</v>
      </c>
      <c r="B2105" t="s">
        <v>5161</v>
      </c>
      <c r="C2105" t="s">
        <v>264</v>
      </c>
      <c r="D2105" t="s">
        <v>7389</v>
      </c>
      <c r="E2105">
        <v>21</v>
      </c>
      <c r="F2105" t="s">
        <v>5163</v>
      </c>
      <c r="G2105" t="s">
        <v>5164</v>
      </c>
    </row>
    <row r="2106" spans="1:7" hidden="1">
      <c r="A2106" s="5" t="s">
        <v>4640</v>
      </c>
      <c r="B2106" t="s">
        <v>5161</v>
      </c>
      <c r="C2106" t="s">
        <v>264</v>
      </c>
      <c r="D2106" t="s">
        <v>7390</v>
      </c>
      <c r="E2106">
        <v>29</v>
      </c>
      <c r="F2106" t="s">
        <v>5163</v>
      </c>
      <c r="G2106" t="s">
        <v>5164</v>
      </c>
    </row>
    <row r="2107" spans="1:7" hidden="1">
      <c r="A2107" s="5" t="s">
        <v>4637</v>
      </c>
      <c r="B2107" t="s">
        <v>5161</v>
      </c>
      <c r="C2107" t="s">
        <v>264</v>
      </c>
      <c r="D2107" t="s">
        <v>7391</v>
      </c>
      <c r="E2107">
        <v>20</v>
      </c>
      <c r="F2107" t="s">
        <v>5163</v>
      </c>
      <c r="G2107" t="s">
        <v>5169</v>
      </c>
    </row>
    <row r="2108" spans="1:7" hidden="1">
      <c r="A2108" s="5" t="s">
        <v>3165</v>
      </c>
      <c r="B2108" t="s">
        <v>5161</v>
      </c>
      <c r="C2108" t="s">
        <v>264</v>
      </c>
      <c r="D2108" t="s">
        <v>7392</v>
      </c>
      <c r="E2108">
        <v>22</v>
      </c>
      <c r="F2108" t="s">
        <v>5163</v>
      </c>
      <c r="G2108" t="s">
        <v>5164</v>
      </c>
    </row>
    <row r="2109" spans="1:7" hidden="1">
      <c r="A2109" s="5" t="s">
        <v>4564</v>
      </c>
      <c r="B2109" t="s">
        <v>5161</v>
      </c>
      <c r="C2109" t="s">
        <v>264</v>
      </c>
      <c r="D2109" t="s">
        <v>7393</v>
      </c>
      <c r="E2109">
        <v>25</v>
      </c>
      <c r="F2109" t="s">
        <v>5163</v>
      </c>
      <c r="G2109" t="s">
        <v>5164</v>
      </c>
    </row>
    <row r="2110" spans="1:7" hidden="1">
      <c r="A2110" s="5" t="s">
        <v>3051</v>
      </c>
      <c r="B2110" t="s">
        <v>5161</v>
      </c>
      <c r="C2110" t="s">
        <v>264</v>
      </c>
      <c r="D2110" t="s">
        <v>7394</v>
      </c>
      <c r="E2110">
        <v>18</v>
      </c>
      <c r="F2110" t="s">
        <v>5163</v>
      </c>
      <c r="G2110" t="s">
        <v>1905</v>
      </c>
    </row>
    <row r="2111" spans="1:7" hidden="1">
      <c r="A2111" s="5" t="s">
        <v>3051</v>
      </c>
      <c r="B2111" t="s">
        <v>5161</v>
      </c>
      <c r="C2111" t="s">
        <v>264</v>
      </c>
      <c r="D2111" t="s">
        <v>7395</v>
      </c>
      <c r="E2111">
        <v>26</v>
      </c>
      <c r="F2111" t="s">
        <v>5163</v>
      </c>
      <c r="G2111" t="s">
        <v>1905</v>
      </c>
    </row>
    <row r="2112" spans="1:7" hidden="1">
      <c r="A2112" s="5" t="s">
        <v>4524</v>
      </c>
      <c r="B2112" t="s">
        <v>5161</v>
      </c>
      <c r="C2112" t="s">
        <v>264</v>
      </c>
      <c r="D2112" t="s">
        <v>7396</v>
      </c>
      <c r="E2112">
        <v>38</v>
      </c>
      <c r="F2112" t="s">
        <v>5163</v>
      </c>
      <c r="G2112" t="s">
        <v>5164</v>
      </c>
    </row>
    <row r="2113" spans="1:7" hidden="1">
      <c r="A2113" s="5" t="s">
        <v>3942</v>
      </c>
      <c r="B2113" t="s">
        <v>5161</v>
      </c>
      <c r="C2113" t="s">
        <v>277</v>
      </c>
      <c r="D2113" t="s">
        <v>7397</v>
      </c>
      <c r="E2113">
        <v>20</v>
      </c>
      <c r="F2113" t="s">
        <v>5163</v>
      </c>
      <c r="G2113" t="s">
        <v>1905</v>
      </c>
    </row>
    <row r="2114" spans="1:7" hidden="1">
      <c r="A2114" s="5" t="s">
        <v>3942</v>
      </c>
      <c r="B2114" t="s">
        <v>5161</v>
      </c>
      <c r="C2114" t="s">
        <v>277</v>
      </c>
      <c r="D2114" t="s">
        <v>7398</v>
      </c>
      <c r="E2114">
        <v>26</v>
      </c>
      <c r="F2114" t="s">
        <v>5172</v>
      </c>
      <c r="G2114" t="s">
        <v>1905</v>
      </c>
    </row>
    <row r="2115" spans="1:7" hidden="1">
      <c r="A2115" s="5" t="s">
        <v>4020</v>
      </c>
      <c r="B2115" t="s">
        <v>5161</v>
      </c>
      <c r="C2115" t="s">
        <v>277</v>
      </c>
      <c r="D2115" t="s">
        <v>7399</v>
      </c>
      <c r="E2115">
        <v>20</v>
      </c>
      <c r="F2115" t="s">
        <v>5163</v>
      </c>
      <c r="G2115" t="s">
        <v>5164</v>
      </c>
    </row>
    <row r="2116" spans="1:7" hidden="1">
      <c r="A2116" s="5" t="s">
        <v>4388</v>
      </c>
      <c r="B2116" t="s">
        <v>5161</v>
      </c>
      <c r="C2116" t="s">
        <v>277</v>
      </c>
      <c r="D2116" t="s">
        <v>7400</v>
      </c>
      <c r="E2116">
        <v>30</v>
      </c>
      <c r="F2116" t="s">
        <v>5172</v>
      </c>
      <c r="G2116" t="s">
        <v>5164</v>
      </c>
    </row>
    <row r="2117" spans="1:7" hidden="1">
      <c r="A2117" s="5" t="s">
        <v>4312</v>
      </c>
      <c r="B2117" t="s">
        <v>5161</v>
      </c>
      <c r="C2117" t="s">
        <v>277</v>
      </c>
      <c r="D2117" t="s">
        <v>7401</v>
      </c>
      <c r="E2117">
        <v>36</v>
      </c>
      <c r="F2117" t="s">
        <v>5163</v>
      </c>
      <c r="G2117" t="s">
        <v>1905</v>
      </c>
    </row>
    <row r="2118" spans="1:7" hidden="1">
      <c r="A2118" s="5" t="s">
        <v>4094</v>
      </c>
      <c r="B2118" t="s">
        <v>5161</v>
      </c>
      <c r="C2118" t="s">
        <v>277</v>
      </c>
      <c r="D2118" t="s">
        <v>7402</v>
      </c>
      <c r="E2118">
        <v>24</v>
      </c>
      <c r="F2118" t="s">
        <v>5163</v>
      </c>
      <c r="G2118" t="s">
        <v>5164</v>
      </c>
    </row>
    <row r="2119" spans="1:7" hidden="1">
      <c r="A2119" s="5" t="s">
        <v>3986</v>
      </c>
      <c r="B2119" t="s">
        <v>5161</v>
      </c>
      <c r="C2119" t="s">
        <v>277</v>
      </c>
      <c r="D2119" t="s">
        <v>7403</v>
      </c>
      <c r="E2119">
        <v>37</v>
      </c>
      <c r="F2119" t="s">
        <v>5163</v>
      </c>
      <c r="G2119" t="s">
        <v>5164</v>
      </c>
    </row>
    <row r="2120" spans="1:7" hidden="1">
      <c r="A2120" s="5" t="s">
        <v>3986</v>
      </c>
      <c r="B2120" t="s">
        <v>5161</v>
      </c>
      <c r="C2120" t="s">
        <v>277</v>
      </c>
      <c r="D2120" t="s">
        <v>7404</v>
      </c>
      <c r="E2120">
        <v>30</v>
      </c>
      <c r="F2120" t="s">
        <v>5163</v>
      </c>
      <c r="G2120" t="s">
        <v>5182</v>
      </c>
    </row>
    <row r="2121" spans="1:7" hidden="1">
      <c r="A2121" s="5" t="s">
        <v>4129</v>
      </c>
      <c r="B2121" t="s">
        <v>5161</v>
      </c>
      <c r="C2121" t="s">
        <v>277</v>
      </c>
      <c r="D2121" t="s">
        <v>7405</v>
      </c>
      <c r="E2121">
        <v>20</v>
      </c>
      <c r="F2121" t="s">
        <v>5163</v>
      </c>
      <c r="G2121" t="s">
        <v>5169</v>
      </c>
    </row>
    <row r="2122" spans="1:7" hidden="1">
      <c r="A2122" s="5" t="s">
        <v>3675</v>
      </c>
      <c r="B2122" t="s">
        <v>5161</v>
      </c>
      <c r="C2122" t="s">
        <v>277</v>
      </c>
      <c r="D2122" t="s">
        <v>7406</v>
      </c>
      <c r="E2122">
        <v>26</v>
      </c>
      <c r="F2122" t="s">
        <v>5163</v>
      </c>
      <c r="G2122" t="s">
        <v>5169</v>
      </c>
    </row>
    <row r="2123" spans="1:7" hidden="1">
      <c r="A2123" s="5" t="s">
        <v>3675</v>
      </c>
      <c r="B2123" t="s">
        <v>5161</v>
      </c>
      <c r="C2123" t="s">
        <v>277</v>
      </c>
      <c r="D2123" t="s">
        <v>7407</v>
      </c>
      <c r="E2123">
        <v>27</v>
      </c>
      <c r="F2123" t="s">
        <v>5163</v>
      </c>
      <c r="G2123" t="s">
        <v>1905</v>
      </c>
    </row>
    <row r="2124" spans="1:7" hidden="1">
      <c r="A2124" s="5" t="s">
        <v>2485</v>
      </c>
      <c r="B2124" t="s">
        <v>5161</v>
      </c>
      <c r="C2124" t="s">
        <v>277</v>
      </c>
      <c r="D2124" t="s">
        <v>7408</v>
      </c>
      <c r="E2124">
        <v>32</v>
      </c>
      <c r="F2124" t="s">
        <v>5163</v>
      </c>
      <c r="G2124" t="s">
        <v>5164</v>
      </c>
    </row>
    <row r="2125" spans="1:7" hidden="1">
      <c r="A2125" s="5" t="s">
        <v>2485</v>
      </c>
      <c r="B2125" t="s">
        <v>5161</v>
      </c>
      <c r="C2125" t="s">
        <v>277</v>
      </c>
      <c r="D2125" t="s">
        <v>7409</v>
      </c>
      <c r="E2125">
        <v>31</v>
      </c>
      <c r="F2125" t="s">
        <v>5163</v>
      </c>
      <c r="G2125" t="s">
        <v>5169</v>
      </c>
    </row>
    <row r="2126" spans="1:7" hidden="1">
      <c r="A2126" s="5" t="s">
        <v>3804</v>
      </c>
      <c r="B2126" t="s">
        <v>5161</v>
      </c>
      <c r="C2126" t="s">
        <v>277</v>
      </c>
      <c r="D2126" t="s">
        <v>7410</v>
      </c>
      <c r="E2126">
        <v>36</v>
      </c>
      <c r="F2126" t="s">
        <v>5163</v>
      </c>
      <c r="G2126" t="s">
        <v>5164</v>
      </c>
    </row>
    <row r="2127" spans="1:7" hidden="1">
      <c r="A2127" s="5" t="s">
        <v>3403</v>
      </c>
      <c r="B2127" t="s">
        <v>5161</v>
      </c>
      <c r="C2127" t="s">
        <v>277</v>
      </c>
      <c r="D2127" t="s">
        <v>7411</v>
      </c>
      <c r="E2127">
        <v>22</v>
      </c>
      <c r="F2127" t="s">
        <v>5163</v>
      </c>
      <c r="G2127" t="s">
        <v>1905</v>
      </c>
    </row>
    <row r="2128" spans="1:7" hidden="1">
      <c r="A2128" s="5" t="s">
        <v>2553</v>
      </c>
      <c r="B2128" t="s">
        <v>5161</v>
      </c>
      <c r="C2128" t="s">
        <v>277</v>
      </c>
      <c r="D2128" t="s">
        <v>7412</v>
      </c>
      <c r="E2128">
        <v>18</v>
      </c>
      <c r="F2128" t="s">
        <v>5163</v>
      </c>
      <c r="G2128" t="s">
        <v>5164</v>
      </c>
    </row>
    <row r="2129" spans="1:7" hidden="1">
      <c r="A2129" s="5" t="s">
        <v>3610</v>
      </c>
      <c r="B2129" t="s">
        <v>5161</v>
      </c>
      <c r="C2129" t="s">
        <v>277</v>
      </c>
      <c r="D2129" t="s">
        <v>7413</v>
      </c>
      <c r="E2129">
        <v>23</v>
      </c>
      <c r="F2129" t="s">
        <v>5163</v>
      </c>
      <c r="G2129" t="s">
        <v>5164</v>
      </c>
    </row>
    <row r="2130" spans="1:7" hidden="1">
      <c r="A2130" s="5" t="s">
        <v>3443</v>
      </c>
      <c r="B2130" t="s">
        <v>5161</v>
      </c>
      <c r="C2130" t="s">
        <v>277</v>
      </c>
      <c r="D2130" t="s">
        <v>7414</v>
      </c>
      <c r="E2130">
        <v>32</v>
      </c>
      <c r="F2130" t="s">
        <v>5163</v>
      </c>
      <c r="G2130" t="s">
        <v>5169</v>
      </c>
    </row>
    <row r="2131" spans="1:7" hidden="1">
      <c r="A2131" s="5" t="s">
        <v>3648</v>
      </c>
      <c r="B2131" t="s">
        <v>5161</v>
      </c>
      <c r="C2131" t="s">
        <v>277</v>
      </c>
      <c r="D2131" t="s">
        <v>7415</v>
      </c>
      <c r="E2131">
        <v>23</v>
      </c>
      <c r="F2131" t="s">
        <v>5163</v>
      </c>
      <c r="G2131" t="s">
        <v>5164</v>
      </c>
    </row>
    <row r="2132" spans="1:7" hidden="1">
      <c r="A2132" s="5" t="s">
        <v>3624</v>
      </c>
      <c r="B2132" t="s">
        <v>5161</v>
      </c>
      <c r="C2132" t="s">
        <v>277</v>
      </c>
      <c r="D2132" t="s">
        <v>7416</v>
      </c>
      <c r="E2132">
        <v>21</v>
      </c>
      <c r="F2132" t="s">
        <v>5163</v>
      </c>
      <c r="G2132" t="s">
        <v>5164</v>
      </c>
    </row>
    <row r="2133" spans="1:7" hidden="1">
      <c r="A2133" s="5" t="s">
        <v>3626</v>
      </c>
      <c r="B2133" t="s">
        <v>5161</v>
      </c>
      <c r="C2133" t="s">
        <v>277</v>
      </c>
      <c r="D2133" t="s">
        <v>7417</v>
      </c>
      <c r="E2133">
        <v>18</v>
      </c>
      <c r="F2133" t="s">
        <v>5163</v>
      </c>
      <c r="G2133" t="s">
        <v>5164</v>
      </c>
    </row>
    <row r="2134" spans="1:7" hidden="1">
      <c r="A2134" s="5" t="s">
        <v>3177</v>
      </c>
      <c r="B2134" t="s">
        <v>5161</v>
      </c>
      <c r="C2134" t="s">
        <v>277</v>
      </c>
      <c r="D2134" t="s">
        <v>7418</v>
      </c>
      <c r="E2134">
        <v>18</v>
      </c>
      <c r="F2134" t="s">
        <v>5163</v>
      </c>
      <c r="G2134" t="s">
        <v>1905</v>
      </c>
    </row>
    <row r="2135" spans="1:7" hidden="1">
      <c r="A2135" s="5" t="s">
        <v>2606</v>
      </c>
      <c r="B2135" t="s">
        <v>5161</v>
      </c>
      <c r="C2135" t="s">
        <v>277</v>
      </c>
      <c r="D2135" t="s">
        <v>7419</v>
      </c>
      <c r="E2135">
        <v>25</v>
      </c>
      <c r="F2135" t="s">
        <v>5172</v>
      </c>
      <c r="G2135" t="s">
        <v>5164</v>
      </c>
    </row>
    <row r="2136" spans="1:7" hidden="1">
      <c r="A2136" s="5" t="s">
        <v>2339</v>
      </c>
      <c r="B2136" t="s">
        <v>5161</v>
      </c>
      <c r="C2136" t="s">
        <v>277</v>
      </c>
      <c r="D2136" t="s">
        <v>7420</v>
      </c>
      <c r="E2136">
        <v>18</v>
      </c>
      <c r="F2136" t="s">
        <v>5172</v>
      </c>
      <c r="G2136" t="s">
        <v>5164</v>
      </c>
    </row>
    <row r="2137" spans="1:7" hidden="1">
      <c r="A2137" s="5" t="s">
        <v>2339</v>
      </c>
      <c r="B2137" t="s">
        <v>5161</v>
      </c>
      <c r="C2137" t="s">
        <v>277</v>
      </c>
      <c r="D2137" t="s">
        <v>7421</v>
      </c>
      <c r="E2137">
        <v>23</v>
      </c>
      <c r="F2137" t="s">
        <v>5163</v>
      </c>
      <c r="G2137" t="s">
        <v>5164</v>
      </c>
    </row>
    <row r="2138" spans="1:7" hidden="1">
      <c r="A2138" s="5" t="s">
        <v>3622</v>
      </c>
      <c r="B2138" t="s">
        <v>5161</v>
      </c>
      <c r="C2138" t="s">
        <v>277</v>
      </c>
      <c r="D2138" t="s">
        <v>7422</v>
      </c>
      <c r="E2138">
        <v>47</v>
      </c>
      <c r="F2138" t="s">
        <v>5163</v>
      </c>
      <c r="G2138" t="s">
        <v>5169</v>
      </c>
    </row>
    <row r="2139" spans="1:7" hidden="1">
      <c r="A2139" s="5" t="s">
        <v>3410</v>
      </c>
      <c r="B2139" t="s">
        <v>5161</v>
      </c>
      <c r="C2139" t="s">
        <v>277</v>
      </c>
      <c r="D2139" t="s">
        <v>7423</v>
      </c>
      <c r="E2139">
        <v>27</v>
      </c>
      <c r="F2139" t="s">
        <v>5163</v>
      </c>
      <c r="G2139" t="s">
        <v>1905</v>
      </c>
    </row>
    <row r="2140" spans="1:7" hidden="1">
      <c r="A2140" s="5" t="s">
        <v>2489</v>
      </c>
      <c r="B2140" t="s">
        <v>5161</v>
      </c>
      <c r="C2140" t="s">
        <v>277</v>
      </c>
      <c r="D2140" t="s">
        <v>7424</v>
      </c>
      <c r="E2140">
        <v>19</v>
      </c>
      <c r="F2140" t="s">
        <v>5163</v>
      </c>
      <c r="G2140" t="s">
        <v>5164</v>
      </c>
    </row>
    <row r="2141" spans="1:7" hidden="1">
      <c r="A2141" s="5" t="s">
        <v>4162</v>
      </c>
      <c r="B2141" t="s">
        <v>5161</v>
      </c>
      <c r="C2141" t="s">
        <v>277</v>
      </c>
      <c r="D2141" t="s">
        <v>7425</v>
      </c>
      <c r="E2141">
        <v>22</v>
      </c>
      <c r="F2141" t="s">
        <v>5163</v>
      </c>
      <c r="G2141" t="s">
        <v>1905</v>
      </c>
    </row>
    <row r="2142" spans="1:7" hidden="1">
      <c r="A2142" s="5" t="s">
        <v>2742</v>
      </c>
      <c r="B2142" t="s">
        <v>5161</v>
      </c>
      <c r="C2142" t="s">
        <v>277</v>
      </c>
      <c r="D2142" t="s">
        <v>7426</v>
      </c>
      <c r="E2142">
        <v>36</v>
      </c>
      <c r="F2142" t="s">
        <v>5163</v>
      </c>
      <c r="G2142" t="s">
        <v>1905</v>
      </c>
    </row>
    <row r="2143" spans="1:7" hidden="1">
      <c r="A2143" s="5" t="s">
        <v>4894</v>
      </c>
      <c r="B2143" t="s">
        <v>5161</v>
      </c>
      <c r="C2143" t="s">
        <v>277</v>
      </c>
      <c r="D2143" t="s">
        <v>7427</v>
      </c>
      <c r="E2143">
        <v>27</v>
      </c>
      <c r="F2143" t="s">
        <v>5163</v>
      </c>
      <c r="G2143" t="s">
        <v>5164</v>
      </c>
    </row>
    <row r="2144" spans="1:7" hidden="1">
      <c r="A2144" s="5" t="s">
        <v>4894</v>
      </c>
      <c r="B2144" t="s">
        <v>5161</v>
      </c>
      <c r="C2144" t="s">
        <v>277</v>
      </c>
      <c r="D2144" t="s">
        <v>7428</v>
      </c>
      <c r="E2144">
        <v>22</v>
      </c>
      <c r="F2144" t="s">
        <v>5163</v>
      </c>
      <c r="G2144" t="s">
        <v>5164</v>
      </c>
    </row>
    <row r="2145" spans="1:7" hidden="1">
      <c r="A2145" s="5" t="s">
        <v>4163</v>
      </c>
      <c r="B2145" t="s">
        <v>5161</v>
      </c>
      <c r="C2145" t="s">
        <v>277</v>
      </c>
      <c r="D2145" t="s">
        <v>7429</v>
      </c>
      <c r="E2145">
        <v>29</v>
      </c>
      <c r="F2145" t="s">
        <v>5163</v>
      </c>
      <c r="G2145" t="s">
        <v>5164</v>
      </c>
    </row>
    <row r="2146" spans="1:7" hidden="1">
      <c r="A2146" s="5" t="s">
        <v>2655</v>
      </c>
      <c r="B2146" t="s">
        <v>5161</v>
      </c>
      <c r="C2146" t="s">
        <v>277</v>
      </c>
      <c r="D2146" t="s">
        <v>7430</v>
      </c>
      <c r="E2146">
        <v>32</v>
      </c>
      <c r="F2146" t="s">
        <v>5163</v>
      </c>
      <c r="G2146" t="s">
        <v>1905</v>
      </c>
    </row>
    <row r="2147" spans="1:7" hidden="1">
      <c r="A2147" s="5" t="s">
        <v>2861</v>
      </c>
      <c r="B2147" t="s">
        <v>5161</v>
      </c>
      <c r="C2147" t="s">
        <v>277</v>
      </c>
      <c r="D2147" t="s">
        <v>7431</v>
      </c>
      <c r="E2147">
        <v>31</v>
      </c>
      <c r="F2147" t="s">
        <v>5163</v>
      </c>
      <c r="G2147" t="s">
        <v>5164</v>
      </c>
    </row>
    <row r="2148" spans="1:7" hidden="1">
      <c r="A2148" s="5" t="s">
        <v>2680</v>
      </c>
      <c r="B2148" t="s">
        <v>5161</v>
      </c>
      <c r="C2148" t="s">
        <v>277</v>
      </c>
      <c r="D2148" t="s">
        <v>7432</v>
      </c>
      <c r="E2148">
        <v>30</v>
      </c>
      <c r="F2148" t="s">
        <v>5163</v>
      </c>
      <c r="G2148" t="s">
        <v>1905</v>
      </c>
    </row>
    <row r="2149" spans="1:7" hidden="1">
      <c r="A2149" s="5" t="s">
        <v>2461</v>
      </c>
      <c r="B2149" t="s">
        <v>5161</v>
      </c>
      <c r="C2149" t="s">
        <v>277</v>
      </c>
      <c r="D2149" t="s">
        <v>7433</v>
      </c>
      <c r="E2149">
        <v>29</v>
      </c>
      <c r="F2149" t="s">
        <v>5163</v>
      </c>
      <c r="G2149" t="s">
        <v>5164</v>
      </c>
    </row>
    <row r="2150" spans="1:7" hidden="1">
      <c r="A2150" s="5" t="s">
        <v>2307</v>
      </c>
      <c r="B2150" t="s">
        <v>5161</v>
      </c>
      <c r="C2150" t="s">
        <v>277</v>
      </c>
      <c r="D2150" t="s">
        <v>7434</v>
      </c>
      <c r="E2150">
        <v>18</v>
      </c>
      <c r="F2150" t="s">
        <v>5163</v>
      </c>
      <c r="G2150" t="s">
        <v>5169</v>
      </c>
    </row>
    <row r="2151" spans="1:7" hidden="1">
      <c r="A2151" s="5" t="s">
        <v>3732</v>
      </c>
      <c r="B2151" t="s">
        <v>5161</v>
      </c>
      <c r="C2151" t="s">
        <v>277</v>
      </c>
      <c r="D2151" t="s">
        <v>7435</v>
      </c>
      <c r="E2151">
        <v>36</v>
      </c>
      <c r="F2151" t="s">
        <v>5163</v>
      </c>
      <c r="G2151" t="s">
        <v>5164</v>
      </c>
    </row>
    <row r="2152" spans="1:7" hidden="1">
      <c r="A2152" s="5" t="s">
        <v>2324</v>
      </c>
      <c r="B2152" t="s">
        <v>5161</v>
      </c>
      <c r="C2152" t="s">
        <v>277</v>
      </c>
      <c r="D2152" t="s">
        <v>7436</v>
      </c>
      <c r="E2152">
        <v>34</v>
      </c>
      <c r="F2152" t="s">
        <v>5163</v>
      </c>
      <c r="G2152" t="s">
        <v>5164</v>
      </c>
    </row>
    <row r="2153" spans="1:7" hidden="1">
      <c r="A2153" s="5" t="s">
        <v>3847</v>
      </c>
      <c r="B2153" t="s">
        <v>5161</v>
      </c>
      <c r="C2153" t="s">
        <v>277</v>
      </c>
      <c r="D2153" t="s">
        <v>7437</v>
      </c>
      <c r="E2153">
        <v>37</v>
      </c>
      <c r="F2153" t="s">
        <v>5163</v>
      </c>
      <c r="G2153" t="s">
        <v>5164</v>
      </c>
    </row>
    <row r="2154" spans="1:7" hidden="1">
      <c r="A2154" s="5" t="s">
        <v>2138</v>
      </c>
      <c r="B2154" t="s">
        <v>5161</v>
      </c>
      <c r="C2154" t="s">
        <v>277</v>
      </c>
      <c r="D2154" t="s">
        <v>7438</v>
      </c>
      <c r="E2154">
        <v>28</v>
      </c>
      <c r="F2154" t="s">
        <v>5163</v>
      </c>
      <c r="G2154" t="s">
        <v>1905</v>
      </c>
    </row>
    <row r="2155" spans="1:7" hidden="1">
      <c r="A2155" s="5" t="s">
        <v>2621</v>
      </c>
      <c r="B2155" t="s">
        <v>5161</v>
      </c>
      <c r="C2155" t="s">
        <v>277</v>
      </c>
      <c r="D2155" t="s">
        <v>7439</v>
      </c>
      <c r="E2155">
        <v>18</v>
      </c>
      <c r="F2155" t="s">
        <v>5172</v>
      </c>
      <c r="G2155" t="s">
        <v>5164</v>
      </c>
    </row>
    <row r="2156" spans="1:7" hidden="1">
      <c r="A2156" s="5" t="s">
        <v>4718</v>
      </c>
      <c r="B2156" t="s">
        <v>5161</v>
      </c>
      <c r="C2156" t="s">
        <v>277</v>
      </c>
      <c r="D2156" t="s">
        <v>7440</v>
      </c>
      <c r="E2156">
        <v>18</v>
      </c>
      <c r="F2156" t="s">
        <v>5163</v>
      </c>
      <c r="G2156" t="s">
        <v>5164</v>
      </c>
    </row>
    <row r="2157" spans="1:7" hidden="1">
      <c r="A2157" s="5" t="s">
        <v>273</v>
      </c>
      <c r="B2157" t="s">
        <v>5161</v>
      </c>
      <c r="C2157" t="s">
        <v>277</v>
      </c>
      <c r="D2157" t="s">
        <v>763</v>
      </c>
      <c r="E2157">
        <v>30</v>
      </c>
      <c r="F2157" t="s">
        <v>5163</v>
      </c>
      <c r="G2157" t="s">
        <v>5164</v>
      </c>
    </row>
    <row r="2158" spans="1:7" hidden="1">
      <c r="A2158" s="5" t="s">
        <v>4511</v>
      </c>
      <c r="B2158" t="s">
        <v>5161</v>
      </c>
      <c r="C2158" t="s">
        <v>277</v>
      </c>
      <c r="D2158" t="s">
        <v>7441</v>
      </c>
      <c r="E2158">
        <v>27</v>
      </c>
      <c r="F2158" t="s">
        <v>5163</v>
      </c>
      <c r="G2158" t="s">
        <v>5169</v>
      </c>
    </row>
    <row r="2159" spans="1:7" hidden="1">
      <c r="A2159" s="5" t="s">
        <v>4319</v>
      </c>
      <c r="B2159" t="s">
        <v>5161</v>
      </c>
      <c r="C2159" t="s">
        <v>277</v>
      </c>
      <c r="D2159" t="s">
        <v>7442</v>
      </c>
      <c r="E2159">
        <v>43</v>
      </c>
      <c r="F2159" t="s">
        <v>5163</v>
      </c>
      <c r="G2159" t="s">
        <v>1905</v>
      </c>
    </row>
    <row r="2160" spans="1:7" hidden="1">
      <c r="A2160" s="5" t="s">
        <v>4478</v>
      </c>
      <c r="B2160" t="s">
        <v>5161</v>
      </c>
      <c r="C2160" t="s">
        <v>277</v>
      </c>
      <c r="D2160" t="s">
        <v>7443</v>
      </c>
      <c r="E2160">
        <v>26</v>
      </c>
      <c r="F2160" t="s">
        <v>5163</v>
      </c>
      <c r="G2160" t="s">
        <v>5164</v>
      </c>
    </row>
    <row r="2161" spans="1:7" hidden="1">
      <c r="A2161" s="5" t="s">
        <v>3543</v>
      </c>
      <c r="B2161" t="s">
        <v>5161</v>
      </c>
      <c r="C2161" t="s">
        <v>277</v>
      </c>
      <c r="D2161" t="s">
        <v>7444</v>
      </c>
      <c r="E2161">
        <v>25</v>
      </c>
      <c r="F2161" t="s">
        <v>5163</v>
      </c>
      <c r="G2161" t="s">
        <v>5169</v>
      </c>
    </row>
    <row r="2162" spans="1:7" hidden="1">
      <c r="A2162" s="5" t="s">
        <v>275</v>
      </c>
      <c r="B2162" t="s">
        <v>5161</v>
      </c>
      <c r="C2162" t="s">
        <v>277</v>
      </c>
      <c r="D2162" t="s">
        <v>7445</v>
      </c>
      <c r="E2162">
        <v>41</v>
      </c>
      <c r="F2162" t="s">
        <v>5163</v>
      </c>
      <c r="G2162" t="s">
        <v>1905</v>
      </c>
    </row>
    <row r="2163" spans="1:7" hidden="1">
      <c r="A2163" s="5" t="s">
        <v>275</v>
      </c>
      <c r="B2163" t="s">
        <v>5161</v>
      </c>
      <c r="C2163" t="s">
        <v>277</v>
      </c>
      <c r="D2163" t="s">
        <v>7446</v>
      </c>
      <c r="E2163">
        <v>19</v>
      </c>
      <c r="F2163" t="s">
        <v>5163</v>
      </c>
      <c r="G2163" t="s">
        <v>1905</v>
      </c>
    </row>
    <row r="2164" spans="1:7" hidden="1">
      <c r="A2164" s="5" t="s">
        <v>275</v>
      </c>
      <c r="B2164" t="s">
        <v>5161</v>
      </c>
      <c r="C2164" t="s">
        <v>277</v>
      </c>
      <c r="D2164" t="s">
        <v>767</v>
      </c>
      <c r="E2164">
        <v>18</v>
      </c>
      <c r="F2164" t="s">
        <v>5163</v>
      </c>
      <c r="G2164" t="s">
        <v>1905</v>
      </c>
    </row>
    <row r="2165" spans="1:7" hidden="1">
      <c r="A2165" s="5" t="s">
        <v>2722</v>
      </c>
      <c r="B2165" t="s">
        <v>5161</v>
      </c>
      <c r="C2165" t="s">
        <v>277</v>
      </c>
      <c r="D2165" t="s">
        <v>7447</v>
      </c>
      <c r="E2165">
        <v>25</v>
      </c>
      <c r="F2165" t="s">
        <v>5172</v>
      </c>
      <c r="G2165" t="s">
        <v>5164</v>
      </c>
    </row>
    <row r="2166" spans="1:7" hidden="1">
      <c r="A2166" s="5" t="s">
        <v>3797</v>
      </c>
      <c r="B2166" t="s">
        <v>5161</v>
      </c>
      <c r="C2166" t="s">
        <v>277</v>
      </c>
      <c r="D2166" t="s">
        <v>7448</v>
      </c>
      <c r="E2166">
        <v>19</v>
      </c>
      <c r="F2166" t="s">
        <v>5163</v>
      </c>
      <c r="G2166" t="s">
        <v>5164</v>
      </c>
    </row>
    <row r="2167" spans="1:7" hidden="1">
      <c r="A2167" s="5" t="s">
        <v>3162</v>
      </c>
      <c r="B2167" t="s">
        <v>5161</v>
      </c>
      <c r="C2167" t="s">
        <v>277</v>
      </c>
      <c r="D2167" t="s">
        <v>7449</v>
      </c>
      <c r="E2167">
        <v>22</v>
      </c>
      <c r="F2167" t="s">
        <v>5163</v>
      </c>
      <c r="G2167" t="s">
        <v>1905</v>
      </c>
    </row>
    <row r="2168" spans="1:7" hidden="1">
      <c r="A2168" s="5" t="s">
        <v>3142</v>
      </c>
      <c r="B2168" t="s">
        <v>5161</v>
      </c>
      <c r="C2168" t="s">
        <v>277</v>
      </c>
      <c r="D2168" t="s">
        <v>7450</v>
      </c>
      <c r="E2168">
        <v>24</v>
      </c>
      <c r="F2168" t="s">
        <v>5163</v>
      </c>
      <c r="G2168" t="s">
        <v>1905</v>
      </c>
    </row>
    <row r="2169" spans="1:7" hidden="1">
      <c r="A2169" s="5" t="s">
        <v>3798</v>
      </c>
      <c r="B2169" t="s">
        <v>5161</v>
      </c>
      <c r="C2169" t="s">
        <v>277</v>
      </c>
      <c r="D2169" t="s">
        <v>7451</v>
      </c>
      <c r="E2169">
        <v>22</v>
      </c>
      <c r="F2169" t="s">
        <v>5163</v>
      </c>
      <c r="G2169" t="s">
        <v>5164</v>
      </c>
    </row>
    <row r="2170" spans="1:7" hidden="1">
      <c r="A2170" s="5" t="s">
        <v>3130</v>
      </c>
      <c r="B2170" t="s">
        <v>5161</v>
      </c>
      <c r="C2170" t="s">
        <v>277</v>
      </c>
      <c r="D2170" t="s">
        <v>7452</v>
      </c>
      <c r="E2170">
        <v>20</v>
      </c>
      <c r="F2170" t="s">
        <v>5163</v>
      </c>
      <c r="G2170" t="s">
        <v>5164</v>
      </c>
    </row>
    <row r="2171" spans="1:7" hidden="1">
      <c r="A2171" s="5" t="s">
        <v>271</v>
      </c>
      <c r="B2171" t="s">
        <v>5161</v>
      </c>
      <c r="C2171" t="s">
        <v>277</v>
      </c>
      <c r="D2171" t="s">
        <v>760</v>
      </c>
      <c r="E2171">
        <v>18</v>
      </c>
      <c r="F2171" t="s">
        <v>5163</v>
      </c>
      <c r="G2171" t="s">
        <v>5164</v>
      </c>
    </row>
    <row r="2172" spans="1:7" hidden="1">
      <c r="A2172" s="5" t="s">
        <v>3926</v>
      </c>
      <c r="B2172" t="s">
        <v>5161</v>
      </c>
      <c r="C2172" t="s">
        <v>277</v>
      </c>
      <c r="D2172" t="s">
        <v>7453</v>
      </c>
      <c r="E2172">
        <v>20</v>
      </c>
      <c r="F2172" t="s">
        <v>5163</v>
      </c>
      <c r="G2172" t="s">
        <v>5164</v>
      </c>
    </row>
    <row r="2173" spans="1:7" hidden="1">
      <c r="A2173" s="5" t="s">
        <v>2246</v>
      </c>
      <c r="B2173" t="s">
        <v>5161</v>
      </c>
      <c r="C2173" t="s">
        <v>277</v>
      </c>
      <c r="D2173" t="s">
        <v>7454</v>
      </c>
      <c r="E2173">
        <v>20</v>
      </c>
      <c r="F2173" t="s">
        <v>5163</v>
      </c>
      <c r="G2173" t="s">
        <v>5169</v>
      </c>
    </row>
    <row r="2174" spans="1:7" hidden="1">
      <c r="A2174" s="5" t="s">
        <v>3625</v>
      </c>
      <c r="B2174" t="s">
        <v>5161</v>
      </c>
      <c r="C2174" t="s">
        <v>277</v>
      </c>
      <c r="D2174" t="s">
        <v>7455</v>
      </c>
      <c r="E2174">
        <v>18</v>
      </c>
      <c r="F2174" t="s">
        <v>5163</v>
      </c>
      <c r="G2174" t="s">
        <v>5169</v>
      </c>
    </row>
    <row r="2175" spans="1:7" hidden="1">
      <c r="A2175" s="5" t="s">
        <v>3409</v>
      </c>
      <c r="B2175" t="s">
        <v>5161</v>
      </c>
      <c r="C2175" t="s">
        <v>277</v>
      </c>
      <c r="D2175" t="s">
        <v>7456</v>
      </c>
      <c r="E2175">
        <v>29</v>
      </c>
      <c r="F2175" t="s">
        <v>5163</v>
      </c>
      <c r="G2175" t="s">
        <v>1905</v>
      </c>
    </row>
    <row r="2176" spans="1:7" hidden="1">
      <c r="A2176" s="5" t="s">
        <v>3674</v>
      </c>
      <c r="B2176" t="s">
        <v>5161</v>
      </c>
      <c r="C2176" t="s">
        <v>277</v>
      </c>
      <c r="D2176" t="s">
        <v>7457</v>
      </c>
      <c r="E2176">
        <v>25</v>
      </c>
      <c r="F2176" t="s">
        <v>5163</v>
      </c>
      <c r="G2176" t="s">
        <v>5164</v>
      </c>
    </row>
    <row r="2177" spans="1:7" hidden="1">
      <c r="A2177" s="5" t="s">
        <v>3511</v>
      </c>
      <c r="B2177" t="s">
        <v>5161</v>
      </c>
      <c r="C2177" t="s">
        <v>277</v>
      </c>
      <c r="D2177" t="s">
        <v>7458</v>
      </c>
      <c r="E2177">
        <v>27</v>
      </c>
      <c r="F2177" t="s">
        <v>5163</v>
      </c>
      <c r="G2177" t="s">
        <v>5164</v>
      </c>
    </row>
    <row r="2178" spans="1:7" hidden="1">
      <c r="A2178" s="5" t="s">
        <v>7459</v>
      </c>
      <c r="B2178" t="s">
        <v>5161</v>
      </c>
      <c r="C2178" t="s">
        <v>277</v>
      </c>
      <c r="D2178" t="s">
        <v>7460</v>
      </c>
      <c r="E2178" t="s">
        <v>5182</v>
      </c>
      <c r="F2178" t="s">
        <v>5163</v>
      </c>
      <c r="G2178" t="s">
        <v>5164</v>
      </c>
    </row>
    <row r="2179" spans="1:7" hidden="1">
      <c r="A2179" s="5" t="s">
        <v>2630</v>
      </c>
      <c r="B2179" t="s">
        <v>5161</v>
      </c>
      <c r="C2179" t="s">
        <v>277</v>
      </c>
      <c r="D2179" t="s">
        <v>7461</v>
      </c>
      <c r="E2179">
        <v>35</v>
      </c>
      <c r="F2179" t="s">
        <v>5163</v>
      </c>
      <c r="G2179" t="s">
        <v>5164</v>
      </c>
    </row>
    <row r="2180" spans="1:7" hidden="1">
      <c r="A2180" s="5" t="s">
        <v>2285</v>
      </c>
      <c r="B2180" t="s">
        <v>5161</v>
      </c>
      <c r="C2180" t="s">
        <v>277</v>
      </c>
      <c r="D2180" t="s">
        <v>7462</v>
      </c>
      <c r="E2180">
        <v>20</v>
      </c>
      <c r="F2180" t="s">
        <v>5163</v>
      </c>
      <c r="G2180" t="s">
        <v>1905</v>
      </c>
    </row>
    <row r="2181" spans="1:7" hidden="1">
      <c r="A2181" s="5" t="s">
        <v>2187</v>
      </c>
      <c r="B2181" t="s">
        <v>5161</v>
      </c>
      <c r="C2181" t="s">
        <v>277</v>
      </c>
      <c r="D2181" t="s">
        <v>7463</v>
      </c>
      <c r="E2181">
        <v>21</v>
      </c>
      <c r="F2181" t="s">
        <v>5163</v>
      </c>
      <c r="G2181" t="s">
        <v>5169</v>
      </c>
    </row>
    <row r="2182" spans="1:7" hidden="1">
      <c r="A2182" s="5" t="s">
        <v>3231</v>
      </c>
      <c r="B2182" t="s">
        <v>5161</v>
      </c>
      <c r="C2182" t="s">
        <v>277</v>
      </c>
      <c r="D2182" t="s">
        <v>7464</v>
      </c>
      <c r="E2182">
        <v>24</v>
      </c>
      <c r="F2182" t="s">
        <v>5163</v>
      </c>
      <c r="G2182" t="s">
        <v>5164</v>
      </c>
    </row>
    <row r="2183" spans="1:7" hidden="1">
      <c r="A2183" s="5" t="s">
        <v>3453</v>
      </c>
      <c r="B2183" t="s">
        <v>5161</v>
      </c>
      <c r="C2183" t="s">
        <v>277</v>
      </c>
      <c r="D2183" t="s">
        <v>7465</v>
      </c>
      <c r="E2183">
        <v>27</v>
      </c>
      <c r="F2183" t="s">
        <v>5163</v>
      </c>
      <c r="G2183" t="s">
        <v>5164</v>
      </c>
    </row>
    <row r="2184" spans="1:7" hidden="1">
      <c r="A2184" s="5" t="s">
        <v>3512</v>
      </c>
      <c r="B2184" t="s">
        <v>5161</v>
      </c>
      <c r="C2184" t="s">
        <v>277</v>
      </c>
      <c r="D2184" t="s">
        <v>7466</v>
      </c>
      <c r="E2184">
        <v>19</v>
      </c>
      <c r="F2184" t="s">
        <v>5163</v>
      </c>
      <c r="G2184" t="s">
        <v>5164</v>
      </c>
    </row>
    <row r="2185" spans="1:7" hidden="1">
      <c r="A2185" s="5" t="s">
        <v>7467</v>
      </c>
      <c r="B2185" t="s">
        <v>5161</v>
      </c>
      <c r="C2185" t="s">
        <v>277</v>
      </c>
      <c r="D2185" t="s">
        <v>7468</v>
      </c>
      <c r="E2185">
        <v>29</v>
      </c>
      <c r="F2185" t="s">
        <v>5163</v>
      </c>
      <c r="G2185" t="s">
        <v>5169</v>
      </c>
    </row>
    <row r="2186" spans="1:7" hidden="1">
      <c r="A2186" s="5" t="s">
        <v>7467</v>
      </c>
      <c r="B2186" t="s">
        <v>5161</v>
      </c>
      <c r="C2186" t="s">
        <v>277</v>
      </c>
      <c r="D2186" t="s">
        <v>7469</v>
      </c>
      <c r="E2186" t="s">
        <v>5182</v>
      </c>
      <c r="F2186" t="s">
        <v>5163</v>
      </c>
      <c r="G2186" t="s">
        <v>5164</v>
      </c>
    </row>
    <row r="2187" spans="1:7" hidden="1">
      <c r="A2187" s="5" t="s">
        <v>7467</v>
      </c>
      <c r="B2187" t="s">
        <v>5161</v>
      </c>
      <c r="C2187" t="s">
        <v>277</v>
      </c>
      <c r="D2187" t="s">
        <v>7470</v>
      </c>
      <c r="E2187">
        <v>37</v>
      </c>
      <c r="F2187" t="s">
        <v>5163</v>
      </c>
      <c r="G2187" t="s">
        <v>1905</v>
      </c>
    </row>
    <row r="2188" spans="1:7" hidden="1">
      <c r="A2188" s="5" t="s">
        <v>7467</v>
      </c>
      <c r="B2188" t="s">
        <v>5161</v>
      </c>
      <c r="C2188" t="s">
        <v>277</v>
      </c>
      <c r="D2188" t="s">
        <v>7471</v>
      </c>
      <c r="E2188">
        <v>27</v>
      </c>
      <c r="F2188" t="s">
        <v>5163</v>
      </c>
      <c r="G2188" t="s">
        <v>6496</v>
      </c>
    </row>
    <row r="2189" spans="1:7" hidden="1">
      <c r="A2189" s="5" t="s">
        <v>3232</v>
      </c>
      <c r="B2189" t="s">
        <v>5161</v>
      </c>
      <c r="C2189" t="s">
        <v>277</v>
      </c>
      <c r="D2189" t="s">
        <v>7472</v>
      </c>
      <c r="E2189">
        <v>19</v>
      </c>
      <c r="F2189" t="s">
        <v>5163</v>
      </c>
      <c r="G2189" t="s">
        <v>5164</v>
      </c>
    </row>
    <row r="2190" spans="1:7" hidden="1">
      <c r="A2190" s="5" t="s">
        <v>2338</v>
      </c>
      <c r="B2190" t="s">
        <v>5161</v>
      </c>
      <c r="C2190" t="s">
        <v>277</v>
      </c>
      <c r="D2190" t="s">
        <v>7473</v>
      </c>
      <c r="E2190">
        <v>18</v>
      </c>
      <c r="F2190" t="s">
        <v>5163</v>
      </c>
      <c r="G2190" t="s">
        <v>5164</v>
      </c>
    </row>
    <row r="2191" spans="1:7" hidden="1">
      <c r="A2191" s="5" t="s">
        <v>3259</v>
      </c>
      <c r="B2191" t="s">
        <v>5161</v>
      </c>
      <c r="C2191" t="s">
        <v>277</v>
      </c>
      <c r="D2191" t="s">
        <v>7474</v>
      </c>
      <c r="E2191">
        <v>20</v>
      </c>
      <c r="F2191" t="s">
        <v>5163</v>
      </c>
      <c r="G2191" t="s">
        <v>1905</v>
      </c>
    </row>
    <row r="2192" spans="1:7" hidden="1">
      <c r="A2192" s="5" t="s">
        <v>4286</v>
      </c>
      <c r="B2192" t="s">
        <v>5161</v>
      </c>
      <c r="C2192" t="s">
        <v>277</v>
      </c>
      <c r="D2192" t="s">
        <v>7475</v>
      </c>
      <c r="E2192">
        <v>22</v>
      </c>
      <c r="F2192" t="s">
        <v>5163</v>
      </c>
      <c r="G2192" t="s">
        <v>1905</v>
      </c>
    </row>
    <row r="2193" spans="1:7" hidden="1">
      <c r="A2193" s="5" t="s">
        <v>3924</v>
      </c>
      <c r="B2193" t="s">
        <v>5161</v>
      </c>
      <c r="C2193" t="s">
        <v>277</v>
      </c>
      <c r="D2193" t="s">
        <v>6206</v>
      </c>
      <c r="E2193">
        <v>21</v>
      </c>
      <c r="F2193" t="s">
        <v>5163</v>
      </c>
      <c r="G2193" t="s">
        <v>5164</v>
      </c>
    </row>
    <row r="2194" spans="1:7" hidden="1">
      <c r="A2194" s="5" t="s">
        <v>4831</v>
      </c>
      <c r="B2194" t="s">
        <v>5161</v>
      </c>
      <c r="C2194" t="s">
        <v>277</v>
      </c>
      <c r="D2194" t="s">
        <v>7476</v>
      </c>
      <c r="E2194">
        <v>30</v>
      </c>
      <c r="F2194" t="s">
        <v>5163</v>
      </c>
      <c r="G2194" t="s">
        <v>5164</v>
      </c>
    </row>
    <row r="2195" spans="1:7" hidden="1">
      <c r="A2195" s="5" t="s">
        <v>7477</v>
      </c>
      <c r="B2195" t="s">
        <v>5161</v>
      </c>
      <c r="C2195" t="s">
        <v>277</v>
      </c>
      <c r="D2195" t="s">
        <v>7478</v>
      </c>
      <c r="E2195">
        <v>22</v>
      </c>
      <c r="F2195" t="s">
        <v>5172</v>
      </c>
      <c r="G2195" t="s">
        <v>1905</v>
      </c>
    </row>
    <row r="2196" spans="1:7" hidden="1">
      <c r="A2196" s="5" t="s">
        <v>265</v>
      </c>
      <c r="B2196" t="s">
        <v>5161</v>
      </c>
      <c r="C2196" t="s">
        <v>277</v>
      </c>
      <c r="D2196" t="s">
        <v>747</v>
      </c>
      <c r="E2196">
        <v>32</v>
      </c>
      <c r="F2196" t="s">
        <v>5163</v>
      </c>
      <c r="G2196" t="s">
        <v>1905</v>
      </c>
    </row>
    <row r="2197" spans="1:7" hidden="1">
      <c r="A2197" s="5" t="s">
        <v>3918</v>
      </c>
      <c r="B2197" t="s">
        <v>5161</v>
      </c>
      <c r="C2197" t="s">
        <v>277</v>
      </c>
      <c r="D2197" t="s">
        <v>7479</v>
      </c>
      <c r="E2197">
        <v>36</v>
      </c>
      <c r="F2197" t="s">
        <v>5163</v>
      </c>
      <c r="G2197" t="s">
        <v>5182</v>
      </c>
    </row>
    <row r="2198" spans="1:7" hidden="1">
      <c r="A2198" s="5" t="s">
        <v>7480</v>
      </c>
      <c r="B2198" t="s">
        <v>5161</v>
      </c>
      <c r="C2198" t="s">
        <v>277</v>
      </c>
      <c r="D2198" t="s">
        <v>7481</v>
      </c>
      <c r="E2198" t="s">
        <v>5182</v>
      </c>
      <c r="F2198" t="s">
        <v>5163</v>
      </c>
      <c r="G2198" t="s">
        <v>1905</v>
      </c>
    </row>
    <row r="2199" spans="1:7" hidden="1">
      <c r="A2199" s="5" t="s">
        <v>2957</v>
      </c>
      <c r="B2199" t="s">
        <v>5161</v>
      </c>
      <c r="C2199" t="s">
        <v>277</v>
      </c>
      <c r="D2199" t="s">
        <v>7482</v>
      </c>
      <c r="E2199">
        <v>37</v>
      </c>
      <c r="F2199" t="s">
        <v>5172</v>
      </c>
      <c r="G2199" t="s">
        <v>1905</v>
      </c>
    </row>
    <row r="2200" spans="1:7" hidden="1">
      <c r="A2200" s="5" t="s">
        <v>2184</v>
      </c>
      <c r="B2200" t="s">
        <v>5161</v>
      </c>
      <c r="C2200" t="s">
        <v>277</v>
      </c>
      <c r="D2200" t="s">
        <v>7483</v>
      </c>
      <c r="E2200">
        <v>23</v>
      </c>
      <c r="F2200" t="s">
        <v>5172</v>
      </c>
      <c r="G2200" t="s">
        <v>5164</v>
      </c>
    </row>
    <row r="2201" spans="1:7" hidden="1">
      <c r="A2201" s="5" t="s">
        <v>3770</v>
      </c>
      <c r="B2201" t="s">
        <v>5161</v>
      </c>
      <c r="C2201" t="s">
        <v>277</v>
      </c>
      <c r="D2201" t="s">
        <v>7484</v>
      </c>
      <c r="E2201">
        <v>24</v>
      </c>
      <c r="F2201" t="s">
        <v>5163</v>
      </c>
      <c r="G2201" t="s">
        <v>5169</v>
      </c>
    </row>
    <row r="2202" spans="1:7" hidden="1">
      <c r="A2202" s="5" t="s">
        <v>4729</v>
      </c>
      <c r="B2202" t="s">
        <v>5161</v>
      </c>
      <c r="C2202" t="s">
        <v>277</v>
      </c>
      <c r="D2202" t="s">
        <v>7485</v>
      </c>
      <c r="E2202">
        <v>19</v>
      </c>
      <c r="F2202" t="s">
        <v>5163</v>
      </c>
      <c r="G2202" t="s">
        <v>5164</v>
      </c>
    </row>
    <row r="2203" spans="1:7" hidden="1">
      <c r="A2203" s="5" t="s">
        <v>3089</v>
      </c>
      <c r="B2203" t="s">
        <v>5161</v>
      </c>
      <c r="C2203" t="s">
        <v>277</v>
      </c>
      <c r="D2203" t="s">
        <v>7486</v>
      </c>
      <c r="E2203">
        <v>27</v>
      </c>
      <c r="F2203" t="s">
        <v>5163</v>
      </c>
      <c r="G2203" t="s">
        <v>5164</v>
      </c>
    </row>
    <row r="2204" spans="1:7" hidden="1">
      <c r="A2204" s="5" t="s">
        <v>3651</v>
      </c>
      <c r="B2204" t="s">
        <v>5161</v>
      </c>
      <c r="C2204" t="s">
        <v>277</v>
      </c>
      <c r="D2204" t="s">
        <v>7487</v>
      </c>
      <c r="E2204">
        <v>25</v>
      </c>
      <c r="F2204" t="s">
        <v>5163</v>
      </c>
      <c r="G2204" t="s">
        <v>5169</v>
      </c>
    </row>
    <row r="2205" spans="1:7" hidden="1">
      <c r="A2205" s="5" t="s">
        <v>276</v>
      </c>
      <c r="B2205" t="s">
        <v>5161</v>
      </c>
      <c r="C2205" t="s">
        <v>277</v>
      </c>
      <c r="D2205" t="s">
        <v>768</v>
      </c>
      <c r="E2205">
        <v>27</v>
      </c>
      <c r="F2205" t="s">
        <v>5163</v>
      </c>
      <c r="G2205" t="s">
        <v>1905</v>
      </c>
    </row>
    <row r="2206" spans="1:7" hidden="1">
      <c r="A2206" s="5" t="s">
        <v>2859</v>
      </c>
      <c r="B2206" t="s">
        <v>5161</v>
      </c>
      <c r="C2206" t="s">
        <v>277</v>
      </c>
      <c r="D2206" t="s">
        <v>7488</v>
      </c>
      <c r="E2206">
        <v>37</v>
      </c>
      <c r="F2206" t="s">
        <v>5163</v>
      </c>
      <c r="G2206" t="s">
        <v>1905</v>
      </c>
    </row>
    <row r="2207" spans="1:7" hidden="1">
      <c r="A2207" s="5" t="s">
        <v>4600</v>
      </c>
      <c r="B2207" t="s">
        <v>5161</v>
      </c>
      <c r="C2207" t="s">
        <v>277</v>
      </c>
      <c r="D2207" t="s">
        <v>7489</v>
      </c>
      <c r="E2207">
        <v>29</v>
      </c>
      <c r="F2207" t="s">
        <v>5163</v>
      </c>
      <c r="G2207" t="s">
        <v>1905</v>
      </c>
    </row>
    <row r="2208" spans="1:7" hidden="1">
      <c r="A2208" s="5" t="s">
        <v>2643</v>
      </c>
      <c r="B2208" t="s">
        <v>5161</v>
      </c>
      <c r="C2208" t="s">
        <v>277</v>
      </c>
      <c r="D2208" t="s">
        <v>7490</v>
      </c>
      <c r="E2208">
        <v>34</v>
      </c>
      <c r="F2208" t="s">
        <v>5163</v>
      </c>
      <c r="G2208" t="s">
        <v>1905</v>
      </c>
    </row>
    <row r="2209" spans="1:7" hidden="1">
      <c r="A2209" s="5" t="s">
        <v>2423</v>
      </c>
      <c r="B2209" t="s">
        <v>5161</v>
      </c>
      <c r="C2209" t="s">
        <v>277</v>
      </c>
      <c r="D2209" t="s">
        <v>7491</v>
      </c>
      <c r="E2209">
        <v>23</v>
      </c>
      <c r="F2209" t="s">
        <v>5163</v>
      </c>
      <c r="G2209" t="s">
        <v>6496</v>
      </c>
    </row>
    <row r="2210" spans="1:7" hidden="1">
      <c r="A2210" s="5" t="s">
        <v>2483</v>
      </c>
      <c r="B2210" t="s">
        <v>5161</v>
      </c>
      <c r="C2210" t="s">
        <v>277</v>
      </c>
      <c r="D2210" t="s">
        <v>7492</v>
      </c>
      <c r="E2210">
        <v>32</v>
      </c>
      <c r="F2210" t="s">
        <v>5163</v>
      </c>
      <c r="G2210" t="s">
        <v>5164</v>
      </c>
    </row>
    <row r="2211" spans="1:7" hidden="1">
      <c r="A2211" s="5" t="s">
        <v>2919</v>
      </c>
      <c r="B2211" t="s">
        <v>5161</v>
      </c>
      <c r="C2211" t="s">
        <v>277</v>
      </c>
      <c r="D2211" t="s">
        <v>948</v>
      </c>
      <c r="E2211">
        <v>20</v>
      </c>
      <c r="F2211" t="s">
        <v>5163</v>
      </c>
      <c r="G2211" t="s">
        <v>5164</v>
      </c>
    </row>
    <row r="2212" spans="1:7" hidden="1">
      <c r="A2212" s="5" t="s">
        <v>267</v>
      </c>
      <c r="B2212" t="s">
        <v>5161</v>
      </c>
      <c r="C2212" t="s">
        <v>277</v>
      </c>
      <c r="D2212" t="s">
        <v>753</v>
      </c>
      <c r="E2212">
        <v>25</v>
      </c>
      <c r="F2212" t="s">
        <v>5163</v>
      </c>
      <c r="G2212" t="s">
        <v>5169</v>
      </c>
    </row>
    <row r="2213" spans="1:7" hidden="1">
      <c r="A2213" s="5" t="s">
        <v>272</v>
      </c>
      <c r="B2213" t="s">
        <v>5161</v>
      </c>
      <c r="C2213" t="s">
        <v>277</v>
      </c>
      <c r="D2213" t="s">
        <v>762</v>
      </c>
      <c r="E2213">
        <v>28</v>
      </c>
      <c r="F2213" t="s">
        <v>5163</v>
      </c>
      <c r="G2213" t="s">
        <v>1905</v>
      </c>
    </row>
    <row r="2214" spans="1:7" hidden="1">
      <c r="A2214" s="5" t="s">
        <v>274</v>
      </c>
      <c r="B2214" t="s">
        <v>5161</v>
      </c>
      <c r="C2214" t="s">
        <v>277</v>
      </c>
      <c r="D2214" t="s">
        <v>764</v>
      </c>
      <c r="E2214">
        <v>29</v>
      </c>
      <c r="F2214" t="s">
        <v>5163</v>
      </c>
      <c r="G2214" t="s">
        <v>5164</v>
      </c>
    </row>
    <row r="2215" spans="1:7" hidden="1">
      <c r="A2215" s="5" t="s">
        <v>4287</v>
      </c>
      <c r="B2215" t="s">
        <v>5161</v>
      </c>
      <c r="C2215" t="s">
        <v>277</v>
      </c>
      <c r="D2215" t="s">
        <v>7493</v>
      </c>
      <c r="E2215">
        <v>20</v>
      </c>
      <c r="F2215" t="s">
        <v>5163</v>
      </c>
      <c r="G2215" t="s">
        <v>5164</v>
      </c>
    </row>
    <row r="2216" spans="1:7" hidden="1">
      <c r="A2216" s="5" t="s">
        <v>2223</v>
      </c>
      <c r="B2216" t="s">
        <v>5161</v>
      </c>
      <c r="C2216" t="s">
        <v>277</v>
      </c>
      <c r="D2216" t="s">
        <v>7494</v>
      </c>
      <c r="E2216">
        <v>35</v>
      </c>
      <c r="F2216" t="s">
        <v>5163</v>
      </c>
      <c r="G2216" t="s">
        <v>1905</v>
      </c>
    </row>
    <row r="2217" spans="1:7" hidden="1">
      <c r="A2217" s="5" t="s">
        <v>2116</v>
      </c>
      <c r="B2217" t="s">
        <v>5161</v>
      </c>
      <c r="C2217" t="s">
        <v>277</v>
      </c>
      <c r="D2217" t="s">
        <v>7495</v>
      </c>
      <c r="E2217">
        <v>19</v>
      </c>
      <c r="F2217" t="s">
        <v>5163</v>
      </c>
      <c r="G2217" t="s">
        <v>5169</v>
      </c>
    </row>
    <row r="2218" spans="1:7" hidden="1">
      <c r="A2218" s="5" t="s">
        <v>2116</v>
      </c>
      <c r="B2218" t="s">
        <v>5161</v>
      </c>
      <c r="C2218" t="s">
        <v>277</v>
      </c>
      <c r="D2218" t="s">
        <v>7496</v>
      </c>
      <c r="E2218">
        <v>22</v>
      </c>
      <c r="F2218" t="s">
        <v>5163</v>
      </c>
      <c r="G2218" t="s">
        <v>1905</v>
      </c>
    </row>
    <row r="2219" spans="1:7" hidden="1">
      <c r="A2219" s="5" t="s">
        <v>268</v>
      </c>
      <c r="B2219" t="s">
        <v>5161</v>
      </c>
      <c r="C2219" t="s">
        <v>277</v>
      </c>
      <c r="D2219" t="s">
        <v>755</v>
      </c>
      <c r="E2219">
        <v>31</v>
      </c>
      <c r="F2219" t="s">
        <v>5172</v>
      </c>
      <c r="G2219" t="s">
        <v>5164</v>
      </c>
    </row>
    <row r="2220" spans="1:7" hidden="1">
      <c r="A2220" s="5" t="s">
        <v>2247</v>
      </c>
      <c r="B2220" t="s">
        <v>5161</v>
      </c>
      <c r="C2220" t="s">
        <v>277</v>
      </c>
      <c r="D2220" t="s">
        <v>7497</v>
      </c>
      <c r="E2220">
        <v>33</v>
      </c>
      <c r="F2220" t="s">
        <v>5163</v>
      </c>
      <c r="G2220" t="s">
        <v>1905</v>
      </c>
    </row>
    <row r="2221" spans="1:7" hidden="1">
      <c r="A2221" s="5" t="s">
        <v>2757</v>
      </c>
      <c r="B2221" t="s">
        <v>5161</v>
      </c>
      <c r="C2221" t="s">
        <v>277</v>
      </c>
      <c r="D2221" t="s">
        <v>7498</v>
      </c>
      <c r="E2221">
        <v>28</v>
      </c>
      <c r="F2221" t="s">
        <v>5163</v>
      </c>
      <c r="G2221" t="s">
        <v>1905</v>
      </c>
    </row>
    <row r="2222" spans="1:7" hidden="1">
      <c r="A2222" s="5" t="s">
        <v>2757</v>
      </c>
      <c r="B2222" t="s">
        <v>5161</v>
      </c>
      <c r="C2222" t="s">
        <v>277</v>
      </c>
      <c r="D2222" t="s">
        <v>7499</v>
      </c>
      <c r="E2222">
        <v>29</v>
      </c>
      <c r="F2222" t="s">
        <v>5172</v>
      </c>
      <c r="G2222" t="s">
        <v>5169</v>
      </c>
    </row>
    <row r="2223" spans="1:7" hidden="1">
      <c r="A2223" s="5" t="s">
        <v>3213</v>
      </c>
      <c r="B2223" t="s">
        <v>5161</v>
      </c>
      <c r="C2223" t="s">
        <v>277</v>
      </c>
      <c r="D2223" t="s">
        <v>7500</v>
      </c>
      <c r="E2223">
        <v>33</v>
      </c>
      <c r="F2223" t="s">
        <v>5163</v>
      </c>
      <c r="G2223" t="s">
        <v>5164</v>
      </c>
    </row>
    <row r="2224" spans="1:7" hidden="1">
      <c r="A2224" s="5" t="s">
        <v>2631</v>
      </c>
      <c r="B2224" t="s">
        <v>5161</v>
      </c>
      <c r="C2224" t="s">
        <v>277</v>
      </c>
      <c r="D2224" t="s">
        <v>7501</v>
      </c>
      <c r="E2224">
        <v>26</v>
      </c>
      <c r="F2224" t="s">
        <v>5163</v>
      </c>
      <c r="G2224" t="s">
        <v>5169</v>
      </c>
    </row>
    <row r="2225" spans="1:7" hidden="1">
      <c r="A2225" s="5" t="s">
        <v>3122</v>
      </c>
      <c r="B2225" t="s">
        <v>5161</v>
      </c>
      <c r="C2225" t="s">
        <v>277</v>
      </c>
      <c r="D2225" t="s">
        <v>952</v>
      </c>
      <c r="E2225">
        <v>32</v>
      </c>
      <c r="F2225" t="s">
        <v>5163</v>
      </c>
      <c r="G2225" t="s">
        <v>1905</v>
      </c>
    </row>
    <row r="2226" spans="1:7" hidden="1">
      <c r="A2226" s="5" t="s">
        <v>2484</v>
      </c>
      <c r="B2226" t="s">
        <v>5161</v>
      </c>
      <c r="C2226" t="s">
        <v>277</v>
      </c>
      <c r="D2226" t="s">
        <v>7502</v>
      </c>
      <c r="E2226">
        <v>21</v>
      </c>
      <c r="F2226" t="s">
        <v>5163</v>
      </c>
      <c r="G2226" t="s">
        <v>1905</v>
      </c>
    </row>
    <row r="2227" spans="1:7" hidden="1">
      <c r="A2227" s="5" t="s">
        <v>4267</v>
      </c>
      <c r="B2227" t="s">
        <v>5161</v>
      </c>
      <c r="C2227" t="s">
        <v>277</v>
      </c>
      <c r="D2227" t="s">
        <v>7503</v>
      </c>
      <c r="E2227">
        <v>25</v>
      </c>
      <c r="F2227" t="s">
        <v>5172</v>
      </c>
      <c r="G2227" t="s">
        <v>5164</v>
      </c>
    </row>
    <row r="2228" spans="1:7" hidden="1">
      <c r="A2228" s="5" t="s">
        <v>4916</v>
      </c>
      <c r="B2228" t="s">
        <v>5161</v>
      </c>
      <c r="C2228" t="s">
        <v>277</v>
      </c>
      <c r="D2228" t="s">
        <v>7504</v>
      </c>
      <c r="E2228">
        <v>41</v>
      </c>
      <c r="F2228" t="s">
        <v>5163</v>
      </c>
      <c r="G2228" t="s">
        <v>5164</v>
      </c>
    </row>
    <row r="2229" spans="1:7" hidden="1">
      <c r="A2229" s="5" t="s">
        <v>7505</v>
      </c>
      <c r="B2229" t="s">
        <v>5161</v>
      </c>
      <c r="C2229" t="s">
        <v>277</v>
      </c>
      <c r="D2229" t="s">
        <v>7506</v>
      </c>
      <c r="E2229">
        <v>20</v>
      </c>
      <c r="F2229" t="s">
        <v>5163</v>
      </c>
      <c r="G2229" t="s">
        <v>5164</v>
      </c>
    </row>
    <row r="2230" spans="1:7" hidden="1">
      <c r="A2230" s="5" t="s">
        <v>3711</v>
      </c>
      <c r="B2230" t="s">
        <v>5161</v>
      </c>
      <c r="C2230" t="s">
        <v>277</v>
      </c>
      <c r="D2230" t="s">
        <v>7507</v>
      </c>
      <c r="E2230">
        <v>18</v>
      </c>
      <c r="F2230" t="s">
        <v>5163</v>
      </c>
      <c r="G2230" t="s">
        <v>5169</v>
      </c>
    </row>
    <row r="2231" spans="1:7" hidden="1">
      <c r="A2231" s="5" t="s">
        <v>4915</v>
      </c>
      <c r="B2231" t="s">
        <v>5161</v>
      </c>
      <c r="C2231" t="s">
        <v>277</v>
      </c>
      <c r="D2231" t="s">
        <v>7508</v>
      </c>
      <c r="E2231">
        <v>24</v>
      </c>
      <c r="F2231" t="s">
        <v>5163</v>
      </c>
      <c r="G2231" t="s">
        <v>5169</v>
      </c>
    </row>
    <row r="2232" spans="1:7" hidden="1">
      <c r="A2232" s="5" t="s">
        <v>4700</v>
      </c>
      <c r="B2232" t="s">
        <v>5161</v>
      </c>
      <c r="C2232" t="s">
        <v>277</v>
      </c>
      <c r="D2232" t="s">
        <v>7509</v>
      </c>
      <c r="E2232">
        <v>29</v>
      </c>
      <c r="F2232" t="s">
        <v>5163</v>
      </c>
      <c r="G2232" t="s">
        <v>1905</v>
      </c>
    </row>
    <row r="2233" spans="1:7" hidden="1">
      <c r="A2233" s="5" t="s">
        <v>2227</v>
      </c>
      <c r="B2233" t="s">
        <v>5161</v>
      </c>
      <c r="C2233" t="s">
        <v>277</v>
      </c>
      <c r="D2233" t="s">
        <v>7510</v>
      </c>
      <c r="E2233">
        <v>41</v>
      </c>
      <c r="F2233" t="s">
        <v>5163</v>
      </c>
      <c r="G2233" t="s">
        <v>1905</v>
      </c>
    </row>
    <row r="2234" spans="1:7" hidden="1">
      <c r="A2234" s="5" t="s">
        <v>2117</v>
      </c>
      <c r="B2234" t="s">
        <v>5161</v>
      </c>
      <c r="C2234" t="s">
        <v>277</v>
      </c>
      <c r="D2234" t="s">
        <v>7511</v>
      </c>
      <c r="E2234">
        <v>21</v>
      </c>
      <c r="F2234" t="s">
        <v>5163</v>
      </c>
      <c r="G2234" t="s">
        <v>5164</v>
      </c>
    </row>
    <row r="2235" spans="1:7" hidden="1">
      <c r="A2235" s="5" t="s">
        <v>3440</v>
      </c>
      <c r="B2235" t="s">
        <v>5161</v>
      </c>
      <c r="C2235" t="s">
        <v>277</v>
      </c>
      <c r="D2235" t="s">
        <v>7512</v>
      </c>
      <c r="E2235">
        <v>40</v>
      </c>
      <c r="F2235" t="s">
        <v>5163</v>
      </c>
      <c r="G2235" t="s">
        <v>5182</v>
      </c>
    </row>
    <row r="2236" spans="1:7" hidden="1">
      <c r="A2236" s="5" t="s">
        <v>2137</v>
      </c>
      <c r="B2236" t="s">
        <v>5161</v>
      </c>
      <c r="C2236" t="s">
        <v>277</v>
      </c>
      <c r="D2236" t="s">
        <v>7513</v>
      </c>
      <c r="E2236">
        <v>43</v>
      </c>
      <c r="F2236" t="s">
        <v>5163</v>
      </c>
      <c r="G2236" t="s">
        <v>5164</v>
      </c>
    </row>
    <row r="2237" spans="1:7" hidden="1">
      <c r="A2237" s="5" t="s">
        <v>4770</v>
      </c>
      <c r="B2237" t="s">
        <v>5161</v>
      </c>
      <c r="C2237" t="s">
        <v>277</v>
      </c>
      <c r="D2237" t="s">
        <v>7514</v>
      </c>
      <c r="E2237">
        <v>18</v>
      </c>
      <c r="F2237" t="s">
        <v>5163</v>
      </c>
      <c r="G2237" t="s">
        <v>5169</v>
      </c>
    </row>
    <row r="2238" spans="1:7" hidden="1">
      <c r="A2238" s="5" t="s">
        <v>4834</v>
      </c>
      <c r="B2238" t="s">
        <v>5161</v>
      </c>
      <c r="C2238" t="s">
        <v>277</v>
      </c>
      <c r="D2238" t="s">
        <v>7515</v>
      </c>
      <c r="E2238">
        <v>29</v>
      </c>
      <c r="F2238" t="s">
        <v>5163</v>
      </c>
      <c r="G2238" t="s">
        <v>5164</v>
      </c>
    </row>
    <row r="2239" spans="1:7" hidden="1">
      <c r="A2239" s="5" t="s">
        <v>2224</v>
      </c>
      <c r="B2239" t="s">
        <v>5161</v>
      </c>
      <c r="C2239" t="s">
        <v>277</v>
      </c>
      <c r="D2239" t="s">
        <v>7516</v>
      </c>
      <c r="E2239">
        <v>18</v>
      </c>
      <c r="F2239" t="s">
        <v>5172</v>
      </c>
      <c r="G2239" t="s">
        <v>5164</v>
      </c>
    </row>
    <row r="2240" spans="1:7" hidden="1">
      <c r="A2240" s="5" t="s">
        <v>266</v>
      </c>
      <c r="B2240" t="s">
        <v>5161</v>
      </c>
      <c r="C2240" t="s">
        <v>277</v>
      </c>
      <c r="D2240" t="s">
        <v>7517</v>
      </c>
      <c r="E2240">
        <v>26</v>
      </c>
      <c r="F2240" t="s">
        <v>5163</v>
      </c>
      <c r="G2240" t="s">
        <v>5164</v>
      </c>
    </row>
    <row r="2241" spans="1:7" hidden="1">
      <c r="A2241" s="5" t="s">
        <v>266</v>
      </c>
      <c r="B2241" t="s">
        <v>5161</v>
      </c>
      <c r="C2241" t="s">
        <v>277</v>
      </c>
      <c r="D2241" t="s">
        <v>749</v>
      </c>
      <c r="E2241">
        <v>19</v>
      </c>
      <c r="F2241" t="s">
        <v>5163</v>
      </c>
      <c r="G2241" t="s">
        <v>1905</v>
      </c>
    </row>
    <row r="2242" spans="1:7" hidden="1">
      <c r="A2242" s="5" t="s">
        <v>3712</v>
      </c>
      <c r="B2242" t="s">
        <v>5161</v>
      </c>
      <c r="C2242" t="s">
        <v>277</v>
      </c>
      <c r="D2242" t="s">
        <v>7518</v>
      </c>
      <c r="E2242">
        <v>19</v>
      </c>
      <c r="F2242" t="s">
        <v>5163</v>
      </c>
      <c r="G2242" t="s">
        <v>5164</v>
      </c>
    </row>
    <row r="2243" spans="1:7" hidden="1">
      <c r="A2243" s="5" t="s">
        <v>7519</v>
      </c>
      <c r="B2243" t="s">
        <v>5161</v>
      </c>
      <c r="C2243" t="s">
        <v>277</v>
      </c>
      <c r="D2243" t="s">
        <v>7520</v>
      </c>
      <c r="E2243">
        <v>31</v>
      </c>
      <c r="F2243" t="s">
        <v>5172</v>
      </c>
      <c r="G2243" t="s">
        <v>5164</v>
      </c>
    </row>
    <row r="2244" spans="1:7" hidden="1">
      <c r="A2244" s="5" t="s">
        <v>4434</v>
      </c>
      <c r="B2244" t="s">
        <v>5161</v>
      </c>
      <c r="C2244" t="s">
        <v>277</v>
      </c>
      <c r="D2244" t="s">
        <v>7521</v>
      </c>
      <c r="E2244">
        <v>30</v>
      </c>
      <c r="F2244" t="s">
        <v>5163</v>
      </c>
      <c r="G2244" t="s">
        <v>5164</v>
      </c>
    </row>
    <row r="2245" spans="1:7" hidden="1">
      <c r="A2245" s="5" t="s">
        <v>4433</v>
      </c>
      <c r="B2245" t="s">
        <v>5161</v>
      </c>
      <c r="C2245" t="s">
        <v>277</v>
      </c>
      <c r="D2245" t="s">
        <v>7522</v>
      </c>
      <c r="E2245">
        <v>38</v>
      </c>
      <c r="F2245" t="s">
        <v>5163</v>
      </c>
      <c r="G2245" t="s">
        <v>5164</v>
      </c>
    </row>
    <row r="2246" spans="1:7" hidden="1">
      <c r="A2246" s="5" t="s">
        <v>4093</v>
      </c>
      <c r="B2246" t="s">
        <v>5161</v>
      </c>
      <c r="C2246" t="s">
        <v>277</v>
      </c>
      <c r="D2246" t="s">
        <v>7523</v>
      </c>
      <c r="E2246">
        <v>30</v>
      </c>
      <c r="F2246" t="s">
        <v>5163</v>
      </c>
      <c r="G2246" t="s">
        <v>1905</v>
      </c>
    </row>
    <row r="2247" spans="1:7" hidden="1">
      <c r="A2247" s="5" t="s">
        <v>4563</v>
      </c>
      <c r="B2247" t="s">
        <v>5161</v>
      </c>
      <c r="C2247" t="s">
        <v>277</v>
      </c>
      <c r="D2247" t="s">
        <v>7524</v>
      </c>
      <c r="E2247">
        <v>22</v>
      </c>
      <c r="F2247" t="s">
        <v>5163</v>
      </c>
      <c r="G2247" t="s">
        <v>5164</v>
      </c>
    </row>
    <row r="2248" spans="1:7" hidden="1">
      <c r="A2248" s="5" t="s">
        <v>4320</v>
      </c>
      <c r="B2248" t="s">
        <v>5161</v>
      </c>
      <c r="C2248" t="s">
        <v>277</v>
      </c>
      <c r="D2248" t="s">
        <v>7525</v>
      </c>
      <c r="E2248">
        <v>23</v>
      </c>
      <c r="F2248" t="s">
        <v>5163</v>
      </c>
      <c r="G2248" t="s">
        <v>5164</v>
      </c>
    </row>
    <row r="2249" spans="1:7" hidden="1">
      <c r="A2249" s="5" t="s">
        <v>2629</v>
      </c>
      <c r="B2249" t="s">
        <v>5161</v>
      </c>
      <c r="C2249" t="s">
        <v>277</v>
      </c>
      <c r="D2249" t="s">
        <v>7526</v>
      </c>
      <c r="E2249">
        <v>32</v>
      </c>
      <c r="F2249" t="s">
        <v>5163</v>
      </c>
      <c r="G2249" t="s">
        <v>1905</v>
      </c>
    </row>
    <row r="2250" spans="1:7" hidden="1">
      <c r="A2250" s="5" t="s">
        <v>4432</v>
      </c>
      <c r="B2250" t="s">
        <v>5161</v>
      </c>
      <c r="C2250" t="s">
        <v>277</v>
      </c>
      <c r="D2250" t="s">
        <v>7527</v>
      </c>
      <c r="E2250">
        <v>19</v>
      </c>
      <c r="F2250" t="s">
        <v>5163</v>
      </c>
      <c r="G2250" t="s">
        <v>5164</v>
      </c>
    </row>
    <row r="2251" spans="1:7" hidden="1">
      <c r="A2251" s="5" t="s">
        <v>3666</v>
      </c>
      <c r="B2251" t="s">
        <v>5161</v>
      </c>
      <c r="C2251" t="s">
        <v>277</v>
      </c>
      <c r="D2251" t="s">
        <v>7528</v>
      </c>
      <c r="E2251">
        <v>32</v>
      </c>
      <c r="F2251" t="s">
        <v>5163</v>
      </c>
      <c r="G2251" t="s">
        <v>5164</v>
      </c>
    </row>
    <row r="2252" spans="1:7" hidden="1">
      <c r="A2252" s="5" t="s">
        <v>4313</v>
      </c>
      <c r="B2252" t="s">
        <v>5161</v>
      </c>
      <c r="C2252" t="s">
        <v>277</v>
      </c>
      <c r="D2252" t="s">
        <v>7529</v>
      </c>
      <c r="E2252">
        <v>20</v>
      </c>
      <c r="F2252" t="s">
        <v>5163</v>
      </c>
      <c r="G2252" t="s">
        <v>1905</v>
      </c>
    </row>
    <row r="2253" spans="1:7" hidden="1">
      <c r="A2253" s="5" t="s">
        <v>7530</v>
      </c>
      <c r="B2253" t="s">
        <v>5161</v>
      </c>
      <c r="C2253" t="s">
        <v>277</v>
      </c>
      <c r="D2253" t="s">
        <v>7531</v>
      </c>
      <c r="E2253">
        <v>18</v>
      </c>
      <c r="F2253" t="s">
        <v>5163</v>
      </c>
      <c r="G2253" t="s">
        <v>5164</v>
      </c>
    </row>
    <row r="2254" spans="1:7" hidden="1">
      <c r="A2254" s="5" t="s">
        <v>7532</v>
      </c>
      <c r="B2254" t="s">
        <v>5161</v>
      </c>
      <c r="C2254" t="s">
        <v>277</v>
      </c>
      <c r="D2254" t="s">
        <v>7533</v>
      </c>
      <c r="E2254" t="s">
        <v>5182</v>
      </c>
      <c r="F2254" t="s">
        <v>5163</v>
      </c>
      <c r="G2254" t="s">
        <v>6817</v>
      </c>
    </row>
    <row r="2255" spans="1:7" hidden="1">
      <c r="A2255" s="5" t="s">
        <v>2497</v>
      </c>
      <c r="B2255" t="s">
        <v>5161</v>
      </c>
      <c r="C2255" t="s">
        <v>291</v>
      </c>
      <c r="D2255" t="s">
        <v>7534</v>
      </c>
      <c r="E2255">
        <v>25</v>
      </c>
      <c r="F2255" t="s">
        <v>5163</v>
      </c>
      <c r="G2255" t="s">
        <v>5164</v>
      </c>
    </row>
    <row r="2256" spans="1:7" hidden="1">
      <c r="A2256" s="5" t="s">
        <v>4149</v>
      </c>
      <c r="B2256" t="s">
        <v>5161</v>
      </c>
      <c r="C2256" t="s">
        <v>291</v>
      </c>
      <c r="D2256" t="s">
        <v>7535</v>
      </c>
      <c r="E2256">
        <v>27</v>
      </c>
      <c r="F2256" t="s">
        <v>5172</v>
      </c>
      <c r="G2256" t="s">
        <v>5169</v>
      </c>
    </row>
    <row r="2257" spans="1:7" hidden="1">
      <c r="A2257" s="5" t="s">
        <v>4375</v>
      </c>
      <c r="B2257" t="s">
        <v>5161</v>
      </c>
      <c r="C2257" t="s">
        <v>291</v>
      </c>
      <c r="D2257" t="s">
        <v>7536</v>
      </c>
      <c r="E2257">
        <v>20</v>
      </c>
      <c r="F2257" t="s">
        <v>5163</v>
      </c>
      <c r="G2257" t="s">
        <v>1905</v>
      </c>
    </row>
    <row r="2258" spans="1:7" hidden="1">
      <c r="A2258" s="5" t="s">
        <v>4125</v>
      </c>
      <c r="B2258" t="s">
        <v>5161</v>
      </c>
      <c r="C2258" t="s">
        <v>291</v>
      </c>
      <c r="D2258" t="s">
        <v>7537</v>
      </c>
      <c r="E2258">
        <v>21</v>
      </c>
      <c r="F2258" t="s">
        <v>5163</v>
      </c>
      <c r="G2258" t="s">
        <v>5164</v>
      </c>
    </row>
    <row r="2259" spans="1:7" hidden="1">
      <c r="A2259" s="5" t="s">
        <v>4125</v>
      </c>
      <c r="B2259" t="s">
        <v>5161</v>
      </c>
      <c r="C2259" t="s">
        <v>291</v>
      </c>
      <c r="D2259" t="s">
        <v>7538</v>
      </c>
      <c r="E2259">
        <v>22</v>
      </c>
      <c r="F2259" t="s">
        <v>5163</v>
      </c>
      <c r="G2259" t="s">
        <v>5164</v>
      </c>
    </row>
    <row r="2260" spans="1:7" hidden="1">
      <c r="A2260" s="5" t="s">
        <v>3118</v>
      </c>
      <c r="B2260" t="s">
        <v>5161</v>
      </c>
      <c r="C2260" t="s">
        <v>291</v>
      </c>
      <c r="D2260" t="s">
        <v>7539</v>
      </c>
      <c r="E2260">
        <v>19</v>
      </c>
      <c r="F2260" t="s">
        <v>5163</v>
      </c>
      <c r="G2260" t="s">
        <v>5164</v>
      </c>
    </row>
    <row r="2261" spans="1:7" hidden="1">
      <c r="A2261" s="5" t="s">
        <v>4049</v>
      </c>
      <c r="B2261" t="s">
        <v>5161</v>
      </c>
      <c r="C2261" t="s">
        <v>291</v>
      </c>
      <c r="D2261" t="s">
        <v>7540</v>
      </c>
      <c r="E2261">
        <v>33</v>
      </c>
      <c r="F2261" t="s">
        <v>5163</v>
      </c>
      <c r="G2261" t="s">
        <v>5164</v>
      </c>
    </row>
    <row r="2262" spans="1:7" hidden="1">
      <c r="A2262" s="5" t="s">
        <v>3721</v>
      </c>
      <c r="B2262" t="s">
        <v>5161</v>
      </c>
      <c r="C2262" t="s">
        <v>291</v>
      </c>
      <c r="D2262" t="s">
        <v>7541</v>
      </c>
      <c r="E2262">
        <v>25</v>
      </c>
      <c r="F2262" t="s">
        <v>5163</v>
      </c>
      <c r="G2262" t="s">
        <v>5169</v>
      </c>
    </row>
    <row r="2263" spans="1:7" hidden="1">
      <c r="A2263" s="5" t="s">
        <v>4195</v>
      </c>
      <c r="B2263" t="s">
        <v>5161</v>
      </c>
      <c r="C2263" t="s">
        <v>291</v>
      </c>
      <c r="D2263" t="s">
        <v>7542</v>
      </c>
      <c r="E2263">
        <v>27</v>
      </c>
      <c r="F2263" t="s">
        <v>5163</v>
      </c>
      <c r="G2263" t="s">
        <v>1905</v>
      </c>
    </row>
    <row r="2264" spans="1:7" hidden="1">
      <c r="A2264" s="5" t="s">
        <v>3930</v>
      </c>
      <c r="B2264" t="s">
        <v>5161</v>
      </c>
      <c r="C2264" t="s">
        <v>291</v>
      </c>
      <c r="D2264" t="s">
        <v>7543</v>
      </c>
      <c r="E2264">
        <v>25</v>
      </c>
      <c r="F2264" t="s">
        <v>5163</v>
      </c>
      <c r="G2264" t="s">
        <v>5169</v>
      </c>
    </row>
    <row r="2265" spans="1:7" hidden="1">
      <c r="A2265" s="5" t="s">
        <v>5070</v>
      </c>
      <c r="B2265" t="s">
        <v>5161</v>
      </c>
      <c r="C2265" t="s">
        <v>291</v>
      </c>
      <c r="D2265" t="s">
        <v>7544</v>
      </c>
      <c r="E2265">
        <v>32</v>
      </c>
      <c r="F2265" t="s">
        <v>5163</v>
      </c>
      <c r="G2265" t="s">
        <v>1905</v>
      </c>
    </row>
    <row r="2266" spans="1:7" hidden="1">
      <c r="A2266" s="5" t="s">
        <v>3330</v>
      </c>
      <c r="B2266" t="s">
        <v>5161</v>
      </c>
      <c r="C2266" t="s">
        <v>291</v>
      </c>
      <c r="D2266" t="s">
        <v>7545</v>
      </c>
      <c r="E2266">
        <v>18</v>
      </c>
      <c r="F2266" t="s">
        <v>5163</v>
      </c>
      <c r="G2266" t="s">
        <v>1905</v>
      </c>
    </row>
    <row r="2267" spans="1:7" hidden="1">
      <c r="A2267" s="5" t="s">
        <v>3330</v>
      </c>
      <c r="B2267" t="s">
        <v>5161</v>
      </c>
      <c r="C2267" t="s">
        <v>291</v>
      </c>
      <c r="D2267" t="s">
        <v>7546</v>
      </c>
      <c r="E2267">
        <v>25</v>
      </c>
      <c r="F2267" t="s">
        <v>5163</v>
      </c>
      <c r="G2267" t="s">
        <v>5164</v>
      </c>
    </row>
    <row r="2268" spans="1:7" hidden="1">
      <c r="A2268" s="5" t="s">
        <v>3513</v>
      </c>
      <c r="B2268" t="s">
        <v>5161</v>
      </c>
      <c r="C2268" t="s">
        <v>291</v>
      </c>
      <c r="D2268" t="s">
        <v>7547</v>
      </c>
      <c r="E2268">
        <v>33</v>
      </c>
      <c r="F2268" t="s">
        <v>5163</v>
      </c>
      <c r="G2268" t="s">
        <v>1905</v>
      </c>
    </row>
    <row r="2269" spans="1:7" hidden="1">
      <c r="A2269" s="5" t="s">
        <v>3521</v>
      </c>
      <c r="B2269" t="s">
        <v>5161</v>
      </c>
      <c r="C2269" t="s">
        <v>291</v>
      </c>
      <c r="D2269" t="s">
        <v>7548</v>
      </c>
      <c r="E2269">
        <v>25</v>
      </c>
      <c r="F2269" t="s">
        <v>5163</v>
      </c>
      <c r="G2269" t="s">
        <v>5169</v>
      </c>
    </row>
    <row r="2270" spans="1:7" hidden="1">
      <c r="A2270" s="5" t="s">
        <v>3521</v>
      </c>
      <c r="B2270" t="s">
        <v>5161</v>
      </c>
      <c r="C2270" t="s">
        <v>291</v>
      </c>
      <c r="D2270" t="s">
        <v>7549</v>
      </c>
      <c r="E2270">
        <v>21</v>
      </c>
      <c r="F2270" t="s">
        <v>5163</v>
      </c>
      <c r="G2270" t="s">
        <v>1905</v>
      </c>
    </row>
    <row r="2271" spans="1:7" hidden="1">
      <c r="A2271" s="5" t="s">
        <v>3521</v>
      </c>
      <c r="B2271" t="s">
        <v>5161</v>
      </c>
      <c r="C2271" t="s">
        <v>291</v>
      </c>
      <c r="D2271" t="s">
        <v>7550</v>
      </c>
      <c r="E2271">
        <v>50</v>
      </c>
      <c r="F2271" t="s">
        <v>5163</v>
      </c>
      <c r="G2271" t="s">
        <v>5164</v>
      </c>
    </row>
    <row r="2272" spans="1:7" hidden="1">
      <c r="A2272" s="5" t="s">
        <v>3811</v>
      </c>
      <c r="B2272" t="s">
        <v>5161</v>
      </c>
      <c r="C2272" t="s">
        <v>291</v>
      </c>
      <c r="D2272" t="s">
        <v>7551</v>
      </c>
      <c r="E2272">
        <v>18</v>
      </c>
      <c r="F2272" t="s">
        <v>5163</v>
      </c>
      <c r="G2272" t="s">
        <v>1905</v>
      </c>
    </row>
    <row r="2273" spans="1:7" hidden="1">
      <c r="A2273" s="5" t="s">
        <v>2963</v>
      </c>
      <c r="B2273" t="s">
        <v>5161</v>
      </c>
      <c r="C2273" t="s">
        <v>291</v>
      </c>
      <c r="D2273" t="s">
        <v>7552</v>
      </c>
      <c r="E2273">
        <v>21</v>
      </c>
      <c r="F2273" t="s">
        <v>5163</v>
      </c>
      <c r="G2273" t="s">
        <v>1905</v>
      </c>
    </row>
    <row r="2274" spans="1:7" hidden="1">
      <c r="A2274" s="5" t="s">
        <v>3992</v>
      </c>
      <c r="B2274" t="s">
        <v>5161</v>
      </c>
      <c r="C2274" t="s">
        <v>291</v>
      </c>
      <c r="D2274" t="s">
        <v>7553</v>
      </c>
      <c r="E2274">
        <v>28</v>
      </c>
      <c r="F2274" t="s">
        <v>5163</v>
      </c>
      <c r="G2274" t="s">
        <v>5169</v>
      </c>
    </row>
    <row r="2275" spans="1:7" hidden="1">
      <c r="A2275" s="5" t="s">
        <v>7554</v>
      </c>
      <c r="B2275" t="s">
        <v>5161</v>
      </c>
      <c r="C2275" t="s">
        <v>291</v>
      </c>
      <c r="D2275" t="s">
        <v>7555</v>
      </c>
      <c r="E2275">
        <v>26</v>
      </c>
      <c r="F2275" t="s">
        <v>5163</v>
      </c>
      <c r="G2275" t="s">
        <v>5164</v>
      </c>
    </row>
    <row r="2276" spans="1:7" hidden="1">
      <c r="A2276" s="5" t="s">
        <v>3592</v>
      </c>
      <c r="B2276" t="s">
        <v>5161</v>
      </c>
      <c r="C2276" t="s">
        <v>291</v>
      </c>
      <c r="D2276" t="s">
        <v>7556</v>
      </c>
      <c r="E2276">
        <v>18</v>
      </c>
      <c r="F2276" t="s">
        <v>5163</v>
      </c>
      <c r="G2276" t="s">
        <v>1905</v>
      </c>
    </row>
    <row r="2277" spans="1:7" hidden="1">
      <c r="A2277" s="5" t="s">
        <v>2321</v>
      </c>
      <c r="B2277" t="s">
        <v>5161</v>
      </c>
      <c r="C2277" t="s">
        <v>291</v>
      </c>
      <c r="D2277" t="s">
        <v>7557</v>
      </c>
      <c r="E2277">
        <v>23</v>
      </c>
      <c r="F2277" t="s">
        <v>5163</v>
      </c>
      <c r="G2277" t="s">
        <v>5164</v>
      </c>
    </row>
    <row r="2278" spans="1:7" hidden="1">
      <c r="A2278" s="5" t="s">
        <v>2321</v>
      </c>
      <c r="B2278" t="s">
        <v>5161</v>
      </c>
      <c r="C2278" t="s">
        <v>291</v>
      </c>
      <c r="D2278" t="s">
        <v>7558</v>
      </c>
      <c r="E2278">
        <v>31</v>
      </c>
      <c r="F2278" t="s">
        <v>5163</v>
      </c>
      <c r="G2278" t="s">
        <v>5164</v>
      </c>
    </row>
    <row r="2279" spans="1:7" hidden="1">
      <c r="A2279" s="5" t="s">
        <v>2936</v>
      </c>
      <c r="B2279" t="s">
        <v>5161</v>
      </c>
      <c r="C2279" t="s">
        <v>291</v>
      </c>
      <c r="D2279" t="s">
        <v>7559</v>
      </c>
      <c r="E2279">
        <v>18</v>
      </c>
      <c r="F2279" t="s">
        <v>5163</v>
      </c>
      <c r="G2279" t="s">
        <v>5164</v>
      </c>
    </row>
    <row r="2280" spans="1:7" hidden="1">
      <c r="A2280" s="5" t="s">
        <v>5080</v>
      </c>
      <c r="B2280" t="s">
        <v>5161</v>
      </c>
      <c r="C2280" t="s">
        <v>291</v>
      </c>
      <c r="D2280" t="s">
        <v>7560</v>
      </c>
      <c r="E2280">
        <v>19</v>
      </c>
      <c r="F2280" t="s">
        <v>5163</v>
      </c>
      <c r="G2280" t="s">
        <v>5164</v>
      </c>
    </row>
    <row r="2281" spans="1:7" hidden="1">
      <c r="A2281" s="5" t="s">
        <v>5080</v>
      </c>
      <c r="B2281" t="s">
        <v>5161</v>
      </c>
      <c r="C2281" t="s">
        <v>291</v>
      </c>
      <c r="D2281" t="s">
        <v>7561</v>
      </c>
      <c r="E2281">
        <v>18</v>
      </c>
      <c r="F2281" t="s">
        <v>5163</v>
      </c>
      <c r="G2281" t="s">
        <v>5164</v>
      </c>
    </row>
    <row r="2282" spans="1:7" hidden="1">
      <c r="A2282" s="5" t="s">
        <v>3993</v>
      </c>
      <c r="B2282" t="s">
        <v>5161</v>
      </c>
      <c r="C2282" t="s">
        <v>291</v>
      </c>
      <c r="D2282" t="s">
        <v>7562</v>
      </c>
      <c r="E2282">
        <v>23</v>
      </c>
      <c r="F2282" t="s">
        <v>5172</v>
      </c>
      <c r="G2282" t="s">
        <v>1905</v>
      </c>
    </row>
    <row r="2283" spans="1:7" hidden="1">
      <c r="A2283" s="5" t="s">
        <v>2537</v>
      </c>
      <c r="B2283" t="s">
        <v>5161</v>
      </c>
      <c r="C2283" t="s">
        <v>291</v>
      </c>
      <c r="D2283" t="s">
        <v>7563</v>
      </c>
      <c r="E2283">
        <v>21</v>
      </c>
      <c r="F2283" t="s">
        <v>5163</v>
      </c>
      <c r="G2283" t="s">
        <v>5164</v>
      </c>
    </row>
    <row r="2284" spans="1:7" hidden="1">
      <c r="A2284" s="5" t="s">
        <v>287</v>
      </c>
      <c r="B2284" t="s">
        <v>5161</v>
      </c>
      <c r="C2284" t="s">
        <v>291</v>
      </c>
      <c r="D2284" t="s">
        <v>7564</v>
      </c>
      <c r="E2284">
        <v>36</v>
      </c>
      <c r="F2284" t="s">
        <v>5163</v>
      </c>
      <c r="G2284" t="s">
        <v>5164</v>
      </c>
    </row>
    <row r="2285" spans="1:7" hidden="1">
      <c r="A2285" s="5" t="s">
        <v>2683</v>
      </c>
      <c r="B2285" t="s">
        <v>5161</v>
      </c>
      <c r="C2285" t="s">
        <v>291</v>
      </c>
      <c r="D2285" t="s">
        <v>7565</v>
      </c>
      <c r="E2285">
        <v>22</v>
      </c>
      <c r="F2285" t="s">
        <v>5163</v>
      </c>
      <c r="G2285" t="s">
        <v>5164</v>
      </c>
    </row>
    <row r="2286" spans="1:7" hidden="1">
      <c r="A2286" s="5" t="s">
        <v>4964</v>
      </c>
      <c r="B2286" t="s">
        <v>5161</v>
      </c>
      <c r="C2286" t="s">
        <v>291</v>
      </c>
      <c r="D2286" t="s">
        <v>7566</v>
      </c>
      <c r="E2286">
        <v>34</v>
      </c>
      <c r="F2286" t="s">
        <v>5163</v>
      </c>
      <c r="G2286" t="s">
        <v>1905</v>
      </c>
    </row>
    <row r="2287" spans="1:7" hidden="1">
      <c r="A2287" s="5" t="s">
        <v>4369</v>
      </c>
      <c r="B2287" t="s">
        <v>5161</v>
      </c>
      <c r="C2287" t="s">
        <v>291</v>
      </c>
      <c r="D2287" t="s">
        <v>7567</v>
      </c>
      <c r="E2287">
        <v>31</v>
      </c>
      <c r="F2287" t="s">
        <v>5172</v>
      </c>
      <c r="G2287" t="s">
        <v>5169</v>
      </c>
    </row>
    <row r="2288" spans="1:7" hidden="1">
      <c r="A2288" s="5" t="s">
        <v>2399</v>
      </c>
      <c r="B2288" t="s">
        <v>5161</v>
      </c>
      <c r="C2288" t="s">
        <v>291</v>
      </c>
      <c r="D2288" t="s">
        <v>7568</v>
      </c>
      <c r="E2288">
        <v>22</v>
      </c>
      <c r="F2288" t="s">
        <v>5163</v>
      </c>
      <c r="G2288" t="s">
        <v>5164</v>
      </c>
    </row>
    <row r="2289" spans="1:7" hidden="1">
      <c r="A2289" s="5" t="s">
        <v>2554</v>
      </c>
      <c r="B2289" t="s">
        <v>5161</v>
      </c>
      <c r="C2289" t="s">
        <v>291</v>
      </c>
      <c r="D2289" t="s">
        <v>7569</v>
      </c>
      <c r="E2289">
        <v>20</v>
      </c>
      <c r="F2289" t="s">
        <v>5163</v>
      </c>
      <c r="G2289" t="s">
        <v>5169</v>
      </c>
    </row>
    <row r="2290" spans="1:7" hidden="1">
      <c r="A2290" s="5" t="s">
        <v>7570</v>
      </c>
      <c r="B2290" t="s">
        <v>5161</v>
      </c>
      <c r="C2290" t="s">
        <v>291</v>
      </c>
      <c r="D2290" t="s">
        <v>7571</v>
      </c>
      <c r="E2290">
        <v>25</v>
      </c>
      <c r="F2290" t="s">
        <v>5163</v>
      </c>
      <c r="G2290" t="s">
        <v>5164</v>
      </c>
    </row>
    <row r="2291" spans="1:7" hidden="1">
      <c r="A2291" s="5" t="s">
        <v>2177</v>
      </c>
      <c r="B2291" t="s">
        <v>5161</v>
      </c>
      <c r="C2291" t="s">
        <v>291</v>
      </c>
      <c r="D2291" t="s">
        <v>7572</v>
      </c>
      <c r="E2291">
        <v>36</v>
      </c>
      <c r="F2291" t="s">
        <v>5163</v>
      </c>
      <c r="G2291" t="s">
        <v>1905</v>
      </c>
    </row>
    <row r="2292" spans="1:7" hidden="1">
      <c r="A2292" s="5" t="s">
        <v>3268</v>
      </c>
      <c r="B2292" t="s">
        <v>5161</v>
      </c>
      <c r="C2292" t="s">
        <v>291</v>
      </c>
      <c r="D2292" t="s">
        <v>7573</v>
      </c>
      <c r="E2292">
        <v>28</v>
      </c>
      <c r="F2292" t="s">
        <v>5163</v>
      </c>
      <c r="G2292" t="s">
        <v>5182</v>
      </c>
    </row>
    <row r="2293" spans="1:7" hidden="1">
      <c r="A2293" s="5" t="s">
        <v>3535</v>
      </c>
      <c r="B2293" t="s">
        <v>5161</v>
      </c>
      <c r="C2293" t="s">
        <v>291</v>
      </c>
      <c r="D2293" t="s">
        <v>7574</v>
      </c>
      <c r="E2293">
        <v>40</v>
      </c>
      <c r="F2293" t="s">
        <v>5163</v>
      </c>
      <c r="G2293" t="s">
        <v>1905</v>
      </c>
    </row>
    <row r="2294" spans="1:7" hidden="1">
      <c r="A2294" s="5" t="s">
        <v>4821</v>
      </c>
      <c r="B2294" t="s">
        <v>5161</v>
      </c>
      <c r="C2294" t="s">
        <v>291</v>
      </c>
      <c r="D2294" t="s">
        <v>7575</v>
      </c>
      <c r="E2294">
        <v>34</v>
      </c>
      <c r="F2294" t="s">
        <v>5163</v>
      </c>
      <c r="G2294" t="s">
        <v>5182</v>
      </c>
    </row>
    <row r="2295" spans="1:7" hidden="1">
      <c r="A2295" s="5" t="s">
        <v>4821</v>
      </c>
      <c r="B2295" t="s">
        <v>5161</v>
      </c>
      <c r="C2295" t="s">
        <v>291</v>
      </c>
      <c r="D2295" t="s">
        <v>7576</v>
      </c>
      <c r="E2295">
        <v>21</v>
      </c>
      <c r="F2295" t="s">
        <v>5163</v>
      </c>
      <c r="G2295" t="s">
        <v>5164</v>
      </c>
    </row>
    <row r="2296" spans="1:7" hidden="1">
      <c r="A2296" s="5" t="s">
        <v>3720</v>
      </c>
      <c r="B2296" t="s">
        <v>5161</v>
      </c>
      <c r="C2296" t="s">
        <v>291</v>
      </c>
      <c r="D2296" t="s">
        <v>7577</v>
      </c>
      <c r="E2296">
        <v>35</v>
      </c>
      <c r="F2296" t="s">
        <v>5163</v>
      </c>
      <c r="G2296" t="s">
        <v>1905</v>
      </c>
    </row>
    <row r="2297" spans="1:7" hidden="1">
      <c r="A2297" s="5" t="s">
        <v>278</v>
      </c>
      <c r="B2297" t="s">
        <v>5161</v>
      </c>
      <c r="C2297" t="s">
        <v>291</v>
      </c>
      <c r="D2297" t="s">
        <v>787</v>
      </c>
      <c r="E2297">
        <v>27</v>
      </c>
      <c r="F2297" t="s">
        <v>5163</v>
      </c>
      <c r="G2297" t="s">
        <v>5164</v>
      </c>
    </row>
    <row r="2298" spans="1:7" hidden="1">
      <c r="A2298" s="5" t="s">
        <v>4095</v>
      </c>
      <c r="B2298" t="s">
        <v>5161</v>
      </c>
      <c r="C2298" t="s">
        <v>291</v>
      </c>
      <c r="D2298" t="s">
        <v>7578</v>
      </c>
      <c r="E2298">
        <v>19</v>
      </c>
      <c r="F2298" t="s">
        <v>5172</v>
      </c>
      <c r="G2298" t="s">
        <v>5164</v>
      </c>
    </row>
    <row r="2299" spans="1:7" hidden="1">
      <c r="A2299" s="5" t="s">
        <v>4051</v>
      </c>
      <c r="B2299" t="s">
        <v>5161</v>
      </c>
      <c r="C2299" t="s">
        <v>291</v>
      </c>
      <c r="D2299" t="s">
        <v>7579</v>
      </c>
      <c r="E2299">
        <v>26</v>
      </c>
      <c r="F2299" t="s">
        <v>5163</v>
      </c>
      <c r="G2299" t="s">
        <v>1905</v>
      </c>
    </row>
    <row r="2300" spans="1:7" hidden="1">
      <c r="A2300" s="5" t="s">
        <v>4340</v>
      </c>
      <c r="B2300" t="s">
        <v>5161</v>
      </c>
      <c r="C2300" t="s">
        <v>291</v>
      </c>
      <c r="D2300" t="s">
        <v>7580</v>
      </c>
      <c r="E2300">
        <v>34</v>
      </c>
      <c r="F2300" t="s">
        <v>5163</v>
      </c>
      <c r="G2300" t="s">
        <v>5164</v>
      </c>
    </row>
    <row r="2301" spans="1:7" hidden="1">
      <c r="A2301" s="5" t="s">
        <v>4184</v>
      </c>
      <c r="B2301" t="s">
        <v>5161</v>
      </c>
      <c r="C2301" t="s">
        <v>291</v>
      </c>
      <c r="D2301" t="s">
        <v>7581</v>
      </c>
      <c r="E2301">
        <v>36</v>
      </c>
      <c r="F2301" t="s">
        <v>5163</v>
      </c>
      <c r="G2301" t="s">
        <v>5164</v>
      </c>
    </row>
    <row r="2302" spans="1:7" hidden="1">
      <c r="A2302" s="5" t="s">
        <v>3071</v>
      </c>
      <c r="B2302" t="s">
        <v>5161</v>
      </c>
      <c r="C2302" t="s">
        <v>291</v>
      </c>
      <c r="D2302" t="s">
        <v>7582</v>
      </c>
      <c r="E2302">
        <v>19</v>
      </c>
      <c r="F2302" t="s">
        <v>5163</v>
      </c>
      <c r="G2302" t="s">
        <v>5169</v>
      </c>
    </row>
    <row r="2303" spans="1:7" hidden="1">
      <c r="A2303" s="5" t="s">
        <v>3718</v>
      </c>
      <c r="B2303" t="s">
        <v>5161</v>
      </c>
      <c r="C2303" t="s">
        <v>291</v>
      </c>
      <c r="D2303" t="s">
        <v>7583</v>
      </c>
      <c r="E2303">
        <v>23</v>
      </c>
      <c r="F2303" t="s">
        <v>5163</v>
      </c>
      <c r="G2303" t="s">
        <v>5164</v>
      </c>
    </row>
    <row r="2304" spans="1:7" hidden="1">
      <c r="A2304" s="5" t="s">
        <v>281</v>
      </c>
      <c r="B2304" t="s">
        <v>5161</v>
      </c>
      <c r="C2304" t="s">
        <v>291</v>
      </c>
      <c r="D2304" t="s">
        <v>790</v>
      </c>
      <c r="E2304">
        <v>30</v>
      </c>
      <c r="F2304" t="s">
        <v>5163</v>
      </c>
      <c r="G2304" t="s">
        <v>5164</v>
      </c>
    </row>
    <row r="2305" spans="1:7" hidden="1">
      <c r="A2305" s="5" t="s">
        <v>4023</v>
      </c>
      <c r="B2305" t="s">
        <v>5161</v>
      </c>
      <c r="C2305" t="s">
        <v>291</v>
      </c>
      <c r="D2305" t="s">
        <v>7584</v>
      </c>
      <c r="E2305">
        <v>35</v>
      </c>
      <c r="F2305" t="s">
        <v>5163</v>
      </c>
      <c r="G2305" t="s">
        <v>5169</v>
      </c>
    </row>
    <row r="2306" spans="1:7" hidden="1">
      <c r="A2306" s="5" t="s">
        <v>3991</v>
      </c>
      <c r="B2306" t="s">
        <v>5161</v>
      </c>
      <c r="C2306" t="s">
        <v>291</v>
      </c>
      <c r="D2306" t="s">
        <v>7585</v>
      </c>
      <c r="E2306">
        <v>18</v>
      </c>
      <c r="F2306" t="s">
        <v>5163</v>
      </c>
      <c r="G2306" t="s">
        <v>5164</v>
      </c>
    </row>
    <row r="2307" spans="1:7" hidden="1">
      <c r="A2307" s="5" t="s">
        <v>2548</v>
      </c>
      <c r="B2307" t="s">
        <v>5161</v>
      </c>
      <c r="C2307" t="s">
        <v>291</v>
      </c>
      <c r="D2307" t="s">
        <v>7586</v>
      </c>
      <c r="E2307">
        <v>33</v>
      </c>
      <c r="F2307" t="s">
        <v>5163</v>
      </c>
      <c r="G2307" t="s">
        <v>5164</v>
      </c>
    </row>
    <row r="2308" spans="1:7" hidden="1">
      <c r="A2308" s="5" t="s">
        <v>290</v>
      </c>
      <c r="B2308" t="s">
        <v>5161</v>
      </c>
      <c r="C2308" t="s">
        <v>291</v>
      </c>
      <c r="D2308" t="s">
        <v>800</v>
      </c>
      <c r="E2308">
        <v>23</v>
      </c>
      <c r="F2308" t="s">
        <v>5163</v>
      </c>
      <c r="G2308" t="s">
        <v>1905</v>
      </c>
    </row>
    <row r="2309" spans="1:7" hidden="1">
      <c r="A2309" s="5" t="s">
        <v>3751</v>
      </c>
      <c r="B2309" t="s">
        <v>5161</v>
      </c>
      <c r="C2309" t="s">
        <v>291</v>
      </c>
      <c r="D2309" t="s">
        <v>7587</v>
      </c>
      <c r="E2309">
        <v>20</v>
      </c>
      <c r="F2309" t="s">
        <v>5163</v>
      </c>
      <c r="G2309" t="s">
        <v>5164</v>
      </c>
    </row>
    <row r="2310" spans="1:7" hidden="1">
      <c r="A2310" s="5" t="s">
        <v>4169</v>
      </c>
      <c r="B2310" t="s">
        <v>5161</v>
      </c>
      <c r="C2310" t="s">
        <v>291</v>
      </c>
      <c r="D2310" t="s">
        <v>7588</v>
      </c>
      <c r="E2310">
        <v>23</v>
      </c>
      <c r="F2310" t="s">
        <v>5163</v>
      </c>
      <c r="G2310" t="s">
        <v>1905</v>
      </c>
    </row>
    <row r="2311" spans="1:7" hidden="1">
      <c r="A2311" s="5" t="s">
        <v>5095</v>
      </c>
      <c r="B2311" t="s">
        <v>5161</v>
      </c>
      <c r="C2311" t="s">
        <v>291</v>
      </c>
      <c r="D2311" t="s">
        <v>7589</v>
      </c>
      <c r="E2311">
        <v>28</v>
      </c>
      <c r="F2311" t="s">
        <v>5163</v>
      </c>
      <c r="G2311" t="s">
        <v>5169</v>
      </c>
    </row>
    <row r="2312" spans="1:7" hidden="1">
      <c r="A2312" s="5" t="s">
        <v>5095</v>
      </c>
      <c r="B2312" t="s">
        <v>5161</v>
      </c>
      <c r="C2312" t="s">
        <v>291</v>
      </c>
      <c r="D2312" t="s">
        <v>7590</v>
      </c>
      <c r="E2312">
        <v>30</v>
      </c>
      <c r="F2312" t="s">
        <v>5163</v>
      </c>
      <c r="G2312" t="s">
        <v>5164</v>
      </c>
    </row>
    <row r="2313" spans="1:7" hidden="1">
      <c r="A2313" s="5" t="s">
        <v>2823</v>
      </c>
      <c r="B2313" t="s">
        <v>5161</v>
      </c>
      <c r="C2313" t="s">
        <v>291</v>
      </c>
      <c r="D2313" t="s">
        <v>7591</v>
      </c>
      <c r="E2313">
        <v>19</v>
      </c>
      <c r="F2313" t="s">
        <v>5163</v>
      </c>
      <c r="G2313" t="s">
        <v>5164</v>
      </c>
    </row>
    <row r="2314" spans="1:7" hidden="1">
      <c r="A2314" s="5" t="s">
        <v>286</v>
      </c>
      <c r="B2314" t="s">
        <v>5161</v>
      </c>
      <c r="C2314" t="s">
        <v>291</v>
      </c>
      <c r="D2314" t="s">
        <v>7592</v>
      </c>
      <c r="E2314">
        <v>18</v>
      </c>
      <c r="F2314" t="s">
        <v>5163</v>
      </c>
      <c r="G2314" t="s">
        <v>5164</v>
      </c>
    </row>
    <row r="2315" spans="1:7" hidden="1">
      <c r="A2315" s="5" t="s">
        <v>2908</v>
      </c>
      <c r="B2315" t="s">
        <v>5161</v>
      </c>
      <c r="C2315" t="s">
        <v>291</v>
      </c>
      <c r="D2315" t="s">
        <v>7593</v>
      </c>
      <c r="E2315">
        <v>27</v>
      </c>
      <c r="F2315" t="s">
        <v>5163</v>
      </c>
      <c r="G2315" t="s">
        <v>1905</v>
      </c>
    </row>
    <row r="2316" spans="1:7" hidden="1">
      <c r="A2316" s="5" t="s">
        <v>3217</v>
      </c>
      <c r="B2316" t="s">
        <v>5161</v>
      </c>
      <c r="C2316" t="s">
        <v>291</v>
      </c>
      <c r="D2316" t="s">
        <v>7594</v>
      </c>
      <c r="E2316">
        <v>23</v>
      </c>
      <c r="F2316" t="s">
        <v>5163</v>
      </c>
      <c r="G2316" t="s">
        <v>1905</v>
      </c>
    </row>
    <row r="2317" spans="1:7" hidden="1">
      <c r="A2317" s="5" t="s">
        <v>3746</v>
      </c>
      <c r="B2317" t="s">
        <v>5161</v>
      </c>
      <c r="C2317" t="s">
        <v>291</v>
      </c>
      <c r="D2317" t="s">
        <v>7595</v>
      </c>
      <c r="E2317">
        <v>21</v>
      </c>
      <c r="F2317" t="s">
        <v>5163</v>
      </c>
      <c r="G2317" t="s">
        <v>5169</v>
      </c>
    </row>
    <row r="2318" spans="1:7" hidden="1">
      <c r="A2318" s="5" t="s">
        <v>3033</v>
      </c>
      <c r="B2318" t="s">
        <v>5161</v>
      </c>
      <c r="C2318" t="s">
        <v>291</v>
      </c>
      <c r="D2318" t="s">
        <v>7596</v>
      </c>
      <c r="E2318">
        <v>24</v>
      </c>
      <c r="F2318" t="s">
        <v>5163</v>
      </c>
      <c r="G2318" t="s">
        <v>5164</v>
      </c>
    </row>
    <row r="2319" spans="1:7" hidden="1">
      <c r="A2319" s="5" t="s">
        <v>280</v>
      </c>
      <c r="B2319" t="s">
        <v>5161</v>
      </c>
      <c r="C2319" t="s">
        <v>291</v>
      </c>
      <c r="D2319" t="s">
        <v>2061</v>
      </c>
      <c r="E2319">
        <v>23</v>
      </c>
      <c r="F2319" t="s">
        <v>5172</v>
      </c>
      <c r="G2319" t="s">
        <v>1905</v>
      </c>
    </row>
    <row r="2320" spans="1:7" hidden="1">
      <c r="A2320" s="5" t="s">
        <v>280</v>
      </c>
      <c r="B2320" t="s">
        <v>5161</v>
      </c>
      <c r="C2320" t="s">
        <v>291</v>
      </c>
      <c r="D2320" t="s">
        <v>2060</v>
      </c>
      <c r="E2320">
        <v>23</v>
      </c>
      <c r="F2320" t="s">
        <v>5163</v>
      </c>
      <c r="G2320" t="s">
        <v>5164</v>
      </c>
    </row>
    <row r="2321" spans="1:7" hidden="1">
      <c r="A2321" s="5" t="s">
        <v>280</v>
      </c>
      <c r="B2321" t="s">
        <v>5161</v>
      </c>
      <c r="C2321" t="s">
        <v>291</v>
      </c>
      <c r="D2321" t="s">
        <v>789</v>
      </c>
      <c r="E2321">
        <v>24</v>
      </c>
      <c r="F2321" t="s">
        <v>5163</v>
      </c>
      <c r="G2321" t="s">
        <v>5164</v>
      </c>
    </row>
    <row r="2322" spans="1:7" hidden="1">
      <c r="A2322" s="5" t="s">
        <v>5097</v>
      </c>
      <c r="B2322" t="s">
        <v>5161</v>
      </c>
      <c r="C2322" t="s">
        <v>291</v>
      </c>
      <c r="D2322" t="s">
        <v>7597</v>
      </c>
      <c r="E2322">
        <v>36</v>
      </c>
      <c r="F2322" t="s">
        <v>5163</v>
      </c>
      <c r="G2322" t="s">
        <v>1905</v>
      </c>
    </row>
    <row r="2323" spans="1:7" hidden="1">
      <c r="A2323" s="5" t="s">
        <v>3685</v>
      </c>
      <c r="B2323" t="s">
        <v>5161</v>
      </c>
      <c r="C2323" t="s">
        <v>291</v>
      </c>
      <c r="D2323" t="s">
        <v>7598</v>
      </c>
      <c r="E2323">
        <v>23</v>
      </c>
      <c r="F2323" t="s">
        <v>5163</v>
      </c>
      <c r="G2323" t="s">
        <v>5164</v>
      </c>
    </row>
    <row r="2324" spans="1:7" hidden="1">
      <c r="A2324" s="5" t="s">
        <v>289</v>
      </c>
      <c r="B2324" t="s">
        <v>5161</v>
      </c>
      <c r="C2324" t="s">
        <v>291</v>
      </c>
      <c r="D2324" t="s">
        <v>799</v>
      </c>
      <c r="E2324">
        <v>35</v>
      </c>
      <c r="F2324" t="s">
        <v>5163</v>
      </c>
      <c r="G2324" t="s">
        <v>5164</v>
      </c>
    </row>
    <row r="2325" spans="1:7" hidden="1">
      <c r="A2325" s="5" t="s">
        <v>3588</v>
      </c>
      <c r="B2325" t="s">
        <v>5161</v>
      </c>
      <c r="C2325" t="s">
        <v>291</v>
      </c>
      <c r="D2325" t="s">
        <v>7599</v>
      </c>
      <c r="E2325">
        <v>21</v>
      </c>
      <c r="F2325" t="s">
        <v>5163</v>
      </c>
      <c r="G2325" t="s">
        <v>5169</v>
      </c>
    </row>
    <row r="2326" spans="1:7" hidden="1">
      <c r="A2326" s="5" t="s">
        <v>2074</v>
      </c>
      <c r="B2326" t="s">
        <v>5161</v>
      </c>
      <c r="C2326" t="s">
        <v>291</v>
      </c>
      <c r="D2326" t="s">
        <v>2075</v>
      </c>
      <c r="E2326">
        <v>29</v>
      </c>
      <c r="F2326" t="s">
        <v>5163</v>
      </c>
      <c r="G2326" t="s">
        <v>5164</v>
      </c>
    </row>
    <row r="2327" spans="1:7" hidden="1">
      <c r="A2327" s="5" t="s">
        <v>5107</v>
      </c>
      <c r="B2327" t="s">
        <v>5161</v>
      </c>
      <c r="C2327" t="s">
        <v>291</v>
      </c>
      <c r="D2327" t="s">
        <v>7600</v>
      </c>
      <c r="E2327">
        <v>23</v>
      </c>
      <c r="F2327" t="s">
        <v>5163</v>
      </c>
      <c r="G2327" t="s">
        <v>5164</v>
      </c>
    </row>
    <row r="2328" spans="1:7" hidden="1">
      <c r="A2328" s="5" t="s">
        <v>3267</v>
      </c>
      <c r="B2328" t="s">
        <v>5161</v>
      </c>
      <c r="C2328" t="s">
        <v>291</v>
      </c>
      <c r="D2328" t="s">
        <v>7601</v>
      </c>
      <c r="E2328">
        <v>21</v>
      </c>
      <c r="F2328" t="s">
        <v>5163</v>
      </c>
      <c r="G2328" t="s">
        <v>5164</v>
      </c>
    </row>
    <row r="2329" spans="1:7" hidden="1">
      <c r="A2329" s="5" t="s">
        <v>2708</v>
      </c>
      <c r="B2329" t="s">
        <v>5161</v>
      </c>
      <c r="C2329" t="s">
        <v>291</v>
      </c>
      <c r="D2329" t="s">
        <v>7602</v>
      </c>
      <c r="E2329">
        <v>20</v>
      </c>
      <c r="F2329" t="s">
        <v>5163</v>
      </c>
      <c r="G2329" t="s">
        <v>5164</v>
      </c>
    </row>
    <row r="2330" spans="1:7" hidden="1">
      <c r="A2330" s="5" t="s">
        <v>2476</v>
      </c>
      <c r="B2330" t="s">
        <v>5161</v>
      </c>
      <c r="C2330" t="s">
        <v>291</v>
      </c>
      <c r="D2330" t="s">
        <v>7603</v>
      </c>
      <c r="E2330">
        <v>26</v>
      </c>
      <c r="F2330" t="s">
        <v>5163</v>
      </c>
      <c r="G2330" t="s">
        <v>1905</v>
      </c>
    </row>
    <row r="2331" spans="1:7" hidden="1">
      <c r="A2331" s="5" t="s">
        <v>3202</v>
      </c>
      <c r="B2331" t="s">
        <v>5161</v>
      </c>
      <c r="C2331" t="s">
        <v>291</v>
      </c>
      <c r="D2331" t="s">
        <v>7604</v>
      </c>
      <c r="E2331">
        <v>22</v>
      </c>
      <c r="F2331" t="s">
        <v>5163</v>
      </c>
      <c r="G2331" t="s">
        <v>5164</v>
      </c>
    </row>
    <row r="2332" spans="1:7" hidden="1">
      <c r="A2332" s="5" t="s">
        <v>3278</v>
      </c>
      <c r="B2332" t="s">
        <v>5161</v>
      </c>
      <c r="C2332" t="s">
        <v>291</v>
      </c>
      <c r="D2332" t="s">
        <v>7605</v>
      </c>
      <c r="E2332">
        <v>29</v>
      </c>
      <c r="F2332" t="s">
        <v>5163</v>
      </c>
      <c r="G2332" t="s">
        <v>5164</v>
      </c>
    </row>
    <row r="2333" spans="1:7" hidden="1">
      <c r="A2333" s="5" t="s">
        <v>2545</v>
      </c>
      <c r="B2333" t="s">
        <v>5161</v>
      </c>
      <c r="C2333" t="s">
        <v>291</v>
      </c>
      <c r="D2333" t="s">
        <v>7606</v>
      </c>
      <c r="E2333">
        <v>32</v>
      </c>
      <c r="F2333" t="s">
        <v>5163</v>
      </c>
      <c r="G2333" t="s">
        <v>1905</v>
      </c>
    </row>
    <row r="2334" spans="1:7" hidden="1">
      <c r="A2334" s="5" t="s">
        <v>3204</v>
      </c>
      <c r="B2334" t="s">
        <v>5161</v>
      </c>
      <c r="C2334" t="s">
        <v>291</v>
      </c>
      <c r="D2334" t="s">
        <v>7607</v>
      </c>
      <c r="E2334">
        <v>24</v>
      </c>
      <c r="F2334" t="s">
        <v>5163</v>
      </c>
      <c r="G2334" t="s">
        <v>5164</v>
      </c>
    </row>
    <row r="2335" spans="1:7" hidden="1">
      <c r="A2335" s="5" t="s">
        <v>2435</v>
      </c>
      <c r="B2335" t="s">
        <v>5161</v>
      </c>
      <c r="C2335" t="s">
        <v>291</v>
      </c>
      <c r="D2335" t="s">
        <v>7608</v>
      </c>
      <c r="E2335">
        <v>48</v>
      </c>
      <c r="F2335" t="s">
        <v>5163</v>
      </c>
      <c r="G2335" t="s">
        <v>5164</v>
      </c>
    </row>
    <row r="2336" spans="1:7" hidden="1">
      <c r="A2336" s="5" t="s">
        <v>4887</v>
      </c>
      <c r="B2336" t="s">
        <v>5161</v>
      </c>
      <c r="C2336" t="s">
        <v>291</v>
      </c>
      <c r="D2336" t="s">
        <v>7609</v>
      </c>
      <c r="E2336">
        <v>21</v>
      </c>
      <c r="F2336" t="s">
        <v>5163</v>
      </c>
      <c r="G2336" t="s">
        <v>5164</v>
      </c>
    </row>
    <row r="2337" spans="1:7" hidden="1">
      <c r="A2337" s="5" t="s">
        <v>2993</v>
      </c>
      <c r="B2337" t="s">
        <v>5161</v>
      </c>
      <c r="C2337" t="s">
        <v>291</v>
      </c>
      <c r="D2337" t="s">
        <v>543</v>
      </c>
      <c r="E2337">
        <v>20</v>
      </c>
      <c r="F2337" t="s">
        <v>5163</v>
      </c>
      <c r="G2337" t="s">
        <v>5164</v>
      </c>
    </row>
    <row r="2338" spans="1:7" hidden="1">
      <c r="A2338" s="5" t="s">
        <v>4622</v>
      </c>
      <c r="B2338" t="s">
        <v>5161</v>
      </c>
      <c r="C2338" t="s">
        <v>291</v>
      </c>
      <c r="D2338" t="s">
        <v>7610</v>
      </c>
      <c r="E2338">
        <v>19</v>
      </c>
      <c r="F2338" t="s">
        <v>5163</v>
      </c>
      <c r="G2338" t="s">
        <v>5164</v>
      </c>
    </row>
    <row r="2339" spans="1:7" hidden="1">
      <c r="A2339" s="5" t="s">
        <v>4622</v>
      </c>
      <c r="B2339" t="s">
        <v>5161</v>
      </c>
      <c r="C2339" t="s">
        <v>291</v>
      </c>
      <c r="D2339" t="s">
        <v>7611</v>
      </c>
      <c r="E2339">
        <v>19</v>
      </c>
      <c r="F2339" t="s">
        <v>5163</v>
      </c>
      <c r="G2339" t="s">
        <v>5164</v>
      </c>
    </row>
    <row r="2340" spans="1:7" hidden="1">
      <c r="A2340" s="5" t="s">
        <v>2780</v>
      </c>
      <c r="B2340" t="s">
        <v>5161</v>
      </c>
      <c r="C2340" t="s">
        <v>291</v>
      </c>
      <c r="D2340" t="s">
        <v>7612</v>
      </c>
      <c r="E2340">
        <v>28</v>
      </c>
      <c r="F2340" t="s">
        <v>5163</v>
      </c>
      <c r="G2340" t="s">
        <v>5164</v>
      </c>
    </row>
    <row r="2341" spans="1:7" hidden="1">
      <c r="A2341" s="5" t="s">
        <v>2337</v>
      </c>
      <c r="B2341" t="s">
        <v>5161</v>
      </c>
      <c r="C2341" t="s">
        <v>291</v>
      </c>
      <c r="D2341" t="s">
        <v>7613</v>
      </c>
      <c r="E2341">
        <v>29</v>
      </c>
      <c r="F2341" t="s">
        <v>5163</v>
      </c>
      <c r="G2341" t="s">
        <v>1905</v>
      </c>
    </row>
    <row r="2342" spans="1:7" hidden="1">
      <c r="A2342" s="5" t="s">
        <v>3988</v>
      </c>
      <c r="B2342" t="s">
        <v>5161</v>
      </c>
      <c r="C2342" t="s">
        <v>291</v>
      </c>
      <c r="D2342" t="s">
        <v>7614</v>
      </c>
      <c r="E2342">
        <v>47</v>
      </c>
      <c r="F2342" t="s">
        <v>5163</v>
      </c>
      <c r="G2342" t="s">
        <v>5164</v>
      </c>
    </row>
    <row r="2343" spans="1:7" hidden="1">
      <c r="A2343" s="5" t="s">
        <v>5114</v>
      </c>
      <c r="B2343" t="s">
        <v>5161</v>
      </c>
      <c r="C2343" t="s">
        <v>291</v>
      </c>
      <c r="D2343" t="s">
        <v>7615</v>
      </c>
      <c r="E2343">
        <v>26</v>
      </c>
      <c r="F2343" t="s">
        <v>5163</v>
      </c>
      <c r="G2343" t="s">
        <v>5164</v>
      </c>
    </row>
    <row r="2344" spans="1:7" hidden="1">
      <c r="A2344" s="5" t="s">
        <v>3068</v>
      </c>
      <c r="B2344" t="s">
        <v>5161</v>
      </c>
      <c r="C2344" t="s">
        <v>291</v>
      </c>
      <c r="D2344" t="s">
        <v>7616</v>
      </c>
      <c r="E2344">
        <v>34</v>
      </c>
      <c r="F2344" t="s">
        <v>5163</v>
      </c>
      <c r="G2344" t="s">
        <v>5164</v>
      </c>
    </row>
    <row r="2345" spans="1:7" hidden="1">
      <c r="A2345" s="5" t="s">
        <v>4965</v>
      </c>
      <c r="B2345" t="s">
        <v>5161</v>
      </c>
      <c r="C2345" t="s">
        <v>291</v>
      </c>
      <c r="D2345" t="s">
        <v>7617</v>
      </c>
      <c r="E2345">
        <v>18</v>
      </c>
      <c r="F2345" t="s">
        <v>5163</v>
      </c>
      <c r="G2345" t="s">
        <v>5164</v>
      </c>
    </row>
    <row r="2346" spans="1:7" hidden="1">
      <c r="A2346" s="5" t="s">
        <v>2725</v>
      </c>
      <c r="B2346" t="s">
        <v>5161</v>
      </c>
      <c r="C2346" t="s">
        <v>291</v>
      </c>
      <c r="D2346" t="s">
        <v>7618</v>
      </c>
      <c r="E2346">
        <v>18</v>
      </c>
      <c r="F2346" t="s">
        <v>5163</v>
      </c>
      <c r="G2346" t="s">
        <v>6496</v>
      </c>
    </row>
    <row r="2347" spans="1:7" hidden="1">
      <c r="A2347" s="5" t="s">
        <v>2725</v>
      </c>
      <c r="B2347" t="s">
        <v>5161</v>
      </c>
      <c r="C2347" t="s">
        <v>291</v>
      </c>
      <c r="D2347" t="s">
        <v>7619</v>
      </c>
      <c r="E2347">
        <v>33</v>
      </c>
      <c r="F2347" t="s">
        <v>5163</v>
      </c>
      <c r="G2347" t="s">
        <v>1905</v>
      </c>
    </row>
    <row r="2348" spans="1:7" hidden="1">
      <c r="A2348" s="5" t="s">
        <v>2763</v>
      </c>
      <c r="B2348" t="s">
        <v>5161</v>
      </c>
      <c r="C2348" t="s">
        <v>291</v>
      </c>
      <c r="D2348" t="s">
        <v>7620</v>
      </c>
      <c r="E2348">
        <v>18</v>
      </c>
      <c r="F2348" t="s">
        <v>5163</v>
      </c>
      <c r="G2348" t="s">
        <v>5164</v>
      </c>
    </row>
    <row r="2349" spans="1:7" hidden="1">
      <c r="A2349" s="5" t="s">
        <v>4844</v>
      </c>
      <c r="B2349" t="s">
        <v>5161</v>
      </c>
      <c r="C2349" t="s">
        <v>291</v>
      </c>
      <c r="D2349" t="s">
        <v>7621</v>
      </c>
      <c r="E2349">
        <v>27</v>
      </c>
      <c r="F2349" t="s">
        <v>5163</v>
      </c>
      <c r="G2349" t="s">
        <v>5164</v>
      </c>
    </row>
    <row r="2350" spans="1:7" hidden="1">
      <c r="A2350" s="5" t="s">
        <v>2684</v>
      </c>
      <c r="B2350" t="s">
        <v>5161</v>
      </c>
      <c r="C2350" t="s">
        <v>291</v>
      </c>
      <c r="D2350" t="s">
        <v>7622</v>
      </c>
      <c r="E2350">
        <v>20</v>
      </c>
      <c r="F2350" t="s">
        <v>5172</v>
      </c>
      <c r="G2350" t="s">
        <v>5164</v>
      </c>
    </row>
    <row r="2351" spans="1:7" hidden="1">
      <c r="A2351" s="5" t="s">
        <v>2672</v>
      </c>
      <c r="B2351" t="s">
        <v>5161</v>
      </c>
      <c r="C2351" t="s">
        <v>291</v>
      </c>
      <c r="D2351" t="s">
        <v>7623</v>
      </c>
      <c r="E2351">
        <v>22</v>
      </c>
      <c r="F2351" t="s">
        <v>5163</v>
      </c>
      <c r="G2351" t="s">
        <v>5164</v>
      </c>
    </row>
    <row r="2352" spans="1:7" hidden="1">
      <c r="A2352" s="5" t="s">
        <v>5037</v>
      </c>
      <c r="B2352" t="s">
        <v>5161</v>
      </c>
      <c r="C2352" t="s">
        <v>291</v>
      </c>
      <c r="D2352" t="s">
        <v>7624</v>
      </c>
      <c r="E2352">
        <v>40</v>
      </c>
      <c r="F2352" t="s">
        <v>5163</v>
      </c>
      <c r="G2352" t="s">
        <v>1905</v>
      </c>
    </row>
    <row r="2353" spans="1:7" hidden="1">
      <c r="A2353" s="5" t="s">
        <v>284</v>
      </c>
      <c r="B2353" t="s">
        <v>5161</v>
      </c>
      <c r="C2353" t="s">
        <v>291</v>
      </c>
      <c r="D2353" t="s">
        <v>794</v>
      </c>
      <c r="E2353">
        <v>18</v>
      </c>
      <c r="F2353" t="s">
        <v>5163</v>
      </c>
      <c r="G2353" t="s">
        <v>5169</v>
      </c>
    </row>
    <row r="2354" spans="1:7" hidden="1">
      <c r="A2354" s="5" t="s">
        <v>4951</v>
      </c>
      <c r="B2354" t="s">
        <v>5161</v>
      </c>
      <c r="C2354" t="s">
        <v>291</v>
      </c>
      <c r="D2354" t="s">
        <v>7625</v>
      </c>
      <c r="E2354">
        <v>22</v>
      </c>
      <c r="F2354" t="s">
        <v>5163</v>
      </c>
      <c r="G2354" t="s">
        <v>5164</v>
      </c>
    </row>
    <row r="2355" spans="1:7" hidden="1">
      <c r="A2355" s="5" t="s">
        <v>5005</v>
      </c>
      <c r="B2355" t="s">
        <v>5161</v>
      </c>
      <c r="C2355" t="s">
        <v>291</v>
      </c>
      <c r="D2355" t="s">
        <v>5672</v>
      </c>
      <c r="E2355">
        <v>19</v>
      </c>
      <c r="F2355" t="s">
        <v>5163</v>
      </c>
      <c r="G2355" t="s">
        <v>5164</v>
      </c>
    </row>
    <row r="2356" spans="1:7" hidden="1">
      <c r="A2356" s="5" t="s">
        <v>7626</v>
      </c>
      <c r="B2356" t="s">
        <v>5161</v>
      </c>
      <c r="C2356" t="s">
        <v>291</v>
      </c>
      <c r="D2356" t="s">
        <v>7627</v>
      </c>
      <c r="E2356">
        <v>20</v>
      </c>
      <c r="F2356" t="s">
        <v>5163</v>
      </c>
      <c r="G2356" t="s">
        <v>5164</v>
      </c>
    </row>
    <row r="2357" spans="1:7" hidden="1">
      <c r="A2357" s="5" t="s">
        <v>5021</v>
      </c>
      <c r="B2357" t="s">
        <v>5161</v>
      </c>
      <c r="C2357" t="s">
        <v>291</v>
      </c>
      <c r="D2357" t="s">
        <v>7628</v>
      </c>
      <c r="E2357">
        <v>22</v>
      </c>
      <c r="F2357" t="s">
        <v>5163</v>
      </c>
      <c r="G2357" t="s">
        <v>5169</v>
      </c>
    </row>
    <row r="2358" spans="1:7" hidden="1">
      <c r="A2358" s="5" t="s">
        <v>2852</v>
      </c>
      <c r="B2358" t="s">
        <v>5161</v>
      </c>
      <c r="C2358" t="s">
        <v>291</v>
      </c>
      <c r="D2358" t="s">
        <v>7629</v>
      </c>
      <c r="E2358">
        <v>30</v>
      </c>
      <c r="F2358" t="s">
        <v>5163</v>
      </c>
      <c r="G2358" t="s">
        <v>1905</v>
      </c>
    </row>
    <row r="2359" spans="1:7" hidden="1">
      <c r="A2359" s="5" t="s">
        <v>2556</v>
      </c>
      <c r="B2359" t="s">
        <v>5161</v>
      </c>
      <c r="C2359" t="s">
        <v>291</v>
      </c>
      <c r="D2359" t="s">
        <v>7630</v>
      </c>
      <c r="E2359">
        <v>35</v>
      </c>
      <c r="F2359" t="s">
        <v>5163</v>
      </c>
      <c r="G2359" t="s">
        <v>1905</v>
      </c>
    </row>
    <row r="2360" spans="1:7" hidden="1">
      <c r="A2360" s="5" t="s">
        <v>2496</v>
      </c>
      <c r="B2360" t="s">
        <v>5161</v>
      </c>
      <c r="C2360" t="s">
        <v>291</v>
      </c>
      <c r="D2360" t="s">
        <v>7631</v>
      </c>
      <c r="E2360">
        <v>21</v>
      </c>
      <c r="F2360" t="s">
        <v>5163</v>
      </c>
      <c r="G2360" t="s">
        <v>5169</v>
      </c>
    </row>
    <row r="2361" spans="1:7" hidden="1">
      <c r="A2361" s="5" t="s">
        <v>4586</v>
      </c>
      <c r="B2361" t="s">
        <v>5161</v>
      </c>
      <c r="C2361" t="s">
        <v>291</v>
      </c>
      <c r="D2361" t="s">
        <v>7632</v>
      </c>
      <c r="E2361">
        <v>18</v>
      </c>
      <c r="F2361" t="s">
        <v>5163</v>
      </c>
      <c r="G2361" t="s">
        <v>5164</v>
      </c>
    </row>
    <row r="2362" spans="1:7" hidden="1">
      <c r="A2362" s="5" t="s">
        <v>3121</v>
      </c>
      <c r="B2362" t="s">
        <v>5161</v>
      </c>
      <c r="C2362" t="s">
        <v>291</v>
      </c>
      <c r="D2362" t="s">
        <v>7633</v>
      </c>
      <c r="E2362">
        <v>26</v>
      </c>
      <c r="F2362" t="s">
        <v>5163</v>
      </c>
      <c r="G2362" t="s">
        <v>5169</v>
      </c>
    </row>
    <row r="2363" spans="1:7" hidden="1">
      <c r="A2363" s="5" t="s">
        <v>3121</v>
      </c>
      <c r="B2363" t="s">
        <v>5161</v>
      </c>
      <c r="C2363" t="s">
        <v>291</v>
      </c>
      <c r="D2363" t="s">
        <v>7634</v>
      </c>
      <c r="E2363">
        <v>21</v>
      </c>
      <c r="F2363" t="s">
        <v>5163</v>
      </c>
      <c r="G2363" t="s">
        <v>1905</v>
      </c>
    </row>
    <row r="2364" spans="1:7" hidden="1">
      <c r="A2364" s="5" t="s">
        <v>4778</v>
      </c>
      <c r="B2364" t="s">
        <v>5161</v>
      </c>
      <c r="C2364" t="s">
        <v>291</v>
      </c>
      <c r="D2364" t="s">
        <v>7635</v>
      </c>
      <c r="E2364">
        <v>28</v>
      </c>
      <c r="F2364" t="s">
        <v>5163</v>
      </c>
      <c r="G2364" t="s">
        <v>5164</v>
      </c>
    </row>
    <row r="2365" spans="1:7" hidden="1">
      <c r="A2365" s="5" t="s">
        <v>4589</v>
      </c>
      <c r="B2365" t="s">
        <v>5161</v>
      </c>
      <c r="C2365" t="s">
        <v>291</v>
      </c>
      <c r="D2365" t="s">
        <v>7636</v>
      </c>
      <c r="E2365">
        <v>18</v>
      </c>
      <c r="F2365" t="s">
        <v>5163</v>
      </c>
      <c r="G2365" t="s">
        <v>5164</v>
      </c>
    </row>
    <row r="2366" spans="1:7" hidden="1">
      <c r="A2366" s="5" t="s">
        <v>4451</v>
      </c>
      <c r="B2366" t="s">
        <v>5161</v>
      </c>
      <c r="C2366" t="s">
        <v>291</v>
      </c>
      <c r="D2366" t="s">
        <v>7637</v>
      </c>
      <c r="E2366">
        <v>26</v>
      </c>
      <c r="F2366" t="s">
        <v>5163</v>
      </c>
      <c r="G2366" t="s">
        <v>5169</v>
      </c>
    </row>
    <row r="2367" spans="1:7" hidden="1">
      <c r="A2367" s="5" t="s">
        <v>4451</v>
      </c>
      <c r="B2367" t="s">
        <v>5161</v>
      </c>
      <c r="C2367" t="s">
        <v>291</v>
      </c>
      <c r="D2367" t="s">
        <v>7638</v>
      </c>
      <c r="E2367">
        <v>19</v>
      </c>
      <c r="F2367" t="s">
        <v>5163</v>
      </c>
      <c r="G2367" t="s">
        <v>5164</v>
      </c>
    </row>
    <row r="2368" spans="1:7" hidden="1">
      <c r="A2368" s="5" t="s">
        <v>2555</v>
      </c>
      <c r="B2368" t="s">
        <v>5161</v>
      </c>
      <c r="C2368" t="s">
        <v>291</v>
      </c>
      <c r="D2368" t="s">
        <v>7639</v>
      </c>
      <c r="E2368">
        <v>34</v>
      </c>
      <c r="F2368" t="s">
        <v>5163</v>
      </c>
      <c r="G2368" t="s">
        <v>5164</v>
      </c>
    </row>
    <row r="2369" spans="1:7" hidden="1">
      <c r="A2369" s="5" t="s">
        <v>2847</v>
      </c>
      <c r="B2369" t="s">
        <v>5161</v>
      </c>
      <c r="C2369" t="s">
        <v>291</v>
      </c>
      <c r="D2369" t="s">
        <v>7640</v>
      </c>
      <c r="E2369">
        <v>20</v>
      </c>
      <c r="F2369" t="s">
        <v>5163</v>
      </c>
      <c r="G2369" t="s">
        <v>5164</v>
      </c>
    </row>
    <row r="2370" spans="1:7" hidden="1">
      <c r="A2370" s="5" t="s">
        <v>3860</v>
      </c>
      <c r="B2370" t="s">
        <v>5161</v>
      </c>
      <c r="C2370" t="s">
        <v>291</v>
      </c>
      <c r="D2370" t="s">
        <v>7641</v>
      </c>
      <c r="E2370">
        <v>22</v>
      </c>
      <c r="F2370" t="s">
        <v>5163</v>
      </c>
      <c r="G2370" t="s">
        <v>5164</v>
      </c>
    </row>
    <row r="2371" spans="1:7" hidden="1">
      <c r="A2371" s="5" t="s">
        <v>2357</v>
      </c>
      <c r="B2371" t="s">
        <v>5161</v>
      </c>
      <c r="C2371" t="s">
        <v>291</v>
      </c>
      <c r="D2371" t="s">
        <v>7642</v>
      </c>
      <c r="E2371">
        <v>24</v>
      </c>
      <c r="F2371" t="s">
        <v>5163</v>
      </c>
      <c r="G2371" t="s">
        <v>5169</v>
      </c>
    </row>
    <row r="2372" spans="1:7" hidden="1">
      <c r="A2372" s="5" t="s">
        <v>282</v>
      </c>
      <c r="B2372" t="s">
        <v>5161</v>
      </c>
      <c r="C2372" t="s">
        <v>291</v>
      </c>
      <c r="D2372" t="s">
        <v>792</v>
      </c>
      <c r="E2372">
        <v>18</v>
      </c>
      <c r="F2372" t="s">
        <v>5163</v>
      </c>
      <c r="G2372" t="s">
        <v>5164</v>
      </c>
    </row>
    <row r="2373" spans="1:7" hidden="1">
      <c r="A2373" s="5" t="s">
        <v>4383</v>
      </c>
      <c r="B2373" t="s">
        <v>5161</v>
      </c>
      <c r="C2373" t="s">
        <v>291</v>
      </c>
      <c r="D2373" t="s">
        <v>7643</v>
      </c>
      <c r="E2373">
        <v>20</v>
      </c>
      <c r="F2373" t="s">
        <v>5163</v>
      </c>
      <c r="G2373" t="s">
        <v>5169</v>
      </c>
    </row>
    <row r="2374" spans="1:7" hidden="1">
      <c r="A2374" s="5" t="s">
        <v>4055</v>
      </c>
      <c r="B2374" t="s">
        <v>5161</v>
      </c>
      <c r="C2374" t="s">
        <v>291</v>
      </c>
      <c r="D2374" t="s">
        <v>7644</v>
      </c>
      <c r="E2374">
        <v>38</v>
      </c>
      <c r="F2374" t="s">
        <v>5172</v>
      </c>
      <c r="G2374" t="s">
        <v>5169</v>
      </c>
    </row>
    <row r="2375" spans="1:7" hidden="1">
      <c r="A2375" s="5" t="s">
        <v>2436</v>
      </c>
      <c r="B2375" t="s">
        <v>5161</v>
      </c>
      <c r="C2375" t="s">
        <v>291</v>
      </c>
      <c r="D2375" t="s">
        <v>7645</v>
      </c>
      <c r="E2375">
        <v>22</v>
      </c>
      <c r="F2375" t="s">
        <v>5163</v>
      </c>
      <c r="G2375" t="s">
        <v>1905</v>
      </c>
    </row>
    <row r="2376" spans="1:7" hidden="1">
      <c r="A2376" s="5" t="s">
        <v>4621</v>
      </c>
      <c r="B2376" t="s">
        <v>5161</v>
      </c>
      <c r="C2376" t="s">
        <v>291</v>
      </c>
      <c r="D2376" t="s">
        <v>7646</v>
      </c>
      <c r="E2376">
        <v>51</v>
      </c>
      <c r="F2376" t="s">
        <v>5163</v>
      </c>
      <c r="G2376" t="s">
        <v>1905</v>
      </c>
    </row>
    <row r="2377" spans="1:7" hidden="1">
      <c r="A2377" s="5" t="s">
        <v>4621</v>
      </c>
      <c r="B2377" t="s">
        <v>5161</v>
      </c>
      <c r="C2377" t="s">
        <v>291</v>
      </c>
      <c r="D2377" t="s">
        <v>7647</v>
      </c>
      <c r="E2377">
        <v>37</v>
      </c>
      <c r="F2377" t="s">
        <v>5163</v>
      </c>
      <c r="G2377" t="s">
        <v>1905</v>
      </c>
    </row>
    <row r="2378" spans="1:7" hidden="1">
      <c r="A2378" s="5" t="s">
        <v>4851</v>
      </c>
      <c r="B2378" t="s">
        <v>5161</v>
      </c>
      <c r="C2378" t="s">
        <v>291</v>
      </c>
      <c r="D2378" t="s">
        <v>7648</v>
      </c>
      <c r="E2378">
        <v>29</v>
      </c>
      <c r="F2378" t="s">
        <v>5163</v>
      </c>
      <c r="G2378" t="s">
        <v>5169</v>
      </c>
    </row>
    <row r="2379" spans="1:7" hidden="1">
      <c r="A2379" s="5" t="s">
        <v>4513</v>
      </c>
      <c r="B2379" t="s">
        <v>5161</v>
      </c>
      <c r="C2379" t="s">
        <v>291</v>
      </c>
      <c r="D2379" t="s">
        <v>7649</v>
      </c>
      <c r="E2379">
        <v>27</v>
      </c>
      <c r="F2379" t="s">
        <v>5163</v>
      </c>
      <c r="G2379" t="s">
        <v>1905</v>
      </c>
    </row>
    <row r="2380" spans="1:7" hidden="1">
      <c r="A2380" s="5" t="s">
        <v>3780</v>
      </c>
      <c r="B2380" t="s">
        <v>5161</v>
      </c>
      <c r="C2380" t="s">
        <v>291</v>
      </c>
      <c r="D2380" t="s">
        <v>7650</v>
      </c>
      <c r="E2380">
        <v>34</v>
      </c>
      <c r="F2380" t="s">
        <v>5163</v>
      </c>
      <c r="G2380" t="s">
        <v>1905</v>
      </c>
    </row>
    <row r="2381" spans="1:7" hidden="1">
      <c r="A2381" s="5" t="s">
        <v>3780</v>
      </c>
      <c r="B2381" t="s">
        <v>5161</v>
      </c>
      <c r="C2381" t="s">
        <v>291</v>
      </c>
      <c r="D2381" t="s">
        <v>7651</v>
      </c>
      <c r="E2381">
        <v>30</v>
      </c>
      <c r="F2381" t="s">
        <v>5163</v>
      </c>
      <c r="G2381" t="s">
        <v>5164</v>
      </c>
    </row>
    <row r="2382" spans="1:7" hidden="1">
      <c r="A2382" s="5" t="s">
        <v>2448</v>
      </c>
      <c r="B2382" t="s">
        <v>5161</v>
      </c>
      <c r="C2382" t="s">
        <v>291</v>
      </c>
      <c r="D2382" t="s">
        <v>7652</v>
      </c>
      <c r="E2382">
        <v>21</v>
      </c>
      <c r="F2382" t="s">
        <v>5163</v>
      </c>
      <c r="G2382" t="s">
        <v>5169</v>
      </c>
    </row>
    <row r="2383" spans="1:7" hidden="1">
      <c r="A2383" s="5" t="s">
        <v>4897</v>
      </c>
      <c r="B2383" t="s">
        <v>5161</v>
      </c>
      <c r="C2383" t="s">
        <v>291</v>
      </c>
      <c r="D2383" t="s">
        <v>7653</v>
      </c>
      <c r="E2383">
        <v>26</v>
      </c>
      <c r="F2383" t="s">
        <v>5163</v>
      </c>
      <c r="G2383" t="s">
        <v>1905</v>
      </c>
    </row>
    <row r="2384" spans="1:7" hidden="1">
      <c r="A2384" s="5" t="s">
        <v>4873</v>
      </c>
      <c r="B2384" t="s">
        <v>5161</v>
      </c>
      <c r="C2384" t="s">
        <v>291</v>
      </c>
      <c r="D2384" t="s">
        <v>7654</v>
      </c>
      <c r="E2384">
        <v>39</v>
      </c>
      <c r="F2384" t="s">
        <v>5163</v>
      </c>
      <c r="G2384" t="s">
        <v>5164</v>
      </c>
    </row>
    <row r="2385" spans="1:7" hidden="1">
      <c r="A2385" s="5" t="s">
        <v>4114</v>
      </c>
      <c r="B2385" t="s">
        <v>5161</v>
      </c>
      <c r="C2385" t="s">
        <v>291</v>
      </c>
      <c r="D2385" t="s">
        <v>7655</v>
      </c>
      <c r="E2385">
        <v>37</v>
      </c>
      <c r="F2385" t="s">
        <v>5163</v>
      </c>
      <c r="G2385" t="s">
        <v>5164</v>
      </c>
    </row>
    <row r="2386" spans="1:7" hidden="1">
      <c r="A2386" s="5" t="s">
        <v>4114</v>
      </c>
      <c r="B2386" t="s">
        <v>5161</v>
      </c>
      <c r="C2386" t="s">
        <v>291</v>
      </c>
      <c r="D2386" t="s">
        <v>7656</v>
      </c>
      <c r="E2386">
        <v>20</v>
      </c>
      <c r="F2386" t="s">
        <v>5172</v>
      </c>
      <c r="G2386" t="s">
        <v>1905</v>
      </c>
    </row>
    <row r="2387" spans="1:7" hidden="1">
      <c r="A2387" s="5" t="s">
        <v>2340</v>
      </c>
      <c r="B2387" t="s">
        <v>5161</v>
      </c>
      <c r="C2387" t="s">
        <v>291</v>
      </c>
      <c r="D2387" t="s">
        <v>7657</v>
      </c>
      <c r="E2387">
        <v>21</v>
      </c>
      <c r="F2387" t="s">
        <v>5163</v>
      </c>
      <c r="G2387" t="s">
        <v>5169</v>
      </c>
    </row>
    <row r="2388" spans="1:7" hidden="1">
      <c r="A2388" s="5" t="s">
        <v>288</v>
      </c>
      <c r="B2388" t="s">
        <v>5161</v>
      </c>
      <c r="C2388" t="s">
        <v>291</v>
      </c>
      <c r="D2388" t="s">
        <v>7658</v>
      </c>
      <c r="E2388">
        <v>19</v>
      </c>
      <c r="F2388" t="s">
        <v>5163</v>
      </c>
      <c r="G2388" t="s">
        <v>5169</v>
      </c>
    </row>
    <row r="2389" spans="1:7" hidden="1">
      <c r="A2389" s="5" t="s">
        <v>4712</v>
      </c>
      <c r="B2389" t="s">
        <v>5161</v>
      </c>
      <c r="C2389" t="s">
        <v>291</v>
      </c>
      <c r="D2389" t="s">
        <v>7659</v>
      </c>
      <c r="E2389">
        <v>19</v>
      </c>
      <c r="F2389" t="s">
        <v>5163</v>
      </c>
      <c r="G2389" t="s">
        <v>5169</v>
      </c>
    </row>
    <row r="2390" spans="1:7" hidden="1">
      <c r="A2390" s="5" t="s">
        <v>3560</v>
      </c>
      <c r="B2390" t="s">
        <v>5161</v>
      </c>
      <c r="C2390" t="s">
        <v>291</v>
      </c>
      <c r="D2390" t="s">
        <v>7660</v>
      </c>
      <c r="E2390">
        <v>18</v>
      </c>
      <c r="F2390" t="s">
        <v>5163</v>
      </c>
      <c r="G2390" t="s">
        <v>1905</v>
      </c>
    </row>
    <row r="2391" spans="1:7" hidden="1">
      <c r="A2391" s="5" t="s">
        <v>4734</v>
      </c>
      <c r="B2391" t="s">
        <v>5161</v>
      </c>
      <c r="C2391" t="s">
        <v>291</v>
      </c>
      <c r="D2391" t="s">
        <v>7661</v>
      </c>
      <c r="E2391">
        <v>29</v>
      </c>
      <c r="F2391" t="s">
        <v>5163</v>
      </c>
      <c r="G2391" t="s">
        <v>5164</v>
      </c>
    </row>
    <row r="2392" spans="1:7" hidden="1">
      <c r="A2392" s="5" t="s">
        <v>4581</v>
      </c>
      <c r="B2392" t="s">
        <v>5161</v>
      </c>
      <c r="C2392" t="s">
        <v>291</v>
      </c>
      <c r="D2392" t="s">
        <v>7662</v>
      </c>
      <c r="E2392">
        <v>32</v>
      </c>
      <c r="F2392" t="s">
        <v>5172</v>
      </c>
      <c r="G2392" t="s">
        <v>1905</v>
      </c>
    </row>
    <row r="2393" spans="1:7" hidden="1">
      <c r="A2393" s="5" t="s">
        <v>4576</v>
      </c>
      <c r="B2393" t="s">
        <v>5161</v>
      </c>
      <c r="C2393" t="s">
        <v>291</v>
      </c>
      <c r="D2393" t="s">
        <v>7663</v>
      </c>
      <c r="E2393">
        <v>21</v>
      </c>
      <c r="F2393" t="s">
        <v>5163</v>
      </c>
      <c r="G2393" t="s">
        <v>5164</v>
      </c>
    </row>
    <row r="2394" spans="1:7" hidden="1">
      <c r="A2394" s="5" t="s">
        <v>4576</v>
      </c>
      <c r="B2394" t="s">
        <v>5161</v>
      </c>
      <c r="C2394" t="s">
        <v>291</v>
      </c>
      <c r="D2394" t="s">
        <v>7664</v>
      </c>
      <c r="E2394">
        <v>18</v>
      </c>
      <c r="F2394" t="s">
        <v>5163</v>
      </c>
      <c r="G2394" t="s">
        <v>1905</v>
      </c>
    </row>
    <row r="2395" spans="1:7" hidden="1">
      <c r="A2395" s="5" t="s">
        <v>4820</v>
      </c>
      <c r="B2395" t="s">
        <v>5161</v>
      </c>
      <c r="C2395" t="s">
        <v>291</v>
      </c>
      <c r="D2395" t="s">
        <v>7665</v>
      </c>
      <c r="E2395">
        <v>25</v>
      </c>
      <c r="F2395" t="s">
        <v>5163</v>
      </c>
      <c r="G2395" t="s">
        <v>1905</v>
      </c>
    </row>
    <row r="2396" spans="1:7" hidden="1">
      <c r="A2396" s="5" t="s">
        <v>4726</v>
      </c>
      <c r="B2396" t="s">
        <v>5161</v>
      </c>
      <c r="C2396" t="s">
        <v>291</v>
      </c>
      <c r="D2396" t="s">
        <v>7666</v>
      </c>
      <c r="E2396">
        <v>28</v>
      </c>
      <c r="F2396" t="s">
        <v>5172</v>
      </c>
      <c r="G2396" t="s">
        <v>5164</v>
      </c>
    </row>
    <row r="2397" spans="1:7" hidden="1">
      <c r="A2397" s="5" t="s">
        <v>4726</v>
      </c>
      <c r="B2397" t="s">
        <v>5161</v>
      </c>
      <c r="C2397" t="s">
        <v>291</v>
      </c>
      <c r="D2397" t="s">
        <v>7667</v>
      </c>
      <c r="E2397">
        <v>34</v>
      </c>
      <c r="F2397" t="s">
        <v>5163</v>
      </c>
      <c r="G2397" t="s">
        <v>5164</v>
      </c>
    </row>
    <row r="2398" spans="1:7" hidden="1">
      <c r="A2398" s="5" t="s">
        <v>2981</v>
      </c>
      <c r="B2398" t="s">
        <v>5161</v>
      </c>
      <c r="C2398" t="s">
        <v>291</v>
      </c>
      <c r="D2398" t="s">
        <v>7668</v>
      </c>
      <c r="E2398">
        <v>39</v>
      </c>
      <c r="F2398" t="s">
        <v>5163</v>
      </c>
      <c r="G2398" t="s">
        <v>5164</v>
      </c>
    </row>
    <row r="2399" spans="1:7" hidden="1">
      <c r="A2399" s="5" t="s">
        <v>4733</v>
      </c>
      <c r="B2399" t="s">
        <v>5161</v>
      </c>
      <c r="C2399" t="s">
        <v>291</v>
      </c>
      <c r="D2399" t="s">
        <v>7669</v>
      </c>
      <c r="E2399">
        <v>27</v>
      </c>
      <c r="F2399" t="s">
        <v>5163</v>
      </c>
      <c r="G2399" t="s">
        <v>5164</v>
      </c>
    </row>
    <row r="2400" spans="1:7" hidden="1">
      <c r="A2400" s="5" t="s">
        <v>283</v>
      </c>
      <c r="B2400" t="s">
        <v>5161</v>
      </c>
      <c r="C2400" t="s">
        <v>291</v>
      </c>
      <c r="D2400" t="s">
        <v>793</v>
      </c>
      <c r="E2400">
        <v>24</v>
      </c>
      <c r="F2400" t="s">
        <v>5163</v>
      </c>
      <c r="G2400" t="s">
        <v>5169</v>
      </c>
    </row>
    <row r="2401" spans="1:7" hidden="1">
      <c r="A2401" s="5" t="s">
        <v>2953</v>
      </c>
      <c r="B2401" t="s">
        <v>5161</v>
      </c>
      <c r="C2401" t="s">
        <v>291</v>
      </c>
      <c r="D2401" t="s">
        <v>7670</v>
      </c>
      <c r="E2401">
        <v>31</v>
      </c>
      <c r="F2401" t="s">
        <v>5163</v>
      </c>
      <c r="G2401" t="s">
        <v>5164</v>
      </c>
    </row>
    <row r="2402" spans="1:7" hidden="1">
      <c r="A2402" s="5" t="s">
        <v>5145</v>
      </c>
      <c r="B2402" t="s">
        <v>5161</v>
      </c>
      <c r="C2402" t="s">
        <v>291</v>
      </c>
      <c r="D2402" t="s">
        <v>7671</v>
      </c>
      <c r="E2402">
        <v>19</v>
      </c>
      <c r="F2402" t="s">
        <v>5163</v>
      </c>
      <c r="G2402" t="s">
        <v>1905</v>
      </c>
    </row>
    <row r="2403" spans="1:7" hidden="1">
      <c r="A2403" s="5" t="s">
        <v>4463</v>
      </c>
      <c r="B2403" t="s">
        <v>5161</v>
      </c>
      <c r="C2403" t="s">
        <v>291</v>
      </c>
      <c r="D2403" t="s">
        <v>7672</v>
      </c>
      <c r="E2403">
        <v>32</v>
      </c>
      <c r="F2403" t="s">
        <v>5163</v>
      </c>
      <c r="G2403" t="s">
        <v>5164</v>
      </c>
    </row>
    <row r="2404" spans="1:7" hidden="1">
      <c r="A2404" s="5" t="s">
        <v>3119</v>
      </c>
      <c r="B2404" t="s">
        <v>5161</v>
      </c>
      <c r="C2404" t="s">
        <v>291</v>
      </c>
      <c r="D2404" t="s">
        <v>7673</v>
      </c>
      <c r="E2404">
        <v>30</v>
      </c>
      <c r="F2404" t="s">
        <v>5163</v>
      </c>
      <c r="G2404" t="s">
        <v>5164</v>
      </c>
    </row>
    <row r="2405" spans="1:7" hidden="1">
      <c r="A2405" s="5" t="s">
        <v>4097</v>
      </c>
      <c r="B2405" t="s">
        <v>5161</v>
      </c>
      <c r="C2405" t="s">
        <v>291</v>
      </c>
      <c r="D2405" t="s">
        <v>7674</v>
      </c>
      <c r="E2405">
        <v>18</v>
      </c>
      <c r="F2405" t="s">
        <v>5163</v>
      </c>
      <c r="G2405" t="s">
        <v>5164</v>
      </c>
    </row>
    <row r="2406" spans="1:7" hidden="1">
      <c r="A2406" s="5" t="s">
        <v>4444</v>
      </c>
      <c r="B2406" t="s">
        <v>5161</v>
      </c>
      <c r="C2406" t="s">
        <v>291</v>
      </c>
      <c r="D2406" t="s">
        <v>7675</v>
      </c>
      <c r="E2406">
        <v>23</v>
      </c>
      <c r="F2406" t="s">
        <v>5163</v>
      </c>
      <c r="G2406" t="s">
        <v>1905</v>
      </c>
    </row>
    <row r="2407" spans="1:7" hidden="1">
      <c r="A2407" s="5" t="s">
        <v>4021</v>
      </c>
      <c r="B2407" t="s">
        <v>5161</v>
      </c>
      <c r="C2407" t="s">
        <v>291</v>
      </c>
      <c r="D2407" t="s">
        <v>7676</v>
      </c>
      <c r="E2407">
        <v>28</v>
      </c>
      <c r="F2407" t="s">
        <v>5163</v>
      </c>
      <c r="G2407" t="s">
        <v>5164</v>
      </c>
    </row>
    <row r="2408" spans="1:7" hidden="1">
      <c r="A2408" s="5" t="s">
        <v>3929</v>
      </c>
      <c r="B2408" t="s">
        <v>5161</v>
      </c>
      <c r="C2408" t="s">
        <v>291</v>
      </c>
      <c r="D2408" t="s">
        <v>7677</v>
      </c>
      <c r="E2408">
        <v>18</v>
      </c>
      <c r="F2408" t="s">
        <v>5163</v>
      </c>
      <c r="G2408" t="s">
        <v>5164</v>
      </c>
    </row>
    <row r="2409" spans="1:7" hidden="1">
      <c r="A2409" s="5" t="s">
        <v>3929</v>
      </c>
      <c r="B2409" t="s">
        <v>5161</v>
      </c>
      <c r="C2409" t="s">
        <v>291</v>
      </c>
      <c r="D2409" t="s">
        <v>7678</v>
      </c>
      <c r="E2409">
        <v>40</v>
      </c>
      <c r="F2409" t="s">
        <v>5163</v>
      </c>
      <c r="G2409" t="s">
        <v>1905</v>
      </c>
    </row>
    <row r="2410" spans="1:7" hidden="1">
      <c r="A2410" s="5" t="s">
        <v>3929</v>
      </c>
      <c r="B2410" t="s">
        <v>5161</v>
      </c>
      <c r="C2410" t="s">
        <v>291</v>
      </c>
      <c r="D2410" t="s">
        <v>7679</v>
      </c>
      <c r="E2410">
        <v>18</v>
      </c>
      <c r="F2410" t="s">
        <v>5163</v>
      </c>
      <c r="G2410" t="s">
        <v>1905</v>
      </c>
    </row>
    <row r="2411" spans="1:7" hidden="1">
      <c r="A2411" s="5" t="s">
        <v>3805</v>
      </c>
      <c r="B2411" t="s">
        <v>5161</v>
      </c>
      <c r="C2411" t="s">
        <v>291</v>
      </c>
      <c r="D2411" t="s">
        <v>7680</v>
      </c>
      <c r="E2411">
        <v>20</v>
      </c>
      <c r="F2411" t="s">
        <v>5163</v>
      </c>
      <c r="G2411" t="s">
        <v>5164</v>
      </c>
    </row>
    <row r="2412" spans="1:7" hidden="1">
      <c r="A2412" s="5" t="s">
        <v>5150</v>
      </c>
      <c r="B2412" t="s">
        <v>5161</v>
      </c>
      <c r="C2412" t="s">
        <v>291</v>
      </c>
      <c r="D2412" t="s">
        <v>7681</v>
      </c>
      <c r="E2412">
        <v>19</v>
      </c>
      <c r="F2412" t="s">
        <v>5163</v>
      </c>
      <c r="G2412" t="s">
        <v>5164</v>
      </c>
    </row>
    <row r="2413" spans="1:7" hidden="1">
      <c r="A2413" s="5" t="s">
        <v>4048</v>
      </c>
      <c r="B2413" t="s">
        <v>5161</v>
      </c>
      <c r="C2413" t="s">
        <v>291</v>
      </c>
      <c r="D2413" t="s">
        <v>6720</v>
      </c>
      <c r="E2413">
        <v>35</v>
      </c>
      <c r="F2413" t="s">
        <v>5163</v>
      </c>
      <c r="G2413" t="s">
        <v>5169</v>
      </c>
    </row>
    <row r="2414" spans="1:7" hidden="1">
      <c r="A2414" s="5" t="s">
        <v>4052</v>
      </c>
      <c r="B2414" t="s">
        <v>5161</v>
      </c>
      <c r="C2414" t="s">
        <v>291</v>
      </c>
      <c r="D2414" t="s">
        <v>7682</v>
      </c>
      <c r="E2414">
        <v>56</v>
      </c>
      <c r="F2414" t="s">
        <v>5163</v>
      </c>
      <c r="G2414" t="s">
        <v>1905</v>
      </c>
    </row>
    <row r="2415" spans="1:7" hidden="1">
      <c r="A2415" s="5" t="s">
        <v>285</v>
      </c>
      <c r="B2415" t="s">
        <v>5161</v>
      </c>
      <c r="C2415" t="s">
        <v>291</v>
      </c>
      <c r="D2415" t="s">
        <v>795</v>
      </c>
      <c r="E2415">
        <v>26</v>
      </c>
      <c r="F2415" t="s">
        <v>5163</v>
      </c>
      <c r="G2415" t="s">
        <v>5182</v>
      </c>
    </row>
    <row r="2416" spans="1:7" hidden="1">
      <c r="A2416" s="5" t="s">
        <v>7683</v>
      </c>
      <c r="B2416" t="s">
        <v>5161</v>
      </c>
      <c r="C2416" t="s">
        <v>291</v>
      </c>
      <c r="D2416" t="s">
        <v>7684</v>
      </c>
      <c r="E2416">
        <v>28</v>
      </c>
      <c r="F2416" t="s">
        <v>5172</v>
      </c>
      <c r="G2416" t="s">
        <v>1905</v>
      </c>
    </row>
    <row r="2417" spans="1:7" hidden="1">
      <c r="A2417" s="5" t="s">
        <v>7683</v>
      </c>
      <c r="B2417" t="s">
        <v>5161</v>
      </c>
      <c r="C2417" t="s">
        <v>291</v>
      </c>
      <c r="D2417" t="s">
        <v>7685</v>
      </c>
      <c r="E2417">
        <v>43</v>
      </c>
      <c r="F2417" t="s">
        <v>5163</v>
      </c>
      <c r="G2417" t="s">
        <v>5169</v>
      </c>
    </row>
    <row r="2418" spans="1:7" hidden="1">
      <c r="A2418" s="5" t="s">
        <v>7683</v>
      </c>
      <c r="B2418" t="s">
        <v>5161</v>
      </c>
      <c r="C2418" t="s">
        <v>291</v>
      </c>
      <c r="D2418" t="s">
        <v>7686</v>
      </c>
      <c r="E2418">
        <v>27</v>
      </c>
      <c r="F2418" t="s">
        <v>5172</v>
      </c>
      <c r="G2418" t="s">
        <v>5169</v>
      </c>
    </row>
    <row r="2419" spans="1:7" hidden="1">
      <c r="A2419" s="5" t="s">
        <v>7683</v>
      </c>
      <c r="B2419" t="s">
        <v>5161</v>
      </c>
      <c r="C2419" t="s">
        <v>291</v>
      </c>
      <c r="D2419" t="s">
        <v>7687</v>
      </c>
      <c r="E2419">
        <v>26</v>
      </c>
      <c r="F2419" t="s">
        <v>5172</v>
      </c>
      <c r="G2419" t="s">
        <v>5169</v>
      </c>
    </row>
    <row r="2420" spans="1:7" hidden="1">
      <c r="A2420" s="5" t="s">
        <v>299</v>
      </c>
      <c r="B2420" t="s">
        <v>5161</v>
      </c>
      <c r="C2420" t="s">
        <v>304</v>
      </c>
      <c r="D2420" t="s">
        <v>816</v>
      </c>
      <c r="E2420">
        <v>27</v>
      </c>
      <c r="F2420" t="s">
        <v>5163</v>
      </c>
      <c r="G2420" t="s">
        <v>5164</v>
      </c>
    </row>
    <row r="2421" spans="1:7" hidden="1">
      <c r="A2421" s="5" t="s">
        <v>292</v>
      </c>
      <c r="B2421" t="s">
        <v>5161</v>
      </c>
      <c r="C2421" t="s">
        <v>304</v>
      </c>
      <c r="D2421" t="s">
        <v>803</v>
      </c>
      <c r="E2421">
        <v>26</v>
      </c>
      <c r="F2421" t="s">
        <v>5163</v>
      </c>
      <c r="G2421" t="s">
        <v>5164</v>
      </c>
    </row>
    <row r="2422" spans="1:7" hidden="1">
      <c r="A2422" s="5" t="s">
        <v>4355</v>
      </c>
      <c r="B2422" t="s">
        <v>5161</v>
      </c>
      <c r="C2422" t="s">
        <v>304</v>
      </c>
      <c r="D2422" t="s">
        <v>7688</v>
      </c>
      <c r="E2422">
        <v>20</v>
      </c>
      <c r="F2422" t="s">
        <v>5163</v>
      </c>
      <c r="G2422" t="s">
        <v>5164</v>
      </c>
    </row>
    <row r="2423" spans="1:7" hidden="1">
      <c r="A2423" s="5" t="s">
        <v>4355</v>
      </c>
      <c r="B2423" t="s">
        <v>5161</v>
      </c>
      <c r="C2423" t="s">
        <v>304</v>
      </c>
      <c r="D2423" t="s">
        <v>7689</v>
      </c>
      <c r="E2423">
        <v>28</v>
      </c>
      <c r="F2423" t="s">
        <v>5163</v>
      </c>
      <c r="G2423" t="s">
        <v>1905</v>
      </c>
    </row>
    <row r="2424" spans="1:7" hidden="1">
      <c r="A2424" s="5" t="s">
        <v>298</v>
      </c>
      <c r="B2424" t="s">
        <v>5161</v>
      </c>
      <c r="C2424" t="s">
        <v>304</v>
      </c>
      <c r="D2424" t="s">
        <v>815</v>
      </c>
      <c r="E2424">
        <v>28</v>
      </c>
      <c r="F2424" t="s">
        <v>5163</v>
      </c>
      <c r="G2424" t="s">
        <v>1905</v>
      </c>
    </row>
    <row r="2425" spans="1:7" hidden="1">
      <c r="A2425" s="5" t="s">
        <v>298</v>
      </c>
      <c r="B2425" t="s">
        <v>5161</v>
      </c>
      <c r="C2425" t="s">
        <v>304</v>
      </c>
      <c r="D2425" t="s">
        <v>7690</v>
      </c>
      <c r="E2425">
        <v>18</v>
      </c>
      <c r="F2425" t="s">
        <v>5163</v>
      </c>
      <c r="G2425" t="s">
        <v>1905</v>
      </c>
    </row>
    <row r="2426" spans="1:7" hidden="1">
      <c r="A2426" s="5" t="s">
        <v>3436</v>
      </c>
      <c r="B2426" t="s">
        <v>5161</v>
      </c>
      <c r="C2426" t="s">
        <v>304</v>
      </c>
      <c r="D2426" t="s">
        <v>7691</v>
      </c>
      <c r="E2426">
        <v>37</v>
      </c>
      <c r="F2426" t="s">
        <v>5163</v>
      </c>
      <c r="G2426" t="s">
        <v>1905</v>
      </c>
    </row>
    <row r="2427" spans="1:7" hidden="1">
      <c r="A2427" s="5" t="s">
        <v>3867</v>
      </c>
      <c r="B2427" t="s">
        <v>5161</v>
      </c>
      <c r="C2427" t="s">
        <v>304</v>
      </c>
      <c r="D2427" t="s">
        <v>7692</v>
      </c>
      <c r="E2427">
        <v>31</v>
      </c>
      <c r="F2427" t="s">
        <v>5163</v>
      </c>
      <c r="G2427" t="s">
        <v>5164</v>
      </c>
    </row>
    <row r="2428" spans="1:7" hidden="1">
      <c r="A2428" s="5" t="s">
        <v>3887</v>
      </c>
      <c r="B2428" t="s">
        <v>5161</v>
      </c>
      <c r="C2428" t="s">
        <v>304</v>
      </c>
      <c r="D2428" t="s">
        <v>7693</v>
      </c>
      <c r="E2428">
        <v>22</v>
      </c>
      <c r="F2428" t="s">
        <v>5163</v>
      </c>
      <c r="G2428" t="s">
        <v>5164</v>
      </c>
    </row>
    <row r="2429" spans="1:7" hidden="1">
      <c r="A2429" s="5" t="s">
        <v>297</v>
      </c>
      <c r="B2429" t="s">
        <v>5161</v>
      </c>
      <c r="C2429" t="s">
        <v>304</v>
      </c>
      <c r="D2429" t="s">
        <v>813</v>
      </c>
      <c r="E2429">
        <v>33</v>
      </c>
      <c r="F2429" t="s">
        <v>5172</v>
      </c>
      <c r="G2429" t="s">
        <v>1905</v>
      </c>
    </row>
    <row r="2430" spans="1:7" hidden="1">
      <c r="A2430" s="5" t="s">
        <v>4306</v>
      </c>
      <c r="B2430" t="s">
        <v>5161</v>
      </c>
      <c r="C2430" t="s">
        <v>304</v>
      </c>
      <c r="D2430" t="s">
        <v>7694</v>
      </c>
      <c r="E2430">
        <v>18</v>
      </c>
      <c r="F2430" t="s">
        <v>5163</v>
      </c>
      <c r="G2430" t="s">
        <v>5169</v>
      </c>
    </row>
    <row r="2431" spans="1:7" hidden="1">
      <c r="A2431" s="5" t="s">
        <v>3584</v>
      </c>
      <c r="B2431" t="s">
        <v>5161</v>
      </c>
      <c r="C2431" t="s">
        <v>304</v>
      </c>
      <c r="D2431" t="s">
        <v>7695</v>
      </c>
      <c r="E2431">
        <v>28</v>
      </c>
      <c r="F2431" t="s">
        <v>5163</v>
      </c>
      <c r="G2431" t="s">
        <v>5164</v>
      </c>
    </row>
    <row r="2432" spans="1:7" hidden="1">
      <c r="A2432" s="5" t="s">
        <v>3695</v>
      </c>
      <c r="B2432" t="s">
        <v>5161</v>
      </c>
      <c r="C2432" t="s">
        <v>304</v>
      </c>
      <c r="D2432" t="s">
        <v>7696</v>
      </c>
      <c r="E2432">
        <v>25</v>
      </c>
      <c r="F2432" t="s">
        <v>5163</v>
      </c>
      <c r="G2432" t="s">
        <v>5164</v>
      </c>
    </row>
    <row r="2433" spans="1:7" hidden="1">
      <c r="A2433" s="5" t="s">
        <v>3837</v>
      </c>
      <c r="B2433" t="s">
        <v>5161</v>
      </c>
      <c r="C2433" t="s">
        <v>304</v>
      </c>
      <c r="D2433" t="s">
        <v>7697</v>
      </c>
      <c r="E2433">
        <v>22</v>
      </c>
      <c r="F2433" t="s">
        <v>5163</v>
      </c>
      <c r="G2433" t="s">
        <v>1905</v>
      </c>
    </row>
    <row r="2434" spans="1:7" hidden="1">
      <c r="A2434" s="5" t="s">
        <v>3398</v>
      </c>
      <c r="B2434" t="s">
        <v>5161</v>
      </c>
      <c r="C2434" t="s">
        <v>304</v>
      </c>
      <c r="D2434" t="s">
        <v>7698</v>
      </c>
      <c r="E2434">
        <v>42</v>
      </c>
      <c r="F2434" t="s">
        <v>5163</v>
      </c>
      <c r="G2434" t="s">
        <v>5164</v>
      </c>
    </row>
    <row r="2435" spans="1:7" hidden="1">
      <c r="A2435" s="5" t="s">
        <v>2740</v>
      </c>
      <c r="B2435" t="s">
        <v>5161</v>
      </c>
      <c r="C2435" t="s">
        <v>304</v>
      </c>
      <c r="D2435" t="s">
        <v>7699</v>
      </c>
      <c r="E2435">
        <v>33</v>
      </c>
      <c r="F2435" t="s">
        <v>5163</v>
      </c>
      <c r="G2435" t="s">
        <v>1905</v>
      </c>
    </row>
    <row r="2436" spans="1:7" hidden="1">
      <c r="A2436" s="5" t="s">
        <v>3615</v>
      </c>
      <c r="B2436" t="s">
        <v>5161</v>
      </c>
      <c r="C2436" t="s">
        <v>304</v>
      </c>
      <c r="D2436" t="s">
        <v>7700</v>
      </c>
      <c r="E2436">
        <v>33</v>
      </c>
      <c r="F2436" t="s">
        <v>5163</v>
      </c>
      <c r="G2436" t="s">
        <v>5164</v>
      </c>
    </row>
    <row r="2437" spans="1:7" hidden="1">
      <c r="A2437" s="5" t="s">
        <v>2482</v>
      </c>
      <c r="B2437" t="s">
        <v>5161</v>
      </c>
      <c r="C2437" t="s">
        <v>304</v>
      </c>
      <c r="D2437" t="s">
        <v>7701</v>
      </c>
      <c r="E2437">
        <v>19</v>
      </c>
      <c r="F2437" t="s">
        <v>5163</v>
      </c>
      <c r="G2437" t="s">
        <v>1905</v>
      </c>
    </row>
    <row r="2438" spans="1:7" hidden="1">
      <c r="A2438" s="5" t="s">
        <v>7702</v>
      </c>
      <c r="B2438" t="s">
        <v>5161</v>
      </c>
      <c r="C2438" t="s">
        <v>304</v>
      </c>
      <c r="D2438" t="s">
        <v>7703</v>
      </c>
      <c r="E2438">
        <v>44</v>
      </c>
      <c r="F2438" t="s">
        <v>5163</v>
      </c>
      <c r="G2438" t="s">
        <v>5169</v>
      </c>
    </row>
    <row r="2439" spans="1:7" hidden="1">
      <c r="A2439" s="5" t="s">
        <v>2493</v>
      </c>
      <c r="B2439" t="s">
        <v>5161</v>
      </c>
      <c r="C2439" t="s">
        <v>304</v>
      </c>
      <c r="D2439" t="s">
        <v>7704</v>
      </c>
      <c r="E2439">
        <v>24</v>
      </c>
      <c r="F2439" t="s">
        <v>5163</v>
      </c>
      <c r="G2439" t="s">
        <v>1905</v>
      </c>
    </row>
    <row r="2440" spans="1:7" hidden="1">
      <c r="A2440" s="5" t="s">
        <v>2493</v>
      </c>
      <c r="B2440" t="s">
        <v>5161</v>
      </c>
      <c r="C2440" t="s">
        <v>304</v>
      </c>
      <c r="D2440" t="s">
        <v>7705</v>
      </c>
      <c r="E2440">
        <v>24</v>
      </c>
      <c r="F2440" t="s">
        <v>5163</v>
      </c>
      <c r="G2440" t="s">
        <v>1905</v>
      </c>
    </row>
    <row r="2441" spans="1:7" hidden="1">
      <c r="A2441" s="5" t="s">
        <v>2493</v>
      </c>
      <c r="B2441" t="s">
        <v>5161</v>
      </c>
      <c r="C2441" t="s">
        <v>304</v>
      </c>
      <c r="D2441" t="s">
        <v>7706</v>
      </c>
      <c r="E2441">
        <v>20</v>
      </c>
      <c r="F2441" t="s">
        <v>5163</v>
      </c>
      <c r="G2441" t="s">
        <v>1905</v>
      </c>
    </row>
    <row r="2442" spans="1:7" hidden="1">
      <c r="A2442" s="5" t="s">
        <v>3844</v>
      </c>
      <c r="B2442" t="s">
        <v>5161</v>
      </c>
      <c r="C2442" t="s">
        <v>304</v>
      </c>
      <c r="D2442" t="s">
        <v>7707</v>
      </c>
      <c r="E2442">
        <v>21</v>
      </c>
      <c r="F2442" t="s">
        <v>5163</v>
      </c>
      <c r="G2442" t="s">
        <v>5169</v>
      </c>
    </row>
    <row r="2443" spans="1:7" hidden="1">
      <c r="A2443" s="5" t="s">
        <v>3844</v>
      </c>
      <c r="B2443" t="s">
        <v>5161</v>
      </c>
      <c r="C2443" t="s">
        <v>304</v>
      </c>
      <c r="D2443" t="s">
        <v>7708</v>
      </c>
      <c r="E2443">
        <v>24</v>
      </c>
      <c r="F2443" t="s">
        <v>5163</v>
      </c>
      <c r="G2443" t="s">
        <v>5164</v>
      </c>
    </row>
    <row r="2444" spans="1:7" hidden="1">
      <c r="A2444" s="5" t="s">
        <v>294</v>
      </c>
      <c r="B2444" t="s">
        <v>5161</v>
      </c>
      <c r="C2444" t="s">
        <v>304</v>
      </c>
      <c r="D2444" t="s">
        <v>808</v>
      </c>
      <c r="E2444">
        <v>33</v>
      </c>
      <c r="F2444" t="s">
        <v>5163</v>
      </c>
      <c r="G2444" t="s">
        <v>5164</v>
      </c>
    </row>
    <row r="2445" spans="1:7" hidden="1">
      <c r="A2445" s="5" t="s">
        <v>2678</v>
      </c>
      <c r="B2445" t="s">
        <v>5161</v>
      </c>
      <c r="C2445" t="s">
        <v>304</v>
      </c>
      <c r="D2445" t="s">
        <v>7709</v>
      </c>
      <c r="E2445">
        <v>19</v>
      </c>
      <c r="F2445" t="s">
        <v>5163</v>
      </c>
      <c r="G2445" t="s">
        <v>5169</v>
      </c>
    </row>
    <row r="2446" spans="1:7" hidden="1">
      <c r="A2446" s="5" t="s">
        <v>4865</v>
      </c>
      <c r="B2446" t="s">
        <v>5161</v>
      </c>
      <c r="C2446" t="s">
        <v>304</v>
      </c>
      <c r="D2446" t="s">
        <v>7710</v>
      </c>
      <c r="E2446">
        <v>25</v>
      </c>
      <c r="F2446" t="s">
        <v>5163</v>
      </c>
      <c r="G2446" t="s">
        <v>5164</v>
      </c>
    </row>
    <row r="2447" spans="1:7" hidden="1">
      <c r="A2447" s="5" t="s">
        <v>2115</v>
      </c>
      <c r="B2447" t="s">
        <v>5161</v>
      </c>
      <c r="C2447" t="s">
        <v>304</v>
      </c>
      <c r="D2447" t="s">
        <v>7711</v>
      </c>
      <c r="E2447">
        <v>43</v>
      </c>
      <c r="F2447" t="s">
        <v>5163</v>
      </c>
      <c r="G2447" t="s">
        <v>5164</v>
      </c>
    </row>
    <row r="2448" spans="1:7" hidden="1">
      <c r="A2448" s="5" t="s">
        <v>4816</v>
      </c>
      <c r="B2448" t="s">
        <v>5161</v>
      </c>
      <c r="C2448" t="s">
        <v>304</v>
      </c>
      <c r="D2448" t="s">
        <v>6196</v>
      </c>
      <c r="E2448">
        <v>32</v>
      </c>
      <c r="F2448" t="s">
        <v>5163</v>
      </c>
      <c r="G2448" t="s">
        <v>5164</v>
      </c>
    </row>
    <row r="2449" spans="1:7" hidden="1">
      <c r="A2449" s="5" t="s">
        <v>3527</v>
      </c>
      <c r="B2449" t="s">
        <v>5161</v>
      </c>
      <c r="C2449" t="s">
        <v>304</v>
      </c>
      <c r="D2449" t="s">
        <v>7712</v>
      </c>
      <c r="E2449">
        <v>20</v>
      </c>
      <c r="F2449" t="s">
        <v>5163</v>
      </c>
      <c r="G2449" t="s">
        <v>5164</v>
      </c>
    </row>
    <row r="2450" spans="1:7" hidden="1">
      <c r="A2450" s="5" t="s">
        <v>4667</v>
      </c>
      <c r="B2450" t="s">
        <v>5161</v>
      </c>
      <c r="C2450" t="s">
        <v>304</v>
      </c>
      <c r="D2450" t="s">
        <v>7713</v>
      </c>
      <c r="E2450">
        <v>36</v>
      </c>
      <c r="F2450" t="s">
        <v>5172</v>
      </c>
      <c r="G2450" t="s">
        <v>5169</v>
      </c>
    </row>
    <row r="2451" spans="1:7" hidden="1">
      <c r="A2451" s="5" t="s">
        <v>3745</v>
      </c>
      <c r="B2451" t="s">
        <v>5161</v>
      </c>
      <c r="C2451" t="s">
        <v>304</v>
      </c>
      <c r="D2451" t="s">
        <v>7714</v>
      </c>
      <c r="E2451">
        <v>31</v>
      </c>
      <c r="F2451" t="s">
        <v>5163</v>
      </c>
      <c r="G2451" t="s">
        <v>5169</v>
      </c>
    </row>
    <row r="2452" spans="1:7" hidden="1">
      <c r="A2452" s="5" t="s">
        <v>2491</v>
      </c>
      <c r="B2452" t="s">
        <v>5161</v>
      </c>
      <c r="C2452" t="s">
        <v>304</v>
      </c>
      <c r="D2452" t="s">
        <v>7715</v>
      </c>
      <c r="E2452">
        <v>24</v>
      </c>
      <c r="F2452" t="s">
        <v>5163</v>
      </c>
      <c r="G2452" t="s">
        <v>5164</v>
      </c>
    </row>
    <row r="2453" spans="1:7" hidden="1">
      <c r="A2453" s="5" t="s">
        <v>4671</v>
      </c>
      <c r="B2453" t="s">
        <v>5161</v>
      </c>
      <c r="C2453" t="s">
        <v>304</v>
      </c>
      <c r="D2453" t="s">
        <v>7716</v>
      </c>
      <c r="E2453">
        <v>25</v>
      </c>
      <c r="F2453" t="s">
        <v>5163</v>
      </c>
      <c r="G2453" t="s">
        <v>5164</v>
      </c>
    </row>
    <row r="2454" spans="1:7" hidden="1">
      <c r="A2454" s="5" t="s">
        <v>4932</v>
      </c>
      <c r="B2454" t="s">
        <v>5161</v>
      </c>
      <c r="C2454" t="s">
        <v>304</v>
      </c>
      <c r="D2454" t="s">
        <v>7717</v>
      </c>
      <c r="E2454">
        <v>24</v>
      </c>
      <c r="F2454" t="s">
        <v>5172</v>
      </c>
      <c r="G2454" t="s">
        <v>1905</v>
      </c>
    </row>
    <row r="2455" spans="1:7" hidden="1">
      <c r="A2455" s="5" t="s">
        <v>4032</v>
      </c>
      <c r="B2455" t="s">
        <v>5161</v>
      </c>
      <c r="C2455" t="s">
        <v>304</v>
      </c>
      <c r="D2455" t="s">
        <v>7718</v>
      </c>
      <c r="E2455">
        <v>20</v>
      </c>
      <c r="F2455" t="s">
        <v>5163</v>
      </c>
      <c r="G2455" t="s">
        <v>5164</v>
      </c>
    </row>
    <row r="2456" spans="1:7" hidden="1">
      <c r="A2456" s="5" t="s">
        <v>4032</v>
      </c>
      <c r="B2456" t="s">
        <v>5161</v>
      </c>
      <c r="C2456" t="s">
        <v>304</v>
      </c>
      <c r="D2456" t="s">
        <v>6739</v>
      </c>
      <c r="E2456">
        <v>21</v>
      </c>
      <c r="F2456" t="s">
        <v>5163</v>
      </c>
      <c r="G2456" t="s">
        <v>5164</v>
      </c>
    </row>
    <row r="2457" spans="1:7" hidden="1">
      <c r="A2457" s="5" t="s">
        <v>4032</v>
      </c>
      <c r="B2457" t="s">
        <v>5161</v>
      </c>
      <c r="C2457" t="s">
        <v>304</v>
      </c>
      <c r="D2457" t="s">
        <v>7719</v>
      </c>
      <c r="E2457">
        <v>21</v>
      </c>
      <c r="F2457" t="s">
        <v>5163</v>
      </c>
      <c r="G2457" t="s">
        <v>5164</v>
      </c>
    </row>
    <row r="2458" spans="1:7" hidden="1">
      <c r="A2458" s="5" t="s">
        <v>4032</v>
      </c>
      <c r="B2458" t="s">
        <v>5161</v>
      </c>
      <c r="C2458" t="s">
        <v>304</v>
      </c>
      <c r="D2458" t="s">
        <v>6635</v>
      </c>
      <c r="E2458">
        <v>22</v>
      </c>
      <c r="F2458" t="s">
        <v>5163</v>
      </c>
      <c r="G2458" t="s">
        <v>1905</v>
      </c>
    </row>
    <row r="2459" spans="1:7" hidden="1">
      <c r="A2459" s="5" t="s">
        <v>3999</v>
      </c>
      <c r="B2459" t="s">
        <v>5161</v>
      </c>
      <c r="C2459" t="s">
        <v>304</v>
      </c>
      <c r="D2459" t="s">
        <v>7720</v>
      </c>
      <c r="E2459">
        <v>26</v>
      </c>
      <c r="F2459" t="s">
        <v>5163</v>
      </c>
      <c r="G2459" t="s">
        <v>5164</v>
      </c>
    </row>
    <row r="2460" spans="1:7" hidden="1">
      <c r="A2460" s="5" t="s">
        <v>3244</v>
      </c>
      <c r="B2460" t="s">
        <v>5161</v>
      </c>
      <c r="C2460" t="s">
        <v>304</v>
      </c>
      <c r="D2460" t="s">
        <v>7721</v>
      </c>
      <c r="E2460">
        <v>27</v>
      </c>
      <c r="F2460" t="s">
        <v>5163</v>
      </c>
      <c r="G2460" t="s">
        <v>5164</v>
      </c>
    </row>
    <row r="2461" spans="1:7" hidden="1">
      <c r="A2461" s="5" t="s">
        <v>3940</v>
      </c>
      <c r="B2461" t="s">
        <v>5161</v>
      </c>
      <c r="C2461" t="s">
        <v>304</v>
      </c>
      <c r="D2461" t="s">
        <v>7722</v>
      </c>
      <c r="E2461">
        <v>42</v>
      </c>
      <c r="F2461" t="s">
        <v>5163</v>
      </c>
      <c r="G2461" t="s">
        <v>1905</v>
      </c>
    </row>
    <row r="2462" spans="1:7" hidden="1">
      <c r="A2462" s="5" t="s">
        <v>2687</v>
      </c>
      <c r="B2462" t="s">
        <v>5161</v>
      </c>
      <c r="C2462" t="s">
        <v>304</v>
      </c>
      <c r="D2462" t="s">
        <v>7723</v>
      </c>
      <c r="E2462">
        <v>22</v>
      </c>
      <c r="F2462" t="s">
        <v>5163</v>
      </c>
      <c r="G2462" t="s">
        <v>5164</v>
      </c>
    </row>
    <row r="2463" spans="1:7" hidden="1">
      <c r="A2463" s="5" t="s">
        <v>2372</v>
      </c>
      <c r="B2463" t="s">
        <v>5161</v>
      </c>
      <c r="C2463" t="s">
        <v>304</v>
      </c>
      <c r="D2463" t="s">
        <v>7724</v>
      </c>
      <c r="E2463">
        <v>29</v>
      </c>
      <c r="F2463" t="s">
        <v>5163</v>
      </c>
      <c r="G2463" t="s">
        <v>5164</v>
      </c>
    </row>
    <row r="2464" spans="1:7" hidden="1">
      <c r="A2464" s="5" t="s">
        <v>3885</v>
      </c>
      <c r="B2464" t="s">
        <v>5161</v>
      </c>
      <c r="C2464" t="s">
        <v>304</v>
      </c>
      <c r="D2464" t="s">
        <v>7725</v>
      </c>
      <c r="E2464">
        <v>22</v>
      </c>
      <c r="F2464" t="s">
        <v>5163</v>
      </c>
      <c r="G2464" t="s">
        <v>1905</v>
      </c>
    </row>
    <row r="2465" spans="1:7" hidden="1">
      <c r="A2465" s="5" t="s">
        <v>5043</v>
      </c>
      <c r="B2465" t="s">
        <v>5161</v>
      </c>
      <c r="C2465" t="s">
        <v>304</v>
      </c>
      <c r="D2465" t="s">
        <v>7726</v>
      </c>
      <c r="E2465">
        <v>40</v>
      </c>
      <c r="F2465" t="s">
        <v>5163</v>
      </c>
      <c r="G2465" t="s">
        <v>5164</v>
      </c>
    </row>
    <row r="2466" spans="1:7" hidden="1">
      <c r="A2466" s="5" t="s">
        <v>2233</v>
      </c>
      <c r="B2466" t="s">
        <v>5161</v>
      </c>
      <c r="C2466" t="s">
        <v>304</v>
      </c>
      <c r="D2466" t="s">
        <v>7727</v>
      </c>
      <c r="E2466">
        <v>29</v>
      </c>
      <c r="F2466" t="s">
        <v>5163</v>
      </c>
      <c r="G2466" t="s">
        <v>5164</v>
      </c>
    </row>
    <row r="2467" spans="1:7" hidden="1">
      <c r="A2467" s="5" t="s">
        <v>4136</v>
      </c>
      <c r="B2467" t="s">
        <v>5161</v>
      </c>
      <c r="C2467" t="s">
        <v>304</v>
      </c>
      <c r="D2467" t="s">
        <v>7728</v>
      </c>
      <c r="E2467">
        <v>28</v>
      </c>
      <c r="F2467" t="s">
        <v>5163</v>
      </c>
      <c r="G2467" t="s">
        <v>5164</v>
      </c>
    </row>
    <row r="2468" spans="1:7" hidden="1">
      <c r="A2468" s="5" t="s">
        <v>4136</v>
      </c>
      <c r="B2468" t="s">
        <v>5161</v>
      </c>
      <c r="C2468" t="s">
        <v>304</v>
      </c>
      <c r="D2468" t="s">
        <v>7729</v>
      </c>
      <c r="E2468">
        <v>31</v>
      </c>
      <c r="F2468" t="s">
        <v>5172</v>
      </c>
      <c r="G2468" t="s">
        <v>1905</v>
      </c>
    </row>
    <row r="2469" spans="1:7" hidden="1">
      <c r="A2469" s="5" t="s">
        <v>3743</v>
      </c>
      <c r="B2469" t="s">
        <v>5161</v>
      </c>
      <c r="C2469" t="s">
        <v>304</v>
      </c>
      <c r="D2469" t="s">
        <v>7730</v>
      </c>
      <c r="E2469">
        <v>29</v>
      </c>
      <c r="F2469" t="s">
        <v>5163</v>
      </c>
      <c r="G2469" t="s">
        <v>5164</v>
      </c>
    </row>
    <row r="2470" spans="1:7" hidden="1">
      <c r="A2470" s="5" t="s">
        <v>3077</v>
      </c>
      <c r="B2470" t="s">
        <v>5161</v>
      </c>
      <c r="C2470" t="s">
        <v>304</v>
      </c>
      <c r="D2470" t="s">
        <v>7731</v>
      </c>
      <c r="E2470">
        <v>21</v>
      </c>
      <c r="F2470" t="s">
        <v>5163</v>
      </c>
      <c r="G2470" t="s">
        <v>5169</v>
      </c>
    </row>
    <row r="2471" spans="1:7" hidden="1">
      <c r="A2471" s="5" t="s">
        <v>3049</v>
      </c>
      <c r="B2471" t="s">
        <v>5161</v>
      </c>
      <c r="C2471" t="s">
        <v>304</v>
      </c>
      <c r="D2471" t="s">
        <v>7732</v>
      </c>
      <c r="E2471">
        <v>18</v>
      </c>
      <c r="F2471" t="s">
        <v>5163</v>
      </c>
      <c r="G2471" t="s">
        <v>5164</v>
      </c>
    </row>
    <row r="2472" spans="1:7" hidden="1">
      <c r="A2472" s="5" t="s">
        <v>3049</v>
      </c>
      <c r="B2472" t="s">
        <v>5161</v>
      </c>
      <c r="C2472" t="s">
        <v>304</v>
      </c>
      <c r="D2472" t="s">
        <v>7733</v>
      </c>
      <c r="E2472">
        <v>21</v>
      </c>
      <c r="F2472" t="s">
        <v>5163</v>
      </c>
      <c r="G2472" t="s">
        <v>5164</v>
      </c>
    </row>
    <row r="2473" spans="1:7" hidden="1">
      <c r="A2473" s="5" t="s">
        <v>301</v>
      </c>
      <c r="B2473" t="s">
        <v>5161</v>
      </c>
      <c r="C2473" t="s">
        <v>304</v>
      </c>
      <c r="D2473" t="s">
        <v>7734</v>
      </c>
      <c r="E2473">
        <v>21</v>
      </c>
      <c r="F2473" t="s">
        <v>5163</v>
      </c>
      <c r="G2473" t="s">
        <v>5164</v>
      </c>
    </row>
    <row r="2474" spans="1:7" hidden="1">
      <c r="A2474" s="5" t="s">
        <v>301</v>
      </c>
      <c r="B2474" t="s">
        <v>5161</v>
      </c>
      <c r="C2474" t="s">
        <v>304</v>
      </c>
      <c r="D2474" t="s">
        <v>7735</v>
      </c>
      <c r="E2474">
        <v>18</v>
      </c>
      <c r="F2474" t="s">
        <v>5172</v>
      </c>
      <c r="G2474" t="s">
        <v>1905</v>
      </c>
    </row>
    <row r="2475" spans="1:7" hidden="1">
      <c r="A2475" s="5" t="s">
        <v>300</v>
      </c>
      <c r="B2475" t="s">
        <v>5161</v>
      </c>
      <c r="C2475" t="s">
        <v>304</v>
      </c>
      <c r="D2475" t="s">
        <v>7736</v>
      </c>
      <c r="E2475">
        <v>23</v>
      </c>
      <c r="F2475" t="s">
        <v>5163</v>
      </c>
      <c r="G2475" t="s">
        <v>1905</v>
      </c>
    </row>
    <row r="2476" spans="1:7" hidden="1">
      <c r="A2476" s="5" t="s">
        <v>300</v>
      </c>
      <c r="B2476" t="s">
        <v>5161</v>
      </c>
      <c r="C2476" t="s">
        <v>304</v>
      </c>
      <c r="D2476" t="s">
        <v>7737</v>
      </c>
      <c r="E2476">
        <v>19</v>
      </c>
      <c r="F2476" t="s">
        <v>5172</v>
      </c>
      <c r="G2476" t="s">
        <v>5164</v>
      </c>
    </row>
    <row r="2477" spans="1:7" hidden="1">
      <c r="A2477" s="5" t="s">
        <v>3489</v>
      </c>
      <c r="B2477" t="s">
        <v>5161</v>
      </c>
      <c r="C2477" t="s">
        <v>304</v>
      </c>
      <c r="D2477" t="s">
        <v>7738</v>
      </c>
      <c r="E2477">
        <v>43</v>
      </c>
      <c r="F2477" t="s">
        <v>5163</v>
      </c>
      <c r="G2477" t="s">
        <v>1905</v>
      </c>
    </row>
    <row r="2478" spans="1:7" hidden="1">
      <c r="A2478" s="5" t="s">
        <v>3704</v>
      </c>
      <c r="B2478" t="s">
        <v>5161</v>
      </c>
      <c r="C2478" t="s">
        <v>304</v>
      </c>
      <c r="D2478" t="s">
        <v>7739</v>
      </c>
      <c r="E2478">
        <v>33</v>
      </c>
      <c r="F2478" t="s">
        <v>5163</v>
      </c>
      <c r="G2478" t="s">
        <v>5169</v>
      </c>
    </row>
    <row r="2479" spans="1:7" hidden="1">
      <c r="A2479" s="5" t="s">
        <v>3320</v>
      </c>
      <c r="B2479" t="s">
        <v>5161</v>
      </c>
      <c r="C2479" t="s">
        <v>304</v>
      </c>
      <c r="D2479" t="s">
        <v>7740</v>
      </c>
      <c r="E2479">
        <v>33</v>
      </c>
      <c r="F2479" t="s">
        <v>5163</v>
      </c>
      <c r="G2479" t="s">
        <v>1905</v>
      </c>
    </row>
    <row r="2480" spans="1:7" hidden="1">
      <c r="A2480" s="5" t="s">
        <v>5083</v>
      </c>
      <c r="B2480" t="s">
        <v>5161</v>
      </c>
      <c r="C2480" t="s">
        <v>304</v>
      </c>
      <c r="D2480" t="s">
        <v>7741</v>
      </c>
      <c r="E2480">
        <v>23</v>
      </c>
      <c r="F2480" t="s">
        <v>5163</v>
      </c>
      <c r="G2480" t="s">
        <v>5164</v>
      </c>
    </row>
    <row r="2481" spans="1:7" hidden="1">
      <c r="A2481" s="5" t="s">
        <v>3645</v>
      </c>
      <c r="B2481" t="s">
        <v>5161</v>
      </c>
      <c r="C2481" t="s">
        <v>304</v>
      </c>
      <c r="D2481" t="s">
        <v>7742</v>
      </c>
      <c r="E2481">
        <v>23</v>
      </c>
      <c r="F2481" t="s">
        <v>5163</v>
      </c>
      <c r="G2481" t="s">
        <v>5164</v>
      </c>
    </row>
    <row r="2482" spans="1:7" hidden="1">
      <c r="A2482" s="5" t="s">
        <v>3586</v>
      </c>
      <c r="B2482" t="s">
        <v>5161</v>
      </c>
      <c r="C2482" t="s">
        <v>304</v>
      </c>
      <c r="D2482" t="s">
        <v>7743</v>
      </c>
      <c r="E2482">
        <v>21</v>
      </c>
      <c r="F2482" t="s">
        <v>5163</v>
      </c>
      <c r="G2482" t="s">
        <v>1905</v>
      </c>
    </row>
    <row r="2483" spans="1:7" hidden="1">
      <c r="A2483" s="5" t="s">
        <v>2756</v>
      </c>
      <c r="B2483" t="s">
        <v>5161</v>
      </c>
      <c r="C2483" t="s">
        <v>304</v>
      </c>
      <c r="D2483" t="s">
        <v>7744</v>
      </c>
      <c r="E2483">
        <v>18</v>
      </c>
      <c r="F2483" t="s">
        <v>5163</v>
      </c>
      <c r="G2483" t="s">
        <v>5164</v>
      </c>
    </row>
    <row r="2484" spans="1:7" hidden="1">
      <c r="A2484" s="5" t="s">
        <v>2539</v>
      </c>
      <c r="B2484" t="s">
        <v>5161</v>
      </c>
      <c r="C2484" t="s">
        <v>304</v>
      </c>
      <c r="D2484" t="s">
        <v>7745</v>
      </c>
      <c r="E2484">
        <v>33</v>
      </c>
      <c r="F2484" t="s">
        <v>5163</v>
      </c>
      <c r="G2484" t="s">
        <v>5169</v>
      </c>
    </row>
    <row r="2485" spans="1:7" hidden="1">
      <c r="A2485" s="5" t="s">
        <v>4655</v>
      </c>
      <c r="B2485" t="s">
        <v>5161</v>
      </c>
      <c r="C2485" t="s">
        <v>304</v>
      </c>
      <c r="D2485" t="s">
        <v>7746</v>
      </c>
      <c r="E2485">
        <v>23</v>
      </c>
      <c r="F2485" t="s">
        <v>5163</v>
      </c>
      <c r="G2485" t="s">
        <v>5164</v>
      </c>
    </row>
    <row r="2486" spans="1:7" hidden="1">
      <c r="A2486" s="5" t="s">
        <v>3517</v>
      </c>
      <c r="B2486" t="s">
        <v>5161</v>
      </c>
      <c r="C2486" t="s">
        <v>304</v>
      </c>
      <c r="D2486" t="s">
        <v>7747</v>
      </c>
      <c r="E2486">
        <v>23</v>
      </c>
      <c r="F2486" t="s">
        <v>5163</v>
      </c>
      <c r="G2486" t="s">
        <v>5164</v>
      </c>
    </row>
    <row r="2487" spans="1:7" hidden="1">
      <c r="A2487" s="5" t="s">
        <v>3365</v>
      </c>
      <c r="B2487" t="s">
        <v>5161</v>
      </c>
      <c r="C2487" t="s">
        <v>304</v>
      </c>
      <c r="D2487" t="s">
        <v>7748</v>
      </c>
      <c r="E2487">
        <v>20</v>
      </c>
      <c r="F2487" t="s">
        <v>5163</v>
      </c>
      <c r="G2487" t="s">
        <v>5164</v>
      </c>
    </row>
    <row r="2488" spans="1:7" hidden="1">
      <c r="A2488" s="5" t="s">
        <v>3117</v>
      </c>
      <c r="B2488" t="s">
        <v>5161</v>
      </c>
      <c r="C2488" t="s">
        <v>304</v>
      </c>
      <c r="D2488" t="s">
        <v>7749</v>
      </c>
      <c r="E2488">
        <v>34</v>
      </c>
      <c r="F2488" t="s">
        <v>5163</v>
      </c>
      <c r="G2488" t="s">
        <v>5164</v>
      </c>
    </row>
    <row r="2489" spans="1:7" hidden="1">
      <c r="A2489" s="5" t="s">
        <v>2937</v>
      </c>
      <c r="B2489" t="s">
        <v>5161</v>
      </c>
      <c r="C2489" t="s">
        <v>304</v>
      </c>
      <c r="D2489" t="s">
        <v>7750</v>
      </c>
      <c r="E2489">
        <v>35</v>
      </c>
      <c r="F2489" t="s">
        <v>5163</v>
      </c>
      <c r="G2489" t="s">
        <v>5164</v>
      </c>
    </row>
    <row r="2490" spans="1:7" hidden="1">
      <c r="A2490" s="5" t="s">
        <v>2677</v>
      </c>
      <c r="B2490" t="s">
        <v>5161</v>
      </c>
      <c r="C2490" t="s">
        <v>304</v>
      </c>
      <c r="D2490" t="s">
        <v>7751</v>
      </c>
      <c r="E2490">
        <v>25</v>
      </c>
      <c r="F2490" t="s">
        <v>5163</v>
      </c>
      <c r="G2490" t="s">
        <v>5169</v>
      </c>
    </row>
    <row r="2491" spans="1:7" hidden="1">
      <c r="A2491" s="5" t="s">
        <v>3495</v>
      </c>
      <c r="B2491" t="s">
        <v>5161</v>
      </c>
      <c r="C2491" t="s">
        <v>304</v>
      </c>
      <c r="D2491" t="s">
        <v>7752</v>
      </c>
      <c r="E2491">
        <v>28</v>
      </c>
      <c r="F2491" t="s">
        <v>5163</v>
      </c>
      <c r="G2491" t="s">
        <v>1905</v>
      </c>
    </row>
    <row r="2492" spans="1:7" hidden="1">
      <c r="A2492" s="5" t="s">
        <v>2675</v>
      </c>
      <c r="B2492" t="s">
        <v>5161</v>
      </c>
      <c r="C2492" t="s">
        <v>304</v>
      </c>
      <c r="D2492" t="s">
        <v>7753</v>
      </c>
      <c r="E2492">
        <v>38</v>
      </c>
      <c r="F2492" t="s">
        <v>5172</v>
      </c>
      <c r="G2492" t="s">
        <v>1905</v>
      </c>
    </row>
    <row r="2493" spans="1:7" hidden="1">
      <c r="A2493" s="5" t="s">
        <v>2469</v>
      </c>
      <c r="B2493" t="s">
        <v>5161</v>
      </c>
      <c r="C2493" t="s">
        <v>304</v>
      </c>
      <c r="D2493" t="s">
        <v>7754</v>
      </c>
      <c r="E2493">
        <v>23</v>
      </c>
      <c r="F2493" t="s">
        <v>5163</v>
      </c>
      <c r="G2493" t="s">
        <v>5164</v>
      </c>
    </row>
    <row r="2494" spans="1:7" hidden="1">
      <c r="A2494" s="5" t="s">
        <v>2145</v>
      </c>
      <c r="B2494" t="s">
        <v>5161</v>
      </c>
      <c r="C2494" t="s">
        <v>304</v>
      </c>
      <c r="D2494" t="s">
        <v>7755</v>
      </c>
      <c r="E2494">
        <v>32</v>
      </c>
      <c r="F2494" t="s">
        <v>5163</v>
      </c>
      <c r="G2494" t="s">
        <v>1905</v>
      </c>
    </row>
    <row r="2495" spans="1:7" hidden="1">
      <c r="A2495" s="5" t="s">
        <v>2145</v>
      </c>
      <c r="B2495" t="s">
        <v>5161</v>
      </c>
      <c r="C2495" t="s">
        <v>304</v>
      </c>
      <c r="D2495" t="s">
        <v>7756</v>
      </c>
      <c r="E2495">
        <v>26</v>
      </c>
      <c r="F2495" t="s">
        <v>5163</v>
      </c>
      <c r="G2495" t="s">
        <v>1905</v>
      </c>
    </row>
    <row r="2496" spans="1:7" hidden="1">
      <c r="A2496" s="5" t="s">
        <v>2145</v>
      </c>
      <c r="B2496" t="s">
        <v>5161</v>
      </c>
      <c r="C2496" t="s">
        <v>304</v>
      </c>
      <c r="D2496" t="s">
        <v>7757</v>
      </c>
      <c r="E2496">
        <v>32</v>
      </c>
      <c r="F2496" t="s">
        <v>5163</v>
      </c>
      <c r="G2496" t="s">
        <v>5182</v>
      </c>
    </row>
    <row r="2497" spans="1:7" hidden="1">
      <c r="A2497" s="5" t="s">
        <v>2145</v>
      </c>
      <c r="B2497" t="s">
        <v>5161</v>
      </c>
      <c r="C2497" t="s">
        <v>304</v>
      </c>
      <c r="D2497" t="s">
        <v>7758</v>
      </c>
      <c r="E2497">
        <v>27</v>
      </c>
      <c r="F2497" t="s">
        <v>5163</v>
      </c>
      <c r="G2497" t="s">
        <v>1905</v>
      </c>
    </row>
    <row r="2498" spans="1:7" hidden="1">
      <c r="A2498" s="5" t="s">
        <v>5099</v>
      </c>
      <c r="B2498" t="s">
        <v>5161</v>
      </c>
      <c r="C2498" t="s">
        <v>304</v>
      </c>
      <c r="D2498" t="s">
        <v>7759</v>
      </c>
      <c r="E2498">
        <v>23</v>
      </c>
      <c r="F2498" t="s">
        <v>5163</v>
      </c>
      <c r="G2498" t="s">
        <v>5164</v>
      </c>
    </row>
    <row r="2499" spans="1:7" hidden="1">
      <c r="A2499" s="5" t="s">
        <v>2779</v>
      </c>
      <c r="B2499" t="s">
        <v>5161</v>
      </c>
      <c r="C2499" t="s">
        <v>304</v>
      </c>
      <c r="D2499" t="s">
        <v>7760</v>
      </c>
      <c r="E2499">
        <v>22</v>
      </c>
      <c r="F2499" t="s">
        <v>5163</v>
      </c>
      <c r="G2499" t="s">
        <v>5169</v>
      </c>
    </row>
    <row r="2500" spans="1:7" hidden="1">
      <c r="A2500" s="5" t="s">
        <v>2924</v>
      </c>
      <c r="B2500" t="s">
        <v>5161</v>
      </c>
      <c r="C2500" t="s">
        <v>304</v>
      </c>
      <c r="D2500" t="s">
        <v>5451</v>
      </c>
      <c r="E2500">
        <v>55</v>
      </c>
      <c r="F2500" t="s">
        <v>5163</v>
      </c>
      <c r="G2500" t="s">
        <v>5164</v>
      </c>
    </row>
    <row r="2501" spans="1:7" hidden="1">
      <c r="A2501" s="5" t="s">
        <v>2154</v>
      </c>
      <c r="B2501" t="s">
        <v>5161</v>
      </c>
      <c r="C2501" t="s">
        <v>304</v>
      </c>
      <c r="D2501" t="s">
        <v>7761</v>
      </c>
      <c r="E2501">
        <v>31</v>
      </c>
      <c r="F2501" t="s">
        <v>5163</v>
      </c>
      <c r="G2501" t="s">
        <v>5164</v>
      </c>
    </row>
    <row r="2502" spans="1:7" hidden="1">
      <c r="A2502" s="5" t="s">
        <v>2273</v>
      </c>
      <c r="B2502" t="s">
        <v>5161</v>
      </c>
      <c r="C2502" t="s">
        <v>304</v>
      </c>
      <c r="D2502" t="s">
        <v>7762</v>
      </c>
      <c r="E2502">
        <v>27</v>
      </c>
      <c r="F2502" t="s">
        <v>5163</v>
      </c>
      <c r="G2502" t="s">
        <v>5164</v>
      </c>
    </row>
    <row r="2503" spans="1:7" hidden="1">
      <c r="A2503" s="5" t="s">
        <v>3032</v>
      </c>
      <c r="B2503" t="s">
        <v>5161</v>
      </c>
      <c r="C2503" t="s">
        <v>304</v>
      </c>
      <c r="D2503" t="s">
        <v>7763</v>
      </c>
      <c r="E2503">
        <v>27</v>
      </c>
      <c r="F2503" t="s">
        <v>5163</v>
      </c>
      <c r="G2503" t="s">
        <v>1905</v>
      </c>
    </row>
    <row r="2504" spans="1:7" hidden="1">
      <c r="A2504" s="5" t="s">
        <v>3157</v>
      </c>
      <c r="B2504" t="s">
        <v>5161</v>
      </c>
      <c r="C2504" t="s">
        <v>304</v>
      </c>
      <c r="D2504" t="s">
        <v>7764</v>
      </c>
      <c r="E2504">
        <v>26</v>
      </c>
      <c r="F2504" t="s">
        <v>5163</v>
      </c>
      <c r="G2504" t="s">
        <v>5169</v>
      </c>
    </row>
    <row r="2505" spans="1:7" hidden="1">
      <c r="A2505" s="5" t="s">
        <v>3020</v>
      </c>
      <c r="B2505" t="s">
        <v>5161</v>
      </c>
      <c r="C2505" t="s">
        <v>304</v>
      </c>
      <c r="D2505" t="s">
        <v>7765</v>
      </c>
      <c r="E2505">
        <v>43</v>
      </c>
      <c r="F2505" t="s">
        <v>5163</v>
      </c>
      <c r="G2505" t="s">
        <v>5164</v>
      </c>
    </row>
    <row r="2506" spans="1:7" hidden="1">
      <c r="A2506" s="5" t="s">
        <v>3020</v>
      </c>
      <c r="B2506" t="s">
        <v>5161</v>
      </c>
      <c r="C2506" t="s">
        <v>304</v>
      </c>
      <c r="D2506" t="s">
        <v>7766</v>
      </c>
      <c r="E2506">
        <v>33</v>
      </c>
      <c r="F2506" t="s">
        <v>5163</v>
      </c>
      <c r="G2506" t="s">
        <v>1905</v>
      </c>
    </row>
    <row r="2507" spans="1:7" hidden="1">
      <c r="A2507" s="5" t="s">
        <v>3020</v>
      </c>
      <c r="B2507" t="s">
        <v>5161</v>
      </c>
      <c r="C2507" t="s">
        <v>304</v>
      </c>
      <c r="D2507" t="s">
        <v>7767</v>
      </c>
      <c r="E2507">
        <v>29</v>
      </c>
      <c r="F2507" t="s">
        <v>5163</v>
      </c>
      <c r="G2507" t="s">
        <v>5164</v>
      </c>
    </row>
    <row r="2508" spans="1:7" hidden="1">
      <c r="A2508" s="5" t="s">
        <v>2782</v>
      </c>
      <c r="B2508" t="s">
        <v>5161</v>
      </c>
      <c r="C2508" t="s">
        <v>304</v>
      </c>
      <c r="D2508" t="s">
        <v>7768</v>
      </c>
      <c r="E2508">
        <v>21</v>
      </c>
      <c r="F2508" t="s">
        <v>5163</v>
      </c>
      <c r="G2508" t="s">
        <v>5164</v>
      </c>
    </row>
    <row r="2509" spans="1:7" hidden="1">
      <c r="A2509" s="5" t="s">
        <v>2782</v>
      </c>
      <c r="B2509" t="s">
        <v>5161</v>
      </c>
      <c r="C2509" t="s">
        <v>304</v>
      </c>
      <c r="D2509" t="s">
        <v>7769</v>
      </c>
      <c r="E2509">
        <v>18</v>
      </c>
      <c r="F2509" t="s">
        <v>5163</v>
      </c>
      <c r="G2509" t="s">
        <v>5164</v>
      </c>
    </row>
    <row r="2510" spans="1:7" hidden="1">
      <c r="A2510" s="5" t="s">
        <v>4251</v>
      </c>
      <c r="B2510" t="s">
        <v>5161</v>
      </c>
      <c r="C2510" t="s">
        <v>304</v>
      </c>
      <c r="D2510" t="s">
        <v>7770</v>
      </c>
      <c r="E2510">
        <v>21</v>
      </c>
      <c r="F2510" t="s">
        <v>5163</v>
      </c>
      <c r="G2510" t="s">
        <v>5164</v>
      </c>
    </row>
    <row r="2511" spans="1:7" hidden="1">
      <c r="A2511" s="5" t="s">
        <v>3058</v>
      </c>
      <c r="B2511" t="s">
        <v>5161</v>
      </c>
      <c r="C2511" t="s">
        <v>304</v>
      </c>
      <c r="D2511" t="s">
        <v>7771</v>
      </c>
      <c r="E2511">
        <v>21</v>
      </c>
      <c r="F2511" t="s">
        <v>5163</v>
      </c>
      <c r="G2511" t="s">
        <v>1905</v>
      </c>
    </row>
    <row r="2512" spans="1:7" hidden="1">
      <c r="A2512" s="5" t="s">
        <v>7772</v>
      </c>
      <c r="B2512" t="s">
        <v>5161</v>
      </c>
      <c r="C2512" t="s">
        <v>304</v>
      </c>
      <c r="D2512" t="s">
        <v>7773</v>
      </c>
      <c r="E2512">
        <v>50</v>
      </c>
      <c r="F2512" t="s">
        <v>5163</v>
      </c>
      <c r="G2512" t="s">
        <v>5169</v>
      </c>
    </row>
    <row r="2513" spans="1:7" hidden="1">
      <c r="A2513" s="5" t="s">
        <v>4234</v>
      </c>
      <c r="B2513" t="s">
        <v>5161</v>
      </c>
      <c r="C2513" t="s">
        <v>304</v>
      </c>
      <c r="D2513" t="s">
        <v>7774</v>
      </c>
      <c r="E2513">
        <v>30</v>
      </c>
      <c r="F2513" t="s">
        <v>5163</v>
      </c>
      <c r="G2513" t="s">
        <v>1905</v>
      </c>
    </row>
    <row r="2514" spans="1:7" hidden="1">
      <c r="A2514" s="5" t="s">
        <v>4234</v>
      </c>
      <c r="B2514" t="s">
        <v>5161</v>
      </c>
      <c r="C2514" t="s">
        <v>304</v>
      </c>
      <c r="D2514" t="s">
        <v>7775</v>
      </c>
      <c r="E2514">
        <v>29</v>
      </c>
      <c r="F2514" t="s">
        <v>5163</v>
      </c>
      <c r="G2514" t="s">
        <v>5164</v>
      </c>
    </row>
    <row r="2515" spans="1:7" hidden="1">
      <c r="A2515" s="5" t="s">
        <v>4681</v>
      </c>
      <c r="B2515" t="s">
        <v>5161</v>
      </c>
      <c r="C2515" t="s">
        <v>304</v>
      </c>
      <c r="D2515" t="s">
        <v>7776</v>
      </c>
      <c r="E2515">
        <v>41</v>
      </c>
      <c r="F2515" t="s">
        <v>5163</v>
      </c>
      <c r="G2515" t="s">
        <v>5164</v>
      </c>
    </row>
    <row r="2516" spans="1:7" hidden="1">
      <c r="A2516" s="5" t="s">
        <v>4681</v>
      </c>
      <c r="B2516" t="s">
        <v>5161</v>
      </c>
      <c r="C2516" t="s">
        <v>304</v>
      </c>
      <c r="D2516" t="s">
        <v>7777</v>
      </c>
      <c r="E2516">
        <v>26</v>
      </c>
      <c r="F2516" t="s">
        <v>5163</v>
      </c>
      <c r="G2516" t="s">
        <v>5164</v>
      </c>
    </row>
    <row r="2517" spans="1:7" hidden="1">
      <c r="A2517" s="5" t="s">
        <v>2870</v>
      </c>
      <c r="B2517" t="s">
        <v>5161</v>
      </c>
      <c r="C2517" t="s">
        <v>304</v>
      </c>
      <c r="D2517" t="s">
        <v>7778</v>
      </c>
      <c r="E2517">
        <v>28</v>
      </c>
      <c r="F2517" t="s">
        <v>5163</v>
      </c>
      <c r="G2517" t="s">
        <v>1905</v>
      </c>
    </row>
    <row r="2518" spans="1:7" hidden="1">
      <c r="A2518" s="5" t="s">
        <v>2955</v>
      </c>
      <c r="B2518" t="s">
        <v>5161</v>
      </c>
      <c r="C2518" t="s">
        <v>304</v>
      </c>
      <c r="D2518" t="s">
        <v>7779</v>
      </c>
      <c r="E2518">
        <v>27</v>
      </c>
      <c r="F2518" t="s">
        <v>5163</v>
      </c>
      <c r="G2518" t="s">
        <v>5164</v>
      </c>
    </row>
    <row r="2519" spans="1:7" hidden="1">
      <c r="A2519" s="5" t="s">
        <v>295</v>
      </c>
      <c r="B2519" t="s">
        <v>5161</v>
      </c>
      <c r="C2519" t="s">
        <v>304</v>
      </c>
      <c r="D2519" t="s">
        <v>810</v>
      </c>
      <c r="E2519">
        <v>31</v>
      </c>
      <c r="F2519" t="s">
        <v>5163</v>
      </c>
      <c r="G2519" t="s">
        <v>1905</v>
      </c>
    </row>
    <row r="2520" spans="1:7" hidden="1">
      <c r="A2520" s="5" t="s">
        <v>2836</v>
      </c>
      <c r="B2520" t="s">
        <v>5161</v>
      </c>
      <c r="C2520" t="s">
        <v>304</v>
      </c>
      <c r="D2520" t="s">
        <v>7780</v>
      </c>
      <c r="E2520">
        <v>37</v>
      </c>
      <c r="F2520" t="s">
        <v>5163</v>
      </c>
      <c r="G2520" t="s">
        <v>1905</v>
      </c>
    </row>
    <row r="2521" spans="1:7" hidden="1">
      <c r="A2521" s="5" t="s">
        <v>2149</v>
      </c>
      <c r="B2521" t="s">
        <v>5161</v>
      </c>
      <c r="C2521" t="s">
        <v>304</v>
      </c>
      <c r="D2521" t="s">
        <v>7781</v>
      </c>
      <c r="E2521">
        <v>28</v>
      </c>
      <c r="F2521" t="s">
        <v>5163</v>
      </c>
      <c r="G2521" t="s">
        <v>5164</v>
      </c>
    </row>
    <row r="2522" spans="1:7" hidden="1">
      <c r="A2522" s="5" t="s">
        <v>5035</v>
      </c>
      <c r="B2522" t="s">
        <v>5161</v>
      </c>
      <c r="C2522" t="s">
        <v>304</v>
      </c>
      <c r="D2522" t="s">
        <v>7782</v>
      </c>
      <c r="E2522">
        <v>31</v>
      </c>
      <c r="F2522" t="s">
        <v>5163</v>
      </c>
      <c r="G2522" t="s">
        <v>1905</v>
      </c>
    </row>
    <row r="2523" spans="1:7" hidden="1">
      <c r="A2523" s="5" t="s">
        <v>303</v>
      </c>
      <c r="B2523" t="s">
        <v>5161</v>
      </c>
      <c r="C2523" t="s">
        <v>304</v>
      </c>
      <c r="D2523" t="s">
        <v>822</v>
      </c>
      <c r="E2523">
        <v>20</v>
      </c>
      <c r="F2523" t="s">
        <v>5163</v>
      </c>
      <c r="G2523" t="s">
        <v>1905</v>
      </c>
    </row>
    <row r="2524" spans="1:7" hidden="1">
      <c r="A2524" s="5" t="s">
        <v>296</v>
      </c>
      <c r="B2524" t="s">
        <v>5161</v>
      </c>
      <c r="C2524" t="s">
        <v>304</v>
      </c>
      <c r="D2524" t="s">
        <v>811</v>
      </c>
      <c r="E2524">
        <v>25</v>
      </c>
      <c r="F2524" t="s">
        <v>5163</v>
      </c>
      <c r="G2524" t="s">
        <v>1905</v>
      </c>
    </row>
    <row r="2525" spans="1:7" hidden="1">
      <c r="A2525" s="5" t="s">
        <v>4999</v>
      </c>
      <c r="B2525" t="s">
        <v>5161</v>
      </c>
      <c r="C2525" t="s">
        <v>304</v>
      </c>
      <c r="D2525" t="s">
        <v>7783</v>
      </c>
      <c r="E2525">
        <v>21</v>
      </c>
      <c r="F2525" t="s">
        <v>5172</v>
      </c>
      <c r="G2525" t="s">
        <v>5164</v>
      </c>
    </row>
    <row r="2526" spans="1:7" hidden="1">
      <c r="A2526" s="5" t="s">
        <v>3694</v>
      </c>
      <c r="B2526" t="s">
        <v>5161</v>
      </c>
      <c r="C2526" t="s">
        <v>304</v>
      </c>
      <c r="D2526" t="s">
        <v>7784</v>
      </c>
      <c r="E2526">
        <v>18</v>
      </c>
      <c r="F2526" t="s">
        <v>5163</v>
      </c>
      <c r="G2526" t="s">
        <v>5164</v>
      </c>
    </row>
    <row r="2527" spans="1:7" hidden="1">
      <c r="A2527" s="5" t="s">
        <v>2150</v>
      </c>
      <c r="B2527" t="s">
        <v>5161</v>
      </c>
      <c r="C2527" t="s">
        <v>304</v>
      </c>
      <c r="D2527" t="s">
        <v>7785</v>
      </c>
      <c r="E2527">
        <v>25</v>
      </c>
      <c r="F2527" t="s">
        <v>5163</v>
      </c>
      <c r="G2527" t="s">
        <v>5164</v>
      </c>
    </row>
    <row r="2528" spans="1:7" hidden="1">
      <c r="A2528" s="5" t="s">
        <v>2105</v>
      </c>
      <c r="B2528" t="s">
        <v>5161</v>
      </c>
      <c r="C2528" t="s">
        <v>304</v>
      </c>
      <c r="D2528" t="s">
        <v>7786</v>
      </c>
      <c r="E2528">
        <v>19</v>
      </c>
      <c r="F2528" t="s">
        <v>5163</v>
      </c>
      <c r="G2528" t="s">
        <v>5164</v>
      </c>
    </row>
    <row r="2529" spans="1:7" hidden="1">
      <c r="A2529" s="5" t="s">
        <v>4888</v>
      </c>
      <c r="B2529" t="s">
        <v>5161</v>
      </c>
      <c r="C2529" t="s">
        <v>304</v>
      </c>
      <c r="D2529" t="s">
        <v>7787</v>
      </c>
      <c r="E2529">
        <v>32</v>
      </c>
      <c r="F2529" t="s">
        <v>5163</v>
      </c>
      <c r="G2529" t="s">
        <v>1905</v>
      </c>
    </row>
    <row r="2530" spans="1:7" hidden="1">
      <c r="A2530" s="5" t="s">
        <v>4977</v>
      </c>
      <c r="B2530" t="s">
        <v>5161</v>
      </c>
      <c r="C2530" t="s">
        <v>304</v>
      </c>
      <c r="D2530" t="s">
        <v>7788</v>
      </c>
      <c r="E2530">
        <v>36</v>
      </c>
      <c r="F2530" t="s">
        <v>5163</v>
      </c>
      <c r="G2530" t="s">
        <v>5169</v>
      </c>
    </row>
    <row r="2531" spans="1:7" hidden="1">
      <c r="A2531" s="5" t="s">
        <v>2588</v>
      </c>
      <c r="B2531" t="s">
        <v>5161</v>
      </c>
      <c r="C2531" t="s">
        <v>304</v>
      </c>
      <c r="D2531" t="s">
        <v>7789</v>
      </c>
      <c r="E2531">
        <v>20</v>
      </c>
      <c r="F2531" t="s">
        <v>5163</v>
      </c>
      <c r="G2531" t="s">
        <v>5164</v>
      </c>
    </row>
    <row r="2532" spans="1:7" hidden="1">
      <c r="A2532" s="5" t="s">
        <v>4310</v>
      </c>
      <c r="B2532" t="s">
        <v>5161</v>
      </c>
      <c r="C2532" t="s">
        <v>304</v>
      </c>
      <c r="D2532" t="s">
        <v>7790</v>
      </c>
      <c r="E2532">
        <v>18</v>
      </c>
      <c r="F2532" t="s">
        <v>5163</v>
      </c>
      <c r="G2532" t="s">
        <v>5164</v>
      </c>
    </row>
    <row r="2533" spans="1:7" hidden="1">
      <c r="A2533" s="5" t="s">
        <v>2663</v>
      </c>
      <c r="B2533" t="s">
        <v>5161</v>
      </c>
      <c r="C2533" t="s">
        <v>304</v>
      </c>
      <c r="D2533" t="s">
        <v>7791</v>
      </c>
      <c r="E2533">
        <v>22</v>
      </c>
      <c r="F2533" t="s">
        <v>5163</v>
      </c>
      <c r="G2533" t="s">
        <v>5164</v>
      </c>
    </row>
    <row r="2534" spans="1:7" hidden="1">
      <c r="A2534" s="5" t="s">
        <v>5067</v>
      </c>
      <c r="B2534" t="s">
        <v>5161</v>
      </c>
      <c r="C2534" t="s">
        <v>304</v>
      </c>
      <c r="D2534" t="s">
        <v>7792</v>
      </c>
      <c r="E2534">
        <v>20</v>
      </c>
      <c r="F2534" t="s">
        <v>5163</v>
      </c>
      <c r="G2534" t="s">
        <v>5164</v>
      </c>
    </row>
    <row r="2535" spans="1:7" hidden="1">
      <c r="A2535" s="5" t="s">
        <v>2336</v>
      </c>
      <c r="B2535" t="s">
        <v>5161</v>
      </c>
      <c r="C2535" t="s">
        <v>304</v>
      </c>
      <c r="D2535" t="s">
        <v>7793</v>
      </c>
      <c r="E2535">
        <v>28</v>
      </c>
      <c r="F2535" t="s">
        <v>5163</v>
      </c>
      <c r="G2535" t="s">
        <v>5169</v>
      </c>
    </row>
    <row r="2536" spans="1:7" hidden="1">
      <c r="A2536" s="5" t="s">
        <v>4703</v>
      </c>
      <c r="B2536" t="s">
        <v>5161</v>
      </c>
      <c r="C2536" t="s">
        <v>304</v>
      </c>
      <c r="D2536" t="s">
        <v>7794</v>
      </c>
      <c r="E2536">
        <v>55</v>
      </c>
      <c r="F2536" t="s">
        <v>5163</v>
      </c>
      <c r="G2536" t="s">
        <v>1905</v>
      </c>
    </row>
    <row r="2537" spans="1:7" hidden="1">
      <c r="A2537" s="5" t="s">
        <v>2353</v>
      </c>
      <c r="B2537" t="s">
        <v>5161</v>
      </c>
      <c r="C2537" t="s">
        <v>304</v>
      </c>
      <c r="D2537" t="s">
        <v>7795</v>
      </c>
      <c r="E2537">
        <v>56</v>
      </c>
      <c r="F2537" t="s">
        <v>5163</v>
      </c>
      <c r="G2537" t="s">
        <v>1905</v>
      </c>
    </row>
    <row r="2538" spans="1:7" hidden="1">
      <c r="A2538" s="5" t="s">
        <v>4866</v>
      </c>
      <c r="B2538" t="s">
        <v>5161</v>
      </c>
      <c r="C2538" t="s">
        <v>304</v>
      </c>
      <c r="D2538" t="s">
        <v>7796</v>
      </c>
      <c r="E2538">
        <v>24</v>
      </c>
      <c r="F2538" t="s">
        <v>5163</v>
      </c>
      <c r="G2538" t="s">
        <v>5169</v>
      </c>
    </row>
    <row r="2539" spans="1:7" hidden="1">
      <c r="A2539" s="5" t="s">
        <v>4575</v>
      </c>
      <c r="B2539" t="s">
        <v>5161</v>
      </c>
      <c r="C2539" t="s">
        <v>304</v>
      </c>
      <c r="D2539" t="s">
        <v>7797</v>
      </c>
      <c r="E2539">
        <v>22</v>
      </c>
      <c r="F2539" t="s">
        <v>5163</v>
      </c>
      <c r="G2539" t="s">
        <v>5164</v>
      </c>
    </row>
    <row r="2540" spans="1:7" hidden="1">
      <c r="A2540" s="5" t="s">
        <v>2445</v>
      </c>
      <c r="B2540" t="s">
        <v>5161</v>
      </c>
      <c r="C2540" t="s">
        <v>304</v>
      </c>
      <c r="D2540" t="s">
        <v>7798</v>
      </c>
      <c r="E2540">
        <v>21</v>
      </c>
      <c r="F2540" t="s">
        <v>5163</v>
      </c>
      <c r="G2540" t="s">
        <v>1905</v>
      </c>
    </row>
    <row r="2541" spans="1:7" hidden="1">
      <c r="A2541" s="5" t="s">
        <v>3774</v>
      </c>
      <c r="B2541" t="s">
        <v>5161</v>
      </c>
      <c r="C2541" t="s">
        <v>304</v>
      </c>
      <c r="D2541" t="s">
        <v>7799</v>
      </c>
      <c r="E2541">
        <v>23</v>
      </c>
      <c r="F2541" t="s">
        <v>5163</v>
      </c>
      <c r="G2541" t="s">
        <v>5164</v>
      </c>
    </row>
    <row r="2542" spans="1:7" hidden="1">
      <c r="A2542" s="5" t="s">
        <v>3774</v>
      </c>
      <c r="B2542" t="s">
        <v>5161</v>
      </c>
      <c r="C2542" t="s">
        <v>304</v>
      </c>
      <c r="D2542" t="s">
        <v>7800</v>
      </c>
      <c r="E2542">
        <v>19</v>
      </c>
      <c r="F2542" t="s">
        <v>5163</v>
      </c>
      <c r="G2542" t="s">
        <v>5164</v>
      </c>
    </row>
    <row r="2543" spans="1:7" hidden="1">
      <c r="A2543" s="5" t="s">
        <v>4571</v>
      </c>
      <c r="B2543" t="s">
        <v>5161</v>
      </c>
      <c r="C2543" t="s">
        <v>304</v>
      </c>
      <c r="D2543" t="s">
        <v>7801</v>
      </c>
      <c r="E2543">
        <v>26</v>
      </c>
      <c r="F2543" t="s">
        <v>5163</v>
      </c>
      <c r="G2543" t="s">
        <v>5164</v>
      </c>
    </row>
    <row r="2544" spans="1:7" hidden="1">
      <c r="A2544" s="5" t="s">
        <v>2401</v>
      </c>
      <c r="B2544" t="s">
        <v>5161</v>
      </c>
      <c r="C2544" t="s">
        <v>304</v>
      </c>
      <c r="D2544" t="s">
        <v>7802</v>
      </c>
      <c r="E2544">
        <v>44</v>
      </c>
      <c r="F2544" t="s">
        <v>5163</v>
      </c>
      <c r="G2544" t="s">
        <v>5164</v>
      </c>
    </row>
    <row r="2545" spans="1:7" hidden="1">
      <c r="A2545" s="5" t="s">
        <v>4689</v>
      </c>
      <c r="B2545" t="s">
        <v>5161</v>
      </c>
      <c r="C2545" t="s">
        <v>304</v>
      </c>
      <c r="D2545" t="s">
        <v>7803</v>
      </c>
      <c r="E2545">
        <v>19</v>
      </c>
      <c r="F2545" t="s">
        <v>5172</v>
      </c>
      <c r="G2545" t="s">
        <v>5169</v>
      </c>
    </row>
    <row r="2546" spans="1:7" hidden="1">
      <c r="A2546" s="5" t="s">
        <v>4687</v>
      </c>
      <c r="B2546" t="s">
        <v>5161</v>
      </c>
      <c r="C2546" t="s">
        <v>304</v>
      </c>
      <c r="D2546" t="s">
        <v>7804</v>
      </c>
      <c r="E2546">
        <v>31</v>
      </c>
      <c r="F2546" t="s">
        <v>5163</v>
      </c>
      <c r="G2546" t="s">
        <v>5164</v>
      </c>
    </row>
    <row r="2547" spans="1:7" hidden="1">
      <c r="A2547" s="5" t="s">
        <v>4187</v>
      </c>
      <c r="B2547" t="s">
        <v>5161</v>
      </c>
      <c r="C2547" t="s">
        <v>304</v>
      </c>
      <c r="D2547" t="s">
        <v>7805</v>
      </c>
      <c r="E2547">
        <v>19</v>
      </c>
      <c r="F2547" t="s">
        <v>5163</v>
      </c>
      <c r="G2547" t="s">
        <v>1905</v>
      </c>
    </row>
    <row r="2548" spans="1:7" hidden="1">
      <c r="A2548" s="5" t="s">
        <v>2207</v>
      </c>
      <c r="B2548" t="s">
        <v>5161</v>
      </c>
      <c r="C2548" t="s">
        <v>304</v>
      </c>
      <c r="D2548" t="s">
        <v>7806</v>
      </c>
      <c r="E2548">
        <v>19</v>
      </c>
      <c r="F2548" t="s">
        <v>5163</v>
      </c>
      <c r="G2548" t="s">
        <v>5169</v>
      </c>
    </row>
    <row r="2549" spans="1:7" hidden="1">
      <c r="A2549" s="5" t="s">
        <v>7807</v>
      </c>
      <c r="B2549" t="s">
        <v>5161</v>
      </c>
      <c r="C2549" t="s">
        <v>304</v>
      </c>
      <c r="D2549" t="s">
        <v>7808</v>
      </c>
      <c r="E2549">
        <v>27</v>
      </c>
      <c r="F2549" t="s">
        <v>5163</v>
      </c>
      <c r="G2549" t="s">
        <v>1905</v>
      </c>
    </row>
    <row r="2550" spans="1:7" hidden="1">
      <c r="A2550" s="5" t="s">
        <v>7807</v>
      </c>
      <c r="B2550" t="s">
        <v>5161</v>
      </c>
      <c r="C2550" t="s">
        <v>304</v>
      </c>
      <c r="D2550" t="s">
        <v>7809</v>
      </c>
      <c r="E2550">
        <v>24</v>
      </c>
      <c r="F2550" t="s">
        <v>5163</v>
      </c>
      <c r="G2550" t="s">
        <v>1905</v>
      </c>
    </row>
    <row r="2551" spans="1:7" hidden="1">
      <c r="A2551" s="5" t="s">
        <v>2455</v>
      </c>
      <c r="B2551" t="s">
        <v>5161</v>
      </c>
      <c r="C2551" t="s">
        <v>304</v>
      </c>
      <c r="D2551" t="s">
        <v>7810</v>
      </c>
      <c r="E2551">
        <v>25</v>
      </c>
      <c r="F2551" t="s">
        <v>5163</v>
      </c>
      <c r="G2551" t="s">
        <v>5164</v>
      </c>
    </row>
    <row r="2552" spans="1:7" hidden="1">
      <c r="A2552" s="5" t="s">
        <v>4442</v>
      </c>
      <c r="B2552" t="s">
        <v>5161</v>
      </c>
      <c r="C2552" t="s">
        <v>304</v>
      </c>
      <c r="D2552" t="s">
        <v>7811</v>
      </c>
      <c r="E2552">
        <v>19</v>
      </c>
      <c r="F2552" t="s">
        <v>5163</v>
      </c>
      <c r="G2552" t="s">
        <v>5164</v>
      </c>
    </row>
    <row r="2553" spans="1:7" hidden="1">
      <c r="A2553" s="5" t="s">
        <v>3203</v>
      </c>
      <c r="B2553" t="s">
        <v>5161</v>
      </c>
      <c r="C2553" t="s">
        <v>304</v>
      </c>
      <c r="D2553" t="s">
        <v>7812</v>
      </c>
      <c r="E2553">
        <v>45</v>
      </c>
      <c r="F2553" t="s">
        <v>5172</v>
      </c>
      <c r="G2553" t="s">
        <v>1905</v>
      </c>
    </row>
    <row r="2554" spans="1:7" hidden="1">
      <c r="A2554" s="5" t="s">
        <v>4302</v>
      </c>
      <c r="B2554" t="s">
        <v>5161</v>
      </c>
      <c r="C2554" t="s">
        <v>304</v>
      </c>
      <c r="D2554" t="s">
        <v>7813</v>
      </c>
      <c r="E2554">
        <v>32</v>
      </c>
      <c r="F2554" t="s">
        <v>5172</v>
      </c>
      <c r="G2554" t="s">
        <v>5164</v>
      </c>
    </row>
    <row r="2555" spans="1:7" hidden="1">
      <c r="A2555" s="5" t="s">
        <v>4041</v>
      </c>
      <c r="B2555" t="s">
        <v>5161</v>
      </c>
      <c r="C2555" t="s">
        <v>304</v>
      </c>
      <c r="D2555" t="s">
        <v>7814</v>
      </c>
      <c r="E2555">
        <v>25</v>
      </c>
      <c r="F2555" t="s">
        <v>5163</v>
      </c>
      <c r="G2555" t="s">
        <v>5169</v>
      </c>
    </row>
    <row r="2556" spans="1:7" hidden="1">
      <c r="A2556" s="5" t="s">
        <v>4037</v>
      </c>
      <c r="B2556" t="s">
        <v>5161</v>
      </c>
      <c r="C2556" t="s">
        <v>304</v>
      </c>
      <c r="D2556" t="s">
        <v>7815</v>
      </c>
      <c r="E2556">
        <v>25</v>
      </c>
      <c r="F2556" t="s">
        <v>5163</v>
      </c>
      <c r="G2556" t="s">
        <v>1905</v>
      </c>
    </row>
    <row r="2557" spans="1:7" hidden="1">
      <c r="A2557" s="5" t="s">
        <v>2414</v>
      </c>
      <c r="B2557" t="s">
        <v>5161</v>
      </c>
      <c r="C2557" t="s">
        <v>304</v>
      </c>
      <c r="D2557" t="s">
        <v>7816</v>
      </c>
      <c r="E2557">
        <v>18</v>
      </c>
      <c r="F2557" t="s">
        <v>5163</v>
      </c>
      <c r="G2557" t="s">
        <v>1905</v>
      </c>
    </row>
    <row r="2558" spans="1:7" hidden="1">
      <c r="A2558" s="5" t="s">
        <v>3328</v>
      </c>
      <c r="B2558" t="s">
        <v>5161</v>
      </c>
      <c r="C2558" t="s">
        <v>304</v>
      </c>
      <c r="D2558" t="s">
        <v>7817</v>
      </c>
      <c r="E2558">
        <v>26</v>
      </c>
      <c r="F2558" t="s">
        <v>5163</v>
      </c>
      <c r="G2558" t="s">
        <v>5164</v>
      </c>
    </row>
    <row r="2559" spans="1:7" hidden="1">
      <c r="A2559" s="5" t="s">
        <v>3328</v>
      </c>
      <c r="B2559" t="s">
        <v>5161</v>
      </c>
      <c r="C2559" t="s">
        <v>304</v>
      </c>
      <c r="D2559" t="s">
        <v>7818</v>
      </c>
      <c r="E2559">
        <v>24</v>
      </c>
      <c r="F2559" t="s">
        <v>5163</v>
      </c>
      <c r="G2559" t="s">
        <v>5164</v>
      </c>
    </row>
    <row r="2560" spans="1:7" hidden="1">
      <c r="A2560" s="5" t="s">
        <v>3351</v>
      </c>
      <c r="B2560" t="s">
        <v>5161</v>
      </c>
      <c r="C2560" t="s">
        <v>304</v>
      </c>
      <c r="D2560" t="s">
        <v>7819</v>
      </c>
      <c r="E2560">
        <v>21</v>
      </c>
      <c r="F2560" t="s">
        <v>5163</v>
      </c>
      <c r="G2560" t="s">
        <v>1905</v>
      </c>
    </row>
    <row r="2561" spans="1:7" hidden="1">
      <c r="A2561" s="5" t="s">
        <v>3731</v>
      </c>
      <c r="B2561" t="s">
        <v>5161</v>
      </c>
      <c r="C2561" t="s">
        <v>316</v>
      </c>
      <c r="D2561" t="s">
        <v>7820</v>
      </c>
      <c r="E2561">
        <v>18</v>
      </c>
      <c r="F2561" t="s">
        <v>5163</v>
      </c>
      <c r="G2561" t="s">
        <v>1905</v>
      </c>
    </row>
    <row r="2562" spans="1:7" hidden="1">
      <c r="A2562" s="5" t="s">
        <v>5058</v>
      </c>
      <c r="B2562" t="s">
        <v>5161</v>
      </c>
      <c r="C2562" t="s">
        <v>316</v>
      </c>
      <c r="D2562" t="s">
        <v>7821</v>
      </c>
      <c r="E2562">
        <v>35</v>
      </c>
      <c r="F2562" t="s">
        <v>5163</v>
      </c>
      <c r="G2562" t="s">
        <v>5164</v>
      </c>
    </row>
    <row r="2563" spans="1:7" hidden="1">
      <c r="A2563" s="5" t="s">
        <v>2557</v>
      </c>
      <c r="B2563" t="s">
        <v>5161</v>
      </c>
      <c r="C2563" t="s">
        <v>316</v>
      </c>
      <c r="D2563" t="s">
        <v>7822</v>
      </c>
      <c r="E2563">
        <v>28</v>
      </c>
      <c r="F2563" t="s">
        <v>5163</v>
      </c>
      <c r="G2563" t="s">
        <v>1905</v>
      </c>
    </row>
    <row r="2564" spans="1:7" hidden="1">
      <c r="A2564" s="5" t="s">
        <v>3733</v>
      </c>
      <c r="B2564" t="s">
        <v>5161</v>
      </c>
      <c r="C2564" t="s">
        <v>316</v>
      </c>
      <c r="D2564" t="s">
        <v>7823</v>
      </c>
      <c r="E2564">
        <v>32</v>
      </c>
      <c r="F2564" t="s">
        <v>5163</v>
      </c>
      <c r="G2564" t="s">
        <v>5164</v>
      </c>
    </row>
    <row r="2565" spans="1:7" hidden="1">
      <c r="A2565" s="5" t="s">
        <v>2511</v>
      </c>
      <c r="B2565" t="s">
        <v>5161</v>
      </c>
      <c r="C2565" t="s">
        <v>316</v>
      </c>
      <c r="D2565" t="s">
        <v>7824</v>
      </c>
      <c r="E2565">
        <v>27</v>
      </c>
      <c r="F2565" t="s">
        <v>5163</v>
      </c>
      <c r="G2565" t="s">
        <v>1905</v>
      </c>
    </row>
    <row r="2566" spans="1:7" hidden="1">
      <c r="A2566" s="5" t="s">
        <v>2602</v>
      </c>
      <c r="B2566" t="s">
        <v>5161</v>
      </c>
      <c r="C2566" t="s">
        <v>316</v>
      </c>
      <c r="D2566" t="s">
        <v>7825</v>
      </c>
      <c r="E2566">
        <v>22</v>
      </c>
      <c r="F2566" t="s">
        <v>5163</v>
      </c>
      <c r="G2566" t="s">
        <v>5164</v>
      </c>
    </row>
    <row r="2567" spans="1:7" hidden="1">
      <c r="A2567" s="5" t="s">
        <v>2333</v>
      </c>
      <c r="B2567" t="s">
        <v>5161</v>
      </c>
      <c r="C2567" t="s">
        <v>316</v>
      </c>
      <c r="D2567" t="s">
        <v>7826</v>
      </c>
      <c r="E2567">
        <v>21</v>
      </c>
      <c r="F2567" t="s">
        <v>5163</v>
      </c>
      <c r="G2567" t="s">
        <v>5164</v>
      </c>
    </row>
    <row r="2568" spans="1:7" hidden="1">
      <c r="A2568" s="5" t="s">
        <v>7827</v>
      </c>
      <c r="B2568" t="s">
        <v>5161</v>
      </c>
      <c r="C2568" t="s">
        <v>316</v>
      </c>
      <c r="D2568" t="s">
        <v>7828</v>
      </c>
      <c r="E2568">
        <v>42</v>
      </c>
      <c r="F2568" t="s">
        <v>5163</v>
      </c>
      <c r="G2568" t="s">
        <v>5164</v>
      </c>
    </row>
    <row r="2569" spans="1:7" hidden="1">
      <c r="A2569" s="5" t="s">
        <v>3450</v>
      </c>
      <c r="B2569" t="s">
        <v>5161</v>
      </c>
      <c r="C2569" t="s">
        <v>316</v>
      </c>
      <c r="D2569" t="s">
        <v>7829</v>
      </c>
      <c r="E2569">
        <v>18</v>
      </c>
      <c r="F2569" t="s">
        <v>5163</v>
      </c>
      <c r="G2569" t="s">
        <v>5164</v>
      </c>
    </row>
    <row r="2570" spans="1:7" hidden="1">
      <c r="A2570" s="5" t="s">
        <v>4292</v>
      </c>
      <c r="B2570" t="s">
        <v>5161</v>
      </c>
      <c r="C2570" t="s">
        <v>316</v>
      </c>
      <c r="D2570" t="s">
        <v>7830</v>
      </c>
      <c r="E2570">
        <v>43</v>
      </c>
      <c r="F2570" t="s">
        <v>5163</v>
      </c>
      <c r="G2570" t="s">
        <v>1905</v>
      </c>
    </row>
    <row r="2571" spans="1:7" hidden="1">
      <c r="A2571" s="5" t="s">
        <v>2658</v>
      </c>
      <c r="B2571" t="s">
        <v>5161</v>
      </c>
      <c r="C2571" t="s">
        <v>316</v>
      </c>
      <c r="D2571" t="s">
        <v>7831</v>
      </c>
      <c r="E2571">
        <v>29</v>
      </c>
      <c r="F2571" t="s">
        <v>5163</v>
      </c>
      <c r="G2571" t="s">
        <v>5164</v>
      </c>
    </row>
    <row r="2572" spans="1:7" hidden="1">
      <c r="A2572" s="5" t="s">
        <v>3092</v>
      </c>
      <c r="B2572" t="s">
        <v>5161</v>
      </c>
      <c r="C2572" t="s">
        <v>316</v>
      </c>
      <c r="D2572" t="s">
        <v>7832</v>
      </c>
      <c r="E2572">
        <v>32</v>
      </c>
      <c r="F2572" t="s">
        <v>5163</v>
      </c>
      <c r="G2572" t="s">
        <v>5169</v>
      </c>
    </row>
    <row r="2573" spans="1:7" hidden="1">
      <c r="A2573" s="5" t="s">
        <v>7833</v>
      </c>
      <c r="B2573" t="s">
        <v>5161</v>
      </c>
      <c r="C2573" t="s">
        <v>316</v>
      </c>
      <c r="D2573" t="s">
        <v>7834</v>
      </c>
      <c r="E2573">
        <v>20</v>
      </c>
      <c r="F2573" t="s">
        <v>5163</v>
      </c>
      <c r="G2573" t="s">
        <v>5164</v>
      </c>
    </row>
    <row r="2574" spans="1:7" hidden="1">
      <c r="A2574" s="5" t="s">
        <v>2364</v>
      </c>
      <c r="B2574" t="s">
        <v>5161</v>
      </c>
      <c r="C2574" t="s">
        <v>316</v>
      </c>
      <c r="D2574" t="s">
        <v>7835</v>
      </c>
      <c r="E2574">
        <v>24</v>
      </c>
      <c r="F2574" t="s">
        <v>5172</v>
      </c>
      <c r="G2574" t="s">
        <v>5169</v>
      </c>
    </row>
    <row r="2575" spans="1:7" hidden="1">
      <c r="A2575" s="5" t="s">
        <v>3133</v>
      </c>
      <c r="B2575" t="s">
        <v>5161</v>
      </c>
      <c r="C2575" t="s">
        <v>316</v>
      </c>
      <c r="D2575" t="s">
        <v>7836</v>
      </c>
      <c r="E2575">
        <v>22</v>
      </c>
      <c r="F2575" t="s">
        <v>5163</v>
      </c>
      <c r="G2575" t="s">
        <v>1905</v>
      </c>
    </row>
    <row r="2576" spans="1:7" hidden="1">
      <c r="A2576" s="5" t="s">
        <v>2703</v>
      </c>
      <c r="B2576" t="s">
        <v>5161</v>
      </c>
      <c r="C2576" t="s">
        <v>316</v>
      </c>
      <c r="D2576" t="s">
        <v>7837</v>
      </c>
      <c r="E2576">
        <v>40</v>
      </c>
      <c r="F2576" t="s">
        <v>5163</v>
      </c>
      <c r="G2576" t="s">
        <v>5164</v>
      </c>
    </row>
    <row r="2577" spans="1:7" hidden="1">
      <c r="A2577" s="5" t="s">
        <v>3368</v>
      </c>
      <c r="B2577" t="s">
        <v>5161</v>
      </c>
      <c r="C2577" t="s">
        <v>316</v>
      </c>
      <c r="D2577" t="s">
        <v>7838</v>
      </c>
      <c r="E2577">
        <v>22</v>
      </c>
      <c r="F2577" t="s">
        <v>5163</v>
      </c>
      <c r="G2577" t="s">
        <v>5169</v>
      </c>
    </row>
    <row r="2578" spans="1:7" hidden="1">
      <c r="A2578" s="5" t="s">
        <v>3928</v>
      </c>
      <c r="B2578" t="s">
        <v>5161</v>
      </c>
      <c r="C2578" t="s">
        <v>316</v>
      </c>
      <c r="D2578" t="s">
        <v>7839</v>
      </c>
      <c r="E2578">
        <v>20</v>
      </c>
      <c r="F2578" t="s">
        <v>5163</v>
      </c>
      <c r="G2578" t="s">
        <v>5164</v>
      </c>
    </row>
    <row r="2579" spans="1:7" hidden="1">
      <c r="A2579" s="5" t="s">
        <v>2986</v>
      </c>
      <c r="B2579" t="s">
        <v>5161</v>
      </c>
      <c r="C2579" t="s">
        <v>316</v>
      </c>
      <c r="D2579" t="s">
        <v>7840</v>
      </c>
      <c r="E2579">
        <v>29</v>
      </c>
      <c r="F2579" t="s">
        <v>5163</v>
      </c>
      <c r="G2579" t="s">
        <v>1905</v>
      </c>
    </row>
    <row r="2580" spans="1:7" hidden="1">
      <c r="A2580" s="5" t="s">
        <v>7841</v>
      </c>
      <c r="B2580" t="s">
        <v>5161</v>
      </c>
      <c r="C2580" t="s">
        <v>316</v>
      </c>
      <c r="D2580" t="s">
        <v>7842</v>
      </c>
      <c r="E2580">
        <v>21</v>
      </c>
      <c r="F2580" t="s">
        <v>5172</v>
      </c>
      <c r="G2580" t="s">
        <v>5164</v>
      </c>
    </row>
    <row r="2581" spans="1:7" hidden="1">
      <c r="A2581" s="5" t="s">
        <v>4908</v>
      </c>
      <c r="B2581" t="s">
        <v>5161</v>
      </c>
      <c r="C2581" t="s">
        <v>316</v>
      </c>
      <c r="D2581" t="s">
        <v>7843</v>
      </c>
      <c r="E2581">
        <v>56</v>
      </c>
      <c r="F2581" t="s">
        <v>5172</v>
      </c>
      <c r="G2581" t="s">
        <v>1905</v>
      </c>
    </row>
    <row r="2582" spans="1:7" hidden="1">
      <c r="A2582" s="5" t="s">
        <v>2845</v>
      </c>
      <c r="B2582" t="s">
        <v>5161</v>
      </c>
      <c r="C2582" t="s">
        <v>316</v>
      </c>
      <c r="D2582" t="s">
        <v>7844</v>
      </c>
      <c r="E2582">
        <v>27</v>
      </c>
      <c r="F2582" t="s">
        <v>5163</v>
      </c>
      <c r="G2582" t="s">
        <v>5164</v>
      </c>
    </row>
    <row r="2583" spans="1:7" hidden="1">
      <c r="A2583" s="5" t="s">
        <v>2281</v>
      </c>
      <c r="B2583" t="s">
        <v>5161</v>
      </c>
      <c r="C2583" t="s">
        <v>316</v>
      </c>
      <c r="D2583" t="s">
        <v>7845</v>
      </c>
      <c r="E2583">
        <v>24</v>
      </c>
      <c r="F2583" t="s">
        <v>5163</v>
      </c>
      <c r="G2583" t="s">
        <v>5169</v>
      </c>
    </row>
    <row r="2584" spans="1:7" hidden="1">
      <c r="A2584" s="5" t="s">
        <v>2659</v>
      </c>
      <c r="B2584" t="s">
        <v>5161</v>
      </c>
      <c r="C2584" t="s">
        <v>316</v>
      </c>
      <c r="D2584" t="s">
        <v>5343</v>
      </c>
      <c r="E2584">
        <v>32</v>
      </c>
      <c r="F2584" t="s">
        <v>5163</v>
      </c>
      <c r="G2584" t="s">
        <v>1905</v>
      </c>
    </row>
    <row r="2585" spans="1:7" hidden="1">
      <c r="A2585" s="5" t="s">
        <v>2568</v>
      </c>
      <c r="B2585" t="s">
        <v>5161</v>
      </c>
      <c r="C2585" t="s">
        <v>316</v>
      </c>
      <c r="D2585" t="s">
        <v>7846</v>
      </c>
      <c r="E2585">
        <v>19</v>
      </c>
      <c r="F2585" t="s">
        <v>5163</v>
      </c>
      <c r="G2585" t="s">
        <v>1905</v>
      </c>
    </row>
    <row r="2586" spans="1:7" hidden="1">
      <c r="A2586" s="5" t="s">
        <v>4143</v>
      </c>
      <c r="B2586" t="s">
        <v>5161</v>
      </c>
      <c r="C2586" t="s">
        <v>316</v>
      </c>
      <c r="D2586" t="s">
        <v>7847</v>
      </c>
      <c r="E2586">
        <v>29</v>
      </c>
      <c r="F2586" t="s">
        <v>5163</v>
      </c>
      <c r="G2586" t="s">
        <v>5164</v>
      </c>
    </row>
    <row r="2587" spans="1:7" hidden="1">
      <c r="A2587" s="5" t="s">
        <v>2524</v>
      </c>
      <c r="B2587" t="s">
        <v>5161</v>
      </c>
      <c r="C2587" t="s">
        <v>316</v>
      </c>
      <c r="D2587" t="s">
        <v>7848</v>
      </c>
      <c r="E2587">
        <v>21</v>
      </c>
      <c r="F2587" t="s">
        <v>5163</v>
      </c>
      <c r="G2587" t="s">
        <v>5164</v>
      </c>
    </row>
    <row r="2588" spans="1:7" hidden="1">
      <c r="A2588" s="5" t="s">
        <v>2500</v>
      </c>
      <c r="B2588" t="s">
        <v>5161</v>
      </c>
      <c r="C2588" t="s">
        <v>316</v>
      </c>
      <c r="D2588" t="s">
        <v>7849</v>
      </c>
      <c r="E2588">
        <v>35</v>
      </c>
      <c r="F2588" t="s">
        <v>5172</v>
      </c>
      <c r="G2588" t="s">
        <v>5164</v>
      </c>
    </row>
    <row r="2589" spans="1:7" hidden="1">
      <c r="A2589" s="5" t="s">
        <v>4145</v>
      </c>
      <c r="B2589" t="s">
        <v>5161</v>
      </c>
      <c r="C2589" t="s">
        <v>316</v>
      </c>
      <c r="D2589" t="s">
        <v>7850</v>
      </c>
      <c r="E2589">
        <v>31</v>
      </c>
      <c r="F2589" t="s">
        <v>5163</v>
      </c>
      <c r="G2589" t="s">
        <v>5182</v>
      </c>
    </row>
    <row r="2590" spans="1:7" hidden="1">
      <c r="A2590" s="5" t="s">
        <v>4441</v>
      </c>
      <c r="B2590" t="s">
        <v>5161</v>
      </c>
      <c r="C2590" t="s">
        <v>316</v>
      </c>
      <c r="D2590" t="s">
        <v>7851</v>
      </c>
      <c r="E2590">
        <v>18</v>
      </c>
      <c r="F2590" t="s">
        <v>5163</v>
      </c>
      <c r="G2590" t="s">
        <v>5169</v>
      </c>
    </row>
    <row r="2591" spans="1:7" hidden="1">
      <c r="A2591" s="5" t="s">
        <v>4298</v>
      </c>
      <c r="B2591" t="s">
        <v>5161</v>
      </c>
      <c r="C2591" t="s">
        <v>316</v>
      </c>
      <c r="D2591" t="s">
        <v>7852</v>
      </c>
      <c r="E2591">
        <v>21</v>
      </c>
      <c r="F2591" t="s">
        <v>5163</v>
      </c>
      <c r="G2591" t="s">
        <v>5164</v>
      </c>
    </row>
    <row r="2592" spans="1:7" hidden="1">
      <c r="A2592" s="5" t="s">
        <v>3596</v>
      </c>
      <c r="B2592" t="s">
        <v>5161</v>
      </c>
      <c r="C2592" t="s">
        <v>316</v>
      </c>
      <c r="D2592" t="s">
        <v>7853</v>
      </c>
      <c r="E2592">
        <v>22</v>
      </c>
      <c r="F2592" t="s">
        <v>5163</v>
      </c>
      <c r="G2592" t="s">
        <v>1905</v>
      </c>
    </row>
    <row r="2593" spans="1:7" hidden="1">
      <c r="A2593" s="5" t="s">
        <v>3180</v>
      </c>
      <c r="B2593" t="s">
        <v>5161</v>
      </c>
      <c r="C2593" t="s">
        <v>316</v>
      </c>
      <c r="D2593" t="s">
        <v>7854</v>
      </c>
      <c r="E2593">
        <v>33</v>
      </c>
      <c r="F2593" t="s">
        <v>5163</v>
      </c>
      <c r="G2593" t="s">
        <v>1905</v>
      </c>
    </row>
    <row r="2594" spans="1:7" hidden="1">
      <c r="A2594" s="5" t="s">
        <v>3180</v>
      </c>
      <c r="B2594" t="s">
        <v>5161</v>
      </c>
      <c r="C2594" t="s">
        <v>316</v>
      </c>
      <c r="D2594" t="s">
        <v>7855</v>
      </c>
      <c r="E2594">
        <v>30</v>
      </c>
      <c r="F2594" t="s">
        <v>5172</v>
      </c>
      <c r="G2594" t="s">
        <v>5169</v>
      </c>
    </row>
    <row r="2595" spans="1:7" hidden="1">
      <c r="A2595" s="5" t="s">
        <v>313</v>
      </c>
      <c r="B2595" t="s">
        <v>5161</v>
      </c>
      <c r="C2595" t="s">
        <v>316</v>
      </c>
      <c r="D2595" t="s">
        <v>833</v>
      </c>
      <c r="E2595">
        <v>18</v>
      </c>
      <c r="F2595" t="s">
        <v>5163</v>
      </c>
      <c r="G2595" t="s">
        <v>1905</v>
      </c>
    </row>
    <row r="2596" spans="1:7" hidden="1">
      <c r="A2596" s="5" t="s">
        <v>2743</v>
      </c>
      <c r="B2596" t="s">
        <v>5161</v>
      </c>
      <c r="C2596" t="s">
        <v>316</v>
      </c>
      <c r="D2596" t="s">
        <v>7856</v>
      </c>
      <c r="E2596">
        <v>33</v>
      </c>
      <c r="F2596" t="s">
        <v>5163</v>
      </c>
      <c r="G2596" t="s">
        <v>5164</v>
      </c>
    </row>
    <row r="2597" spans="1:7" hidden="1">
      <c r="A2597" s="5" t="s">
        <v>3750</v>
      </c>
      <c r="B2597" t="s">
        <v>5161</v>
      </c>
      <c r="C2597" t="s">
        <v>316</v>
      </c>
      <c r="D2597" t="s">
        <v>7857</v>
      </c>
      <c r="E2597">
        <v>29</v>
      </c>
      <c r="F2597" t="s">
        <v>5163</v>
      </c>
      <c r="G2597" t="s">
        <v>5164</v>
      </c>
    </row>
    <row r="2598" spans="1:7" hidden="1">
      <c r="A2598" s="5" t="s">
        <v>7858</v>
      </c>
      <c r="B2598" t="s">
        <v>5161</v>
      </c>
      <c r="C2598" t="s">
        <v>316</v>
      </c>
      <c r="D2598" t="s">
        <v>7859</v>
      </c>
      <c r="E2598">
        <v>32</v>
      </c>
      <c r="F2598" t="s">
        <v>5163</v>
      </c>
      <c r="G2598" t="s">
        <v>5164</v>
      </c>
    </row>
    <row r="2599" spans="1:7" hidden="1">
      <c r="A2599" s="5" t="s">
        <v>2971</v>
      </c>
      <c r="B2599" t="s">
        <v>5161</v>
      </c>
      <c r="C2599" t="s">
        <v>316</v>
      </c>
      <c r="D2599" t="s">
        <v>7860</v>
      </c>
      <c r="E2599">
        <v>22</v>
      </c>
      <c r="F2599" t="s">
        <v>5163</v>
      </c>
      <c r="G2599" t="s">
        <v>5164</v>
      </c>
    </row>
    <row r="2600" spans="1:7" hidden="1">
      <c r="A2600" s="5" t="s">
        <v>4337</v>
      </c>
      <c r="B2600" t="s">
        <v>5161</v>
      </c>
      <c r="C2600" t="s">
        <v>316</v>
      </c>
      <c r="D2600" t="s">
        <v>7861</v>
      </c>
      <c r="E2600">
        <v>20</v>
      </c>
      <c r="F2600" t="s">
        <v>5163</v>
      </c>
      <c r="G2600" t="s">
        <v>5164</v>
      </c>
    </row>
    <row r="2601" spans="1:7" hidden="1">
      <c r="A2601" s="5" t="s">
        <v>3631</v>
      </c>
      <c r="B2601" t="s">
        <v>5161</v>
      </c>
      <c r="C2601" t="s">
        <v>316</v>
      </c>
      <c r="D2601" t="s">
        <v>7862</v>
      </c>
      <c r="E2601">
        <v>19</v>
      </c>
      <c r="F2601" t="s">
        <v>5163</v>
      </c>
      <c r="G2601" t="s">
        <v>5164</v>
      </c>
    </row>
    <row r="2602" spans="1:7" hidden="1">
      <c r="A2602" s="5" t="s">
        <v>4595</v>
      </c>
      <c r="B2602" t="s">
        <v>5161</v>
      </c>
      <c r="C2602" t="s">
        <v>316</v>
      </c>
      <c r="D2602" t="s">
        <v>7863</v>
      </c>
      <c r="E2602">
        <v>35</v>
      </c>
      <c r="F2602" t="s">
        <v>5163</v>
      </c>
      <c r="G2602" t="s">
        <v>1905</v>
      </c>
    </row>
    <row r="2603" spans="1:7" hidden="1">
      <c r="A2603" s="5" t="s">
        <v>306</v>
      </c>
      <c r="B2603" t="s">
        <v>5161</v>
      </c>
      <c r="C2603" t="s">
        <v>316</v>
      </c>
      <c r="D2603" t="s">
        <v>826</v>
      </c>
      <c r="E2603">
        <v>24</v>
      </c>
      <c r="F2603" t="s">
        <v>5163</v>
      </c>
      <c r="G2603" t="s">
        <v>5164</v>
      </c>
    </row>
    <row r="2604" spans="1:7" hidden="1">
      <c r="A2604" s="5" t="s">
        <v>3441</v>
      </c>
      <c r="B2604" t="s">
        <v>5161</v>
      </c>
      <c r="C2604" t="s">
        <v>316</v>
      </c>
      <c r="D2604" t="s">
        <v>7864</v>
      </c>
      <c r="E2604">
        <v>34</v>
      </c>
      <c r="F2604" t="s">
        <v>5163</v>
      </c>
      <c r="G2604" t="s">
        <v>5164</v>
      </c>
    </row>
    <row r="2605" spans="1:7" hidden="1">
      <c r="A2605" s="5" t="s">
        <v>2459</v>
      </c>
      <c r="B2605" t="s">
        <v>5161</v>
      </c>
      <c r="C2605" t="s">
        <v>316</v>
      </c>
      <c r="D2605" t="s">
        <v>7865</v>
      </c>
      <c r="E2605">
        <v>18</v>
      </c>
      <c r="F2605" t="s">
        <v>5163</v>
      </c>
      <c r="G2605" t="s">
        <v>1905</v>
      </c>
    </row>
    <row r="2606" spans="1:7" hidden="1">
      <c r="A2606" s="5" t="s">
        <v>305</v>
      </c>
      <c r="B2606" t="s">
        <v>5161</v>
      </c>
      <c r="C2606" t="s">
        <v>316</v>
      </c>
      <c r="D2606" t="s">
        <v>7866</v>
      </c>
      <c r="E2606">
        <v>23</v>
      </c>
      <c r="F2606" t="s">
        <v>5172</v>
      </c>
      <c r="G2606" t="s">
        <v>5164</v>
      </c>
    </row>
    <row r="2607" spans="1:7" hidden="1">
      <c r="A2607" s="5" t="s">
        <v>3245</v>
      </c>
      <c r="B2607" t="s">
        <v>5161</v>
      </c>
      <c r="C2607" t="s">
        <v>316</v>
      </c>
      <c r="D2607" t="s">
        <v>7867</v>
      </c>
      <c r="E2607">
        <v>21</v>
      </c>
      <c r="F2607" t="s">
        <v>5163</v>
      </c>
      <c r="G2607" t="s">
        <v>1905</v>
      </c>
    </row>
    <row r="2608" spans="1:7" hidden="1">
      <c r="A2608" s="5" t="s">
        <v>2819</v>
      </c>
      <c r="B2608" t="s">
        <v>5161</v>
      </c>
      <c r="C2608" t="s">
        <v>316</v>
      </c>
      <c r="D2608" t="s">
        <v>7868</v>
      </c>
      <c r="E2608">
        <v>18</v>
      </c>
      <c r="F2608" t="s">
        <v>5163</v>
      </c>
      <c r="G2608" t="s">
        <v>1905</v>
      </c>
    </row>
    <row r="2609" spans="1:7" hidden="1">
      <c r="A2609" s="5" t="s">
        <v>7869</v>
      </c>
      <c r="B2609" t="s">
        <v>5161</v>
      </c>
      <c r="C2609" t="s">
        <v>316</v>
      </c>
      <c r="D2609" t="s">
        <v>7870</v>
      </c>
      <c r="E2609">
        <v>40</v>
      </c>
      <c r="F2609" t="s">
        <v>5163</v>
      </c>
      <c r="G2609" t="s">
        <v>5182</v>
      </c>
    </row>
    <row r="2610" spans="1:7" hidden="1">
      <c r="A2610" s="5" t="s">
        <v>7869</v>
      </c>
      <c r="B2610" t="s">
        <v>5161</v>
      </c>
      <c r="C2610" t="s">
        <v>316</v>
      </c>
      <c r="D2610" t="s">
        <v>7871</v>
      </c>
      <c r="E2610">
        <v>36</v>
      </c>
      <c r="F2610" t="s">
        <v>5163</v>
      </c>
      <c r="G2610" t="s">
        <v>5182</v>
      </c>
    </row>
    <row r="2611" spans="1:7" hidden="1">
      <c r="A2611" s="5" t="s">
        <v>7869</v>
      </c>
      <c r="B2611" t="s">
        <v>5161</v>
      </c>
      <c r="C2611" t="s">
        <v>316</v>
      </c>
      <c r="D2611" t="s">
        <v>7872</v>
      </c>
      <c r="E2611">
        <v>36</v>
      </c>
      <c r="F2611" t="s">
        <v>5163</v>
      </c>
      <c r="G2611" t="s">
        <v>5182</v>
      </c>
    </row>
    <row r="2612" spans="1:7" hidden="1">
      <c r="A2612" s="5" t="s">
        <v>7869</v>
      </c>
      <c r="B2612" t="s">
        <v>5161</v>
      </c>
      <c r="C2612" t="s">
        <v>316</v>
      </c>
      <c r="D2612" t="s">
        <v>7873</v>
      </c>
      <c r="E2612">
        <v>43</v>
      </c>
      <c r="F2612" t="s">
        <v>5163</v>
      </c>
      <c r="G2612" t="s">
        <v>5182</v>
      </c>
    </row>
    <row r="2613" spans="1:7" hidden="1">
      <c r="A2613" s="5" t="s">
        <v>3158</v>
      </c>
      <c r="B2613" t="s">
        <v>5161</v>
      </c>
      <c r="C2613" t="s">
        <v>316</v>
      </c>
      <c r="D2613" t="s">
        <v>7874</v>
      </c>
      <c r="E2613">
        <v>20</v>
      </c>
      <c r="F2613" t="s">
        <v>5163</v>
      </c>
      <c r="G2613" t="s">
        <v>5164</v>
      </c>
    </row>
    <row r="2614" spans="1:7" hidden="1">
      <c r="A2614" s="5" t="s">
        <v>2726</v>
      </c>
      <c r="B2614" t="s">
        <v>5161</v>
      </c>
      <c r="C2614" t="s">
        <v>316</v>
      </c>
      <c r="D2614" t="s">
        <v>7875</v>
      </c>
      <c r="E2614">
        <v>22</v>
      </c>
      <c r="F2614" t="s">
        <v>5163</v>
      </c>
      <c r="G2614" t="s">
        <v>5169</v>
      </c>
    </row>
    <row r="2615" spans="1:7" hidden="1">
      <c r="A2615" s="5" t="s">
        <v>2726</v>
      </c>
      <c r="B2615" t="s">
        <v>5161</v>
      </c>
      <c r="C2615" t="s">
        <v>316</v>
      </c>
      <c r="D2615" t="s">
        <v>7876</v>
      </c>
      <c r="E2615">
        <v>20</v>
      </c>
      <c r="F2615" t="s">
        <v>5163</v>
      </c>
      <c r="G2615" t="s">
        <v>5164</v>
      </c>
    </row>
    <row r="2616" spans="1:7" hidden="1">
      <c r="A2616" s="5" t="s">
        <v>2691</v>
      </c>
      <c r="B2616" t="s">
        <v>5161</v>
      </c>
      <c r="C2616" t="s">
        <v>316</v>
      </c>
      <c r="D2616" t="s">
        <v>7877</v>
      </c>
      <c r="E2616">
        <v>22</v>
      </c>
      <c r="F2616" t="s">
        <v>5172</v>
      </c>
      <c r="G2616" t="s">
        <v>5484</v>
      </c>
    </row>
    <row r="2617" spans="1:7" hidden="1">
      <c r="A2617" s="5" t="s">
        <v>3026</v>
      </c>
      <c r="B2617" t="s">
        <v>5161</v>
      </c>
      <c r="C2617" t="s">
        <v>316</v>
      </c>
      <c r="D2617" t="s">
        <v>7878</v>
      </c>
      <c r="E2617">
        <v>18</v>
      </c>
      <c r="F2617" t="s">
        <v>5163</v>
      </c>
      <c r="G2617" t="s">
        <v>1905</v>
      </c>
    </row>
    <row r="2618" spans="1:7" hidden="1">
      <c r="A2618" s="5" t="s">
        <v>2542</v>
      </c>
      <c r="B2618" t="s">
        <v>5161</v>
      </c>
      <c r="C2618" t="s">
        <v>316</v>
      </c>
      <c r="D2618" t="s">
        <v>7879</v>
      </c>
      <c r="E2618">
        <v>25</v>
      </c>
      <c r="F2618" t="s">
        <v>5172</v>
      </c>
      <c r="G2618" t="s">
        <v>1905</v>
      </c>
    </row>
    <row r="2619" spans="1:7" hidden="1">
      <c r="A2619" s="5" t="s">
        <v>4949</v>
      </c>
      <c r="B2619" t="s">
        <v>5161</v>
      </c>
      <c r="C2619" t="s">
        <v>316</v>
      </c>
      <c r="D2619" t="s">
        <v>7880</v>
      </c>
      <c r="E2619">
        <v>19</v>
      </c>
      <c r="F2619" t="s">
        <v>5163</v>
      </c>
      <c r="G2619" t="s">
        <v>5164</v>
      </c>
    </row>
    <row r="2620" spans="1:7" hidden="1">
      <c r="A2620" s="5" t="s">
        <v>2635</v>
      </c>
      <c r="B2620" t="s">
        <v>5161</v>
      </c>
      <c r="C2620" t="s">
        <v>316</v>
      </c>
      <c r="D2620" t="s">
        <v>7881</v>
      </c>
      <c r="E2620">
        <v>36</v>
      </c>
      <c r="F2620" t="s">
        <v>5163</v>
      </c>
      <c r="G2620" t="s">
        <v>1905</v>
      </c>
    </row>
    <row r="2621" spans="1:7" hidden="1">
      <c r="A2621" s="5" t="s">
        <v>2290</v>
      </c>
      <c r="B2621" t="s">
        <v>5161</v>
      </c>
      <c r="C2621" t="s">
        <v>316</v>
      </c>
      <c r="D2621" t="s">
        <v>7882</v>
      </c>
      <c r="E2621">
        <v>20</v>
      </c>
      <c r="F2621" t="s">
        <v>5163</v>
      </c>
      <c r="G2621" t="s">
        <v>1905</v>
      </c>
    </row>
    <row r="2622" spans="1:7" hidden="1">
      <c r="A2622" s="5" t="s">
        <v>5100</v>
      </c>
      <c r="B2622" t="s">
        <v>5161</v>
      </c>
      <c r="C2622" t="s">
        <v>316</v>
      </c>
      <c r="D2622" t="s">
        <v>7883</v>
      </c>
      <c r="E2622">
        <v>34</v>
      </c>
      <c r="F2622" t="s">
        <v>5163</v>
      </c>
      <c r="G2622" t="s">
        <v>5182</v>
      </c>
    </row>
    <row r="2623" spans="1:7" hidden="1">
      <c r="A2623" s="5" t="s">
        <v>5100</v>
      </c>
      <c r="B2623" t="s">
        <v>5161</v>
      </c>
      <c r="C2623" t="s">
        <v>316</v>
      </c>
      <c r="D2623" t="s">
        <v>7884</v>
      </c>
      <c r="E2623">
        <v>40</v>
      </c>
      <c r="F2623" t="s">
        <v>5172</v>
      </c>
      <c r="G2623" t="s">
        <v>1905</v>
      </c>
    </row>
    <row r="2624" spans="1:7" hidden="1">
      <c r="A2624" s="5" t="s">
        <v>5100</v>
      </c>
      <c r="B2624" t="s">
        <v>5161</v>
      </c>
      <c r="C2624" t="s">
        <v>316</v>
      </c>
      <c r="D2624" t="s">
        <v>7885</v>
      </c>
      <c r="E2624">
        <v>31</v>
      </c>
      <c r="F2624" t="s">
        <v>5163</v>
      </c>
      <c r="G2624" t="s">
        <v>5169</v>
      </c>
    </row>
    <row r="2625" spans="1:7" hidden="1">
      <c r="A2625" s="5" t="s">
        <v>5100</v>
      </c>
      <c r="B2625" t="s">
        <v>5161</v>
      </c>
      <c r="C2625" t="s">
        <v>316</v>
      </c>
      <c r="D2625" t="s">
        <v>7886</v>
      </c>
      <c r="E2625">
        <v>30</v>
      </c>
      <c r="F2625" t="s">
        <v>5163</v>
      </c>
      <c r="G2625" t="s">
        <v>5169</v>
      </c>
    </row>
    <row r="2626" spans="1:7" hidden="1">
      <c r="A2626" s="5" t="s">
        <v>5100</v>
      </c>
      <c r="B2626" t="s">
        <v>5161</v>
      </c>
      <c r="C2626" t="s">
        <v>316</v>
      </c>
      <c r="D2626" t="s">
        <v>7887</v>
      </c>
      <c r="E2626" t="s">
        <v>5182</v>
      </c>
      <c r="F2626" t="s">
        <v>5163</v>
      </c>
      <c r="G2626" t="s">
        <v>5182</v>
      </c>
    </row>
    <row r="2627" spans="1:7" hidden="1">
      <c r="A2627" s="5" t="s">
        <v>5100</v>
      </c>
      <c r="B2627" t="s">
        <v>5161</v>
      </c>
      <c r="C2627" t="s">
        <v>316</v>
      </c>
      <c r="D2627" t="s">
        <v>7888</v>
      </c>
      <c r="E2627">
        <v>39</v>
      </c>
      <c r="F2627" t="s">
        <v>5172</v>
      </c>
      <c r="G2627" t="s">
        <v>5182</v>
      </c>
    </row>
    <row r="2628" spans="1:7" hidden="1">
      <c r="A2628" s="5" t="s">
        <v>5100</v>
      </c>
      <c r="B2628" t="s">
        <v>5161</v>
      </c>
      <c r="C2628" t="s">
        <v>316</v>
      </c>
      <c r="D2628" t="s">
        <v>7889</v>
      </c>
      <c r="E2628">
        <v>29</v>
      </c>
      <c r="F2628" t="s">
        <v>5172</v>
      </c>
      <c r="G2628" t="s">
        <v>1905</v>
      </c>
    </row>
    <row r="2629" spans="1:7" hidden="1">
      <c r="A2629" s="5" t="s">
        <v>5100</v>
      </c>
      <c r="B2629" t="s">
        <v>5161</v>
      </c>
      <c r="C2629" t="s">
        <v>316</v>
      </c>
      <c r="D2629" t="s">
        <v>7890</v>
      </c>
      <c r="E2629" t="s">
        <v>5182</v>
      </c>
      <c r="F2629" t="s">
        <v>5163</v>
      </c>
      <c r="G2629" t="s">
        <v>1905</v>
      </c>
    </row>
    <row r="2630" spans="1:7" hidden="1">
      <c r="A2630" s="5" t="s">
        <v>5100</v>
      </c>
      <c r="B2630" t="s">
        <v>5161</v>
      </c>
      <c r="C2630" t="s">
        <v>316</v>
      </c>
      <c r="D2630" t="s">
        <v>7891</v>
      </c>
      <c r="E2630">
        <v>33</v>
      </c>
      <c r="F2630" t="s">
        <v>5163</v>
      </c>
      <c r="G2630" t="s">
        <v>5182</v>
      </c>
    </row>
    <row r="2631" spans="1:7" hidden="1">
      <c r="A2631" s="5" t="s">
        <v>5100</v>
      </c>
      <c r="B2631" t="s">
        <v>5161</v>
      </c>
      <c r="C2631" t="s">
        <v>316</v>
      </c>
      <c r="D2631" t="s">
        <v>7892</v>
      </c>
      <c r="E2631">
        <v>23</v>
      </c>
      <c r="F2631" t="s">
        <v>5163</v>
      </c>
      <c r="G2631" t="s">
        <v>5164</v>
      </c>
    </row>
    <row r="2632" spans="1:7" hidden="1">
      <c r="A2632" s="5" t="s">
        <v>5100</v>
      </c>
      <c r="B2632" t="s">
        <v>5161</v>
      </c>
      <c r="C2632" t="s">
        <v>316</v>
      </c>
      <c r="D2632" t="s">
        <v>7893</v>
      </c>
      <c r="E2632">
        <v>46</v>
      </c>
      <c r="F2632" t="s">
        <v>5163</v>
      </c>
      <c r="G2632" t="s">
        <v>5164</v>
      </c>
    </row>
    <row r="2633" spans="1:7" hidden="1">
      <c r="A2633" s="5" t="s">
        <v>5100</v>
      </c>
      <c r="B2633" t="s">
        <v>5161</v>
      </c>
      <c r="C2633" t="s">
        <v>316</v>
      </c>
      <c r="D2633" t="s">
        <v>7894</v>
      </c>
      <c r="E2633" t="s">
        <v>5182</v>
      </c>
      <c r="F2633" t="s">
        <v>5163</v>
      </c>
      <c r="G2633" t="s">
        <v>1905</v>
      </c>
    </row>
    <row r="2634" spans="1:7" hidden="1">
      <c r="A2634" s="5" t="s">
        <v>5100</v>
      </c>
      <c r="B2634" t="s">
        <v>5161</v>
      </c>
      <c r="C2634" t="s">
        <v>316</v>
      </c>
      <c r="D2634" t="s">
        <v>7895</v>
      </c>
      <c r="E2634">
        <v>32</v>
      </c>
      <c r="F2634" t="s">
        <v>5163</v>
      </c>
      <c r="G2634" t="s">
        <v>1905</v>
      </c>
    </row>
    <row r="2635" spans="1:7" hidden="1">
      <c r="A2635" s="5" t="s">
        <v>5100</v>
      </c>
      <c r="B2635" t="s">
        <v>5161</v>
      </c>
      <c r="C2635" t="s">
        <v>316</v>
      </c>
      <c r="D2635" t="s">
        <v>7896</v>
      </c>
      <c r="E2635" t="s">
        <v>5182</v>
      </c>
      <c r="F2635" t="s">
        <v>5172</v>
      </c>
      <c r="G2635" t="s">
        <v>1905</v>
      </c>
    </row>
    <row r="2636" spans="1:7" hidden="1">
      <c r="A2636" s="5" t="s">
        <v>5100</v>
      </c>
      <c r="B2636" t="s">
        <v>5161</v>
      </c>
      <c r="C2636" t="s">
        <v>316</v>
      </c>
      <c r="D2636" t="s">
        <v>7897</v>
      </c>
      <c r="E2636">
        <v>28</v>
      </c>
      <c r="F2636" t="s">
        <v>5163</v>
      </c>
      <c r="G2636" t="s">
        <v>5182</v>
      </c>
    </row>
    <row r="2637" spans="1:7" hidden="1">
      <c r="A2637" s="5" t="s">
        <v>5100</v>
      </c>
      <c r="B2637" t="s">
        <v>5161</v>
      </c>
      <c r="C2637" t="s">
        <v>316</v>
      </c>
      <c r="D2637" t="s">
        <v>7898</v>
      </c>
      <c r="E2637">
        <v>39</v>
      </c>
      <c r="F2637" t="s">
        <v>5163</v>
      </c>
      <c r="G2637" t="s">
        <v>1905</v>
      </c>
    </row>
    <row r="2638" spans="1:7" hidden="1">
      <c r="A2638" s="5" t="s">
        <v>5100</v>
      </c>
      <c r="B2638" t="s">
        <v>5161</v>
      </c>
      <c r="C2638" t="s">
        <v>316</v>
      </c>
      <c r="D2638" t="s">
        <v>7899</v>
      </c>
      <c r="E2638">
        <v>29</v>
      </c>
      <c r="F2638" t="s">
        <v>5163</v>
      </c>
      <c r="G2638" t="s">
        <v>5164</v>
      </c>
    </row>
    <row r="2639" spans="1:7" hidden="1">
      <c r="A2639" s="5" t="s">
        <v>5100</v>
      </c>
      <c r="B2639" t="s">
        <v>5161</v>
      </c>
      <c r="C2639" t="s">
        <v>316</v>
      </c>
      <c r="D2639" t="s">
        <v>7900</v>
      </c>
      <c r="E2639">
        <v>29</v>
      </c>
      <c r="F2639" t="s">
        <v>5163</v>
      </c>
      <c r="G2639" t="s">
        <v>5169</v>
      </c>
    </row>
    <row r="2640" spans="1:7" hidden="1">
      <c r="A2640" s="5" t="s">
        <v>5100</v>
      </c>
      <c r="B2640" t="s">
        <v>5161</v>
      </c>
      <c r="C2640" t="s">
        <v>316</v>
      </c>
      <c r="D2640" t="s">
        <v>7901</v>
      </c>
      <c r="E2640">
        <v>31</v>
      </c>
      <c r="F2640" t="s">
        <v>5172</v>
      </c>
      <c r="G2640" t="s">
        <v>5182</v>
      </c>
    </row>
    <row r="2641" spans="1:7" hidden="1">
      <c r="A2641" s="5" t="s">
        <v>5100</v>
      </c>
      <c r="B2641" t="s">
        <v>5161</v>
      </c>
      <c r="C2641" t="s">
        <v>316</v>
      </c>
      <c r="D2641" t="s">
        <v>7902</v>
      </c>
      <c r="E2641">
        <v>33</v>
      </c>
      <c r="F2641" t="s">
        <v>5163</v>
      </c>
      <c r="G2641" t="s">
        <v>1905</v>
      </c>
    </row>
    <row r="2642" spans="1:7" hidden="1">
      <c r="A2642" s="5" t="s">
        <v>5100</v>
      </c>
      <c r="B2642" t="s">
        <v>5161</v>
      </c>
      <c r="C2642" t="s">
        <v>316</v>
      </c>
      <c r="D2642" t="s">
        <v>7903</v>
      </c>
      <c r="E2642">
        <v>40</v>
      </c>
      <c r="F2642" t="s">
        <v>5172</v>
      </c>
      <c r="G2642" t="s">
        <v>1905</v>
      </c>
    </row>
    <row r="2643" spans="1:7" hidden="1">
      <c r="A2643" s="5" t="s">
        <v>5100</v>
      </c>
      <c r="B2643" t="s">
        <v>5161</v>
      </c>
      <c r="C2643" t="s">
        <v>316</v>
      </c>
      <c r="D2643" t="s">
        <v>7904</v>
      </c>
      <c r="E2643">
        <v>39</v>
      </c>
      <c r="F2643" t="s">
        <v>5163</v>
      </c>
      <c r="G2643" t="s">
        <v>1905</v>
      </c>
    </row>
    <row r="2644" spans="1:7" hidden="1">
      <c r="A2644" s="5" t="s">
        <v>5100</v>
      </c>
      <c r="B2644" t="s">
        <v>5161</v>
      </c>
      <c r="C2644" t="s">
        <v>316</v>
      </c>
      <c r="D2644" t="s">
        <v>7905</v>
      </c>
      <c r="E2644" t="s">
        <v>5182</v>
      </c>
      <c r="F2644" t="s">
        <v>5163</v>
      </c>
      <c r="G2644" t="s">
        <v>5164</v>
      </c>
    </row>
    <row r="2645" spans="1:7" hidden="1">
      <c r="A2645" s="5" t="s">
        <v>5100</v>
      </c>
      <c r="B2645" t="s">
        <v>5161</v>
      </c>
      <c r="C2645" t="s">
        <v>316</v>
      </c>
      <c r="D2645" t="s">
        <v>7906</v>
      </c>
      <c r="E2645">
        <v>33</v>
      </c>
      <c r="F2645" t="s">
        <v>5172</v>
      </c>
      <c r="G2645" t="s">
        <v>1905</v>
      </c>
    </row>
    <row r="2646" spans="1:7" hidden="1">
      <c r="A2646" s="5" t="s">
        <v>4696</v>
      </c>
      <c r="B2646" t="s">
        <v>5161</v>
      </c>
      <c r="C2646" t="s">
        <v>316</v>
      </c>
      <c r="D2646" t="s">
        <v>7907</v>
      </c>
      <c r="E2646">
        <v>37</v>
      </c>
      <c r="F2646" t="s">
        <v>5163</v>
      </c>
      <c r="G2646" t="s">
        <v>5169</v>
      </c>
    </row>
    <row r="2647" spans="1:7" hidden="1">
      <c r="A2647" s="5" t="s">
        <v>4696</v>
      </c>
      <c r="B2647" t="s">
        <v>5161</v>
      </c>
      <c r="C2647" t="s">
        <v>316</v>
      </c>
      <c r="D2647" t="s">
        <v>7908</v>
      </c>
      <c r="E2647">
        <v>26</v>
      </c>
      <c r="F2647" t="s">
        <v>5163</v>
      </c>
      <c r="G2647" t="s">
        <v>5164</v>
      </c>
    </row>
    <row r="2648" spans="1:7" hidden="1">
      <c r="A2648" s="5" t="s">
        <v>5012</v>
      </c>
      <c r="B2648" t="s">
        <v>5161</v>
      </c>
      <c r="C2648" t="s">
        <v>316</v>
      </c>
      <c r="D2648" t="s">
        <v>7909</v>
      </c>
      <c r="E2648">
        <v>33</v>
      </c>
      <c r="F2648" t="s">
        <v>5172</v>
      </c>
      <c r="G2648" t="s">
        <v>1905</v>
      </c>
    </row>
    <row r="2649" spans="1:7" hidden="1">
      <c r="A2649" s="5" t="s">
        <v>4146</v>
      </c>
      <c r="B2649" t="s">
        <v>5161</v>
      </c>
      <c r="C2649" t="s">
        <v>316</v>
      </c>
      <c r="D2649" t="s">
        <v>7910</v>
      </c>
      <c r="E2649">
        <v>48</v>
      </c>
      <c r="F2649" t="s">
        <v>5163</v>
      </c>
      <c r="G2649" t="s">
        <v>1905</v>
      </c>
    </row>
    <row r="2650" spans="1:7" hidden="1">
      <c r="A2650" s="5" t="s">
        <v>3188</v>
      </c>
      <c r="B2650" t="s">
        <v>5161</v>
      </c>
      <c r="C2650" t="s">
        <v>316</v>
      </c>
      <c r="D2650" t="s">
        <v>7911</v>
      </c>
      <c r="E2650">
        <v>42</v>
      </c>
      <c r="F2650" t="s">
        <v>5163</v>
      </c>
      <c r="G2650" t="s">
        <v>1905</v>
      </c>
    </row>
    <row r="2651" spans="1:7" hidden="1">
      <c r="A2651" s="5" t="s">
        <v>3097</v>
      </c>
      <c r="B2651" t="s">
        <v>5161</v>
      </c>
      <c r="C2651" t="s">
        <v>316</v>
      </c>
      <c r="D2651" t="s">
        <v>7912</v>
      </c>
      <c r="E2651">
        <v>46</v>
      </c>
      <c r="F2651" t="s">
        <v>5163</v>
      </c>
      <c r="G2651" t="s">
        <v>1905</v>
      </c>
    </row>
    <row r="2652" spans="1:7" hidden="1">
      <c r="A2652" s="5" t="s">
        <v>3395</v>
      </c>
      <c r="B2652" t="s">
        <v>5161</v>
      </c>
      <c r="C2652" t="s">
        <v>316</v>
      </c>
      <c r="D2652" t="s">
        <v>7913</v>
      </c>
      <c r="E2652">
        <v>20</v>
      </c>
      <c r="F2652" t="s">
        <v>5163</v>
      </c>
      <c r="G2652" t="s">
        <v>5169</v>
      </c>
    </row>
    <row r="2653" spans="1:7" hidden="1">
      <c r="A2653" s="5" t="s">
        <v>7914</v>
      </c>
      <c r="B2653" t="s">
        <v>5161</v>
      </c>
      <c r="C2653" t="s">
        <v>316</v>
      </c>
      <c r="D2653" t="s">
        <v>7915</v>
      </c>
      <c r="E2653">
        <v>23</v>
      </c>
      <c r="F2653" t="s">
        <v>5163</v>
      </c>
      <c r="G2653" t="s">
        <v>1905</v>
      </c>
    </row>
    <row r="2654" spans="1:7" hidden="1">
      <c r="A2654" s="5" t="s">
        <v>2894</v>
      </c>
      <c r="B2654" t="s">
        <v>5161</v>
      </c>
      <c r="C2654" t="s">
        <v>316</v>
      </c>
      <c r="D2654" t="s">
        <v>7916</v>
      </c>
      <c r="E2654">
        <v>22</v>
      </c>
      <c r="F2654" t="s">
        <v>5163</v>
      </c>
      <c r="G2654" t="s">
        <v>1905</v>
      </c>
    </row>
    <row r="2655" spans="1:7" hidden="1">
      <c r="A2655" s="5" t="s">
        <v>2894</v>
      </c>
      <c r="B2655" t="s">
        <v>5161</v>
      </c>
      <c r="C2655" t="s">
        <v>316</v>
      </c>
      <c r="D2655" t="s">
        <v>7917</v>
      </c>
      <c r="E2655">
        <v>21</v>
      </c>
      <c r="F2655" t="s">
        <v>5172</v>
      </c>
      <c r="G2655" t="s">
        <v>1905</v>
      </c>
    </row>
    <row r="2656" spans="1:7" hidden="1">
      <c r="A2656" s="5" t="s">
        <v>2894</v>
      </c>
      <c r="B2656" t="s">
        <v>5161</v>
      </c>
      <c r="C2656" t="s">
        <v>316</v>
      </c>
      <c r="D2656" t="s">
        <v>7918</v>
      </c>
      <c r="E2656">
        <v>22</v>
      </c>
      <c r="F2656" t="s">
        <v>5163</v>
      </c>
      <c r="G2656" t="s">
        <v>5164</v>
      </c>
    </row>
    <row r="2657" spans="1:7" hidden="1">
      <c r="A2657" s="5" t="s">
        <v>4948</v>
      </c>
      <c r="B2657" t="s">
        <v>5161</v>
      </c>
      <c r="C2657" t="s">
        <v>316</v>
      </c>
      <c r="D2657" t="s">
        <v>7919</v>
      </c>
      <c r="E2657">
        <v>40</v>
      </c>
      <c r="F2657" t="s">
        <v>5163</v>
      </c>
      <c r="G2657" t="s">
        <v>1905</v>
      </c>
    </row>
    <row r="2658" spans="1:7" hidden="1">
      <c r="A2658" s="5" t="s">
        <v>4299</v>
      </c>
      <c r="B2658" t="s">
        <v>5161</v>
      </c>
      <c r="C2658" t="s">
        <v>316</v>
      </c>
      <c r="D2658" t="s">
        <v>7920</v>
      </c>
      <c r="E2658">
        <v>35</v>
      </c>
      <c r="F2658" t="s">
        <v>5163</v>
      </c>
      <c r="G2658" t="s">
        <v>5164</v>
      </c>
    </row>
    <row r="2659" spans="1:7" hidden="1">
      <c r="A2659" s="5" t="s">
        <v>4299</v>
      </c>
      <c r="B2659" t="s">
        <v>5161</v>
      </c>
      <c r="C2659" t="s">
        <v>316</v>
      </c>
      <c r="D2659" t="s">
        <v>7921</v>
      </c>
      <c r="E2659">
        <v>26</v>
      </c>
      <c r="F2659" t="s">
        <v>5163</v>
      </c>
      <c r="G2659" t="s">
        <v>5164</v>
      </c>
    </row>
    <row r="2660" spans="1:7" hidden="1">
      <c r="A2660" s="5" t="s">
        <v>2895</v>
      </c>
      <c r="B2660" t="s">
        <v>5161</v>
      </c>
      <c r="C2660" t="s">
        <v>316</v>
      </c>
      <c r="D2660" t="s">
        <v>880</v>
      </c>
      <c r="E2660">
        <v>19</v>
      </c>
      <c r="F2660" t="s">
        <v>5163</v>
      </c>
      <c r="G2660" t="s">
        <v>5164</v>
      </c>
    </row>
    <row r="2661" spans="1:7" hidden="1">
      <c r="A2661" s="5" t="s">
        <v>2825</v>
      </c>
      <c r="B2661" t="s">
        <v>5161</v>
      </c>
      <c r="C2661" t="s">
        <v>316</v>
      </c>
      <c r="D2661" t="s">
        <v>7922</v>
      </c>
      <c r="E2661">
        <v>24</v>
      </c>
      <c r="F2661" t="s">
        <v>5163</v>
      </c>
      <c r="G2661" t="s">
        <v>5169</v>
      </c>
    </row>
    <row r="2662" spans="1:7" hidden="1">
      <c r="A2662" s="5" t="s">
        <v>2558</v>
      </c>
      <c r="B2662" t="s">
        <v>5161</v>
      </c>
      <c r="C2662" t="s">
        <v>316</v>
      </c>
      <c r="D2662" t="s">
        <v>7923</v>
      </c>
      <c r="E2662">
        <v>19</v>
      </c>
      <c r="F2662" t="s">
        <v>5163</v>
      </c>
      <c r="G2662" t="s">
        <v>5164</v>
      </c>
    </row>
    <row r="2663" spans="1:7" hidden="1">
      <c r="A2663" s="5" t="s">
        <v>4144</v>
      </c>
      <c r="B2663" t="s">
        <v>5161</v>
      </c>
      <c r="C2663" t="s">
        <v>316</v>
      </c>
      <c r="D2663" t="s">
        <v>7924</v>
      </c>
      <c r="E2663">
        <v>35</v>
      </c>
      <c r="F2663" t="s">
        <v>5163</v>
      </c>
      <c r="G2663" t="s">
        <v>1905</v>
      </c>
    </row>
    <row r="2664" spans="1:7" hidden="1">
      <c r="A2664" s="5" t="s">
        <v>2596</v>
      </c>
      <c r="B2664" t="s">
        <v>5161</v>
      </c>
      <c r="C2664" t="s">
        <v>316</v>
      </c>
      <c r="D2664" t="s">
        <v>7925</v>
      </c>
      <c r="E2664">
        <v>49</v>
      </c>
      <c r="F2664" t="s">
        <v>5163</v>
      </c>
      <c r="G2664" t="s">
        <v>5164</v>
      </c>
    </row>
    <row r="2665" spans="1:7" hidden="1">
      <c r="A2665" s="5" t="s">
        <v>2849</v>
      </c>
      <c r="B2665" t="s">
        <v>5161</v>
      </c>
      <c r="C2665" t="s">
        <v>316</v>
      </c>
      <c r="D2665" t="s">
        <v>7926</v>
      </c>
      <c r="E2665">
        <v>23</v>
      </c>
      <c r="F2665" t="s">
        <v>5163</v>
      </c>
      <c r="G2665" t="s">
        <v>1905</v>
      </c>
    </row>
    <row r="2666" spans="1:7" hidden="1">
      <c r="A2666" s="5" t="s">
        <v>2220</v>
      </c>
      <c r="B2666" t="s">
        <v>5161</v>
      </c>
      <c r="C2666" t="s">
        <v>316</v>
      </c>
      <c r="D2666" t="s">
        <v>7927</v>
      </c>
      <c r="E2666">
        <v>19</v>
      </c>
      <c r="F2666" t="s">
        <v>5163</v>
      </c>
      <c r="G2666" t="s">
        <v>5164</v>
      </c>
    </row>
    <row r="2667" spans="1:7" hidden="1">
      <c r="A2667" s="5" t="s">
        <v>3111</v>
      </c>
      <c r="B2667" t="s">
        <v>5161</v>
      </c>
      <c r="C2667" t="s">
        <v>316</v>
      </c>
      <c r="D2667" t="s">
        <v>7928</v>
      </c>
      <c r="E2667">
        <v>28</v>
      </c>
      <c r="F2667" t="s">
        <v>5163</v>
      </c>
      <c r="G2667" t="s">
        <v>5164</v>
      </c>
    </row>
    <row r="2668" spans="1:7" hidden="1">
      <c r="A2668" s="5" t="s">
        <v>3396</v>
      </c>
      <c r="B2668" t="s">
        <v>5161</v>
      </c>
      <c r="C2668" t="s">
        <v>316</v>
      </c>
      <c r="D2668" t="s">
        <v>7929</v>
      </c>
      <c r="E2668">
        <v>21</v>
      </c>
      <c r="F2668" t="s">
        <v>5163</v>
      </c>
      <c r="G2668" t="s">
        <v>1905</v>
      </c>
    </row>
    <row r="2669" spans="1:7" hidden="1">
      <c r="A2669" s="5" t="s">
        <v>7930</v>
      </c>
      <c r="B2669" t="s">
        <v>5161</v>
      </c>
      <c r="C2669" t="s">
        <v>316</v>
      </c>
      <c r="D2669" t="s">
        <v>7931</v>
      </c>
      <c r="E2669" t="s">
        <v>5182</v>
      </c>
      <c r="F2669" t="s">
        <v>5163</v>
      </c>
      <c r="G2669" t="s">
        <v>6817</v>
      </c>
    </row>
    <row r="2670" spans="1:7" hidden="1">
      <c r="A2670" s="5" t="s">
        <v>4297</v>
      </c>
      <c r="B2670" t="s">
        <v>5161</v>
      </c>
      <c r="C2670" t="s">
        <v>316</v>
      </c>
      <c r="D2670" t="s">
        <v>7932</v>
      </c>
      <c r="E2670">
        <v>30</v>
      </c>
      <c r="F2670" t="s">
        <v>5163</v>
      </c>
      <c r="G2670" t="s">
        <v>5169</v>
      </c>
    </row>
    <row r="2671" spans="1:7" hidden="1">
      <c r="A2671" s="5" t="s">
        <v>4711</v>
      </c>
      <c r="B2671" t="s">
        <v>5161</v>
      </c>
      <c r="C2671" t="s">
        <v>316</v>
      </c>
      <c r="D2671" t="s">
        <v>7933</v>
      </c>
      <c r="E2671">
        <v>24</v>
      </c>
      <c r="F2671" t="s">
        <v>5163</v>
      </c>
      <c r="G2671" t="s">
        <v>5164</v>
      </c>
    </row>
    <row r="2672" spans="1:7" hidden="1">
      <c r="A2672" s="5" t="s">
        <v>4250</v>
      </c>
      <c r="B2672" t="s">
        <v>5161</v>
      </c>
      <c r="C2672" t="s">
        <v>316</v>
      </c>
      <c r="D2672" t="s">
        <v>7934</v>
      </c>
      <c r="E2672">
        <v>32</v>
      </c>
      <c r="F2672" t="s">
        <v>5163</v>
      </c>
      <c r="G2672" t="s">
        <v>5169</v>
      </c>
    </row>
    <row r="2673" spans="1:7" hidden="1">
      <c r="A2673" s="5" t="s">
        <v>315</v>
      </c>
      <c r="B2673" t="s">
        <v>5161</v>
      </c>
      <c r="C2673" t="s">
        <v>316</v>
      </c>
      <c r="D2673" t="s">
        <v>7935</v>
      </c>
      <c r="E2673">
        <v>20</v>
      </c>
      <c r="F2673" t="s">
        <v>5163</v>
      </c>
      <c r="G2673" t="s">
        <v>5169</v>
      </c>
    </row>
    <row r="2674" spans="1:7" hidden="1">
      <c r="A2674" s="5" t="s">
        <v>4501</v>
      </c>
      <c r="B2674" t="s">
        <v>5161</v>
      </c>
      <c r="C2674" t="s">
        <v>316</v>
      </c>
      <c r="D2674" t="s">
        <v>7936</v>
      </c>
      <c r="E2674">
        <v>23</v>
      </c>
      <c r="F2674" t="s">
        <v>5163</v>
      </c>
      <c r="G2674" t="s">
        <v>5169</v>
      </c>
    </row>
    <row r="2675" spans="1:7" hidden="1">
      <c r="A2675" s="5" t="s">
        <v>5048</v>
      </c>
      <c r="B2675" t="s">
        <v>5161</v>
      </c>
      <c r="C2675" t="s">
        <v>316</v>
      </c>
      <c r="D2675" t="s">
        <v>7937</v>
      </c>
      <c r="E2675">
        <v>19</v>
      </c>
      <c r="F2675" t="s">
        <v>5163</v>
      </c>
      <c r="G2675" t="s">
        <v>5164</v>
      </c>
    </row>
    <row r="2676" spans="1:7" hidden="1">
      <c r="A2676" s="5" t="s">
        <v>5048</v>
      </c>
      <c r="B2676" t="s">
        <v>5161</v>
      </c>
      <c r="C2676" t="s">
        <v>316</v>
      </c>
      <c r="D2676" t="s">
        <v>7938</v>
      </c>
      <c r="E2676">
        <v>21</v>
      </c>
      <c r="F2676" t="s">
        <v>5163</v>
      </c>
      <c r="G2676" t="s">
        <v>5182</v>
      </c>
    </row>
    <row r="2677" spans="1:7" hidden="1">
      <c r="A2677" s="5" t="s">
        <v>307</v>
      </c>
      <c r="B2677" t="s">
        <v>5161</v>
      </c>
      <c r="C2677" t="s">
        <v>316</v>
      </c>
      <c r="D2677" t="s">
        <v>7939</v>
      </c>
      <c r="E2677">
        <v>18</v>
      </c>
      <c r="F2677" t="s">
        <v>5163</v>
      </c>
      <c r="G2677" t="s">
        <v>1905</v>
      </c>
    </row>
    <row r="2678" spans="1:7" hidden="1">
      <c r="A2678" s="5" t="s">
        <v>4790</v>
      </c>
      <c r="B2678" t="s">
        <v>5161</v>
      </c>
      <c r="C2678" t="s">
        <v>316</v>
      </c>
      <c r="D2678" t="s">
        <v>7940</v>
      </c>
      <c r="E2678">
        <v>20</v>
      </c>
      <c r="F2678" t="s">
        <v>5163</v>
      </c>
      <c r="G2678" t="s">
        <v>1905</v>
      </c>
    </row>
    <row r="2679" spans="1:7" hidden="1">
      <c r="A2679" s="5" t="s">
        <v>4607</v>
      </c>
      <c r="B2679" t="s">
        <v>5161</v>
      </c>
      <c r="C2679" t="s">
        <v>316</v>
      </c>
      <c r="D2679" t="s">
        <v>7941</v>
      </c>
      <c r="E2679">
        <v>45</v>
      </c>
      <c r="F2679" t="s">
        <v>5163</v>
      </c>
      <c r="G2679" t="s">
        <v>5164</v>
      </c>
    </row>
    <row r="2680" spans="1:7" hidden="1">
      <c r="A2680" s="5" t="s">
        <v>3681</v>
      </c>
      <c r="B2680" t="s">
        <v>5161</v>
      </c>
      <c r="C2680" t="s">
        <v>316</v>
      </c>
      <c r="D2680" t="s">
        <v>7942</v>
      </c>
      <c r="E2680">
        <v>21</v>
      </c>
      <c r="F2680" t="s">
        <v>5163</v>
      </c>
      <c r="G2680" t="s">
        <v>1905</v>
      </c>
    </row>
    <row r="2681" spans="1:7" hidden="1">
      <c r="A2681" s="5" t="s">
        <v>2374</v>
      </c>
      <c r="B2681" t="s">
        <v>5161</v>
      </c>
      <c r="C2681" t="s">
        <v>316</v>
      </c>
      <c r="D2681" t="s">
        <v>7943</v>
      </c>
      <c r="E2681">
        <v>35</v>
      </c>
      <c r="F2681" t="s">
        <v>5163</v>
      </c>
      <c r="G2681" t="s">
        <v>1905</v>
      </c>
    </row>
    <row r="2682" spans="1:7" hidden="1">
      <c r="A2682" s="5" t="s">
        <v>7944</v>
      </c>
      <c r="B2682" t="s">
        <v>5161</v>
      </c>
      <c r="C2682" t="s">
        <v>316</v>
      </c>
      <c r="D2682" t="s">
        <v>7945</v>
      </c>
      <c r="E2682" t="s">
        <v>5182</v>
      </c>
      <c r="F2682" t="s">
        <v>5163</v>
      </c>
      <c r="G2682" t="s">
        <v>5182</v>
      </c>
    </row>
    <row r="2683" spans="1:7" hidden="1">
      <c r="A2683" s="5" t="s">
        <v>3091</v>
      </c>
      <c r="B2683" t="s">
        <v>5161</v>
      </c>
      <c r="C2683" t="s">
        <v>316</v>
      </c>
      <c r="D2683" t="s">
        <v>7946</v>
      </c>
      <c r="E2683">
        <v>29</v>
      </c>
      <c r="F2683" t="s">
        <v>5163</v>
      </c>
      <c r="G2683" t="s">
        <v>1905</v>
      </c>
    </row>
    <row r="2684" spans="1:7" hidden="1">
      <c r="A2684" s="5" t="s">
        <v>3091</v>
      </c>
      <c r="B2684" t="s">
        <v>5161</v>
      </c>
      <c r="C2684" t="s">
        <v>316</v>
      </c>
      <c r="D2684" t="s">
        <v>7947</v>
      </c>
      <c r="E2684">
        <v>31</v>
      </c>
      <c r="F2684" t="s">
        <v>5163</v>
      </c>
      <c r="G2684" t="s">
        <v>1905</v>
      </c>
    </row>
    <row r="2685" spans="1:7" hidden="1">
      <c r="A2685" s="5" t="s">
        <v>2499</v>
      </c>
      <c r="B2685" t="s">
        <v>5161</v>
      </c>
      <c r="C2685" t="s">
        <v>316</v>
      </c>
      <c r="D2685" t="s">
        <v>7948</v>
      </c>
      <c r="E2685">
        <v>28</v>
      </c>
      <c r="F2685" t="s">
        <v>5163</v>
      </c>
      <c r="G2685" t="s">
        <v>1905</v>
      </c>
    </row>
    <row r="2686" spans="1:7" hidden="1">
      <c r="A2686" s="5" t="s">
        <v>2666</v>
      </c>
      <c r="B2686" t="s">
        <v>5161</v>
      </c>
      <c r="C2686" t="s">
        <v>316</v>
      </c>
      <c r="D2686" t="s">
        <v>7949</v>
      </c>
      <c r="E2686">
        <v>35</v>
      </c>
      <c r="F2686" t="s">
        <v>5163</v>
      </c>
      <c r="G2686" t="s">
        <v>5169</v>
      </c>
    </row>
    <row r="2687" spans="1:7" hidden="1">
      <c r="A2687" s="5" t="s">
        <v>4562</v>
      </c>
      <c r="B2687" t="s">
        <v>5161</v>
      </c>
      <c r="C2687" t="s">
        <v>316</v>
      </c>
      <c r="D2687" t="s">
        <v>7950</v>
      </c>
      <c r="E2687">
        <v>37</v>
      </c>
      <c r="F2687" t="s">
        <v>5163</v>
      </c>
      <c r="G2687" t="s">
        <v>1905</v>
      </c>
    </row>
    <row r="2688" spans="1:7" hidden="1">
      <c r="A2688" s="5" t="s">
        <v>4562</v>
      </c>
      <c r="B2688" t="s">
        <v>5161</v>
      </c>
      <c r="C2688" t="s">
        <v>316</v>
      </c>
      <c r="D2688" t="s">
        <v>7951</v>
      </c>
      <c r="E2688">
        <v>31</v>
      </c>
      <c r="F2688" t="s">
        <v>5172</v>
      </c>
      <c r="G2688" t="s">
        <v>1905</v>
      </c>
    </row>
    <row r="2689" spans="1:7" hidden="1">
      <c r="A2689" s="5" t="s">
        <v>4555</v>
      </c>
      <c r="B2689" t="s">
        <v>5161</v>
      </c>
      <c r="C2689" t="s">
        <v>316</v>
      </c>
      <c r="D2689" t="s">
        <v>7952</v>
      </c>
      <c r="E2689">
        <v>36</v>
      </c>
      <c r="F2689" t="s">
        <v>5163</v>
      </c>
      <c r="G2689" t="s">
        <v>5164</v>
      </c>
    </row>
    <row r="2690" spans="1:7" hidden="1">
      <c r="A2690" s="5" t="s">
        <v>309</v>
      </c>
      <c r="B2690" t="s">
        <v>5161</v>
      </c>
      <c r="C2690" t="s">
        <v>316</v>
      </c>
      <c r="D2690" t="s">
        <v>829</v>
      </c>
      <c r="E2690">
        <v>20</v>
      </c>
      <c r="F2690" t="s">
        <v>5163</v>
      </c>
      <c r="G2690" t="s">
        <v>1905</v>
      </c>
    </row>
    <row r="2691" spans="1:7" hidden="1">
      <c r="A2691" s="5" t="s">
        <v>2136</v>
      </c>
      <c r="B2691" t="s">
        <v>5161</v>
      </c>
      <c r="C2691" t="s">
        <v>316</v>
      </c>
      <c r="D2691" t="s">
        <v>7953</v>
      </c>
      <c r="E2691">
        <v>19</v>
      </c>
      <c r="F2691" t="s">
        <v>5163</v>
      </c>
      <c r="G2691" t="s">
        <v>1905</v>
      </c>
    </row>
    <row r="2692" spans="1:7" hidden="1">
      <c r="A2692" s="5" t="s">
        <v>4244</v>
      </c>
      <c r="B2692" t="s">
        <v>5161</v>
      </c>
      <c r="C2692" t="s">
        <v>316</v>
      </c>
      <c r="D2692" t="s">
        <v>7954</v>
      </c>
      <c r="E2692">
        <v>19</v>
      </c>
      <c r="F2692" t="s">
        <v>5163</v>
      </c>
      <c r="G2692" t="s">
        <v>5164</v>
      </c>
    </row>
    <row r="2693" spans="1:7" hidden="1">
      <c r="A2693" s="5" t="s">
        <v>3967</v>
      </c>
      <c r="B2693" t="s">
        <v>5161</v>
      </c>
      <c r="C2693" t="s">
        <v>316</v>
      </c>
      <c r="D2693" t="s">
        <v>7955</v>
      </c>
      <c r="E2693">
        <v>24</v>
      </c>
      <c r="F2693" t="s">
        <v>5163</v>
      </c>
      <c r="G2693" t="s">
        <v>5164</v>
      </c>
    </row>
    <row r="2694" spans="1:7" hidden="1">
      <c r="A2694" s="5" t="s">
        <v>3723</v>
      </c>
      <c r="B2694" t="s">
        <v>5161</v>
      </c>
      <c r="C2694" t="s">
        <v>316</v>
      </c>
      <c r="D2694" t="s">
        <v>7956</v>
      </c>
      <c r="E2694">
        <v>29</v>
      </c>
      <c r="F2694" t="s">
        <v>5163</v>
      </c>
      <c r="G2694" t="s">
        <v>5164</v>
      </c>
    </row>
    <row r="2695" spans="1:7" hidden="1">
      <c r="A2695" s="5" t="s">
        <v>2634</v>
      </c>
      <c r="B2695" t="s">
        <v>5161</v>
      </c>
      <c r="C2695" t="s">
        <v>316</v>
      </c>
      <c r="D2695" t="s">
        <v>7957</v>
      </c>
      <c r="E2695">
        <v>48</v>
      </c>
      <c r="F2695" t="s">
        <v>5172</v>
      </c>
      <c r="G2695" t="s">
        <v>1905</v>
      </c>
    </row>
    <row r="2696" spans="1:7" hidden="1">
      <c r="A2696" s="5" t="s">
        <v>5001</v>
      </c>
      <c r="B2696" t="s">
        <v>5161</v>
      </c>
      <c r="C2696" t="s">
        <v>316</v>
      </c>
      <c r="D2696" t="s">
        <v>7958</v>
      </c>
      <c r="E2696">
        <v>24</v>
      </c>
      <c r="F2696" t="s">
        <v>5163</v>
      </c>
      <c r="G2696" t="s">
        <v>5164</v>
      </c>
    </row>
    <row r="2697" spans="1:7" hidden="1">
      <c r="A2697" s="5" t="s">
        <v>5027</v>
      </c>
      <c r="B2697" t="s">
        <v>5161</v>
      </c>
      <c r="C2697" t="s">
        <v>316</v>
      </c>
      <c r="D2697" t="s">
        <v>7959</v>
      </c>
      <c r="E2697">
        <v>21</v>
      </c>
      <c r="F2697" t="s">
        <v>5163</v>
      </c>
      <c r="G2697" t="s">
        <v>1905</v>
      </c>
    </row>
    <row r="2698" spans="1:7" hidden="1">
      <c r="A2698" s="5" t="s">
        <v>5056</v>
      </c>
      <c r="B2698" t="s">
        <v>5161</v>
      </c>
      <c r="C2698" t="s">
        <v>316</v>
      </c>
      <c r="D2698" t="s">
        <v>7960</v>
      </c>
      <c r="E2698">
        <v>19</v>
      </c>
      <c r="F2698" t="s">
        <v>5163</v>
      </c>
      <c r="G2698" t="s">
        <v>1905</v>
      </c>
    </row>
    <row r="2699" spans="1:7" hidden="1">
      <c r="A2699" s="5" t="s">
        <v>312</v>
      </c>
      <c r="B2699" t="s">
        <v>5161</v>
      </c>
      <c r="C2699" t="s">
        <v>316</v>
      </c>
      <c r="D2699" t="s">
        <v>7961</v>
      </c>
      <c r="E2699">
        <v>34</v>
      </c>
      <c r="F2699" t="s">
        <v>5172</v>
      </c>
      <c r="G2699" t="s">
        <v>5164</v>
      </c>
    </row>
    <row r="2700" spans="1:7" hidden="1">
      <c r="A2700" s="5" t="s">
        <v>4694</v>
      </c>
      <c r="B2700" t="s">
        <v>5161</v>
      </c>
      <c r="C2700" t="s">
        <v>316</v>
      </c>
      <c r="D2700" t="s">
        <v>7962</v>
      </c>
      <c r="E2700">
        <v>29</v>
      </c>
      <c r="F2700" t="s">
        <v>5163</v>
      </c>
      <c r="G2700" t="s">
        <v>5164</v>
      </c>
    </row>
    <row r="2701" spans="1:7" hidden="1">
      <c r="A2701" s="5" t="s">
        <v>4968</v>
      </c>
      <c r="B2701" t="s">
        <v>5161</v>
      </c>
      <c r="C2701" t="s">
        <v>316</v>
      </c>
      <c r="D2701" t="s">
        <v>7963</v>
      </c>
      <c r="E2701">
        <v>20</v>
      </c>
      <c r="F2701" t="s">
        <v>5163</v>
      </c>
      <c r="G2701" t="s">
        <v>5169</v>
      </c>
    </row>
    <row r="2702" spans="1:7" hidden="1">
      <c r="A2702" s="5" t="s">
        <v>4968</v>
      </c>
      <c r="B2702" t="s">
        <v>5161</v>
      </c>
      <c r="C2702" t="s">
        <v>316</v>
      </c>
      <c r="D2702" t="s">
        <v>7964</v>
      </c>
      <c r="E2702">
        <v>25</v>
      </c>
      <c r="F2702" t="s">
        <v>5163</v>
      </c>
      <c r="G2702" t="s">
        <v>5164</v>
      </c>
    </row>
    <row r="2703" spans="1:7" hidden="1">
      <c r="A2703" s="5" t="s">
        <v>4993</v>
      </c>
      <c r="B2703" t="s">
        <v>5161</v>
      </c>
      <c r="C2703" t="s">
        <v>316</v>
      </c>
      <c r="D2703" t="s">
        <v>7965</v>
      </c>
      <c r="E2703">
        <v>23</v>
      </c>
      <c r="F2703" t="s">
        <v>5172</v>
      </c>
      <c r="G2703" t="s">
        <v>1905</v>
      </c>
    </row>
    <row r="2704" spans="1:7" hidden="1">
      <c r="A2704" s="5" t="s">
        <v>4993</v>
      </c>
      <c r="B2704" t="s">
        <v>5161</v>
      </c>
      <c r="C2704" t="s">
        <v>316</v>
      </c>
      <c r="D2704" t="s">
        <v>7966</v>
      </c>
      <c r="E2704">
        <v>49</v>
      </c>
      <c r="F2704" t="s">
        <v>5163</v>
      </c>
      <c r="G2704" t="s">
        <v>5164</v>
      </c>
    </row>
    <row r="2705" spans="1:7" hidden="1">
      <c r="A2705" s="5" t="s">
        <v>4993</v>
      </c>
      <c r="B2705" t="s">
        <v>5161</v>
      </c>
      <c r="C2705" t="s">
        <v>316</v>
      </c>
      <c r="D2705" t="s">
        <v>7967</v>
      </c>
      <c r="E2705">
        <v>36</v>
      </c>
      <c r="F2705" t="s">
        <v>5163</v>
      </c>
      <c r="G2705" t="s">
        <v>1905</v>
      </c>
    </row>
    <row r="2706" spans="1:7" hidden="1">
      <c r="A2706" s="5" t="s">
        <v>2276</v>
      </c>
      <c r="B2706" t="s">
        <v>5161</v>
      </c>
      <c r="C2706" t="s">
        <v>316</v>
      </c>
      <c r="D2706" t="s">
        <v>7968</v>
      </c>
      <c r="E2706">
        <v>44</v>
      </c>
      <c r="F2706" t="s">
        <v>5163</v>
      </c>
      <c r="G2706" t="s">
        <v>5164</v>
      </c>
    </row>
    <row r="2707" spans="1:7" hidden="1">
      <c r="A2707" s="5" t="s">
        <v>2276</v>
      </c>
      <c r="B2707" t="s">
        <v>5161</v>
      </c>
      <c r="C2707" t="s">
        <v>316</v>
      </c>
      <c r="D2707" t="s">
        <v>7969</v>
      </c>
      <c r="E2707">
        <v>31</v>
      </c>
      <c r="F2707" t="s">
        <v>5163</v>
      </c>
      <c r="G2707" t="s">
        <v>5164</v>
      </c>
    </row>
    <row r="2708" spans="1:7" hidden="1">
      <c r="A2708" s="5" t="s">
        <v>4669</v>
      </c>
      <c r="B2708" t="s">
        <v>5161</v>
      </c>
      <c r="C2708" t="s">
        <v>316</v>
      </c>
      <c r="D2708" t="s">
        <v>7970</v>
      </c>
      <c r="E2708">
        <v>20</v>
      </c>
      <c r="F2708" t="s">
        <v>5163</v>
      </c>
      <c r="G2708" t="s">
        <v>5164</v>
      </c>
    </row>
    <row r="2709" spans="1:7" hidden="1">
      <c r="A2709" s="5" t="s">
        <v>4690</v>
      </c>
      <c r="B2709" t="s">
        <v>5161</v>
      </c>
      <c r="C2709" t="s">
        <v>316</v>
      </c>
      <c r="D2709" t="s">
        <v>7971</v>
      </c>
      <c r="E2709">
        <v>19</v>
      </c>
      <c r="F2709" t="s">
        <v>5163</v>
      </c>
      <c r="G2709" t="s">
        <v>1905</v>
      </c>
    </row>
    <row r="2710" spans="1:7" hidden="1">
      <c r="A2710" s="5" t="s">
        <v>7972</v>
      </c>
      <c r="B2710" t="s">
        <v>5161</v>
      </c>
      <c r="C2710" t="s">
        <v>316</v>
      </c>
      <c r="D2710" t="s">
        <v>7973</v>
      </c>
      <c r="E2710">
        <v>18</v>
      </c>
      <c r="F2710" t="s">
        <v>5163</v>
      </c>
      <c r="G2710" t="s">
        <v>5182</v>
      </c>
    </row>
    <row r="2711" spans="1:7" hidden="1">
      <c r="A2711" s="5" t="s">
        <v>4457</v>
      </c>
      <c r="B2711" t="s">
        <v>5161</v>
      </c>
      <c r="C2711" t="s">
        <v>316</v>
      </c>
      <c r="D2711" t="s">
        <v>7974</v>
      </c>
      <c r="E2711">
        <v>23</v>
      </c>
      <c r="F2711" t="s">
        <v>5163</v>
      </c>
      <c r="G2711" t="s">
        <v>5164</v>
      </c>
    </row>
    <row r="2712" spans="1:7" hidden="1">
      <c r="A2712" s="5" t="s">
        <v>2735</v>
      </c>
      <c r="B2712" t="s">
        <v>5161</v>
      </c>
      <c r="C2712" t="s">
        <v>316</v>
      </c>
      <c r="D2712" t="s">
        <v>5670</v>
      </c>
      <c r="E2712">
        <v>30</v>
      </c>
      <c r="F2712" t="s">
        <v>5163</v>
      </c>
      <c r="G2712" t="s">
        <v>5164</v>
      </c>
    </row>
    <row r="2713" spans="1:7" hidden="1">
      <c r="A2713" s="5" t="s">
        <v>3623</v>
      </c>
      <c r="B2713" t="s">
        <v>5161</v>
      </c>
      <c r="C2713" t="s">
        <v>316</v>
      </c>
      <c r="D2713" t="s">
        <v>7975</v>
      </c>
      <c r="E2713">
        <v>19</v>
      </c>
      <c r="F2713" t="s">
        <v>5163</v>
      </c>
      <c r="G2713" t="s">
        <v>1905</v>
      </c>
    </row>
    <row r="2714" spans="1:7" hidden="1">
      <c r="A2714" s="5" t="s">
        <v>310</v>
      </c>
      <c r="B2714" t="s">
        <v>5161</v>
      </c>
      <c r="C2714" t="s">
        <v>316</v>
      </c>
      <c r="D2714" t="s">
        <v>830</v>
      </c>
      <c r="E2714">
        <v>23</v>
      </c>
      <c r="F2714" t="s">
        <v>5163</v>
      </c>
      <c r="G2714" t="s">
        <v>5164</v>
      </c>
    </row>
    <row r="2715" spans="1:7" hidden="1">
      <c r="A2715" s="5" t="s">
        <v>3144</v>
      </c>
      <c r="B2715" t="s">
        <v>5161</v>
      </c>
      <c r="C2715" t="s">
        <v>316</v>
      </c>
      <c r="D2715" t="s">
        <v>7976</v>
      </c>
      <c r="E2715">
        <v>20</v>
      </c>
      <c r="F2715" t="s">
        <v>5163</v>
      </c>
      <c r="G2715" t="s">
        <v>6496</v>
      </c>
    </row>
    <row r="2716" spans="1:7" hidden="1">
      <c r="A2716" s="5" t="s">
        <v>311</v>
      </c>
      <c r="B2716" t="s">
        <v>5161</v>
      </c>
      <c r="C2716" t="s">
        <v>316</v>
      </c>
      <c r="D2716" t="s">
        <v>7977</v>
      </c>
      <c r="E2716">
        <v>20</v>
      </c>
      <c r="F2716" t="s">
        <v>5163</v>
      </c>
      <c r="G2716" t="s">
        <v>1905</v>
      </c>
    </row>
    <row r="2717" spans="1:7" hidden="1">
      <c r="A2717" s="5" t="s">
        <v>4243</v>
      </c>
      <c r="B2717" t="s">
        <v>5161</v>
      </c>
      <c r="C2717" t="s">
        <v>316</v>
      </c>
      <c r="D2717" t="s">
        <v>7978</v>
      </c>
      <c r="E2717">
        <v>32</v>
      </c>
      <c r="F2717" t="s">
        <v>5163</v>
      </c>
      <c r="G2717" t="s">
        <v>1905</v>
      </c>
    </row>
    <row r="2718" spans="1:7" hidden="1">
      <c r="A2718" s="5" t="s">
        <v>308</v>
      </c>
      <c r="B2718" t="s">
        <v>5161</v>
      </c>
      <c r="C2718" t="s">
        <v>316</v>
      </c>
      <c r="D2718" t="s">
        <v>1922</v>
      </c>
      <c r="E2718">
        <v>19</v>
      </c>
      <c r="F2718" t="s">
        <v>5163</v>
      </c>
      <c r="G2718" t="s">
        <v>5164</v>
      </c>
    </row>
    <row r="2719" spans="1:7" hidden="1">
      <c r="A2719" s="5" t="s">
        <v>308</v>
      </c>
      <c r="B2719" t="s">
        <v>5161</v>
      </c>
      <c r="C2719" t="s">
        <v>316</v>
      </c>
      <c r="D2719" t="s">
        <v>828</v>
      </c>
      <c r="E2719">
        <v>21</v>
      </c>
      <c r="F2719" t="s">
        <v>5163</v>
      </c>
      <c r="G2719" t="s">
        <v>1905</v>
      </c>
    </row>
    <row r="2720" spans="1:7" hidden="1">
      <c r="A2720" s="5" t="s">
        <v>3088</v>
      </c>
      <c r="B2720" t="s">
        <v>5161</v>
      </c>
      <c r="C2720" t="s">
        <v>316</v>
      </c>
      <c r="D2720" t="s">
        <v>7979</v>
      </c>
      <c r="E2720">
        <v>22</v>
      </c>
      <c r="F2720" t="s">
        <v>5163</v>
      </c>
      <c r="G2720" t="s">
        <v>5169</v>
      </c>
    </row>
    <row r="2721" spans="1:7" hidden="1">
      <c r="A2721" s="5" t="s">
        <v>3727</v>
      </c>
      <c r="B2721" t="s">
        <v>5161</v>
      </c>
      <c r="C2721" t="s">
        <v>316</v>
      </c>
      <c r="D2721" t="s">
        <v>7980</v>
      </c>
      <c r="E2721">
        <v>40</v>
      </c>
      <c r="F2721" t="s">
        <v>5172</v>
      </c>
      <c r="G2721" t="s">
        <v>1905</v>
      </c>
    </row>
    <row r="2722" spans="1:7" hidden="1">
      <c r="A2722" s="5" t="s">
        <v>4440</v>
      </c>
      <c r="B2722" t="s">
        <v>5161</v>
      </c>
      <c r="C2722" t="s">
        <v>316</v>
      </c>
      <c r="D2722" t="s">
        <v>7981</v>
      </c>
      <c r="E2722">
        <v>21</v>
      </c>
      <c r="F2722" t="s">
        <v>5163</v>
      </c>
      <c r="G2722" t="s">
        <v>5164</v>
      </c>
    </row>
    <row r="2723" spans="1:7" hidden="1">
      <c r="A2723" s="5" t="s">
        <v>314</v>
      </c>
      <c r="B2723" t="s">
        <v>5161</v>
      </c>
      <c r="C2723" t="s">
        <v>316</v>
      </c>
      <c r="D2723" t="s">
        <v>834</v>
      </c>
      <c r="E2723">
        <v>18</v>
      </c>
      <c r="F2723" t="s">
        <v>5163</v>
      </c>
      <c r="G2723" t="s">
        <v>5164</v>
      </c>
    </row>
    <row r="2724" spans="1:7" hidden="1">
      <c r="A2724" s="5" t="s">
        <v>3722</v>
      </c>
      <c r="B2724" t="s">
        <v>5161</v>
      </c>
      <c r="C2724" t="s">
        <v>316</v>
      </c>
      <c r="D2724" t="s">
        <v>7982</v>
      </c>
      <c r="E2724">
        <v>20</v>
      </c>
      <c r="F2724" t="s">
        <v>5163</v>
      </c>
      <c r="G2724" t="s">
        <v>5164</v>
      </c>
    </row>
    <row r="2725" spans="1:7" hidden="1">
      <c r="A2725" s="5" t="s">
        <v>3093</v>
      </c>
      <c r="B2725" t="s">
        <v>5161</v>
      </c>
      <c r="C2725" t="s">
        <v>316</v>
      </c>
      <c r="D2725" t="s">
        <v>7983</v>
      </c>
      <c r="E2725">
        <v>32</v>
      </c>
      <c r="F2725" t="s">
        <v>5163</v>
      </c>
      <c r="G2725" t="s">
        <v>5164</v>
      </c>
    </row>
    <row r="2726" spans="1:7" hidden="1">
      <c r="A2726" s="5" t="s">
        <v>3093</v>
      </c>
      <c r="B2726" t="s">
        <v>5161</v>
      </c>
      <c r="C2726" t="s">
        <v>316</v>
      </c>
      <c r="D2726" t="s">
        <v>7984</v>
      </c>
      <c r="E2726">
        <v>29</v>
      </c>
      <c r="F2726" t="s">
        <v>5163</v>
      </c>
      <c r="G2726" t="s">
        <v>5164</v>
      </c>
    </row>
    <row r="2727" spans="1:7" hidden="1">
      <c r="A2727" s="5" t="s">
        <v>3677</v>
      </c>
      <c r="B2727" t="s">
        <v>5161</v>
      </c>
      <c r="C2727" t="s">
        <v>316</v>
      </c>
      <c r="D2727" t="s">
        <v>7985</v>
      </c>
      <c r="E2727">
        <v>22</v>
      </c>
      <c r="F2727" t="s">
        <v>5163</v>
      </c>
      <c r="G2727" t="s">
        <v>5164</v>
      </c>
    </row>
    <row r="2728" spans="1:7" hidden="1">
      <c r="A2728" s="5" t="s">
        <v>3891</v>
      </c>
      <c r="B2728" t="s">
        <v>5161</v>
      </c>
      <c r="C2728" t="s">
        <v>316</v>
      </c>
      <c r="D2728" t="s">
        <v>7986</v>
      </c>
      <c r="E2728">
        <v>31</v>
      </c>
      <c r="F2728" t="s">
        <v>5163</v>
      </c>
      <c r="G2728" t="s">
        <v>5164</v>
      </c>
    </row>
    <row r="2729" spans="1:7" hidden="1">
      <c r="A2729" s="5" t="s">
        <v>3233</v>
      </c>
      <c r="B2729" t="s">
        <v>5161</v>
      </c>
      <c r="C2729" t="s">
        <v>316</v>
      </c>
      <c r="D2729" t="s">
        <v>7987</v>
      </c>
      <c r="E2729">
        <v>19</v>
      </c>
      <c r="F2729" t="s">
        <v>5163</v>
      </c>
      <c r="G2729" t="s">
        <v>1905</v>
      </c>
    </row>
    <row r="2730" spans="1:7" hidden="1">
      <c r="A2730" s="5" t="s">
        <v>3233</v>
      </c>
      <c r="B2730" t="s">
        <v>5161</v>
      </c>
      <c r="C2730" t="s">
        <v>316</v>
      </c>
      <c r="D2730" t="s">
        <v>7988</v>
      </c>
      <c r="E2730">
        <v>21</v>
      </c>
      <c r="F2730" t="s">
        <v>5163</v>
      </c>
      <c r="G2730" t="s">
        <v>5164</v>
      </c>
    </row>
    <row r="2731" spans="1:7" hidden="1">
      <c r="A2731" s="5" t="s">
        <v>4769</v>
      </c>
      <c r="B2731" t="s">
        <v>5161</v>
      </c>
      <c r="C2731" t="s">
        <v>316</v>
      </c>
      <c r="D2731" t="s">
        <v>7989</v>
      </c>
      <c r="E2731">
        <v>30</v>
      </c>
      <c r="F2731" t="s">
        <v>5163</v>
      </c>
      <c r="G2731" t="s">
        <v>1905</v>
      </c>
    </row>
    <row r="2732" spans="1:7" hidden="1">
      <c r="A2732" s="5" t="s">
        <v>4769</v>
      </c>
      <c r="B2732" t="s">
        <v>5161</v>
      </c>
      <c r="C2732" t="s">
        <v>316</v>
      </c>
      <c r="D2732" t="s">
        <v>7990</v>
      </c>
      <c r="E2732">
        <v>23</v>
      </c>
      <c r="F2732" t="s">
        <v>5172</v>
      </c>
      <c r="G2732" t="s">
        <v>1905</v>
      </c>
    </row>
    <row r="2733" spans="1:7" hidden="1">
      <c r="A2733" s="5" t="s">
        <v>4769</v>
      </c>
      <c r="B2733" t="s">
        <v>5161</v>
      </c>
      <c r="C2733" t="s">
        <v>316</v>
      </c>
      <c r="D2733" t="s">
        <v>7991</v>
      </c>
      <c r="E2733">
        <v>59</v>
      </c>
      <c r="F2733" t="s">
        <v>5163</v>
      </c>
      <c r="G2733" t="s">
        <v>1905</v>
      </c>
    </row>
    <row r="2734" spans="1:7" hidden="1">
      <c r="A2734" s="5" t="s">
        <v>4769</v>
      </c>
      <c r="B2734" t="s">
        <v>5161</v>
      </c>
      <c r="C2734" t="s">
        <v>316</v>
      </c>
      <c r="D2734" t="s">
        <v>7992</v>
      </c>
      <c r="E2734">
        <v>38</v>
      </c>
      <c r="F2734" t="s">
        <v>5172</v>
      </c>
      <c r="G2734" t="s">
        <v>5169</v>
      </c>
    </row>
    <row r="2735" spans="1:7" hidden="1">
      <c r="A2735" s="5" t="s">
        <v>4769</v>
      </c>
      <c r="B2735" t="s">
        <v>5161</v>
      </c>
      <c r="C2735" t="s">
        <v>316</v>
      </c>
      <c r="D2735" t="s">
        <v>7993</v>
      </c>
      <c r="E2735">
        <v>41</v>
      </c>
      <c r="F2735" t="s">
        <v>5172</v>
      </c>
      <c r="G2735" t="s">
        <v>5164</v>
      </c>
    </row>
    <row r="2736" spans="1:7" hidden="1">
      <c r="A2736" s="5" t="s">
        <v>4769</v>
      </c>
      <c r="B2736" t="s">
        <v>5161</v>
      </c>
      <c r="C2736" t="s">
        <v>316</v>
      </c>
      <c r="D2736" t="s">
        <v>7994</v>
      </c>
      <c r="E2736">
        <v>31</v>
      </c>
      <c r="F2736" t="s">
        <v>5172</v>
      </c>
      <c r="G2736" t="s">
        <v>1905</v>
      </c>
    </row>
    <row r="2737" spans="1:7" hidden="1">
      <c r="A2737" s="5" t="s">
        <v>4769</v>
      </c>
      <c r="B2737" t="s">
        <v>5161</v>
      </c>
      <c r="C2737" t="s">
        <v>316</v>
      </c>
      <c r="D2737" t="s">
        <v>7995</v>
      </c>
      <c r="E2737">
        <v>55</v>
      </c>
      <c r="F2737" t="s">
        <v>5163</v>
      </c>
      <c r="G2737" t="s">
        <v>1905</v>
      </c>
    </row>
    <row r="2738" spans="1:7" hidden="1">
      <c r="A2738" s="5" t="s">
        <v>3380</v>
      </c>
      <c r="B2738" t="s">
        <v>5161</v>
      </c>
      <c r="C2738" t="s">
        <v>316</v>
      </c>
      <c r="D2738" t="s">
        <v>7996</v>
      </c>
      <c r="E2738">
        <v>28</v>
      </c>
      <c r="F2738" t="s">
        <v>5163</v>
      </c>
      <c r="G2738" t="s">
        <v>5164</v>
      </c>
    </row>
    <row r="2739" spans="1:7" hidden="1">
      <c r="A2739" s="5" t="s">
        <v>7997</v>
      </c>
      <c r="B2739" t="s">
        <v>5161</v>
      </c>
      <c r="C2739" t="s">
        <v>316</v>
      </c>
      <c r="D2739" t="s">
        <v>7998</v>
      </c>
      <c r="E2739">
        <v>0</v>
      </c>
      <c r="F2739" t="s">
        <v>5163</v>
      </c>
      <c r="G2739" t="s">
        <v>5182</v>
      </c>
    </row>
    <row r="2740" spans="1:7" hidden="1">
      <c r="A2740" s="5" t="s">
        <v>7997</v>
      </c>
      <c r="B2740" t="s">
        <v>5161</v>
      </c>
      <c r="C2740" t="s">
        <v>316</v>
      </c>
      <c r="D2740" t="s">
        <v>7999</v>
      </c>
      <c r="E2740">
        <v>40</v>
      </c>
      <c r="F2740" t="s">
        <v>5163</v>
      </c>
      <c r="G2740" t="s">
        <v>1905</v>
      </c>
    </row>
    <row r="2741" spans="1:7" hidden="1">
      <c r="A2741" s="5" t="s">
        <v>7997</v>
      </c>
      <c r="B2741" t="s">
        <v>5161</v>
      </c>
      <c r="C2741" t="s">
        <v>316</v>
      </c>
      <c r="D2741" t="s">
        <v>8000</v>
      </c>
      <c r="E2741">
        <v>24</v>
      </c>
      <c r="F2741" t="s">
        <v>5172</v>
      </c>
      <c r="G2741" t="s">
        <v>5182</v>
      </c>
    </row>
    <row r="2742" spans="1:7" hidden="1">
      <c r="A2742" s="5" t="s">
        <v>7997</v>
      </c>
      <c r="B2742" t="s">
        <v>5161</v>
      </c>
      <c r="C2742" t="s">
        <v>316</v>
      </c>
      <c r="D2742" t="s">
        <v>8001</v>
      </c>
      <c r="E2742">
        <v>27</v>
      </c>
      <c r="F2742" t="s">
        <v>5163</v>
      </c>
      <c r="G2742" t="s">
        <v>5164</v>
      </c>
    </row>
    <row r="2743" spans="1:7" hidden="1">
      <c r="A2743" s="5" t="s">
        <v>7997</v>
      </c>
      <c r="B2743" t="s">
        <v>5161</v>
      </c>
      <c r="C2743" t="s">
        <v>316</v>
      </c>
      <c r="D2743" t="s">
        <v>8002</v>
      </c>
      <c r="E2743">
        <v>41</v>
      </c>
      <c r="F2743" t="s">
        <v>5163</v>
      </c>
      <c r="G2743" t="s">
        <v>1905</v>
      </c>
    </row>
    <row r="2744" spans="1:7" hidden="1">
      <c r="A2744" s="5" t="s">
        <v>7997</v>
      </c>
      <c r="B2744" t="s">
        <v>5161</v>
      </c>
      <c r="C2744" t="s">
        <v>316</v>
      </c>
      <c r="D2744" t="s">
        <v>8003</v>
      </c>
      <c r="E2744">
        <v>41</v>
      </c>
      <c r="F2744" t="s">
        <v>5163</v>
      </c>
      <c r="G2744" t="s">
        <v>5182</v>
      </c>
    </row>
    <row r="2745" spans="1:7" hidden="1">
      <c r="A2745" s="5" t="s">
        <v>7997</v>
      </c>
      <c r="B2745" t="s">
        <v>5161</v>
      </c>
      <c r="C2745" t="s">
        <v>316</v>
      </c>
      <c r="D2745" t="s">
        <v>8004</v>
      </c>
      <c r="E2745">
        <v>19</v>
      </c>
      <c r="F2745" t="s">
        <v>5163</v>
      </c>
      <c r="G2745" t="s">
        <v>5182</v>
      </c>
    </row>
    <row r="2746" spans="1:7" hidden="1">
      <c r="A2746" s="5" t="s">
        <v>7997</v>
      </c>
      <c r="B2746" t="s">
        <v>5161</v>
      </c>
      <c r="C2746" t="s">
        <v>316</v>
      </c>
      <c r="D2746" t="s">
        <v>8005</v>
      </c>
      <c r="E2746" t="s">
        <v>5182</v>
      </c>
      <c r="F2746" t="s">
        <v>5163</v>
      </c>
      <c r="G2746" t="s">
        <v>5164</v>
      </c>
    </row>
    <row r="2747" spans="1:7" hidden="1">
      <c r="A2747" s="5" t="s">
        <v>7997</v>
      </c>
      <c r="B2747" t="s">
        <v>5161</v>
      </c>
      <c r="C2747" t="s">
        <v>316</v>
      </c>
      <c r="D2747" t="s">
        <v>8006</v>
      </c>
      <c r="E2747">
        <v>49</v>
      </c>
      <c r="F2747" t="s">
        <v>5163</v>
      </c>
      <c r="G2747" t="s">
        <v>5169</v>
      </c>
    </row>
    <row r="2748" spans="1:7" hidden="1">
      <c r="A2748" s="5" t="s">
        <v>4366</v>
      </c>
      <c r="B2748" t="s">
        <v>5161</v>
      </c>
      <c r="C2748" t="s">
        <v>323</v>
      </c>
      <c r="D2748" t="s">
        <v>8007</v>
      </c>
      <c r="E2748">
        <v>27</v>
      </c>
      <c r="F2748" t="s">
        <v>5163</v>
      </c>
      <c r="G2748" t="s">
        <v>5169</v>
      </c>
    </row>
    <row r="2749" spans="1:7" hidden="1">
      <c r="A2749" s="5" t="s">
        <v>4366</v>
      </c>
      <c r="B2749" t="s">
        <v>5161</v>
      </c>
      <c r="C2749" t="s">
        <v>323</v>
      </c>
      <c r="D2749" t="s">
        <v>8008</v>
      </c>
      <c r="E2749">
        <v>31</v>
      </c>
      <c r="F2749" t="s">
        <v>5163</v>
      </c>
      <c r="G2749" t="s">
        <v>1905</v>
      </c>
    </row>
    <row r="2750" spans="1:7" hidden="1">
      <c r="A2750" s="5" t="s">
        <v>2097</v>
      </c>
      <c r="B2750" t="s">
        <v>5161</v>
      </c>
      <c r="C2750" t="s">
        <v>323</v>
      </c>
      <c r="D2750" t="s">
        <v>8009</v>
      </c>
      <c r="E2750">
        <v>24</v>
      </c>
      <c r="F2750" t="s">
        <v>5163</v>
      </c>
      <c r="G2750" t="s">
        <v>5164</v>
      </c>
    </row>
    <row r="2751" spans="1:7" hidden="1">
      <c r="A2751" s="5" t="s">
        <v>1869</v>
      </c>
      <c r="B2751" t="s">
        <v>5161</v>
      </c>
      <c r="C2751" t="s">
        <v>323</v>
      </c>
      <c r="D2751" t="s">
        <v>8010</v>
      </c>
      <c r="E2751">
        <v>20</v>
      </c>
      <c r="F2751" t="s">
        <v>5163</v>
      </c>
      <c r="G2751" t="s">
        <v>1905</v>
      </c>
    </row>
    <row r="2752" spans="1:7" hidden="1">
      <c r="A2752" s="5" t="s">
        <v>3768</v>
      </c>
      <c r="B2752" t="s">
        <v>5161</v>
      </c>
      <c r="C2752" t="s">
        <v>323</v>
      </c>
      <c r="D2752" t="s">
        <v>8011</v>
      </c>
      <c r="E2752">
        <v>21</v>
      </c>
      <c r="F2752" t="s">
        <v>5163</v>
      </c>
      <c r="G2752" t="s">
        <v>5164</v>
      </c>
    </row>
    <row r="2753" spans="1:7" hidden="1">
      <c r="A2753" s="5" t="s">
        <v>3768</v>
      </c>
      <c r="B2753" t="s">
        <v>5161</v>
      </c>
      <c r="C2753" t="s">
        <v>323</v>
      </c>
      <c r="D2753" t="s">
        <v>8012</v>
      </c>
      <c r="E2753">
        <v>38</v>
      </c>
      <c r="F2753" t="s">
        <v>5163</v>
      </c>
      <c r="G2753" t="s">
        <v>5169</v>
      </c>
    </row>
    <row r="2754" spans="1:7" hidden="1">
      <c r="A2754" s="5" t="s">
        <v>3279</v>
      </c>
      <c r="B2754" t="s">
        <v>5161</v>
      </c>
      <c r="C2754" t="s">
        <v>323</v>
      </c>
      <c r="D2754" t="s">
        <v>8013</v>
      </c>
      <c r="E2754">
        <v>27</v>
      </c>
      <c r="F2754" t="s">
        <v>5163</v>
      </c>
      <c r="G2754" t="s">
        <v>1905</v>
      </c>
    </row>
    <row r="2755" spans="1:7" hidden="1">
      <c r="A2755" s="5" t="s">
        <v>2109</v>
      </c>
      <c r="B2755" t="s">
        <v>5161</v>
      </c>
      <c r="C2755" t="s">
        <v>323</v>
      </c>
      <c r="D2755" t="s">
        <v>8014</v>
      </c>
      <c r="E2755">
        <v>26</v>
      </c>
      <c r="F2755" t="s">
        <v>5163</v>
      </c>
      <c r="G2755" t="s">
        <v>5164</v>
      </c>
    </row>
    <row r="2756" spans="1:7" hidden="1">
      <c r="A2756" s="5" t="s">
        <v>2346</v>
      </c>
      <c r="B2756" t="s">
        <v>5161</v>
      </c>
      <c r="C2756" t="s">
        <v>323</v>
      </c>
      <c r="D2756" t="s">
        <v>8015</v>
      </c>
      <c r="E2756">
        <v>33</v>
      </c>
      <c r="F2756" t="s">
        <v>5163</v>
      </c>
      <c r="G2756" t="s">
        <v>5169</v>
      </c>
    </row>
    <row r="2757" spans="1:7" hidden="1">
      <c r="A2757" s="5" t="s">
        <v>3799</v>
      </c>
      <c r="B2757" t="s">
        <v>5161</v>
      </c>
      <c r="C2757" t="s">
        <v>323</v>
      </c>
      <c r="D2757" t="s">
        <v>8016</v>
      </c>
      <c r="E2757">
        <v>25</v>
      </c>
      <c r="F2757" t="s">
        <v>5163</v>
      </c>
      <c r="G2757" t="s">
        <v>1905</v>
      </c>
    </row>
    <row r="2758" spans="1:7" hidden="1">
      <c r="A2758" s="5" t="s">
        <v>2880</v>
      </c>
      <c r="B2758" t="s">
        <v>5161</v>
      </c>
      <c r="C2758" t="s">
        <v>323</v>
      </c>
      <c r="D2758" t="s">
        <v>8017</v>
      </c>
      <c r="E2758">
        <v>26</v>
      </c>
      <c r="F2758" t="s">
        <v>5163</v>
      </c>
      <c r="G2758" t="s">
        <v>1905</v>
      </c>
    </row>
    <row r="2759" spans="1:7" hidden="1">
      <c r="A2759" s="5" t="s">
        <v>8018</v>
      </c>
      <c r="B2759" t="s">
        <v>5161</v>
      </c>
      <c r="C2759" t="s">
        <v>323</v>
      </c>
      <c r="D2759" t="s">
        <v>8019</v>
      </c>
      <c r="E2759">
        <v>19</v>
      </c>
      <c r="F2759" t="s">
        <v>5163</v>
      </c>
      <c r="G2759" t="s">
        <v>1905</v>
      </c>
    </row>
    <row r="2760" spans="1:7" hidden="1">
      <c r="A2760" s="5" t="s">
        <v>3994</v>
      </c>
      <c r="B2760" t="s">
        <v>5161</v>
      </c>
      <c r="C2760" t="s">
        <v>323</v>
      </c>
      <c r="D2760" t="s">
        <v>8020</v>
      </c>
      <c r="E2760">
        <v>18</v>
      </c>
      <c r="F2760" t="s">
        <v>5172</v>
      </c>
      <c r="G2760" t="s">
        <v>1905</v>
      </c>
    </row>
    <row r="2761" spans="1:7" hidden="1">
      <c r="A2761" s="5" t="s">
        <v>1871</v>
      </c>
      <c r="B2761" t="s">
        <v>5161</v>
      </c>
      <c r="C2761" t="s">
        <v>323</v>
      </c>
      <c r="D2761" t="s">
        <v>1878</v>
      </c>
      <c r="E2761">
        <v>19</v>
      </c>
      <c r="F2761" t="s">
        <v>5172</v>
      </c>
      <c r="G2761" t="s">
        <v>1905</v>
      </c>
    </row>
    <row r="2762" spans="1:7" hidden="1">
      <c r="A2762" s="5" t="s">
        <v>1871</v>
      </c>
      <c r="B2762" t="s">
        <v>5161</v>
      </c>
      <c r="C2762" t="s">
        <v>323</v>
      </c>
      <c r="D2762" t="s">
        <v>1877</v>
      </c>
      <c r="E2762">
        <v>40</v>
      </c>
      <c r="F2762" t="s">
        <v>5172</v>
      </c>
      <c r="G2762" t="s">
        <v>5164</v>
      </c>
    </row>
    <row r="2763" spans="1:7" hidden="1">
      <c r="A2763" s="5" t="s">
        <v>1871</v>
      </c>
      <c r="B2763" t="s">
        <v>5161</v>
      </c>
      <c r="C2763" t="s">
        <v>323</v>
      </c>
      <c r="D2763" t="s">
        <v>1876</v>
      </c>
      <c r="E2763">
        <v>36</v>
      </c>
      <c r="F2763" t="s">
        <v>5163</v>
      </c>
      <c r="G2763" t="s">
        <v>5169</v>
      </c>
    </row>
    <row r="2764" spans="1:7" hidden="1">
      <c r="A2764" s="5" t="s">
        <v>2807</v>
      </c>
      <c r="B2764" t="s">
        <v>5161</v>
      </c>
      <c r="C2764" t="s">
        <v>323</v>
      </c>
      <c r="D2764" t="s">
        <v>8021</v>
      </c>
      <c r="E2764">
        <v>29</v>
      </c>
      <c r="F2764" t="s">
        <v>5163</v>
      </c>
      <c r="G2764" t="s">
        <v>5164</v>
      </c>
    </row>
    <row r="2765" spans="1:7" hidden="1">
      <c r="A2765" s="5" t="s">
        <v>8022</v>
      </c>
      <c r="B2765" t="s">
        <v>5161</v>
      </c>
      <c r="C2765" t="s">
        <v>323</v>
      </c>
      <c r="D2765" t="s">
        <v>8023</v>
      </c>
      <c r="E2765">
        <v>24</v>
      </c>
      <c r="F2765" t="s">
        <v>5163</v>
      </c>
      <c r="G2765" t="s">
        <v>5164</v>
      </c>
    </row>
    <row r="2766" spans="1:7" hidden="1">
      <c r="A2766" s="5" t="s">
        <v>3186</v>
      </c>
      <c r="B2766" t="s">
        <v>5161</v>
      </c>
      <c r="C2766" t="s">
        <v>323</v>
      </c>
      <c r="D2766" t="s">
        <v>8024</v>
      </c>
      <c r="E2766">
        <v>26</v>
      </c>
      <c r="F2766" t="s">
        <v>5163</v>
      </c>
      <c r="G2766" t="s">
        <v>5164</v>
      </c>
    </row>
    <row r="2767" spans="1:7" hidden="1">
      <c r="A2767" s="5" t="s">
        <v>3496</v>
      </c>
      <c r="B2767" t="s">
        <v>5161</v>
      </c>
      <c r="C2767" t="s">
        <v>323</v>
      </c>
      <c r="D2767" t="s">
        <v>8025</v>
      </c>
      <c r="E2767">
        <v>22</v>
      </c>
      <c r="F2767" t="s">
        <v>5163</v>
      </c>
      <c r="G2767" t="s">
        <v>5164</v>
      </c>
    </row>
    <row r="2768" spans="1:7" hidden="1">
      <c r="A2768" s="5" t="s">
        <v>319</v>
      </c>
      <c r="B2768" t="s">
        <v>5161</v>
      </c>
      <c r="C2768" t="s">
        <v>323</v>
      </c>
      <c r="D2768" t="s">
        <v>839</v>
      </c>
      <c r="E2768">
        <v>23</v>
      </c>
      <c r="F2768" t="s">
        <v>5163</v>
      </c>
      <c r="G2768" t="s">
        <v>1905</v>
      </c>
    </row>
    <row r="2769" spans="1:7" hidden="1">
      <c r="A2769" s="5" t="s">
        <v>3945</v>
      </c>
      <c r="B2769" t="s">
        <v>5161</v>
      </c>
      <c r="C2769" t="s">
        <v>323</v>
      </c>
      <c r="D2769" t="s">
        <v>8026</v>
      </c>
      <c r="E2769">
        <v>36</v>
      </c>
      <c r="F2769" t="s">
        <v>5163</v>
      </c>
      <c r="G2769" t="s">
        <v>5164</v>
      </c>
    </row>
    <row r="2770" spans="1:7" hidden="1">
      <c r="A2770" s="5" t="s">
        <v>8027</v>
      </c>
      <c r="B2770" t="s">
        <v>5161</v>
      </c>
      <c r="C2770" t="s">
        <v>323</v>
      </c>
      <c r="D2770" t="s">
        <v>8028</v>
      </c>
      <c r="E2770">
        <v>34</v>
      </c>
      <c r="F2770" t="s">
        <v>5163</v>
      </c>
      <c r="G2770" t="s">
        <v>5164</v>
      </c>
    </row>
    <row r="2771" spans="1:7" hidden="1">
      <c r="A2771" s="5" t="s">
        <v>4028</v>
      </c>
      <c r="B2771" t="s">
        <v>5161</v>
      </c>
      <c r="C2771" t="s">
        <v>323</v>
      </c>
      <c r="D2771" t="s">
        <v>8029</v>
      </c>
      <c r="E2771" t="s">
        <v>5182</v>
      </c>
      <c r="F2771" t="s">
        <v>5163</v>
      </c>
      <c r="G2771" t="s">
        <v>1905</v>
      </c>
    </row>
    <row r="2772" spans="1:7" hidden="1">
      <c r="A2772" s="5" t="s">
        <v>2560</v>
      </c>
      <c r="B2772" t="s">
        <v>5161</v>
      </c>
      <c r="C2772" t="s">
        <v>323</v>
      </c>
      <c r="D2772" t="s">
        <v>8030</v>
      </c>
      <c r="E2772">
        <v>19</v>
      </c>
      <c r="F2772" t="s">
        <v>5163</v>
      </c>
      <c r="G2772" t="s">
        <v>5164</v>
      </c>
    </row>
    <row r="2773" spans="1:7" hidden="1">
      <c r="A2773" s="5" t="s">
        <v>3486</v>
      </c>
      <c r="B2773" t="s">
        <v>5161</v>
      </c>
      <c r="C2773" t="s">
        <v>323</v>
      </c>
      <c r="D2773" t="s">
        <v>8031</v>
      </c>
      <c r="E2773">
        <v>23</v>
      </c>
      <c r="F2773" t="s">
        <v>5163</v>
      </c>
      <c r="G2773" t="s">
        <v>1905</v>
      </c>
    </row>
    <row r="2774" spans="1:7" hidden="1">
      <c r="A2774" s="5" t="s">
        <v>4422</v>
      </c>
      <c r="B2774" t="s">
        <v>5161</v>
      </c>
      <c r="C2774" t="s">
        <v>323</v>
      </c>
      <c r="D2774" t="s">
        <v>8032</v>
      </c>
      <c r="E2774">
        <v>26</v>
      </c>
      <c r="F2774" t="s">
        <v>5163</v>
      </c>
      <c r="G2774" t="s">
        <v>5164</v>
      </c>
    </row>
    <row r="2775" spans="1:7" hidden="1">
      <c r="A2775" s="5" t="s">
        <v>1870</v>
      </c>
      <c r="B2775" t="s">
        <v>5161</v>
      </c>
      <c r="C2775" t="s">
        <v>323</v>
      </c>
      <c r="D2775" t="s">
        <v>8033</v>
      </c>
      <c r="E2775">
        <v>54</v>
      </c>
      <c r="F2775" t="s">
        <v>5163</v>
      </c>
      <c r="G2775" t="s">
        <v>1905</v>
      </c>
    </row>
    <row r="2776" spans="1:7" hidden="1">
      <c r="A2776" s="5" t="s">
        <v>5050</v>
      </c>
      <c r="B2776" t="s">
        <v>5161</v>
      </c>
      <c r="C2776" t="s">
        <v>323</v>
      </c>
      <c r="D2776" t="s">
        <v>8034</v>
      </c>
      <c r="E2776">
        <v>22</v>
      </c>
      <c r="F2776" t="s">
        <v>5163</v>
      </c>
      <c r="G2776" t="s">
        <v>5164</v>
      </c>
    </row>
    <row r="2777" spans="1:7" hidden="1">
      <c r="A2777" s="5" t="s">
        <v>5050</v>
      </c>
      <c r="B2777" t="s">
        <v>5161</v>
      </c>
      <c r="C2777" t="s">
        <v>323</v>
      </c>
      <c r="D2777" t="s">
        <v>8035</v>
      </c>
      <c r="E2777">
        <v>34</v>
      </c>
      <c r="F2777" t="s">
        <v>5172</v>
      </c>
      <c r="G2777" t="s">
        <v>5164</v>
      </c>
    </row>
    <row r="2778" spans="1:7" hidden="1">
      <c r="A2778" s="5" t="s">
        <v>322</v>
      </c>
      <c r="B2778" t="s">
        <v>5161</v>
      </c>
      <c r="C2778" t="s">
        <v>323</v>
      </c>
      <c r="D2778" t="s">
        <v>844</v>
      </c>
      <c r="E2778">
        <v>19</v>
      </c>
      <c r="F2778" t="s">
        <v>5163</v>
      </c>
      <c r="G2778" t="s">
        <v>5164</v>
      </c>
    </row>
    <row r="2779" spans="1:7" hidden="1">
      <c r="A2779" s="5" t="s">
        <v>317</v>
      </c>
      <c r="B2779" t="s">
        <v>5161</v>
      </c>
      <c r="C2779" t="s">
        <v>323</v>
      </c>
      <c r="D2779" t="s">
        <v>837</v>
      </c>
      <c r="E2779">
        <v>28</v>
      </c>
      <c r="F2779" t="s">
        <v>5163</v>
      </c>
      <c r="G2779" t="s">
        <v>5164</v>
      </c>
    </row>
    <row r="2780" spans="1:7" hidden="1">
      <c r="A2780" s="5" t="s">
        <v>320</v>
      </c>
      <c r="B2780" t="s">
        <v>5161</v>
      </c>
      <c r="C2780" t="s">
        <v>323</v>
      </c>
      <c r="D2780" t="s">
        <v>8036</v>
      </c>
      <c r="E2780">
        <v>60</v>
      </c>
      <c r="F2780" t="s">
        <v>5163</v>
      </c>
      <c r="G2780" t="s">
        <v>1905</v>
      </c>
    </row>
    <row r="2781" spans="1:7" hidden="1">
      <c r="A2781" s="5" t="s">
        <v>320</v>
      </c>
      <c r="B2781" t="s">
        <v>5161</v>
      </c>
      <c r="C2781" t="s">
        <v>323</v>
      </c>
      <c r="D2781" t="s">
        <v>840</v>
      </c>
      <c r="E2781">
        <v>56</v>
      </c>
      <c r="F2781" t="s">
        <v>5163</v>
      </c>
      <c r="G2781" t="s">
        <v>1905</v>
      </c>
    </row>
    <row r="2782" spans="1:7" hidden="1">
      <c r="A2782" s="5" t="s">
        <v>8037</v>
      </c>
      <c r="B2782" t="s">
        <v>5161</v>
      </c>
      <c r="C2782" t="s">
        <v>323</v>
      </c>
      <c r="D2782" t="s">
        <v>8038</v>
      </c>
      <c r="E2782">
        <v>18</v>
      </c>
      <c r="F2782" t="s">
        <v>5163</v>
      </c>
      <c r="G2782" t="s">
        <v>1905</v>
      </c>
    </row>
    <row r="2783" spans="1:7" hidden="1">
      <c r="A2783" s="5" t="s">
        <v>1872</v>
      </c>
      <c r="B2783" t="s">
        <v>5161</v>
      </c>
      <c r="C2783" t="s">
        <v>323</v>
      </c>
      <c r="D2783" t="s">
        <v>8039</v>
      </c>
      <c r="E2783">
        <v>22</v>
      </c>
      <c r="F2783" t="s">
        <v>5163</v>
      </c>
      <c r="G2783" t="s">
        <v>5164</v>
      </c>
    </row>
    <row r="2784" spans="1:7" hidden="1">
      <c r="A2784" s="5" t="s">
        <v>1872</v>
      </c>
      <c r="B2784" t="s">
        <v>5161</v>
      </c>
      <c r="C2784" t="s">
        <v>323</v>
      </c>
      <c r="D2784" t="s">
        <v>1879</v>
      </c>
      <c r="E2784">
        <v>21</v>
      </c>
      <c r="F2784" t="s">
        <v>5163</v>
      </c>
      <c r="G2784" t="s">
        <v>6496</v>
      </c>
    </row>
    <row r="2785" spans="1:7" hidden="1">
      <c r="A2785" s="5" t="s">
        <v>1872</v>
      </c>
      <c r="B2785" t="s">
        <v>5161</v>
      </c>
      <c r="C2785" t="s">
        <v>323</v>
      </c>
      <c r="D2785" t="s">
        <v>1880</v>
      </c>
      <c r="E2785">
        <v>19</v>
      </c>
      <c r="F2785" t="s">
        <v>5163</v>
      </c>
      <c r="G2785" t="s">
        <v>5164</v>
      </c>
    </row>
    <row r="2786" spans="1:7" hidden="1">
      <c r="A2786" s="5" t="s">
        <v>3104</v>
      </c>
      <c r="B2786" t="s">
        <v>5161</v>
      </c>
      <c r="C2786" t="s">
        <v>323</v>
      </c>
      <c r="D2786" t="s">
        <v>8040</v>
      </c>
      <c r="E2786">
        <v>18</v>
      </c>
      <c r="F2786" t="s">
        <v>5163</v>
      </c>
      <c r="G2786" t="s">
        <v>1905</v>
      </c>
    </row>
    <row r="2787" spans="1:7" hidden="1">
      <c r="A2787" s="5" t="s">
        <v>4438</v>
      </c>
      <c r="B2787" t="s">
        <v>5161</v>
      </c>
      <c r="C2787" t="s">
        <v>323</v>
      </c>
      <c r="D2787" t="s">
        <v>8041</v>
      </c>
      <c r="E2787">
        <v>35</v>
      </c>
      <c r="F2787" t="s">
        <v>5163</v>
      </c>
      <c r="G2787" t="s">
        <v>5164</v>
      </c>
    </row>
    <row r="2788" spans="1:7" hidden="1">
      <c r="A2788" s="5" t="s">
        <v>8042</v>
      </c>
      <c r="B2788" t="s">
        <v>5161</v>
      </c>
      <c r="C2788" t="s">
        <v>323</v>
      </c>
      <c r="D2788" t="s">
        <v>8043</v>
      </c>
      <c r="E2788" t="s">
        <v>5182</v>
      </c>
      <c r="F2788" t="s">
        <v>5163</v>
      </c>
      <c r="G2788" t="s">
        <v>5164</v>
      </c>
    </row>
    <row r="2789" spans="1:7" hidden="1">
      <c r="A2789" s="5" t="s">
        <v>2518</v>
      </c>
      <c r="B2789" t="s">
        <v>5161</v>
      </c>
      <c r="C2789" t="s">
        <v>323</v>
      </c>
      <c r="D2789" t="s">
        <v>8044</v>
      </c>
      <c r="E2789">
        <v>18</v>
      </c>
      <c r="F2789" t="s">
        <v>5163</v>
      </c>
      <c r="G2789" t="s">
        <v>1905</v>
      </c>
    </row>
    <row r="2790" spans="1:7" hidden="1">
      <c r="A2790" s="5" t="s">
        <v>2518</v>
      </c>
      <c r="B2790" t="s">
        <v>5161</v>
      </c>
      <c r="C2790" t="s">
        <v>323</v>
      </c>
      <c r="D2790" t="s">
        <v>8045</v>
      </c>
      <c r="E2790">
        <v>28</v>
      </c>
      <c r="F2790" t="s">
        <v>5163</v>
      </c>
      <c r="G2790" t="s">
        <v>5164</v>
      </c>
    </row>
    <row r="2791" spans="1:7" hidden="1">
      <c r="A2791" s="5" t="s">
        <v>4583</v>
      </c>
      <c r="B2791" t="s">
        <v>5161</v>
      </c>
      <c r="C2791" t="s">
        <v>323</v>
      </c>
      <c r="D2791" t="s">
        <v>8046</v>
      </c>
      <c r="E2791">
        <v>22</v>
      </c>
      <c r="F2791" t="s">
        <v>5163</v>
      </c>
      <c r="G2791" t="s">
        <v>1905</v>
      </c>
    </row>
    <row r="2792" spans="1:7" hidden="1">
      <c r="A2792" s="5" t="s">
        <v>2873</v>
      </c>
      <c r="B2792" t="s">
        <v>5161</v>
      </c>
      <c r="C2792" t="s">
        <v>323</v>
      </c>
      <c r="D2792" t="s">
        <v>8047</v>
      </c>
      <c r="E2792">
        <v>22</v>
      </c>
      <c r="F2792" t="s">
        <v>5163</v>
      </c>
      <c r="G2792" t="s">
        <v>5164</v>
      </c>
    </row>
    <row r="2793" spans="1:7" hidden="1">
      <c r="A2793" s="5" t="s">
        <v>3318</v>
      </c>
      <c r="B2793" t="s">
        <v>5161</v>
      </c>
      <c r="C2793" t="s">
        <v>323</v>
      </c>
      <c r="D2793" t="s">
        <v>8048</v>
      </c>
      <c r="E2793">
        <v>27</v>
      </c>
      <c r="F2793" t="s">
        <v>5163</v>
      </c>
      <c r="G2793" t="s">
        <v>5164</v>
      </c>
    </row>
    <row r="2794" spans="1:7" hidden="1">
      <c r="A2794" s="5" t="s">
        <v>8049</v>
      </c>
      <c r="B2794" t="s">
        <v>5161</v>
      </c>
      <c r="C2794" t="s">
        <v>323</v>
      </c>
      <c r="D2794" t="s">
        <v>8050</v>
      </c>
      <c r="E2794">
        <v>23</v>
      </c>
      <c r="F2794" t="s">
        <v>5163</v>
      </c>
      <c r="G2794" t="s">
        <v>1905</v>
      </c>
    </row>
    <row r="2795" spans="1:7" hidden="1">
      <c r="A2795" s="5" t="s">
        <v>8051</v>
      </c>
      <c r="B2795" t="s">
        <v>5161</v>
      </c>
      <c r="C2795" t="s">
        <v>323</v>
      </c>
      <c r="D2795" t="s">
        <v>8052</v>
      </c>
      <c r="E2795">
        <v>19</v>
      </c>
      <c r="F2795" t="s">
        <v>5163</v>
      </c>
      <c r="G2795" t="s">
        <v>5164</v>
      </c>
    </row>
    <row r="2796" spans="1:7" hidden="1">
      <c r="A2796" s="5" t="s">
        <v>4913</v>
      </c>
      <c r="B2796" t="s">
        <v>5161</v>
      </c>
      <c r="C2796" t="s">
        <v>323</v>
      </c>
      <c r="D2796" t="s">
        <v>8053</v>
      </c>
      <c r="E2796" t="s">
        <v>5182</v>
      </c>
      <c r="F2796" t="s">
        <v>5163</v>
      </c>
      <c r="G2796" t="s">
        <v>5169</v>
      </c>
    </row>
    <row r="2797" spans="1:7" hidden="1">
      <c r="A2797" s="5" t="s">
        <v>4913</v>
      </c>
      <c r="B2797" t="s">
        <v>5161</v>
      </c>
      <c r="C2797" t="s">
        <v>323</v>
      </c>
      <c r="D2797" t="s">
        <v>8054</v>
      </c>
      <c r="E2797">
        <v>39</v>
      </c>
      <c r="F2797" t="s">
        <v>5163</v>
      </c>
      <c r="G2797" t="s">
        <v>5164</v>
      </c>
    </row>
    <row r="2798" spans="1:7" hidden="1">
      <c r="A2798" s="5" t="s">
        <v>4913</v>
      </c>
      <c r="B2798" t="s">
        <v>5161</v>
      </c>
      <c r="C2798" t="s">
        <v>323</v>
      </c>
      <c r="D2798" t="s">
        <v>8055</v>
      </c>
      <c r="E2798" t="s">
        <v>5182</v>
      </c>
      <c r="F2798" t="s">
        <v>5163</v>
      </c>
      <c r="G2798" t="s">
        <v>5164</v>
      </c>
    </row>
    <row r="2799" spans="1:7" hidden="1">
      <c r="A2799" s="5" t="s">
        <v>2617</v>
      </c>
      <c r="B2799" t="s">
        <v>5161</v>
      </c>
      <c r="C2799" t="s">
        <v>323</v>
      </c>
      <c r="D2799" t="s">
        <v>8056</v>
      </c>
      <c r="E2799">
        <v>20</v>
      </c>
      <c r="F2799" t="s">
        <v>5163</v>
      </c>
      <c r="G2799" t="s">
        <v>5164</v>
      </c>
    </row>
    <row r="2800" spans="1:7" hidden="1">
      <c r="A2800" s="5" t="s">
        <v>2418</v>
      </c>
      <c r="B2800" t="s">
        <v>5161</v>
      </c>
      <c r="C2800" t="s">
        <v>323</v>
      </c>
      <c r="D2800" t="s">
        <v>8057</v>
      </c>
      <c r="E2800">
        <v>21</v>
      </c>
      <c r="F2800" t="s">
        <v>5163</v>
      </c>
      <c r="G2800" t="s">
        <v>1905</v>
      </c>
    </row>
    <row r="2801" spans="1:7" hidden="1">
      <c r="A2801" s="5" t="s">
        <v>2418</v>
      </c>
      <c r="B2801" t="s">
        <v>5161</v>
      </c>
      <c r="C2801" t="s">
        <v>323</v>
      </c>
      <c r="D2801" t="s">
        <v>8058</v>
      </c>
      <c r="E2801">
        <v>18</v>
      </c>
      <c r="F2801" t="s">
        <v>5172</v>
      </c>
      <c r="G2801" t="s">
        <v>1905</v>
      </c>
    </row>
    <row r="2802" spans="1:7" hidden="1">
      <c r="A2802" s="5" t="s">
        <v>2418</v>
      </c>
      <c r="B2802" t="s">
        <v>5161</v>
      </c>
      <c r="C2802" t="s">
        <v>323</v>
      </c>
      <c r="D2802" t="s">
        <v>8059</v>
      </c>
      <c r="E2802">
        <v>20</v>
      </c>
      <c r="F2802" t="s">
        <v>5172</v>
      </c>
      <c r="G2802" t="s">
        <v>5169</v>
      </c>
    </row>
    <row r="2803" spans="1:7" hidden="1">
      <c r="A2803" s="5" t="s">
        <v>2418</v>
      </c>
      <c r="B2803" t="s">
        <v>5161</v>
      </c>
      <c r="C2803" t="s">
        <v>323</v>
      </c>
      <c r="D2803" t="s">
        <v>8060</v>
      </c>
      <c r="E2803">
        <v>28</v>
      </c>
      <c r="F2803" t="s">
        <v>5163</v>
      </c>
      <c r="G2803" t="s">
        <v>1905</v>
      </c>
    </row>
    <row r="2804" spans="1:7" hidden="1">
      <c r="A2804" s="5" t="s">
        <v>2418</v>
      </c>
      <c r="B2804" t="s">
        <v>5161</v>
      </c>
      <c r="C2804" t="s">
        <v>323</v>
      </c>
      <c r="D2804" t="s">
        <v>8061</v>
      </c>
      <c r="E2804">
        <v>18</v>
      </c>
      <c r="F2804" t="s">
        <v>5163</v>
      </c>
      <c r="G2804" t="s">
        <v>5169</v>
      </c>
    </row>
    <row r="2805" spans="1:7" hidden="1">
      <c r="A2805" s="5" t="s">
        <v>2723</v>
      </c>
      <c r="B2805" t="s">
        <v>5161</v>
      </c>
      <c r="C2805" t="s">
        <v>323</v>
      </c>
      <c r="D2805" t="s">
        <v>8062</v>
      </c>
      <c r="E2805">
        <v>35</v>
      </c>
      <c r="F2805" t="s">
        <v>5163</v>
      </c>
      <c r="G2805" t="s">
        <v>5164</v>
      </c>
    </row>
    <row r="2806" spans="1:7" hidden="1">
      <c r="A2806" s="5" t="s">
        <v>4582</v>
      </c>
      <c r="B2806" t="s">
        <v>5161</v>
      </c>
      <c r="C2806" t="s">
        <v>323</v>
      </c>
      <c r="D2806" t="s">
        <v>8063</v>
      </c>
      <c r="E2806" t="s">
        <v>5182</v>
      </c>
      <c r="F2806" t="s">
        <v>5163</v>
      </c>
      <c r="G2806" t="s">
        <v>5182</v>
      </c>
    </row>
    <row r="2807" spans="1:7" hidden="1">
      <c r="A2807" s="5" t="s">
        <v>4582</v>
      </c>
      <c r="B2807" t="s">
        <v>5161</v>
      </c>
      <c r="C2807" t="s">
        <v>323</v>
      </c>
      <c r="D2807" t="s">
        <v>8064</v>
      </c>
      <c r="E2807">
        <v>30</v>
      </c>
      <c r="F2807" t="s">
        <v>5172</v>
      </c>
      <c r="G2807" t="s">
        <v>1905</v>
      </c>
    </row>
    <row r="2808" spans="1:7" hidden="1">
      <c r="A2808" s="5" t="s">
        <v>1868</v>
      </c>
      <c r="B2808" t="s">
        <v>5161</v>
      </c>
      <c r="C2808" t="s">
        <v>323</v>
      </c>
      <c r="D2808" t="s">
        <v>8065</v>
      </c>
      <c r="E2808">
        <v>28</v>
      </c>
      <c r="F2808" t="s">
        <v>5163</v>
      </c>
      <c r="G2808" t="s">
        <v>5164</v>
      </c>
    </row>
    <row r="2809" spans="1:7" hidden="1">
      <c r="A2809" s="5" t="s">
        <v>2188</v>
      </c>
      <c r="B2809" t="s">
        <v>5161</v>
      </c>
      <c r="C2809" t="s">
        <v>323</v>
      </c>
      <c r="D2809" t="s">
        <v>8066</v>
      </c>
      <c r="E2809">
        <v>20</v>
      </c>
      <c r="F2809" t="s">
        <v>5163</v>
      </c>
      <c r="G2809" t="s">
        <v>5164</v>
      </c>
    </row>
    <row r="2810" spans="1:7" hidden="1">
      <c r="A2810" s="5" t="s">
        <v>4488</v>
      </c>
      <c r="B2810" t="s">
        <v>5161</v>
      </c>
      <c r="C2810" t="s">
        <v>323</v>
      </c>
      <c r="D2810" t="s">
        <v>8067</v>
      </c>
      <c r="E2810">
        <v>31</v>
      </c>
      <c r="F2810" t="s">
        <v>5163</v>
      </c>
      <c r="G2810" t="s">
        <v>5164</v>
      </c>
    </row>
    <row r="2811" spans="1:7" hidden="1">
      <c r="A2811" s="5" t="s">
        <v>8068</v>
      </c>
      <c r="B2811" t="s">
        <v>5161</v>
      </c>
      <c r="C2811" t="s">
        <v>323</v>
      </c>
      <c r="D2811" t="s">
        <v>8069</v>
      </c>
      <c r="E2811">
        <v>19</v>
      </c>
      <c r="F2811" t="s">
        <v>5163</v>
      </c>
      <c r="G2811" t="s">
        <v>5169</v>
      </c>
    </row>
    <row r="2812" spans="1:7" hidden="1">
      <c r="A2812" s="5" t="s">
        <v>3672</v>
      </c>
      <c r="B2812" t="s">
        <v>5161</v>
      </c>
      <c r="C2812" t="s">
        <v>323</v>
      </c>
      <c r="D2812" t="s">
        <v>8070</v>
      </c>
      <c r="E2812">
        <v>2</v>
      </c>
      <c r="F2812" t="s">
        <v>5163</v>
      </c>
      <c r="G2812" t="s">
        <v>5164</v>
      </c>
    </row>
    <row r="2813" spans="1:7" hidden="1">
      <c r="A2813" s="5" t="s">
        <v>3095</v>
      </c>
      <c r="B2813" t="s">
        <v>5161</v>
      </c>
      <c r="C2813" t="s">
        <v>323</v>
      </c>
      <c r="D2813" t="s">
        <v>8071</v>
      </c>
      <c r="E2813">
        <v>26</v>
      </c>
      <c r="F2813" t="s">
        <v>5163</v>
      </c>
      <c r="G2813" t="s">
        <v>1905</v>
      </c>
    </row>
    <row r="2814" spans="1:7" hidden="1">
      <c r="A2814" s="5" t="s">
        <v>8072</v>
      </c>
      <c r="B2814" t="s">
        <v>5161</v>
      </c>
      <c r="C2814" t="s">
        <v>323</v>
      </c>
      <c r="D2814" t="s">
        <v>8073</v>
      </c>
      <c r="E2814">
        <v>25</v>
      </c>
      <c r="F2814" t="s">
        <v>5163</v>
      </c>
      <c r="G2814" t="s">
        <v>5164</v>
      </c>
    </row>
    <row r="2815" spans="1:7" hidden="1">
      <c r="A2815" s="5" t="s">
        <v>4328</v>
      </c>
      <c r="B2815" t="s">
        <v>5161</v>
      </c>
      <c r="C2815" t="s">
        <v>323</v>
      </c>
      <c r="D2815" t="s">
        <v>8074</v>
      </c>
      <c r="E2815">
        <v>21</v>
      </c>
      <c r="F2815" t="s">
        <v>5163</v>
      </c>
      <c r="G2815" t="s">
        <v>1905</v>
      </c>
    </row>
    <row r="2816" spans="1:7" hidden="1">
      <c r="A2816" s="5" t="s">
        <v>3692</v>
      </c>
      <c r="B2816" t="s">
        <v>5161</v>
      </c>
      <c r="C2816" t="s">
        <v>323</v>
      </c>
      <c r="D2816" t="s">
        <v>8075</v>
      </c>
      <c r="E2816">
        <v>21</v>
      </c>
      <c r="F2816" t="s">
        <v>5163</v>
      </c>
      <c r="G2816" t="s">
        <v>1905</v>
      </c>
    </row>
    <row r="2817" spans="1:7" hidden="1">
      <c r="A2817" s="5" t="s">
        <v>2817</v>
      </c>
      <c r="B2817" t="s">
        <v>5161</v>
      </c>
      <c r="C2817" t="s">
        <v>323</v>
      </c>
      <c r="D2817" t="s">
        <v>7061</v>
      </c>
      <c r="E2817">
        <v>33</v>
      </c>
      <c r="F2817" t="s">
        <v>5163</v>
      </c>
      <c r="G2817" t="s">
        <v>5182</v>
      </c>
    </row>
    <row r="2818" spans="1:7" hidden="1">
      <c r="A2818" s="5" t="s">
        <v>4447</v>
      </c>
      <c r="B2818" t="s">
        <v>5161</v>
      </c>
      <c r="C2818" t="s">
        <v>323</v>
      </c>
      <c r="D2818" t="s">
        <v>8076</v>
      </c>
      <c r="E2818">
        <v>28</v>
      </c>
      <c r="F2818" t="s">
        <v>5163</v>
      </c>
      <c r="G2818" t="s">
        <v>1905</v>
      </c>
    </row>
    <row r="2819" spans="1:7" hidden="1">
      <c r="A2819" s="5" t="s">
        <v>3923</v>
      </c>
      <c r="B2819" t="s">
        <v>5161</v>
      </c>
      <c r="C2819" t="s">
        <v>323</v>
      </c>
      <c r="D2819" t="s">
        <v>8077</v>
      </c>
      <c r="E2819">
        <v>23</v>
      </c>
      <c r="F2819" t="s">
        <v>5163</v>
      </c>
      <c r="G2819" t="s">
        <v>5164</v>
      </c>
    </row>
    <row r="2820" spans="1:7" hidden="1">
      <c r="A2820" s="5" t="s">
        <v>321</v>
      </c>
      <c r="B2820" t="s">
        <v>5161</v>
      </c>
      <c r="C2820" t="s">
        <v>323</v>
      </c>
      <c r="D2820" t="s">
        <v>842</v>
      </c>
      <c r="E2820">
        <v>37</v>
      </c>
      <c r="F2820" t="s">
        <v>5163</v>
      </c>
      <c r="G2820" t="s">
        <v>5169</v>
      </c>
    </row>
    <row r="2821" spans="1:7" hidden="1">
      <c r="A2821" s="5" t="s">
        <v>2504</v>
      </c>
      <c r="B2821" t="s">
        <v>5161</v>
      </c>
      <c r="C2821" t="s">
        <v>323</v>
      </c>
      <c r="D2821" t="s">
        <v>8078</v>
      </c>
      <c r="E2821">
        <v>35</v>
      </c>
      <c r="F2821" t="s">
        <v>5163</v>
      </c>
      <c r="G2821" t="s">
        <v>1905</v>
      </c>
    </row>
    <row r="2822" spans="1:7" hidden="1">
      <c r="A2822" s="5" t="s">
        <v>318</v>
      </c>
      <c r="B2822" t="s">
        <v>5161</v>
      </c>
      <c r="C2822" t="s">
        <v>323</v>
      </c>
      <c r="D2822" t="s">
        <v>838</v>
      </c>
      <c r="E2822">
        <v>27</v>
      </c>
      <c r="F2822" t="s">
        <v>5163</v>
      </c>
      <c r="G2822" t="s">
        <v>5164</v>
      </c>
    </row>
    <row r="2823" spans="1:7" hidden="1">
      <c r="A2823" s="5" t="s">
        <v>2139</v>
      </c>
      <c r="B2823" t="s">
        <v>5161</v>
      </c>
      <c r="C2823" t="s">
        <v>323</v>
      </c>
      <c r="D2823" t="s">
        <v>8079</v>
      </c>
      <c r="E2823">
        <v>27</v>
      </c>
      <c r="F2823" t="s">
        <v>5163</v>
      </c>
      <c r="G2823" t="s">
        <v>5164</v>
      </c>
    </row>
    <row r="2824" spans="1:7" hidden="1">
      <c r="A2824" s="5" t="s">
        <v>4368</v>
      </c>
      <c r="B2824" t="s">
        <v>5161</v>
      </c>
      <c r="C2824" t="s">
        <v>323</v>
      </c>
      <c r="D2824" t="s">
        <v>8080</v>
      </c>
      <c r="E2824">
        <v>22</v>
      </c>
      <c r="F2824" t="s">
        <v>5163</v>
      </c>
      <c r="G2824" t="s">
        <v>1905</v>
      </c>
    </row>
    <row r="2825" spans="1:7" hidden="1">
      <c r="A2825" s="5" t="s">
        <v>4368</v>
      </c>
      <c r="B2825" t="s">
        <v>5161</v>
      </c>
      <c r="C2825" t="s">
        <v>323</v>
      </c>
      <c r="D2825" t="s">
        <v>8081</v>
      </c>
      <c r="E2825">
        <v>29</v>
      </c>
      <c r="F2825" t="s">
        <v>5163</v>
      </c>
      <c r="G2825" t="s">
        <v>1905</v>
      </c>
    </row>
    <row r="2826" spans="1:7" hidden="1">
      <c r="A2826" s="5" t="s">
        <v>1882</v>
      </c>
      <c r="B2826" t="s">
        <v>5161</v>
      </c>
      <c r="C2826" t="s">
        <v>323</v>
      </c>
      <c r="D2826" t="s">
        <v>8082</v>
      </c>
      <c r="E2826">
        <v>18</v>
      </c>
      <c r="F2826" t="s">
        <v>5163</v>
      </c>
      <c r="G2826" t="s">
        <v>5164</v>
      </c>
    </row>
    <row r="2827" spans="1:7" hidden="1">
      <c r="A2827" s="5" t="s">
        <v>1882</v>
      </c>
      <c r="B2827" t="s">
        <v>5161</v>
      </c>
      <c r="C2827" t="s">
        <v>323</v>
      </c>
      <c r="D2827" t="s">
        <v>1931</v>
      </c>
      <c r="E2827">
        <v>27</v>
      </c>
      <c r="F2827" t="s">
        <v>5163</v>
      </c>
      <c r="G2827" t="s">
        <v>1905</v>
      </c>
    </row>
    <row r="2828" spans="1:7" hidden="1">
      <c r="A2828" s="5" t="s">
        <v>3863</v>
      </c>
      <c r="B2828" t="s">
        <v>5161</v>
      </c>
      <c r="C2828" t="s">
        <v>323</v>
      </c>
      <c r="D2828" t="s">
        <v>8083</v>
      </c>
      <c r="E2828">
        <v>25</v>
      </c>
      <c r="F2828" t="s">
        <v>5163</v>
      </c>
      <c r="G2828" t="s">
        <v>5164</v>
      </c>
    </row>
    <row r="2829" spans="1:7" hidden="1">
      <c r="A2829" s="5" t="s">
        <v>8084</v>
      </c>
      <c r="B2829" t="s">
        <v>5161</v>
      </c>
      <c r="C2829" t="s">
        <v>323</v>
      </c>
      <c r="D2829" t="s">
        <v>8085</v>
      </c>
      <c r="E2829">
        <v>28</v>
      </c>
      <c r="F2829" t="s">
        <v>5163</v>
      </c>
      <c r="G2829" t="s">
        <v>1905</v>
      </c>
    </row>
    <row r="2830" spans="1:7" hidden="1">
      <c r="A2830" s="5" t="s">
        <v>3682</v>
      </c>
      <c r="B2830" t="s">
        <v>5161</v>
      </c>
      <c r="C2830" t="s">
        <v>323</v>
      </c>
      <c r="D2830" t="s">
        <v>8086</v>
      </c>
      <c r="E2830">
        <v>20</v>
      </c>
      <c r="F2830" t="s">
        <v>5163</v>
      </c>
      <c r="G2830" t="s">
        <v>5164</v>
      </c>
    </row>
    <row r="2831" spans="1:7" hidden="1">
      <c r="A2831" s="5" t="s">
        <v>8087</v>
      </c>
      <c r="B2831" t="s">
        <v>5161</v>
      </c>
      <c r="C2831" t="s">
        <v>323</v>
      </c>
      <c r="D2831" t="s">
        <v>8088</v>
      </c>
      <c r="E2831">
        <v>35</v>
      </c>
      <c r="F2831" t="s">
        <v>5163</v>
      </c>
      <c r="G2831" t="s">
        <v>5164</v>
      </c>
    </row>
    <row r="2832" spans="1:7" hidden="1">
      <c r="A2832" s="5" t="s">
        <v>2258</v>
      </c>
      <c r="B2832" t="s">
        <v>5161</v>
      </c>
      <c r="C2832" t="s">
        <v>323</v>
      </c>
      <c r="D2832" t="s">
        <v>8089</v>
      </c>
      <c r="E2832">
        <v>24</v>
      </c>
      <c r="F2832" t="s">
        <v>5163</v>
      </c>
      <c r="G2832" t="s">
        <v>5169</v>
      </c>
    </row>
    <row r="2833" spans="1:7" hidden="1">
      <c r="A2833" s="5" t="s">
        <v>2258</v>
      </c>
      <c r="B2833" t="s">
        <v>5161</v>
      </c>
      <c r="C2833" t="s">
        <v>323</v>
      </c>
      <c r="D2833" t="s">
        <v>8090</v>
      </c>
      <c r="E2833">
        <v>24</v>
      </c>
      <c r="F2833" t="s">
        <v>5163</v>
      </c>
      <c r="G2833" t="s">
        <v>1905</v>
      </c>
    </row>
    <row r="2834" spans="1:7" hidden="1">
      <c r="A2834" s="5" t="s">
        <v>2258</v>
      </c>
      <c r="B2834" t="s">
        <v>5161</v>
      </c>
      <c r="C2834" t="s">
        <v>323</v>
      </c>
      <c r="D2834" t="s">
        <v>8091</v>
      </c>
      <c r="E2834">
        <v>18</v>
      </c>
      <c r="F2834" t="s">
        <v>5163</v>
      </c>
      <c r="G2834" t="s">
        <v>1905</v>
      </c>
    </row>
    <row r="2835" spans="1:7" hidden="1">
      <c r="A2835" s="5" t="s">
        <v>3295</v>
      </c>
      <c r="B2835" t="s">
        <v>5161</v>
      </c>
      <c r="C2835" t="s">
        <v>323</v>
      </c>
      <c r="D2835" t="s">
        <v>8092</v>
      </c>
      <c r="E2835">
        <v>37</v>
      </c>
      <c r="F2835" t="s">
        <v>5163</v>
      </c>
      <c r="G2835" t="s">
        <v>5164</v>
      </c>
    </row>
    <row r="2836" spans="1:7" hidden="1">
      <c r="A2836" s="5" t="s">
        <v>3184</v>
      </c>
      <c r="B2836" t="s">
        <v>5161</v>
      </c>
      <c r="C2836" t="s">
        <v>323</v>
      </c>
      <c r="D2836" t="s">
        <v>8093</v>
      </c>
      <c r="E2836">
        <v>37</v>
      </c>
      <c r="F2836" t="s">
        <v>5163</v>
      </c>
      <c r="G2836" t="s">
        <v>5164</v>
      </c>
    </row>
    <row r="2837" spans="1:7" hidden="1">
      <c r="A2837" s="5" t="s">
        <v>3895</v>
      </c>
      <c r="B2837" t="s">
        <v>5161</v>
      </c>
      <c r="C2837" t="s">
        <v>323</v>
      </c>
      <c r="D2837" t="s">
        <v>8094</v>
      </c>
      <c r="E2837">
        <v>28</v>
      </c>
      <c r="F2837" t="s">
        <v>5163</v>
      </c>
      <c r="G2837" t="s">
        <v>5182</v>
      </c>
    </row>
    <row r="2838" spans="1:7" hidden="1">
      <c r="A2838" s="5" t="s">
        <v>3697</v>
      </c>
      <c r="B2838" t="s">
        <v>5161</v>
      </c>
      <c r="C2838" t="s">
        <v>335</v>
      </c>
      <c r="D2838" t="s">
        <v>8095</v>
      </c>
      <c r="E2838">
        <v>34</v>
      </c>
      <c r="F2838" t="s">
        <v>5163</v>
      </c>
      <c r="G2838" t="s">
        <v>1905</v>
      </c>
    </row>
    <row r="2839" spans="1:7" hidden="1">
      <c r="A2839" s="5" t="s">
        <v>3917</v>
      </c>
      <c r="B2839" t="s">
        <v>5161</v>
      </c>
      <c r="C2839" t="s">
        <v>335</v>
      </c>
      <c r="D2839" t="s">
        <v>8096</v>
      </c>
      <c r="E2839">
        <v>31</v>
      </c>
      <c r="F2839" t="s">
        <v>5163</v>
      </c>
      <c r="G2839" t="s">
        <v>5164</v>
      </c>
    </row>
    <row r="2840" spans="1:7" hidden="1">
      <c r="A2840" s="5" t="s">
        <v>4147</v>
      </c>
      <c r="B2840" t="s">
        <v>5161</v>
      </c>
      <c r="C2840" t="s">
        <v>335</v>
      </c>
      <c r="D2840" t="s">
        <v>7026</v>
      </c>
      <c r="E2840">
        <v>25</v>
      </c>
      <c r="F2840" t="s">
        <v>5163</v>
      </c>
      <c r="G2840" t="s">
        <v>5164</v>
      </c>
    </row>
    <row r="2841" spans="1:7" hidden="1">
      <c r="A2841" s="5" t="s">
        <v>327</v>
      </c>
      <c r="B2841" t="s">
        <v>5161</v>
      </c>
      <c r="C2841" t="s">
        <v>335</v>
      </c>
      <c r="D2841" t="s">
        <v>8097</v>
      </c>
      <c r="E2841">
        <v>35</v>
      </c>
      <c r="F2841" t="s">
        <v>5172</v>
      </c>
      <c r="G2841" t="s">
        <v>5164</v>
      </c>
    </row>
    <row r="2842" spans="1:7" hidden="1">
      <c r="A2842" s="5" t="s">
        <v>3932</v>
      </c>
      <c r="B2842" t="s">
        <v>5161</v>
      </c>
      <c r="C2842" t="s">
        <v>335</v>
      </c>
      <c r="D2842" t="s">
        <v>8098</v>
      </c>
      <c r="E2842">
        <v>26</v>
      </c>
      <c r="F2842" t="s">
        <v>5163</v>
      </c>
      <c r="G2842" t="s">
        <v>1905</v>
      </c>
    </row>
    <row r="2843" spans="1:7" hidden="1">
      <c r="A2843" s="5" t="s">
        <v>3508</v>
      </c>
      <c r="B2843" t="s">
        <v>5161</v>
      </c>
      <c r="C2843" t="s">
        <v>335</v>
      </c>
      <c r="D2843" t="s">
        <v>8099</v>
      </c>
      <c r="E2843">
        <v>25</v>
      </c>
      <c r="F2843" t="s">
        <v>5163</v>
      </c>
      <c r="G2843" t="s">
        <v>1905</v>
      </c>
    </row>
    <row r="2844" spans="1:7" hidden="1">
      <c r="A2844" s="5" t="s">
        <v>3907</v>
      </c>
      <c r="B2844" t="s">
        <v>5161</v>
      </c>
      <c r="C2844" t="s">
        <v>335</v>
      </c>
      <c r="D2844" t="s">
        <v>8100</v>
      </c>
      <c r="E2844">
        <v>19</v>
      </c>
      <c r="F2844" t="s">
        <v>5163</v>
      </c>
      <c r="G2844" t="s">
        <v>5164</v>
      </c>
    </row>
    <row r="2845" spans="1:7" hidden="1">
      <c r="A2845" s="5" t="s">
        <v>3342</v>
      </c>
      <c r="B2845" t="s">
        <v>5161</v>
      </c>
      <c r="C2845" t="s">
        <v>335</v>
      </c>
      <c r="D2845" t="s">
        <v>8101</v>
      </c>
      <c r="E2845">
        <v>29</v>
      </c>
      <c r="F2845" t="s">
        <v>5163</v>
      </c>
      <c r="G2845" t="s">
        <v>1905</v>
      </c>
    </row>
    <row r="2846" spans="1:7" hidden="1">
      <c r="A2846" s="5" t="s">
        <v>3381</v>
      </c>
      <c r="B2846" t="s">
        <v>5161</v>
      </c>
      <c r="C2846" t="s">
        <v>335</v>
      </c>
      <c r="D2846" t="s">
        <v>8102</v>
      </c>
      <c r="E2846">
        <v>18</v>
      </c>
      <c r="F2846" t="s">
        <v>5163</v>
      </c>
      <c r="G2846" t="s">
        <v>1905</v>
      </c>
    </row>
    <row r="2847" spans="1:7" hidden="1">
      <c r="A2847" s="5" t="s">
        <v>3381</v>
      </c>
      <c r="B2847" t="s">
        <v>5161</v>
      </c>
      <c r="C2847" t="s">
        <v>335</v>
      </c>
      <c r="D2847" t="s">
        <v>8103</v>
      </c>
      <c r="E2847">
        <v>21</v>
      </c>
      <c r="F2847" t="s">
        <v>5163</v>
      </c>
      <c r="G2847" t="s">
        <v>1905</v>
      </c>
    </row>
    <row r="2848" spans="1:7" hidden="1">
      <c r="A2848" s="5" t="s">
        <v>3308</v>
      </c>
      <c r="B2848" t="s">
        <v>5161</v>
      </c>
      <c r="C2848" t="s">
        <v>335</v>
      </c>
      <c r="D2848" t="s">
        <v>8104</v>
      </c>
      <c r="E2848">
        <v>47</v>
      </c>
      <c r="F2848" t="s">
        <v>5163</v>
      </c>
      <c r="G2848" t="s">
        <v>1905</v>
      </c>
    </row>
    <row r="2849" spans="1:7" hidden="1">
      <c r="A2849" s="5" t="s">
        <v>3308</v>
      </c>
      <c r="B2849" t="s">
        <v>5161</v>
      </c>
      <c r="C2849" t="s">
        <v>335</v>
      </c>
      <c r="D2849" t="s">
        <v>8105</v>
      </c>
      <c r="E2849">
        <v>27</v>
      </c>
      <c r="F2849" t="s">
        <v>5163</v>
      </c>
      <c r="G2849" t="s">
        <v>5164</v>
      </c>
    </row>
    <row r="2850" spans="1:7" hidden="1">
      <c r="A2850" s="5" t="s">
        <v>3354</v>
      </c>
      <c r="B2850" t="s">
        <v>5161</v>
      </c>
      <c r="C2850" t="s">
        <v>335</v>
      </c>
      <c r="D2850" t="s">
        <v>8106</v>
      </c>
      <c r="E2850">
        <v>18</v>
      </c>
      <c r="F2850" t="s">
        <v>5163</v>
      </c>
      <c r="G2850" t="s">
        <v>5164</v>
      </c>
    </row>
    <row r="2851" spans="1:7" hidden="1">
      <c r="A2851" s="5" t="s">
        <v>3405</v>
      </c>
      <c r="B2851" t="s">
        <v>5161</v>
      </c>
      <c r="C2851" t="s">
        <v>335</v>
      </c>
      <c r="D2851" t="s">
        <v>8107</v>
      </c>
      <c r="E2851">
        <v>22</v>
      </c>
      <c r="F2851" t="s">
        <v>5163</v>
      </c>
      <c r="G2851" t="s">
        <v>5169</v>
      </c>
    </row>
    <row r="2852" spans="1:7" hidden="1">
      <c r="A2852" s="5" t="s">
        <v>8108</v>
      </c>
      <c r="B2852" t="s">
        <v>5161</v>
      </c>
      <c r="C2852" t="s">
        <v>335</v>
      </c>
      <c r="D2852" t="s">
        <v>8109</v>
      </c>
      <c r="E2852">
        <v>18</v>
      </c>
      <c r="F2852" t="s">
        <v>5163</v>
      </c>
      <c r="G2852" t="s">
        <v>1905</v>
      </c>
    </row>
    <row r="2853" spans="1:7" hidden="1">
      <c r="A2853" s="5" t="s">
        <v>4479</v>
      </c>
      <c r="B2853" t="s">
        <v>5161</v>
      </c>
      <c r="C2853" t="s">
        <v>335</v>
      </c>
      <c r="D2853" t="s">
        <v>8110</v>
      </c>
      <c r="E2853">
        <v>18</v>
      </c>
      <c r="F2853" t="s">
        <v>5172</v>
      </c>
      <c r="G2853" t="s">
        <v>5164</v>
      </c>
    </row>
    <row r="2854" spans="1:7" hidden="1">
      <c r="A2854" s="5" t="s">
        <v>4448</v>
      </c>
      <c r="B2854" t="s">
        <v>5161</v>
      </c>
      <c r="C2854" t="s">
        <v>335</v>
      </c>
      <c r="D2854" t="s">
        <v>8111</v>
      </c>
      <c r="E2854">
        <v>18</v>
      </c>
      <c r="F2854" t="s">
        <v>5163</v>
      </c>
      <c r="G2854" t="s">
        <v>5164</v>
      </c>
    </row>
    <row r="2855" spans="1:7" hidden="1">
      <c r="A2855" s="5" t="s">
        <v>5017</v>
      </c>
      <c r="B2855" t="s">
        <v>5161</v>
      </c>
      <c r="C2855" t="s">
        <v>335</v>
      </c>
      <c r="D2855" t="s">
        <v>8112</v>
      </c>
      <c r="E2855">
        <v>28</v>
      </c>
      <c r="F2855" t="s">
        <v>5163</v>
      </c>
      <c r="G2855" t="s">
        <v>5169</v>
      </c>
    </row>
    <row r="2856" spans="1:7" hidden="1">
      <c r="A2856" s="5" t="s">
        <v>5017</v>
      </c>
      <c r="B2856" t="s">
        <v>5161</v>
      </c>
      <c r="C2856" t="s">
        <v>335</v>
      </c>
      <c r="D2856" t="s">
        <v>8113</v>
      </c>
      <c r="E2856">
        <v>25</v>
      </c>
      <c r="F2856" t="s">
        <v>5163</v>
      </c>
      <c r="G2856" t="s">
        <v>5164</v>
      </c>
    </row>
    <row r="2857" spans="1:7" hidden="1">
      <c r="A2857" s="5" t="s">
        <v>2802</v>
      </c>
      <c r="B2857" t="s">
        <v>5161</v>
      </c>
      <c r="C2857" t="s">
        <v>335</v>
      </c>
      <c r="D2857" t="s">
        <v>8114</v>
      </c>
      <c r="E2857">
        <v>35</v>
      </c>
      <c r="F2857" t="s">
        <v>5163</v>
      </c>
      <c r="G2857" t="s">
        <v>5164</v>
      </c>
    </row>
    <row r="2858" spans="1:7" hidden="1">
      <c r="A2858" s="5" t="s">
        <v>4825</v>
      </c>
      <c r="B2858" t="s">
        <v>5161</v>
      </c>
      <c r="C2858" t="s">
        <v>335</v>
      </c>
      <c r="D2858" t="s">
        <v>8115</v>
      </c>
      <c r="E2858">
        <v>22</v>
      </c>
      <c r="F2858" t="s">
        <v>5163</v>
      </c>
      <c r="G2858" t="s">
        <v>1905</v>
      </c>
    </row>
    <row r="2859" spans="1:7" hidden="1">
      <c r="A2859" s="5" t="s">
        <v>3135</v>
      </c>
      <c r="B2859" t="s">
        <v>5161</v>
      </c>
      <c r="C2859" t="s">
        <v>335</v>
      </c>
      <c r="D2859" t="s">
        <v>8116</v>
      </c>
      <c r="E2859">
        <v>19</v>
      </c>
      <c r="F2859" t="s">
        <v>5163</v>
      </c>
      <c r="G2859" t="s">
        <v>5164</v>
      </c>
    </row>
    <row r="2860" spans="1:7" hidden="1">
      <c r="A2860" s="5" t="s">
        <v>5076</v>
      </c>
      <c r="B2860" t="s">
        <v>5161</v>
      </c>
      <c r="C2860" t="s">
        <v>335</v>
      </c>
      <c r="D2860" t="s">
        <v>8117</v>
      </c>
      <c r="E2860">
        <v>31</v>
      </c>
      <c r="F2860" t="s">
        <v>5163</v>
      </c>
      <c r="G2860" t="s">
        <v>1905</v>
      </c>
    </row>
    <row r="2861" spans="1:7" hidden="1">
      <c r="A2861" s="5" t="s">
        <v>2913</v>
      </c>
      <c r="B2861" t="s">
        <v>5161</v>
      </c>
      <c r="C2861" t="s">
        <v>335</v>
      </c>
      <c r="D2861" t="s">
        <v>8118</v>
      </c>
      <c r="E2861">
        <v>20</v>
      </c>
      <c r="F2861" t="s">
        <v>5172</v>
      </c>
      <c r="G2861" t="s">
        <v>5164</v>
      </c>
    </row>
    <row r="2862" spans="1:7" hidden="1">
      <c r="A2862" s="5" t="s">
        <v>4822</v>
      </c>
      <c r="B2862" t="s">
        <v>5161</v>
      </c>
      <c r="C2862" t="s">
        <v>335</v>
      </c>
      <c r="D2862" t="s">
        <v>8119</v>
      </c>
      <c r="E2862">
        <v>20</v>
      </c>
      <c r="F2862" t="s">
        <v>5163</v>
      </c>
      <c r="G2862" t="s">
        <v>5169</v>
      </c>
    </row>
    <row r="2863" spans="1:7" hidden="1">
      <c r="A2863" s="5" t="s">
        <v>331</v>
      </c>
      <c r="B2863" t="s">
        <v>5161</v>
      </c>
      <c r="C2863" t="s">
        <v>335</v>
      </c>
      <c r="D2863" t="s">
        <v>854</v>
      </c>
      <c r="E2863">
        <v>28</v>
      </c>
      <c r="F2863" t="s">
        <v>5172</v>
      </c>
      <c r="G2863" t="s">
        <v>5164</v>
      </c>
    </row>
    <row r="2864" spans="1:7" hidden="1">
      <c r="A2864" s="5" t="s">
        <v>4015</v>
      </c>
      <c r="B2864" t="s">
        <v>5161</v>
      </c>
      <c r="C2864" t="s">
        <v>335</v>
      </c>
      <c r="D2864" t="s">
        <v>8120</v>
      </c>
      <c r="E2864">
        <v>23</v>
      </c>
      <c r="F2864" t="s">
        <v>5163</v>
      </c>
      <c r="G2864" t="s">
        <v>1905</v>
      </c>
    </row>
    <row r="2865" spans="1:7" hidden="1">
      <c r="A2865" s="5" t="s">
        <v>2231</v>
      </c>
      <c r="B2865" t="s">
        <v>5161</v>
      </c>
      <c r="C2865" t="s">
        <v>335</v>
      </c>
      <c r="D2865" t="s">
        <v>8121</v>
      </c>
      <c r="E2865">
        <v>19</v>
      </c>
      <c r="F2865" t="s">
        <v>5163</v>
      </c>
      <c r="G2865" t="s">
        <v>5164</v>
      </c>
    </row>
    <row r="2866" spans="1:7" hidden="1">
      <c r="A2866" s="5" t="s">
        <v>2701</v>
      </c>
      <c r="B2866" t="s">
        <v>5161</v>
      </c>
      <c r="C2866" t="s">
        <v>335</v>
      </c>
      <c r="D2866" t="s">
        <v>8122</v>
      </c>
      <c r="E2866">
        <v>21</v>
      </c>
      <c r="F2866" t="s">
        <v>5172</v>
      </c>
      <c r="G2866" t="s">
        <v>5164</v>
      </c>
    </row>
    <row r="2867" spans="1:7" hidden="1">
      <c r="A2867" s="5" t="s">
        <v>3096</v>
      </c>
      <c r="B2867" t="s">
        <v>5161</v>
      </c>
      <c r="C2867" t="s">
        <v>335</v>
      </c>
      <c r="D2867" t="s">
        <v>8123</v>
      </c>
      <c r="E2867">
        <v>20</v>
      </c>
      <c r="F2867" t="s">
        <v>5163</v>
      </c>
      <c r="G2867" t="s">
        <v>5164</v>
      </c>
    </row>
    <row r="2868" spans="1:7" hidden="1">
      <c r="A2868" s="5" t="s">
        <v>2292</v>
      </c>
      <c r="B2868" t="s">
        <v>5161</v>
      </c>
      <c r="C2868" t="s">
        <v>335</v>
      </c>
      <c r="D2868" t="s">
        <v>8124</v>
      </c>
      <c r="E2868">
        <v>22</v>
      </c>
      <c r="F2868" t="s">
        <v>5163</v>
      </c>
      <c r="G2868" t="s">
        <v>5164</v>
      </c>
    </row>
    <row r="2869" spans="1:7" hidden="1">
      <c r="A2869" s="5" t="s">
        <v>3271</v>
      </c>
      <c r="B2869" t="s">
        <v>5161</v>
      </c>
      <c r="C2869" t="s">
        <v>335</v>
      </c>
      <c r="D2869" t="s">
        <v>8125</v>
      </c>
      <c r="E2869">
        <v>33</v>
      </c>
      <c r="F2869" t="s">
        <v>5163</v>
      </c>
      <c r="G2869" t="s">
        <v>5164</v>
      </c>
    </row>
    <row r="2870" spans="1:7" hidden="1">
      <c r="A2870" s="5" t="s">
        <v>4590</v>
      </c>
      <c r="B2870" t="s">
        <v>5161</v>
      </c>
      <c r="C2870" t="s">
        <v>335</v>
      </c>
      <c r="D2870" t="s">
        <v>8126</v>
      </c>
      <c r="E2870">
        <v>38</v>
      </c>
      <c r="F2870" t="s">
        <v>5172</v>
      </c>
      <c r="G2870" t="s">
        <v>5164</v>
      </c>
    </row>
    <row r="2871" spans="1:7" hidden="1">
      <c r="A2871" s="5" t="s">
        <v>2104</v>
      </c>
      <c r="B2871" t="s">
        <v>5161</v>
      </c>
      <c r="C2871" t="s">
        <v>335</v>
      </c>
      <c r="D2871" t="s">
        <v>8127</v>
      </c>
      <c r="E2871">
        <v>33</v>
      </c>
      <c r="F2871" t="s">
        <v>5163</v>
      </c>
      <c r="G2871" t="s">
        <v>1905</v>
      </c>
    </row>
    <row r="2872" spans="1:7" hidden="1">
      <c r="A2872" s="5" t="s">
        <v>3027</v>
      </c>
      <c r="B2872" t="s">
        <v>5161</v>
      </c>
      <c r="C2872" t="s">
        <v>335</v>
      </c>
      <c r="D2872" t="s">
        <v>8128</v>
      </c>
      <c r="E2872">
        <v>22</v>
      </c>
      <c r="F2872" t="s">
        <v>5163</v>
      </c>
      <c r="G2872" t="s">
        <v>1905</v>
      </c>
    </row>
    <row r="2873" spans="1:7" hidden="1">
      <c r="A2873" s="5" t="s">
        <v>2200</v>
      </c>
      <c r="B2873" t="s">
        <v>5161</v>
      </c>
      <c r="C2873" t="s">
        <v>335</v>
      </c>
      <c r="D2873" t="s">
        <v>8129</v>
      </c>
      <c r="E2873">
        <v>29</v>
      </c>
      <c r="F2873" t="s">
        <v>5163</v>
      </c>
      <c r="G2873" t="s">
        <v>5169</v>
      </c>
    </row>
    <row r="2874" spans="1:7" hidden="1">
      <c r="A2874" s="5" t="s">
        <v>4587</v>
      </c>
      <c r="B2874" t="s">
        <v>5161</v>
      </c>
      <c r="C2874" t="s">
        <v>335</v>
      </c>
      <c r="D2874" t="s">
        <v>8130</v>
      </c>
      <c r="E2874">
        <v>36</v>
      </c>
      <c r="F2874" t="s">
        <v>5163</v>
      </c>
      <c r="G2874" t="s">
        <v>5164</v>
      </c>
    </row>
    <row r="2875" spans="1:7" hidden="1">
      <c r="A2875" s="5" t="s">
        <v>334</v>
      </c>
      <c r="B2875" t="s">
        <v>5161</v>
      </c>
      <c r="C2875" t="s">
        <v>335</v>
      </c>
      <c r="D2875" t="s">
        <v>531</v>
      </c>
      <c r="E2875">
        <v>20</v>
      </c>
      <c r="F2875" t="s">
        <v>5163</v>
      </c>
      <c r="G2875" t="s">
        <v>5164</v>
      </c>
    </row>
    <row r="2876" spans="1:7" hidden="1">
      <c r="A2876" s="5" t="s">
        <v>5084</v>
      </c>
      <c r="B2876" t="s">
        <v>5161</v>
      </c>
      <c r="C2876" t="s">
        <v>335</v>
      </c>
      <c r="D2876" t="s">
        <v>8131</v>
      </c>
      <c r="E2876">
        <v>18</v>
      </c>
      <c r="F2876" t="s">
        <v>5163</v>
      </c>
      <c r="G2876" t="s">
        <v>5164</v>
      </c>
    </row>
    <row r="2877" spans="1:7" hidden="1">
      <c r="A2877" s="5" t="s">
        <v>5084</v>
      </c>
      <c r="B2877" t="s">
        <v>5161</v>
      </c>
      <c r="C2877" t="s">
        <v>335</v>
      </c>
      <c r="D2877" t="s">
        <v>8132</v>
      </c>
      <c r="E2877">
        <v>19</v>
      </c>
      <c r="F2877" t="s">
        <v>5163</v>
      </c>
      <c r="G2877" t="s">
        <v>5164</v>
      </c>
    </row>
    <row r="2878" spans="1:7" hidden="1">
      <c r="A2878" s="5" t="s">
        <v>5084</v>
      </c>
      <c r="B2878" t="s">
        <v>5161</v>
      </c>
      <c r="C2878" t="s">
        <v>335</v>
      </c>
      <c r="D2878" t="s">
        <v>8133</v>
      </c>
      <c r="E2878">
        <v>19</v>
      </c>
      <c r="F2878" t="s">
        <v>5163</v>
      </c>
      <c r="G2878" t="s">
        <v>5164</v>
      </c>
    </row>
    <row r="2879" spans="1:7" hidden="1">
      <c r="A2879" s="5" t="s">
        <v>3834</v>
      </c>
      <c r="B2879" t="s">
        <v>5161</v>
      </c>
      <c r="C2879" t="s">
        <v>335</v>
      </c>
      <c r="D2879" t="s">
        <v>8134</v>
      </c>
      <c r="E2879">
        <v>18</v>
      </c>
      <c r="F2879" t="s">
        <v>5163</v>
      </c>
      <c r="G2879" t="s">
        <v>5169</v>
      </c>
    </row>
    <row r="2880" spans="1:7" hidden="1">
      <c r="A2880" s="5" t="s">
        <v>4262</v>
      </c>
      <c r="B2880" t="s">
        <v>5161</v>
      </c>
      <c r="C2880" t="s">
        <v>335</v>
      </c>
      <c r="D2880" t="s">
        <v>8135</v>
      </c>
      <c r="E2880">
        <v>27</v>
      </c>
      <c r="F2880" t="s">
        <v>5163</v>
      </c>
      <c r="G2880" t="s">
        <v>5164</v>
      </c>
    </row>
    <row r="2881" spans="1:7" hidden="1">
      <c r="A2881" s="5" t="s">
        <v>3927</v>
      </c>
      <c r="B2881" t="s">
        <v>5161</v>
      </c>
      <c r="C2881" t="s">
        <v>335</v>
      </c>
      <c r="D2881" t="s">
        <v>8136</v>
      </c>
      <c r="E2881">
        <v>22</v>
      </c>
      <c r="F2881" t="s">
        <v>5163</v>
      </c>
      <c r="G2881" t="s">
        <v>5169</v>
      </c>
    </row>
    <row r="2882" spans="1:7" hidden="1">
      <c r="A2882" s="5" t="s">
        <v>8137</v>
      </c>
      <c r="B2882" t="s">
        <v>5161</v>
      </c>
      <c r="C2882" t="s">
        <v>335</v>
      </c>
      <c r="D2882" t="s">
        <v>8138</v>
      </c>
      <c r="E2882">
        <v>37</v>
      </c>
      <c r="F2882" t="s">
        <v>5163</v>
      </c>
      <c r="G2882" t="s">
        <v>5182</v>
      </c>
    </row>
    <row r="2883" spans="1:7" hidden="1">
      <c r="A2883" s="5" t="s">
        <v>4236</v>
      </c>
      <c r="B2883" t="s">
        <v>5161</v>
      </c>
      <c r="C2883" t="s">
        <v>335</v>
      </c>
      <c r="D2883" t="s">
        <v>8139</v>
      </c>
      <c r="E2883">
        <v>19</v>
      </c>
      <c r="F2883" t="s">
        <v>5172</v>
      </c>
      <c r="G2883" t="s">
        <v>5164</v>
      </c>
    </row>
    <row r="2884" spans="1:7" hidden="1">
      <c r="A2884" s="5" t="s">
        <v>4645</v>
      </c>
      <c r="B2884" t="s">
        <v>5161</v>
      </c>
      <c r="C2884" t="s">
        <v>335</v>
      </c>
      <c r="D2884" t="s">
        <v>8140</v>
      </c>
      <c r="E2884">
        <v>30</v>
      </c>
      <c r="F2884" t="s">
        <v>5163</v>
      </c>
      <c r="G2884" t="s">
        <v>5164</v>
      </c>
    </row>
    <row r="2885" spans="1:7" hidden="1">
      <c r="A2885" s="5" t="s">
        <v>3129</v>
      </c>
      <c r="B2885" t="s">
        <v>5161</v>
      </c>
      <c r="C2885" t="s">
        <v>335</v>
      </c>
      <c r="D2885" t="s">
        <v>8141</v>
      </c>
      <c r="E2885">
        <v>34</v>
      </c>
      <c r="F2885" t="s">
        <v>5163</v>
      </c>
      <c r="G2885" t="s">
        <v>5169</v>
      </c>
    </row>
    <row r="2886" spans="1:7" hidden="1">
      <c r="A2886" s="5" t="s">
        <v>2472</v>
      </c>
      <c r="B2886" t="s">
        <v>5161</v>
      </c>
      <c r="C2886" t="s">
        <v>335</v>
      </c>
      <c r="D2886" t="s">
        <v>8142</v>
      </c>
      <c r="E2886">
        <v>23</v>
      </c>
      <c r="F2886" t="s">
        <v>5172</v>
      </c>
      <c r="G2886" t="s">
        <v>5164</v>
      </c>
    </row>
    <row r="2887" spans="1:7" hidden="1">
      <c r="A2887" s="5" t="s">
        <v>2472</v>
      </c>
      <c r="B2887" t="s">
        <v>5161</v>
      </c>
      <c r="C2887" t="s">
        <v>335</v>
      </c>
      <c r="D2887" t="s">
        <v>8143</v>
      </c>
      <c r="E2887">
        <v>23</v>
      </c>
      <c r="F2887" t="s">
        <v>5172</v>
      </c>
      <c r="G2887" t="s">
        <v>5169</v>
      </c>
    </row>
    <row r="2888" spans="1:7" hidden="1">
      <c r="A2888" s="5" t="s">
        <v>2472</v>
      </c>
      <c r="B2888" t="s">
        <v>5161</v>
      </c>
      <c r="C2888" t="s">
        <v>335</v>
      </c>
      <c r="D2888" t="s">
        <v>8144</v>
      </c>
      <c r="E2888">
        <v>30</v>
      </c>
      <c r="F2888" t="s">
        <v>5163</v>
      </c>
      <c r="G2888" t="s">
        <v>5164</v>
      </c>
    </row>
    <row r="2889" spans="1:7" hidden="1">
      <c r="A2889" s="5" t="s">
        <v>8145</v>
      </c>
      <c r="B2889" t="s">
        <v>5161</v>
      </c>
      <c r="C2889" t="s">
        <v>335</v>
      </c>
      <c r="D2889" t="s">
        <v>8146</v>
      </c>
      <c r="E2889">
        <v>18</v>
      </c>
      <c r="F2889" t="s">
        <v>5163</v>
      </c>
      <c r="G2889" t="s">
        <v>5164</v>
      </c>
    </row>
    <row r="2890" spans="1:7" hidden="1">
      <c r="A2890" s="5" t="s">
        <v>3974</v>
      </c>
      <c r="B2890" t="s">
        <v>5161</v>
      </c>
      <c r="C2890" t="s">
        <v>335</v>
      </c>
      <c r="D2890" t="s">
        <v>8147</v>
      </c>
      <c r="E2890">
        <v>47</v>
      </c>
      <c r="F2890" t="s">
        <v>5163</v>
      </c>
      <c r="G2890" t="s">
        <v>5169</v>
      </c>
    </row>
    <row r="2891" spans="1:7" hidden="1">
      <c r="A2891" s="5" t="s">
        <v>3594</v>
      </c>
      <c r="B2891" t="s">
        <v>5161</v>
      </c>
      <c r="C2891" t="s">
        <v>335</v>
      </c>
      <c r="D2891" t="s">
        <v>8148</v>
      </c>
      <c r="E2891">
        <v>21</v>
      </c>
      <c r="F2891" t="s">
        <v>5163</v>
      </c>
      <c r="G2891" t="s">
        <v>5164</v>
      </c>
    </row>
    <row r="2892" spans="1:7" hidden="1">
      <c r="A2892" s="5" t="s">
        <v>332</v>
      </c>
      <c r="B2892" t="s">
        <v>5161</v>
      </c>
      <c r="C2892" t="s">
        <v>335</v>
      </c>
      <c r="D2892" t="s">
        <v>8149</v>
      </c>
      <c r="E2892">
        <v>20</v>
      </c>
      <c r="F2892" t="s">
        <v>5163</v>
      </c>
      <c r="G2892" t="s">
        <v>5164</v>
      </c>
    </row>
    <row r="2893" spans="1:7" hidden="1">
      <c r="A2893" s="5" t="s">
        <v>3699</v>
      </c>
      <c r="B2893" t="s">
        <v>5161</v>
      </c>
      <c r="C2893" t="s">
        <v>335</v>
      </c>
      <c r="D2893" t="s">
        <v>8150</v>
      </c>
      <c r="E2893">
        <v>34</v>
      </c>
      <c r="F2893" t="s">
        <v>5163</v>
      </c>
      <c r="G2893" t="s">
        <v>1905</v>
      </c>
    </row>
    <row r="2894" spans="1:7" hidden="1">
      <c r="A2894" s="5" t="s">
        <v>3522</v>
      </c>
      <c r="B2894" t="s">
        <v>5161</v>
      </c>
      <c r="C2894" t="s">
        <v>335</v>
      </c>
      <c r="D2894" t="s">
        <v>8151</v>
      </c>
      <c r="E2894">
        <v>26</v>
      </c>
      <c r="F2894" t="s">
        <v>5163</v>
      </c>
      <c r="G2894" t="s">
        <v>1905</v>
      </c>
    </row>
    <row r="2895" spans="1:7" hidden="1">
      <c r="A2895" s="5" t="s">
        <v>2926</v>
      </c>
      <c r="B2895" t="s">
        <v>5161</v>
      </c>
      <c r="C2895" t="s">
        <v>335</v>
      </c>
      <c r="D2895" t="s">
        <v>8152</v>
      </c>
      <c r="E2895">
        <v>25</v>
      </c>
      <c r="F2895" t="s">
        <v>5163</v>
      </c>
      <c r="G2895" t="s">
        <v>5164</v>
      </c>
    </row>
    <row r="2896" spans="1:7" hidden="1">
      <c r="A2896" s="5" t="s">
        <v>2926</v>
      </c>
      <c r="B2896" t="s">
        <v>5161</v>
      </c>
      <c r="C2896" t="s">
        <v>335</v>
      </c>
      <c r="D2896" t="s">
        <v>8153</v>
      </c>
      <c r="E2896">
        <v>39</v>
      </c>
      <c r="F2896" t="s">
        <v>5163</v>
      </c>
      <c r="G2896" t="s">
        <v>5164</v>
      </c>
    </row>
    <row r="2897" spans="1:7" hidden="1">
      <c r="A2897" s="5" t="s">
        <v>2835</v>
      </c>
      <c r="B2897" t="s">
        <v>5161</v>
      </c>
      <c r="C2897" t="s">
        <v>335</v>
      </c>
      <c r="D2897" t="s">
        <v>849</v>
      </c>
      <c r="E2897">
        <v>39</v>
      </c>
      <c r="F2897" t="s">
        <v>5163</v>
      </c>
      <c r="G2897" t="s">
        <v>1905</v>
      </c>
    </row>
    <row r="2898" spans="1:7" hidden="1">
      <c r="A2898" s="5" t="s">
        <v>3483</v>
      </c>
      <c r="B2898" t="s">
        <v>5161</v>
      </c>
      <c r="C2898" t="s">
        <v>335</v>
      </c>
      <c r="D2898" t="s">
        <v>8154</v>
      </c>
      <c r="E2898">
        <v>40</v>
      </c>
      <c r="F2898" t="s">
        <v>5163</v>
      </c>
      <c r="G2898" t="s">
        <v>5164</v>
      </c>
    </row>
    <row r="2899" spans="1:7" hidden="1">
      <c r="A2899" s="5" t="s">
        <v>2232</v>
      </c>
      <c r="B2899" t="s">
        <v>5161</v>
      </c>
      <c r="C2899" t="s">
        <v>335</v>
      </c>
      <c r="D2899" t="s">
        <v>8155</v>
      </c>
      <c r="E2899">
        <v>35</v>
      </c>
      <c r="F2899" t="s">
        <v>5163</v>
      </c>
      <c r="G2899" t="s">
        <v>1905</v>
      </c>
    </row>
    <row r="2900" spans="1:7" hidden="1">
      <c r="A2900" s="5" t="s">
        <v>3401</v>
      </c>
      <c r="B2900" t="s">
        <v>5161</v>
      </c>
      <c r="C2900" t="s">
        <v>335</v>
      </c>
      <c r="D2900" t="s">
        <v>8156</v>
      </c>
      <c r="E2900">
        <v>19</v>
      </c>
      <c r="F2900" t="s">
        <v>5163</v>
      </c>
      <c r="G2900" t="s">
        <v>1905</v>
      </c>
    </row>
    <row r="2901" spans="1:7" hidden="1">
      <c r="A2901" s="5" t="s">
        <v>325</v>
      </c>
      <c r="B2901" t="s">
        <v>5161</v>
      </c>
      <c r="C2901" t="s">
        <v>335</v>
      </c>
      <c r="D2901" t="s">
        <v>8157</v>
      </c>
      <c r="E2901">
        <v>21</v>
      </c>
      <c r="F2901" t="s">
        <v>5163</v>
      </c>
      <c r="G2901" t="s">
        <v>5164</v>
      </c>
    </row>
    <row r="2902" spans="1:7" hidden="1">
      <c r="A2902" s="5" t="s">
        <v>3558</v>
      </c>
      <c r="B2902" t="s">
        <v>5161</v>
      </c>
      <c r="C2902" t="s">
        <v>335</v>
      </c>
      <c r="D2902" t="s">
        <v>8158</v>
      </c>
      <c r="E2902">
        <v>20</v>
      </c>
      <c r="F2902" t="s">
        <v>5163</v>
      </c>
      <c r="G2902" t="s">
        <v>1905</v>
      </c>
    </row>
    <row r="2903" spans="1:7" hidden="1">
      <c r="A2903" s="5" t="s">
        <v>2432</v>
      </c>
      <c r="B2903" t="s">
        <v>5161</v>
      </c>
      <c r="C2903" t="s">
        <v>335</v>
      </c>
      <c r="D2903" t="s">
        <v>8159</v>
      </c>
      <c r="E2903">
        <v>20</v>
      </c>
      <c r="F2903" t="s">
        <v>5163</v>
      </c>
      <c r="G2903" t="s">
        <v>1905</v>
      </c>
    </row>
    <row r="2904" spans="1:7" hidden="1">
      <c r="A2904" s="5" t="s">
        <v>4953</v>
      </c>
      <c r="B2904" t="s">
        <v>5161</v>
      </c>
      <c r="C2904" t="s">
        <v>335</v>
      </c>
      <c r="D2904" t="s">
        <v>8160</v>
      </c>
      <c r="E2904">
        <v>28</v>
      </c>
      <c r="F2904" t="s">
        <v>5172</v>
      </c>
      <c r="G2904" t="s">
        <v>5164</v>
      </c>
    </row>
    <row r="2905" spans="1:7" hidden="1">
      <c r="A2905" s="5" t="s">
        <v>2611</v>
      </c>
      <c r="B2905" t="s">
        <v>5161</v>
      </c>
      <c r="C2905" t="s">
        <v>335</v>
      </c>
      <c r="D2905" t="s">
        <v>8161</v>
      </c>
      <c r="E2905">
        <v>20</v>
      </c>
      <c r="F2905" t="s">
        <v>5163</v>
      </c>
      <c r="G2905" t="s">
        <v>5164</v>
      </c>
    </row>
    <row r="2906" spans="1:7" hidden="1">
      <c r="A2906" s="5" t="s">
        <v>2611</v>
      </c>
      <c r="B2906" t="s">
        <v>5161</v>
      </c>
      <c r="C2906" t="s">
        <v>335</v>
      </c>
      <c r="D2906" t="s">
        <v>8162</v>
      </c>
      <c r="E2906">
        <v>19</v>
      </c>
      <c r="F2906" t="s">
        <v>5163</v>
      </c>
      <c r="G2906" t="s">
        <v>5169</v>
      </c>
    </row>
    <row r="2907" spans="1:7" hidden="1">
      <c r="A2907" s="5" t="s">
        <v>2611</v>
      </c>
      <c r="B2907" t="s">
        <v>5161</v>
      </c>
      <c r="C2907" t="s">
        <v>335</v>
      </c>
      <c r="D2907" t="s">
        <v>8163</v>
      </c>
      <c r="E2907">
        <v>21</v>
      </c>
      <c r="F2907" t="s">
        <v>5163</v>
      </c>
      <c r="G2907" t="s">
        <v>5164</v>
      </c>
    </row>
    <row r="2908" spans="1:7" hidden="1">
      <c r="A2908" s="5" t="s">
        <v>4072</v>
      </c>
      <c r="B2908" t="s">
        <v>5161</v>
      </c>
      <c r="C2908" t="s">
        <v>335</v>
      </c>
      <c r="D2908" t="s">
        <v>8164</v>
      </c>
      <c r="E2908">
        <v>31</v>
      </c>
      <c r="F2908" t="s">
        <v>5163</v>
      </c>
      <c r="G2908" t="s">
        <v>5169</v>
      </c>
    </row>
    <row r="2909" spans="1:7" hidden="1">
      <c r="A2909" s="5" t="s">
        <v>8165</v>
      </c>
      <c r="B2909" t="s">
        <v>5161</v>
      </c>
      <c r="C2909" t="s">
        <v>335</v>
      </c>
      <c r="D2909" t="s">
        <v>8166</v>
      </c>
      <c r="E2909" t="s">
        <v>5182</v>
      </c>
      <c r="F2909" t="s">
        <v>5163</v>
      </c>
      <c r="G2909" t="s">
        <v>1905</v>
      </c>
    </row>
    <row r="2910" spans="1:7" hidden="1">
      <c r="A2910" s="5" t="s">
        <v>2363</v>
      </c>
      <c r="B2910" t="s">
        <v>5161</v>
      </c>
      <c r="C2910" t="s">
        <v>335</v>
      </c>
      <c r="D2910" t="s">
        <v>8167</v>
      </c>
      <c r="E2910">
        <v>18</v>
      </c>
      <c r="F2910" t="s">
        <v>5163</v>
      </c>
      <c r="G2910" t="s">
        <v>1905</v>
      </c>
    </row>
    <row r="2911" spans="1:7" hidden="1">
      <c r="A2911" s="5" t="s">
        <v>8168</v>
      </c>
      <c r="B2911" t="s">
        <v>5161</v>
      </c>
      <c r="C2911" t="s">
        <v>335</v>
      </c>
      <c r="D2911" t="s">
        <v>8169</v>
      </c>
      <c r="E2911">
        <v>22</v>
      </c>
      <c r="F2911" t="s">
        <v>5172</v>
      </c>
      <c r="G2911" t="s">
        <v>1905</v>
      </c>
    </row>
    <row r="2912" spans="1:7" hidden="1">
      <c r="A2912" s="5" t="s">
        <v>328</v>
      </c>
      <c r="B2912" t="s">
        <v>5161</v>
      </c>
      <c r="C2912" t="s">
        <v>335</v>
      </c>
      <c r="D2912" t="s">
        <v>850</v>
      </c>
      <c r="E2912">
        <v>20</v>
      </c>
      <c r="F2912" t="s">
        <v>5163</v>
      </c>
      <c r="G2912" t="s">
        <v>5164</v>
      </c>
    </row>
    <row r="2913" spans="1:7" hidden="1">
      <c r="A2913" s="5" t="s">
        <v>2096</v>
      </c>
      <c r="B2913" t="s">
        <v>5161</v>
      </c>
      <c r="C2913" t="s">
        <v>335</v>
      </c>
      <c r="D2913" t="s">
        <v>8170</v>
      </c>
      <c r="E2913">
        <v>29</v>
      </c>
      <c r="F2913" t="s">
        <v>5163</v>
      </c>
      <c r="G2913" t="s">
        <v>1905</v>
      </c>
    </row>
    <row r="2914" spans="1:7" hidden="1">
      <c r="A2914" s="5" t="s">
        <v>2096</v>
      </c>
      <c r="B2914" t="s">
        <v>5161</v>
      </c>
      <c r="C2914" t="s">
        <v>335</v>
      </c>
      <c r="D2914" t="s">
        <v>8171</v>
      </c>
      <c r="E2914">
        <v>26</v>
      </c>
      <c r="F2914" t="s">
        <v>5163</v>
      </c>
      <c r="G2914" t="s">
        <v>1905</v>
      </c>
    </row>
    <row r="2915" spans="1:7" hidden="1">
      <c r="A2915" s="5" t="s">
        <v>2096</v>
      </c>
      <c r="B2915" t="s">
        <v>5161</v>
      </c>
      <c r="C2915" t="s">
        <v>335</v>
      </c>
      <c r="D2915" t="s">
        <v>8172</v>
      </c>
      <c r="E2915">
        <v>19</v>
      </c>
      <c r="F2915" t="s">
        <v>5163</v>
      </c>
      <c r="G2915" t="s">
        <v>5169</v>
      </c>
    </row>
    <row r="2916" spans="1:7" hidden="1">
      <c r="A2916" s="5" t="s">
        <v>4459</v>
      </c>
      <c r="B2916" t="s">
        <v>5161</v>
      </c>
      <c r="C2916" t="s">
        <v>335</v>
      </c>
      <c r="D2916" t="s">
        <v>8173</v>
      </c>
      <c r="E2916">
        <v>23</v>
      </c>
      <c r="F2916" t="s">
        <v>5163</v>
      </c>
      <c r="G2916" t="s">
        <v>5164</v>
      </c>
    </row>
    <row r="2917" spans="1:7" hidden="1">
      <c r="A2917" s="5" t="s">
        <v>3094</v>
      </c>
      <c r="B2917" t="s">
        <v>5161</v>
      </c>
      <c r="C2917" t="s">
        <v>335</v>
      </c>
      <c r="D2917" t="s">
        <v>8174</v>
      </c>
      <c r="E2917">
        <v>21</v>
      </c>
      <c r="F2917" t="s">
        <v>5163</v>
      </c>
      <c r="G2917" t="s">
        <v>1905</v>
      </c>
    </row>
    <row r="2918" spans="1:7" hidden="1">
      <c r="A2918" s="5" t="s">
        <v>3094</v>
      </c>
      <c r="B2918" t="s">
        <v>5161</v>
      </c>
      <c r="C2918" t="s">
        <v>335</v>
      </c>
      <c r="D2918" t="s">
        <v>8175</v>
      </c>
      <c r="E2918">
        <v>22</v>
      </c>
      <c r="F2918" t="s">
        <v>5163</v>
      </c>
      <c r="G2918" t="s">
        <v>5164</v>
      </c>
    </row>
    <row r="2919" spans="1:7" hidden="1">
      <c r="A2919" s="5" t="s">
        <v>329</v>
      </c>
      <c r="B2919" t="s">
        <v>5161</v>
      </c>
      <c r="C2919" t="s">
        <v>335</v>
      </c>
      <c r="D2919" t="s">
        <v>851</v>
      </c>
      <c r="E2919">
        <v>29</v>
      </c>
      <c r="F2919" t="s">
        <v>5163</v>
      </c>
      <c r="G2919" t="s">
        <v>5164</v>
      </c>
    </row>
    <row r="2920" spans="1:7" hidden="1">
      <c r="A2920" s="5" t="s">
        <v>2832</v>
      </c>
      <c r="B2920" t="s">
        <v>5161</v>
      </c>
      <c r="C2920" t="s">
        <v>335</v>
      </c>
      <c r="D2920" t="s">
        <v>8176</v>
      </c>
      <c r="E2920">
        <v>18</v>
      </c>
      <c r="F2920" t="s">
        <v>5163</v>
      </c>
      <c r="G2920" t="s">
        <v>5169</v>
      </c>
    </row>
    <row r="2921" spans="1:7" hidden="1">
      <c r="A2921" s="5" t="s">
        <v>3370</v>
      </c>
      <c r="B2921" t="s">
        <v>5161</v>
      </c>
      <c r="C2921" t="s">
        <v>335</v>
      </c>
      <c r="D2921" t="s">
        <v>8177</v>
      </c>
      <c r="E2921">
        <v>19</v>
      </c>
      <c r="F2921" t="s">
        <v>5163</v>
      </c>
      <c r="G2921" t="s">
        <v>5164</v>
      </c>
    </row>
    <row r="2922" spans="1:7" hidden="1">
      <c r="A2922" s="5" t="s">
        <v>8178</v>
      </c>
      <c r="B2922" t="s">
        <v>5161</v>
      </c>
      <c r="C2922" t="s">
        <v>335</v>
      </c>
      <c r="D2922" t="s">
        <v>8179</v>
      </c>
      <c r="E2922" t="s">
        <v>5182</v>
      </c>
      <c r="F2922" t="s">
        <v>5163</v>
      </c>
      <c r="G2922" t="s">
        <v>5182</v>
      </c>
    </row>
    <row r="2923" spans="1:7" hidden="1">
      <c r="A2923" s="5" t="s">
        <v>4281</v>
      </c>
      <c r="B2923" t="s">
        <v>5161</v>
      </c>
      <c r="C2923" t="s">
        <v>335</v>
      </c>
      <c r="D2923" t="s">
        <v>8180</v>
      </c>
      <c r="E2923">
        <v>19</v>
      </c>
      <c r="F2923" t="s">
        <v>5163</v>
      </c>
      <c r="G2923" t="s">
        <v>5169</v>
      </c>
    </row>
    <row r="2924" spans="1:7" hidden="1">
      <c r="A2924" s="5" t="s">
        <v>4124</v>
      </c>
      <c r="B2924" t="s">
        <v>5161</v>
      </c>
      <c r="C2924" t="s">
        <v>335</v>
      </c>
      <c r="D2924" t="s">
        <v>8181</v>
      </c>
      <c r="E2924">
        <v>23</v>
      </c>
      <c r="F2924" t="s">
        <v>5163</v>
      </c>
      <c r="G2924" t="s">
        <v>5164</v>
      </c>
    </row>
    <row r="2925" spans="1:7" hidden="1">
      <c r="A2925" s="5" t="s">
        <v>2648</v>
      </c>
      <c r="B2925" t="s">
        <v>5161</v>
      </c>
      <c r="C2925" t="s">
        <v>335</v>
      </c>
      <c r="D2925" t="s">
        <v>8182</v>
      </c>
      <c r="E2925">
        <v>25</v>
      </c>
      <c r="F2925" t="s">
        <v>5163</v>
      </c>
      <c r="G2925" t="s">
        <v>5164</v>
      </c>
    </row>
    <row r="2926" spans="1:7" hidden="1">
      <c r="A2926" s="5" t="s">
        <v>324</v>
      </c>
      <c r="B2926" t="s">
        <v>5161</v>
      </c>
      <c r="C2926" t="s">
        <v>335</v>
      </c>
      <c r="D2926" t="s">
        <v>8031</v>
      </c>
      <c r="E2926">
        <v>24</v>
      </c>
      <c r="F2926" t="s">
        <v>5163</v>
      </c>
      <c r="G2926" t="s">
        <v>5164</v>
      </c>
    </row>
    <row r="2927" spans="1:7" hidden="1">
      <c r="A2927" s="5" t="s">
        <v>326</v>
      </c>
      <c r="B2927" t="s">
        <v>5161</v>
      </c>
      <c r="C2927" t="s">
        <v>335</v>
      </c>
      <c r="D2927" t="s">
        <v>8183</v>
      </c>
      <c r="E2927">
        <v>36</v>
      </c>
      <c r="F2927" t="s">
        <v>5163</v>
      </c>
      <c r="G2927" t="s">
        <v>5164</v>
      </c>
    </row>
    <row r="2928" spans="1:7" hidden="1">
      <c r="A2928" s="5" t="s">
        <v>2682</v>
      </c>
      <c r="B2928" t="s">
        <v>5161</v>
      </c>
      <c r="C2928" t="s">
        <v>335</v>
      </c>
      <c r="D2928" t="s">
        <v>8184</v>
      </c>
      <c r="E2928">
        <v>22</v>
      </c>
      <c r="F2928" t="s">
        <v>5163</v>
      </c>
      <c r="G2928" t="s">
        <v>5164</v>
      </c>
    </row>
    <row r="2929" spans="1:7" hidden="1">
      <c r="A2929" s="5" t="s">
        <v>4911</v>
      </c>
      <c r="B2929" t="s">
        <v>5161</v>
      </c>
      <c r="C2929" t="s">
        <v>335</v>
      </c>
      <c r="D2929" t="s">
        <v>8185</v>
      </c>
      <c r="E2929">
        <v>36</v>
      </c>
      <c r="F2929" t="s">
        <v>5163</v>
      </c>
      <c r="G2929" t="s">
        <v>5164</v>
      </c>
    </row>
    <row r="2930" spans="1:7" hidden="1">
      <c r="A2930" s="5" t="s">
        <v>3054</v>
      </c>
      <c r="B2930" t="s">
        <v>5161</v>
      </c>
      <c r="C2930" t="s">
        <v>335</v>
      </c>
      <c r="D2930" t="s">
        <v>8186</v>
      </c>
      <c r="E2930">
        <v>20</v>
      </c>
      <c r="F2930" t="s">
        <v>5163</v>
      </c>
      <c r="G2930" t="s">
        <v>5164</v>
      </c>
    </row>
    <row r="2931" spans="1:7" hidden="1">
      <c r="A2931" s="5" t="s">
        <v>4871</v>
      </c>
      <c r="B2931" t="s">
        <v>5161</v>
      </c>
      <c r="C2931" t="s">
        <v>335</v>
      </c>
      <c r="D2931" t="s">
        <v>8187</v>
      </c>
      <c r="E2931">
        <v>21</v>
      </c>
      <c r="F2931" t="s">
        <v>5163</v>
      </c>
      <c r="G2931" t="s">
        <v>5164</v>
      </c>
    </row>
    <row r="2932" spans="1:7" hidden="1">
      <c r="A2932" s="5" t="s">
        <v>4871</v>
      </c>
      <c r="B2932" t="s">
        <v>5161</v>
      </c>
      <c r="C2932" t="s">
        <v>335</v>
      </c>
      <c r="D2932" t="s">
        <v>8188</v>
      </c>
      <c r="E2932">
        <v>16</v>
      </c>
      <c r="F2932" t="s">
        <v>5163</v>
      </c>
      <c r="G2932" t="s">
        <v>5164</v>
      </c>
    </row>
    <row r="2933" spans="1:7" hidden="1">
      <c r="A2933" s="5" t="s">
        <v>5055</v>
      </c>
      <c r="B2933" t="s">
        <v>5161</v>
      </c>
      <c r="C2933" t="s">
        <v>335</v>
      </c>
      <c r="D2933" t="s">
        <v>8189</v>
      </c>
      <c r="E2933">
        <v>24</v>
      </c>
      <c r="F2933" t="s">
        <v>5163</v>
      </c>
      <c r="G2933" t="s">
        <v>1905</v>
      </c>
    </row>
    <row r="2934" spans="1:7" hidden="1">
      <c r="A2934" s="5" t="s">
        <v>4898</v>
      </c>
      <c r="B2934" t="s">
        <v>5161</v>
      </c>
      <c r="C2934" t="s">
        <v>335</v>
      </c>
      <c r="D2934" t="s">
        <v>8190</v>
      </c>
      <c r="E2934">
        <v>18</v>
      </c>
      <c r="F2934" t="s">
        <v>5163</v>
      </c>
      <c r="G2934" t="s">
        <v>5164</v>
      </c>
    </row>
    <row r="2935" spans="1:7" hidden="1">
      <c r="A2935" s="5" t="s">
        <v>330</v>
      </c>
      <c r="B2935" t="s">
        <v>5161</v>
      </c>
      <c r="C2935" t="s">
        <v>335</v>
      </c>
      <c r="D2935" t="s">
        <v>853</v>
      </c>
      <c r="E2935">
        <v>18</v>
      </c>
      <c r="F2935" t="s">
        <v>5163</v>
      </c>
      <c r="G2935" t="s">
        <v>5169</v>
      </c>
    </row>
    <row r="2936" spans="1:7" hidden="1">
      <c r="A2936" s="5" t="s">
        <v>330</v>
      </c>
      <c r="B2936" t="s">
        <v>5161</v>
      </c>
      <c r="C2936" t="s">
        <v>335</v>
      </c>
      <c r="D2936" t="s">
        <v>8191</v>
      </c>
      <c r="E2936">
        <v>19</v>
      </c>
      <c r="F2936" t="s">
        <v>5163</v>
      </c>
      <c r="G2936" t="s">
        <v>5169</v>
      </c>
    </row>
    <row r="2937" spans="1:7" hidden="1">
      <c r="A2937" s="5" t="s">
        <v>4437</v>
      </c>
      <c r="B2937" t="s">
        <v>5161</v>
      </c>
      <c r="C2937" t="s">
        <v>335</v>
      </c>
      <c r="D2937" t="s">
        <v>8192</v>
      </c>
      <c r="E2937">
        <v>26</v>
      </c>
      <c r="F2937" t="s">
        <v>5163</v>
      </c>
      <c r="G2937" t="s">
        <v>5164</v>
      </c>
    </row>
    <row r="2938" spans="1:7" hidden="1">
      <c r="A2938" s="5" t="s">
        <v>4437</v>
      </c>
      <c r="B2938" t="s">
        <v>5161</v>
      </c>
      <c r="C2938" t="s">
        <v>335</v>
      </c>
      <c r="D2938" t="s">
        <v>8193</v>
      </c>
      <c r="E2938">
        <v>50</v>
      </c>
      <c r="F2938" t="s">
        <v>5172</v>
      </c>
      <c r="G2938" t="s">
        <v>5164</v>
      </c>
    </row>
    <row r="2939" spans="1:7" hidden="1">
      <c r="A2939" s="5" t="s">
        <v>4054</v>
      </c>
      <c r="B2939" t="s">
        <v>5161</v>
      </c>
      <c r="C2939" t="s">
        <v>335</v>
      </c>
      <c r="D2939" t="s">
        <v>7120</v>
      </c>
      <c r="E2939">
        <v>34</v>
      </c>
      <c r="F2939" t="s">
        <v>5163</v>
      </c>
      <c r="G2939" t="s">
        <v>1905</v>
      </c>
    </row>
    <row r="2940" spans="1:7" hidden="1">
      <c r="A2940" s="5" t="s">
        <v>3317</v>
      </c>
      <c r="B2940" t="s">
        <v>5161</v>
      </c>
      <c r="C2940" t="s">
        <v>335</v>
      </c>
      <c r="D2940" t="s">
        <v>8194</v>
      </c>
      <c r="E2940">
        <v>18</v>
      </c>
      <c r="F2940" t="s">
        <v>5163</v>
      </c>
      <c r="G2940" t="s">
        <v>5164</v>
      </c>
    </row>
    <row r="2941" spans="1:7" hidden="1">
      <c r="A2941" s="5" t="s">
        <v>4624</v>
      </c>
      <c r="B2941" t="s">
        <v>5161</v>
      </c>
      <c r="C2941" t="s">
        <v>335</v>
      </c>
      <c r="D2941" t="s">
        <v>8195</v>
      </c>
      <c r="E2941">
        <v>26</v>
      </c>
      <c r="F2941" t="s">
        <v>5163</v>
      </c>
      <c r="G2941" t="s">
        <v>5164</v>
      </c>
    </row>
    <row r="2942" spans="1:7" hidden="1">
      <c r="A2942" s="5" t="s">
        <v>2625</v>
      </c>
      <c r="B2942" t="s">
        <v>5161</v>
      </c>
      <c r="C2942" t="s">
        <v>335</v>
      </c>
      <c r="D2942" t="s">
        <v>8196</v>
      </c>
      <c r="E2942">
        <v>47</v>
      </c>
      <c r="F2942" t="s">
        <v>5163</v>
      </c>
      <c r="G2942" t="s">
        <v>1905</v>
      </c>
    </row>
    <row r="2943" spans="1:7" hidden="1">
      <c r="A2943" s="5" t="s">
        <v>2625</v>
      </c>
      <c r="B2943" t="s">
        <v>5161</v>
      </c>
      <c r="C2943" t="s">
        <v>335</v>
      </c>
      <c r="D2943" t="s">
        <v>8197</v>
      </c>
      <c r="E2943">
        <v>37</v>
      </c>
      <c r="F2943" t="s">
        <v>5163</v>
      </c>
      <c r="G2943" t="s">
        <v>1905</v>
      </c>
    </row>
    <row r="2944" spans="1:7" hidden="1">
      <c r="A2944" s="5" t="s">
        <v>2625</v>
      </c>
      <c r="B2944" t="s">
        <v>5161</v>
      </c>
      <c r="C2944" t="s">
        <v>335</v>
      </c>
      <c r="D2944" t="s">
        <v>8198</v>
      </c>
      <c r="E2944">
        <v>30</v>
      </c>
      <c r="F2944" t="s">
        <v>5163</v>
      </c>
      <c r="G2944" t="s">
        <v>1905</v>
      </c>
    </row>
    <row r="2945" spans="1:7" hidden="1">
      <c r="A2945" s="5" t="s">
        <v>2254</v>
      </c>
      <c r="B2945" t="s">
        <v>5161</v>
      </c>
      <c r="C2945" t="s">
        <v>335</v>
      </c>
      <c r="D2945" t="s">
        <v>8199</v>
      </c>
      <c r="E2945">
        <v>29</v>
      </c>
      <c r="F2945" t="s">
        <v>5163</v>
      </c>
      <c r="G2945" t="s">
        <v>5164</v>
      </c>
    </row>
    <row r="2946" spans="1:7" hidden="1">
      <c r="A2946" s="5" t="s">
        <v>8200</v>
      </c>
      <c r="B2946" t="s">
        <v>5161</v>
      </c>
      <c r="C2946" t="s">
        <v>335</v>
      </c>
      <c r="D2946" t="s">
        <v>8201</v>
      </c>
      <c r="E2946" t="s">
        <v>5182</v>
      </c>
      <c r="F2946" t="s">
        <v>5163</v>
      </c>
      <c r="G2946" t="s">
        <v>6817</v>
      </c>
    </row>
    <row r="2947" spans="1:7" hidden="1">
      <c r="A2947" s="5" t="s">
        <v>2299</v>
      </c>
      <c r="B2947" t="s">
        <v>5161</v>
      </c>
      <c r="C2947" t="s">
        <v>335</v>
      </c>
      <c r="D2947" t="s">
        <v>8202</v>
      </c>
      <c r="E2947">
        <v>20</v>
      </c>
      <c r="F2947" t="s">
        <v>5163</v>
      </c>
      <c r="G2947" t="s">
        <v>1905</v>
      </c>
    </row>
    <row r="2948" spans="1:7" hidden="1">
      <c r="A2948" s="5" t="s">
        <v>2965</v>
      </c>
      <c r="B2948" t="s">
        <v>5161</v>
      </c>
      <c r="C2948" t="s">
        <v>335</v>
      </c>
      <c r="D2948" t="s">
        <v>8203</v>
      </c>
      <c r="E2948">
        <v>26</v>
      </c>
      <c r="F2948" t="s">
        <v>5172</v>
      </c>
      <c r="G2948" t="s">
        <v>5164</v>
      </c>
    </row>
    <row r="2949" spans="1:7" hidden="1">
      <c r="A2949" s="5" t="s">
        <v>2965</v>
      </c>
      <c r="B2949" t="s">
        <v>5161</v>
      </c>
      <c r="C2949" t="s">
        <v>335</v>
      </c>
      <c r="D2949" t="s">
        <v>8204</v>
      </c>
      <c r="E2949">
        <v>27</v>
      </c>
      <c r="F2949" t="s">
        <v>5163</v>
      </c>
      <c r="G2949" t="s">
        <v>5164</v>
      </c>
    </row>
    <row r="2950" spans="1:7" hidden="1">
      <c r="A2950" s="5" t="s">
        <v>2965</v>
      </c>
      <c r="B2950" t="s">
        <v>5161</v>
      </c>
      <c r="C2950" t="s">
        <v>335</v>
      </c>
      <c r="D2950" t="s">
        <v>8205</v>
      </c>
      <c r="E2950">
        <v>18</v>
      </c>
      <c r="F2950" t="s">
        <v>5172</v>
      </c>
      <c r="G2950" t="s">
        <v>5164</v>
      </c>
    </row>
    <row r="2951" spans="1:7" hidden="1">
      <c r="A2951" s="5" t="s">
        <v>2965</v>
      </c>
      <c r="B2951" t="s">
        <v>5161</v>
      </c>
      <c r="C2951" t="s">
        <v>335</v>
      </c>
      <c r="D2951" t="s">
        <v>8206</v>
      </c>
      <c r="E2951">
        <v>31</v>
      </c>
      <c r="F2951" t="s">
        <v>5172</v>
      </c>
      <c r="G2951" t="s">
        <v>5164</v>
      </c>
    </row>
    <row r="2952" spans="1:7" hidden="1">
      <c r="A2952" s="5" t="s">
        <v>2965</v>
      </c>
      <c r="B2952" t="s">
        <v>5161</v>
      </c>
      <c r="C2952" t="s">
        <v>335</v>
      </c>
      <c r="D2952" t="s">
        <v>8207</v>
      </c>
      <c r="E2952">
        <v>21</v>
      </c>
      <c r="F2952" t="s">
        <v>5163</v>
      </c>
      <c r="G2952" t="s">
        <v>5164</v>
      </c>
    </row>
    <row r="2953" spans="1:7" hidden="1">
      <c r="A2953" s="5" t="s">
        <v>8208</v>
      </c>
      <c r="B2953" t="s">
        <v>5161</v>
      </c>
      <c r="C2953" t="s">
        <v>335</v>
      </c>
      <c r="D2953" t="s">
        <v>8209</v>
      </c>
      <c r="E2953" t="s">
        <v>5182</v>
      </c>
      <c r="F2953" t="s">
        <v>5163</v>
      </c>
      <c r="G2953" t="s">
        <v>5182</v>
      </c>
    </row>
    <row r="2954" spans="1:7" hidden="1">
      <c r="A2954" s="5" t="s">
        <v>3788</v>
      </c>
      <c r="B2954" t="s">
        <v>5161</v>
      </c>
      <c r="C2954" t="s">
        <v>335</v>
      </c>
      <c r="D2954" t="s">
        <v>8210</v>
      </c>
      <c r="E2954">
        <v>20</v>
      </c>
      <c r="F2954" t="s">
        <v>5163</v>
      </c>
      <c r="G2954" t="s">
        <v>1905</v>
      </c>
    </row>
    <row r="2955" spans="1:7" hidden="1">
      <c r="A2955" s="5" t="s">
        <v>3788</v>
      </c>
      <c r="B2955" t="s">
        <v>5161</v>
      </c>
      <c r="C2955" t="s">
        <v>335</v>
      </c>
      <c r="D2955" t="s">
        <v>8211</v>
      </c>
      <c r="E2955">
        <v>25</v>
      </c>
      <c r="F2955" t="s">
        <v>5163</v>
      </c>
      <c r="G2955" t="s">
        <v>1905</v>
      </c>
    </row>
    <row r="2956" spans="1:7" hidden="1">
      <c r="A2956" s="5" t="s">
        <v>3879</v>
      </c>
      <c r="B2956" t="s">
        <v>5161</v>
      </c>
      <c r="C2956" t="s">
        <v>335</v>
      </c>
      <c r="D2956" t="s">
        <v>8212</v>
      </c>
      <c r="E2956">
        <v>22</v>
      </c>
      <c r="F2956" t="s">
        <v>5163</v>
      </c>
      <c r="G2956" t="s">
        <v>5169</v>
      </c>
    </row>
    <row r="2957" spans="1:7" hidden="1">
      <c r="A2957" s="5" t="s">
        <v>2460</v>
      </c>
      <c r="B2957" t="s">
        <v>5161</v>
      </c>
      <c r="C2957" t="s">
        <v>335</v>
      </c>
      <c r="D2957" t="s">
        <v>8213</v>
      </c>
      <c r="E2957">
        <v>24</v>
      </c>
      <c r="F2957" t="s">
        <v>5163</v>
      </c>
      <c r="G2957" t="s">
        <v>5164</v>
      </c>
    </row>
    <row r="2958" spans="1:7" hidden="1">
      <c r="A2958" s="5" t="s">
        <v>3553</v>
      </c>
      <c r="B2958" t="s">
        <v>5161</v>
      </c>
      <c r="C2958" t="s">
        <v>335</v>
      </c>
      <c r="D2958" t="s">
        <v>8214</v>
      </c>
      <c r="E2958">
        <v>18</v>
      </c>
      <c r="F2958" t="s">
        <v>5163</v>
      </c>
      <c r="G2958" t="s">
        <v>1905</v>
      </c>
    </row>
    <row r="2959" spans="1:7" hidden="1">
      <c r="A2959" s="5" t="s">
        <v>3553</v>
      </c>
      <c r="B2959" t="s">
        <v>5161</v>
      </c>
      <c r="C2959" t="s">
        <v>335</v>
      </c>
      <c r="D2959" t="s">
        <v>8215</v>
      </c>
      <c r="E2959">
        <v>22</v>
      </c>
      <c r="F2959" t="s">
        <v>5163</v>
      </c>
      <c r="G2959" t="s">
        <v>1905</v>
      </c>
    </row>
    <row r="2960" spans="1:7" hidden="1">
      <c r="A2960" s="5" t="s">
        <v>4599</v>
      </c>
      <c r="B2960" t="s">
        <v>5161</v>
      </c>
      <c r="C2960" t="s">
        <v>335</v>
      </c>
      <c r="D2960" t="s">
        <v>8216</v>
      </c>
      <c r="E2960">
        <v>25</v>
      </c>
      <c r="F2960" t="s">
        <v>5163</v>
      </c>
      <c r="G2960" t="s">
        <v>1905</v>
      </c>
    </row>
    <row r="2961" spans="1:7" hidden="1">
      <c r="A2961" s="5" t="s">
        <v>4569</v>
      </c>
      <c r="B2961" t="s">
        <v>5161</v>
      </c>
      <c r="C2961" t="s">
        <v>335</v>
      </c>
      <c r="D2961" t="s">
        <v>8217</v>
      </c>
      <c r="E2961">
        <v>19</v>
      </c>
      <c r="F2961" t="s">
        <v>5163</v>
      </c>
      <c r="G2961" t="s">
        <v>5169</v>
      </c>
    </row>
    <row r="2962" spans="1:7" hidden="1">
      <c r="A2962" s="5" t="s">
        <v>4141</v>
      </c>
      <c r="B2962" t="s">
        <v>5161</v>
      </c>
      <c r="C2962" t="s">
        <v>335</v>
      </c>
      <c r="D2962" t="s">
        <v>8218</v>
      </c>
      <c r="E2962">
        <v>61</v>
      </c>
      <c r="F2962" t="s">
        <v>5163</v>
      </c>
      <c r="G2962" t="s">
        <v>1905</v>
      </c>
    </row>
    <row r="2963" spans="1:7" hidden="1">
      <c r="A2963" s="5" t="s">
        <v>4509</v>
      </c>
      <c r="B2963" t="s">
        <v>5161</v>
      </c>
      <c r="C2963" t="s">
        <v>335</v>
      </c>
      <c r="D2963" t="s">
        <v>8219</v>
      </c>
      <c r="E2963">
        <v>20</v>
      </c>
      <c r="F2963" t="s">
        <v>5163</v>
      </c>
      <c r="G2963" t="s">
        <v>5164</v>
      </c>
    </row>
    <row r="2964" spans="1:7" hidden="1">
      <c r="A2964" s="5" t="s">
        <v>4338</v>
      </c>
      <c r="B2964" t="s">
        <v>5161</v>
      </c>
      <c r="C2964" t="s">
        <v>335</v>
      </c>
      <c r="D2964" t="s">
        <v>8220</v>
      </c>
      <c r="E2964">
        <v>19</v>
      </c>
      <c r="F2964" t="s">
        <v>5163</v>
      </c>
      <c r="G2964" t="s">
        <v>5164</v>
      </c>
    </row>
    <row r="2965" spans="1:7" hidden="1">
      <c r="A2965" s="5" t="s">
        <v>4338</v>
      </c>
      <c r="B2965" t="s">
        <v>5161</v>
      </c>
      <c r="C2965" t="s">
        <v>335</v>
      </c>
      <c r="D2965" t="s">
        <v>8221</v>
      </c>
      <c r="E2965">
        <v>23</v>
      </c>
      <c r="F2965" t="s">
        <v>5163</v>
      </c>
      <c r="G2965" t="s">
        <v>1905</v>
      </c>
    </row>
    <row r="2966" spans="1:7" hidden="1">
      <c r="A2966" s="5" t="s">
        <v>333</v>
      </c>
      <c r="B2966" t="s">
        <v>5161</v>
      </c>
      <c r="C2966" t="s">
        <v>335</v>
      </c>
      <c r="D2966" t="s">
        <v>8222</v>
      </c>
      <c r="E2966">
        <v>19</v>
      </c>
      <c r="F2966" t="s">
        <v>5163</v>
      </c>
      <c r="G2966" t="s">
        <v>5164</v>
      </c>
    </row>
    <row r="2967" spans="1:7" hidden="1">
      <c r="A2967" s="5" t="s">
        <v>4178</v>
      </c>
      <c r="B2967" t="s">
        <v>5161</v>
      </c>
      <c r="C2967" t="s">
        <v>335</v>
      </c>
      <c r="D2967" t="s">
        <v>8223</v>
      </c>
      <c r="E2967">
        <v>25</v>
      </c>
      <c r="F2967" t="s">
        <v>5163</v>
      </c>
      <c r="G2967" t="s">
        <v>1905</v>
      </c>
    </row>
    <row r="2968" spans="1:7" hidden="1">
      <c r="A2968" s="5" t="s">
        <v>4466</v>
      </c>
      <c r="B2968" t="s">
        <v>5161</v>
      </c>
      <c r="C2968" t="s">
        <v>335</v>
      </c>
      <c r="D2968" t="s">
        <v>8224</v>
      </c>
      <c r="E2968">
        <v>23</v>
      </c>
      <c r="F2968" t="s">
        <v>5163</v>
      </c>
      <c r="G2968" t="s">
        <v>5164</v>
      </c>
    </row>
    <row r="2969" spans="1:7" hidden="1">
      <c r="A2969" s="5" t="s">
        <v>4280</v>
      </c>
      <c r="B2969" t="s">
        <v>5161</v>
      </c>
      <c r="C2969" t="s">
        <v>335</v>
      </c>
      <c r="D2969" t="s">
        <v>8225</v>
      </c>
      <c r="E2969">
        <v>21</v>
      </c>
      <c r="F2969" t="s">
        <v>5163</v>
      </c>
      <c r="G2969" t="s">
        <v>1905</v>
      </c>
    </row>
    <row r="2970" spans="1:7" hidden="1">
      <c r="A2970" s="5" t="s">
        <v>3875</v>
      </c>
      <c r="B2970" t="s">
        <v>5161</v>
      </c>
      <c r="C2970" t="s">
        <v>335</v>
      </c>
      <c r="D2970" t="s">
        <v>8226</v>
      </c>
      <c r="E2970">
        <v>26</v>
      </c>
      <c r="F2970" t="s">
        <v>5163</v>
      </c>
      <c r="G2970" t="s">
        <v>1905</v>
      </c>
    </row>
    <row r="2971" spans="1:7" hidden="1">
      <c r="A2971" s="5" t="s">
        <v>4397</v>
      </c>
      <c r="B2971" t="s">
        <v>5161</v>
      </c>
      <c r="C2971" t="s">
        <v>335</v>
      </c>
      <c r="D2971" t="s">
        <v>8227</v>
      </c>
      <c r="E2971">
        <v>36</v>
      </c>
      <c r="F2971" t="s">
        <v>5163</v>
      </c>
      <c r="G2971" t="s">
        <v>5169</v>
      </c>
    </row>
    <row r="2972" spans="1:7" hidden="1">
      <c r="A2972" s="5" t="s">
        <v>4022</v>
      </c>
      <c r="B2972" t="s">
        <v>5161</v>
      </c>
      <c r="C2972" t="s">
        <v>335</v>
      </c>
      <c r="D2972" t="s">
        <v>8228</v>
      </c>
      <c r="E2972">
        <v>35</v>
      </c>
      <c r="F2972" t="s">
        <v>5163</v>
      </c>
      <c r="G2972" t="s">
        <v>6496</v>
      </c>
    </row>
    <row r="2973" spans="1:7" hidden="1">
      <c r="A2973" s="5" t="s">
        <v>4341</v>
      </c>
      <c r="B2973" t="s">
        <v>5161</v>
      </c>
      <c r="C2973" t="s">
        <v>335</v>
      </c>
      <c r="D2973" t="s">
        <v>8229</v>
      </c>
      <c r="E2973">
        <v>27</v>
      </c>
      <c r="F2973" t="s">
        <v>5163</v>
      </c>
      <c r="G2973" t="s">
        <v>1905</v>
      </c>
    </row>
    <row r="2974" spans="1:7" hidden="1">
      <c r="A2974" s="5" t="s">
        <v>3880</v>
      </c>
      <c r="B2974" t="s">
        <v>5161</v>
      </c>
      <c r="C2974" t="s">
        <v>335</v>
      </c>
      <c r="D2974" t="s">
        <v>8230</v>
      </c>
      <c r="E2974">
        <v>43</v>
      </c>
      <c r="F2974" t="s">
        <v>5163</v>
      </c>
      <c r="G2974" t="s">
        <v>5169</v>
      </c>
    </row>
    <row r="2975" spans="1:7" hidden="1">
      <c r="A2975" s="5" t="s">
        <v>3880</v>
      </c>
      <c r="B2975" t="s">
        <v>5161</v>
      </c>
      <c r="C2975" t="s">
        <v>335</v>
      </c>
      <c r="D2975" t="s">
        <v>8231</v>
      </c>
      <c r="E2975">
        <v>33</v>
      </c>
      <c r="F2975" t="s">
        <v>5163</v>
      </c>
      <c r="G2975" t="s">
        <v>5169</v>
      </c>
    </row>
    <row r="2976" spans="1:7" hidden="1">
      <c r="A2976" s="5" t="s">
        <v>4116</v>
      </c>
      <c r="B2976" t="s">
        <v>5161</v>
      </c>
      <c r="C2976" t="s">
        <v>335</v>
      </c>
      <c r="D2976" t="s">
        <v>8232</v>
      </c>
      <c r="E2976">
        <v>32</v>
      </c>
      <c r="F2976" t="s">
        <v>5163</v>
      </c>
      <c r="G2976" t="s">
        <v>1905</v>
      </c>
    </row>
    <row r="2977" spans="1:7" hidden="1">
      <c r="A2977" s="5" t="s">
        <v>3931</v>
      </c>
      <c r="B2977" t="s">
        <v>5161</v>
      </c>
      <c r="C2977" t="s">
        <v>335</v>
      </c>
      <c r="D2977" t="s">
        <v>8233</v>
      </c>
      <c r="E2977">
        <v>37</v>
      </c>
      <c r="F2977" t="s">
        <v>5163</v>
      </c>
      <c r="G2977" t="s">
        <v>5169</v>
      </c>
    </row>
    <row r="2978" spans="1:7" hidden="1">
      <c r="A2978" s="5" t="s">
        <v>4788</v>
      </c>
      <c r="B2978" t="s">
        <v>5161</v>
      </c>
      <c r="C2978" t="s">
        <v>335</v>
      </c>
      <c r="D2978" t="s">
        <v>8234</v>
      </c>
      <c r="E2978">
        <v>18</v>
      </c>
      <c r="F2978" t="s">
        <v>5163</v>
      </c>
      <c r="G2978" t="s">
        <v>5164</v>
      </c>
    </row>
    <row r="2979" spans="1:7" hidden="1">
      <c r="A2979" s="5" t="s">
        <v>2713</v>
      </c>
      <c r="B2979" t="s">
        <v>5161</v>
      </c>
      <c r="C2979" t="s">
        <v>335</v>
      </c>
      <c r="D2979" t="s">
        <v>8235</v>
      </c>
      <c r="E2979">
        <v>34</v>
      </c>
      <c r="F2979" t="s">
        <v>5163</v>
      </c>
      <c r="G2979" t="s">
        <v>5484</v>
      </c>
    </row>
    <row r="2980" spans="1:7" hidden="1">
      <c r="A2980" s="5" t="s">
        <v>4502</v>
      </c>
      <c r="B2980" t="s">
        <v>5161</v>
      </c>
      <c r="C2980" t="s">
        <v>335</v>
      </c>
      <c r="D2980" t="s">
        <v>8236</v>
      </c>
      <c r="E2980">
        <v>19</v>
      </c>
      <c r="F2980" t="s">
        <v>5163</v>
      </c>
      <c r="G2980" t="s">
        <v>1905</v>
      </c>
    </row>
    <row r="2981" spans="1:7" hidden="1">
      <c r="A2981" s="5" t="s">
        <v>4996</v>
      </c>
      <c r="B2981" t="s">
        <v>5161</v>
      </c>
      <c r="C2981" t="s">
        <v>335</v>
      </c>
      <c r="D2981" t="s">
        <v>8237</v>
      </c>
      <c r="E2981">
        <v>19</v>
      </c>
      <c r="F2981" t="s">
        <v>5163</v>
      </c>
      <c r="G2981" t="s">
        <v>1905</v>
      </c>
    </row>
    <row r="2982" spans="1:7" hidden="1">
      <c r="A2982" s="5" t="s">
        <v>3905</v>
      </c>
      <c r="B2982" t="s">
        <v>5161</v>
      </c>
      <c r="C2982" t="s">
        <v>335</v>
      </c>
      <c r="D2982" t="s">
        <v>8238</v>
      </c>
      <c r="E2982">
        <v>22</v>
      </c>
      <c r="F2982" t="s">
        <v>5163</v>
      </c>
      <c r="G2982" t="s">
        <v>5164</v>
      </c>
    </row>
    <row r="2983" spans="1:7" hidden="1">
      <c r="A2983" s="5" t="s">
        <v>3618</v>
      </c>
      <c r="B2983" t="s">
        <v>5161</v>
      </c>
      <c r="C2983" t="s">
        <v>335</v>
      </c>
      <c r="D2983" t="s">
        <v>8239</v>
      </c>
      <c r="E2983">
        <v>46</v>
      </c>
      <c r="F2983" t="s">
        <v>5163</v>
      </c>
      <c r="G2983" t="s">
        <v>5164</v>
      </c>
    </row>
    <row r="2984" spans="1:7" hidden="1">
      <c r="A2984" s="5" t="s">
        <v>3618</v>
      </c>
      <c r="B2984" t="s">
        <v>5161</v>
      </c>
      <c r="C2984" t="s">
        <v>335</v>
      </c>
      <c r="D2984" t="s">
        <v>8240</v>
      </c>
      <c r="E2984">
        <v>41</v>
      </c>
      <c r="F2984" t="s">
        <v>5163</v>
      </c>
      <c r="G2984" t="s">
        <v>5164</v>
      </c>
    </row>
    <row r="2985" spans="1:7" hidden="1">
      <c r="A2985" s="5" t="s">
        <v>8241</v>
      </c>
      <c r="B2985" t="s">
        <v>5161</v>
      </c>
      <c r="C2985" t="s">
        <v>335</v>
      </c>
      <c r="D2985" t="s">
        <v>8242</v>
      </c>
      <c r="E2985">
        <v>28</v>
      </c>
      <c r="F2985" t="s">
        <v>5163</v>
      </c>
      <c r="G2985" t="s">
        <v>5164</v>
      </c>
    </row>
    <row r="2986" spans="1:7" hidden="1">
      <c r="A2986" s="5" t="s">
        <v>8241</v>
      </c>
      <c r="B2986" t="s">
        <v>5161</v>
      </c>
      <c r="C2986" t="s">
        <v>335</v>
      </c>
      <c r="D2986" t="s">
        <v>8243</v>
      </c>
      <c r="E2986">
        <v>32</v>
      </c>
      <c r="F2986" t="s">
        <v>5163</v>
      </c>
      <c r="G2986" t="s">
        <v>1905</v>
      </c>
    </row>
    <row r="2987" spans="1:7" hidden="1">
      <c r="A2987" s="5" t="s">
        <v>4643</v>
      </c>
      <c r="B2987" t="s">
        <v>5161</v>
      </c>
      <c r="C2987" t="s">
        <v>335</v>
      </c>
      <c r="D2987" t="s">
        <v>8244</v>
      </c>
      <c r="E2987">
        <v>23</v>
      </c>
      <c r="F2987" t="s">
        <v>5163</v>
      </c>
      <c r="G2987" t="s">
        <v>1905</v>
      </c>
    </row>
    <row r="2988" spans="1:7" hidden="1">
      <c r="A2988" s="5" t="s">
        <v>4078</v>
      </c>
      <c r="B2988" t="s">
        <v>5161</v>
      </c>
      <c r="C2988" t="s">
        <v>335</v>
      </c>
      <c r="D2988" t="s">
        <v>8245</v>
      </c>
      <c r="E2988">
        <v>24</v>
      </c>
      <c r="F2988" t="s">
        <v>5163</v>
      </c>
      <c r="G2988" t="s">
        <v>1905</v>
      </c>
    </row>
    <row r="2989" spans="1:7" hidden="1">
      <c r="A2989" s="5" t="s">
        <v>2647</v>
      </c>
      <c r="B2989" t="s">
        <v>5161</v>
      </c>
      <c r="C2989" t="s">
        <v>335</v>
      </c>
      <c r="D2989" t="s">
        <v>8246</v>
      </c>
      <c r="E2989">
        <v>23</v>
      </c>
      <c r="F2989" t="s">
        <v>5163</v>
      </c>
      <c r="G2989" t="s">
        <v>5164</v>
      </c>
    </row>
    <row r="2990" spans="1:7" hidden="1">
      <c r="A2990" s="5" t="s">
        <v>4995</v>
      </c>
      <c r="B2990" t="s">
        <v>5161</v>
      </c>
      <c r="C2990" t="s">
        <v>335</v>
      </c>
      <c r="D2990" t="s">
        <v>8247</v>
      </c>
      <c r="E2990">
        <v>60</v>
      </c>
      <c r="F2990" t="s">
        <v>5163</v>
      </c>
      <c r="G2990" t="s">
        <v>5164</v>
      </c>
    </row>
    <row r="2991" spans="1:7" hidden="1">
      <c r="A2991" s="5" t="s">
        <v>3454</v>
      </c>
      <c r="B2991" t="s">
        <v>5161</v>
      </c>
      <c r="C2991" t="s">
        <v>335</v>
      </c>
      <c r="D2991" t="s">
        <v>8248</v>
      </c>
      <c r="E2991">
        <v>25</v>
      </c>
      <c r="F2991" t="s">
        <v>5163</v>
      </c>
      <c r="G2991" t="s">
        <v>5164</v>
      </c>
    </row>
    <row r="2992" spans="1:7" hidden="1">
      <c r="A2992" s="5" t="s">
        <v>8249</v>
      </c>
      <c r="B2992" t="s">
        <v>5161</v>
      </c>
      <c r="C2992" t="s">
        <v>335</v>
      </c>
      <c r="D2992" t="s">
        <v>8250</v>
      </c>
      <c r="E2992">
        <v>18</v>
      </c>
      <c r="F2992" t="s">
        <v>5163</v>
      </c>
      <c r="G2992" t="s">
        <v>5164</v>
      </c>
    </row>
    <row r="2993" spans="1:7" hidden="1">
      <c r="A2993" s="5" t="s">
        <v>344</v>
      </c>
      <c r="B2993" t="s">
        <v>5161</v>
      </c>
      <c r="C2993" t="s">
        <v>348</v>
      </c>
      <c r="D2993" t="s">
        <v>8251</v>
      </c>
      <c r="E2993">
        <v>23</v>
      </c>
      <c r="F2993" t="s">
        <v>5163</v>
      </c>
      <c r="G2993" t="s">
        <v>1905</v>
      </c>
    </row>
    <row r="2994" spans="1:7" hidden="1">
      <c r="A2994" s="5" t="s">
        <v>4061</v>
      </c>
      <c r="B2994" t="s">
        <v>5161</v>
      </c>
      <c r="C2994" t="s">
        <v>348</v>
      </c>
      <c r="D2994" t="s">
        <v>8252</v>
      </c>
      <c r="E2994">
        <v>18</v>
      </c>
      <c r="F2994" t="s">
        <v>5163</v>
      </c>
      <c r="G2994" t="s">
        <v>5164</v>
      </c>
    </row>
    <row r="2995" spans="1:7" hidden="1">
      <c r="A2995" s="5" t="s">
        <v>4674</v>
      </c>
      <c r="B2995" t="s">
        <v>5161</v>
      </c>
      <c r="C2995" t="s">
        <v>348</v>
      </c>
      <c r="D2995" t="s">
        <v>8253</v>
      </c>
      <c r="E2995">
        <v>25</v>
      </c>
      <c r="F2995" t="s">
        <v>5163</v>
      </c>
      <c r="G2995" t="s">
        <v>5164</v>
      </c>
    </row>
    <row r="2996" spans="1:7" hidden="1">
      <c r="A2996" s="5" t="s">
        <v>3635</v>
      </c>
      <c r="B2996" t="s">
        <v>5161</v>
      </c>
      <c r="C2996" t="s">
        <v>348</v>
      </c>
      <c r="D2996" t="s">
        <v>8254</v>
      </c>
      <c r="E2996">
        <v>33</v>
      </c>
      <c r="F2996" t="s">
        <v>5172</v>
      </c>
      <c r="G2996" t="s">
        <v>1905</v>
      </c>
    </row>
    <row r="2997" spans="1:7" hidden="1">
      <c r="A2997" s="5" t="s">
        <v>3635</v>
      </c>
      <c r="B2997" t="s">
        <v>5161</v>
      </c>
      <c r="C2997" t="s">
        <v>348</v>
      </c>
      <c r="D2997" t="s">
        <v>8255</v>
      </c>
      <c r="E2997">
        <v>24</v>
      </c>
      <c r="F2997" t="s">
        <v>5163</v>
      </c>
      <c r="G2997" t="s">
        <v>5164</v>
      </c>
    </row>
    <row r="2998" spans="1:7" hidden="1">
      <c r="A2998" s="5" t="s">
        <v>3904</v>
      </c>
      <c r="B2998" t="s">
        <v>5161</v>
      </c>
      <c r="C2998" t="s">
        <v>348</v>
      </c>
      <c r="D2998" t="s">
        <v>8256</v>
      </c>
      <c r="E2998">
        <v>24</v>
      </c>
      <c r="F2998" t="s">
        <v>5163</v>
      </c>
      <c r="G2998" t="s">
        <v>5164</v>
      </c>
    </row>
    <row r="2999" spans="1:7" hidden="1">
      <c r="A2999" s="5" t="s">
        <v>3889</v>
      </c>
      <c r="B2999" t="s">
        <v>5161</v>
      </c>
      <c r="C2999" t="s">
        <v>348</v>
      </c>
      <c r="D2999" t="s">
        <v>8257</v>
      </c>
      <c r="E2999">
        <v>20</v>
      </c>
      <c r="F2999" t="s">
        <v>5163</v>
      </c>
      <c r="G2999" t="s">
        <v>5164</v>
      </c>
    </row>
    <row r="3000" spans="1:7" hidden="1">
      <c r="A3000" s="5" t="s">
        <v>3137</v>
      </c>
      <c r="B3000" t="s">
        <v>5161</v>
      </c>
      <c r="C3000" t="s">
        <v>348</v>
      </c>
      <c r="D3000" t="s">
        <v>8258</v>
      </c>
      <c r="E3000">
        <v>34</v>
      </c>
      <c r="F3000" t="s">
        <v>5163</v>
      </c>
      <c r="G3000" t="s">
        <v>5164</v>
      </c>
    </row>
    <row r="3001" spans="1:7" hidden="1">
      <c r="A3001" s="5" t="s">
        <v>3428</v>
      </c>
      <c r="B3001" t="s">
        <v>5161</v>
      </c>
      <c r="C3001" t="s">
        <v>348</v>
      </c>
      <c r="D3001" t="s">
        <v>8259</v>
      </c>
      <c r="E3001">
        <v>19</v>
      </c>
      <c r="F3001" t="s">
        <v>5163</v>
      </c>
      <c r="G3001" t="s">
        <v>5164</v>
      </c>
    </row>
    <row r="3002" spans="1:7" hidden="1">
      <c r="A3002" s="5" t="s">
        <v>4065</v>
      </c>
      <c r="B3002" t="s">
        <v>5161</v>
      </c>
      <c r="C3002" t="s">
        <v>348</v>
      </c>
      <c r="D3002" t="s">
        <v>8260</v>
      </c>
      <c r="E3002">
        <v>22</v>
      </c>
      <c r="F3002" t="s">
        <v>5163</v>
      </c>
      <c r="G3002" t="s">
        <v>1905</v>
      </c>
    </row>
    <row r="3003" spans="1:7" hidden="1">
      <c r="A3003" s="5" t="s">
        <v>3306</v>
      </c>
      <c r="B3003" t="s">
        <v>5161</v>
      </c>
      <c r="C3003" t="s">
        <v>348</v>
      </c>
      <c r="D3003" t="s">
        <v>8261</v>
      </c>
      <c r="E3003">
        <v>22</v>
      </c>
      <c r="F3003" t="s">
        <v>5163</v>
      </c>
      <c r="G3003" t="s">
        <v>1905</v>
      </c>
    </row>
    <row r="3004" spans="1:7" hidden="1">
      <c r="A3004" s="5" t="s">
        <v>3551</v>
      </c>
      <c r="B3004" t="s">
        <v>5161</v>
      </c>
      <c r="C3004" t="s">
        <v>348</v>
      </c>
      <c r="D3004" t="s">
        <v>8262</v>
      </c>
      <c r="E3004">
        <v>21</v>
      </c>
      <c r="F3004" t="s">
        <v>5163</v>
      </c>
      <c r="G3004" t="s">
        <v>1905</v>
      </c>
    </row>
    <row r="3005" spans="1:7" hidden="1">
      <c r="A3005" s="5" t="s">
        <v>3534</v>
      </c>
      <c r="B3005" t="s">
        <v>5161</v>
      </c>
      <c r="C3005" t="s">
        <v>348</v>
      </c>
      <c r="D3005" t="s">
        <v>8263</v>
      </c>
      <c r="E3005">
        <v>38</v>
      </c>
      <c r="F3005" t="s">
        <v>5163</v>
      </c>
      <c r="G3005" t="s">
        <v>5182</v>
      </c>
    </row>
    <row r="3006" spans="1:7" hidden="1">
      <c r="A3006" s="5" t="s">
        <v>4354</v>
      </c>
      <c r="B3006" t="s">
        <v>5161</v>
      </c>
      <c r="C3006" t="s">
        <v>348</v>
      </c>
      <c r="D3006" t="s">
        <v>8264</v>
      </c>
      <c r="E3006">
        <v>25</v>
      </c>
      <c r="F3006" t="s">
        <v>5163</v>
      </c>
      <c r="G3006" t="s">
        <v>1905</v>
      </c>
    </row>
    <row r="3007" spans="1:7" hidden="1">
      <c r="A3007" s="5" t="s">
        <v>4354</v>
      </c>
      <c r="B3007" t="s">
        <v>5161</v>
      </c>
      <c r="C3007" t="s">
        <v>348</v>
      </c>
      <c r="D3007" t="s">
        <v>8265</v>
      </c>
      <c r="E3007">
        <v>25</v>
      </c>
      <c r="F3007" t="s">
        <v>5163</v>
      </c>
      <c r="G3007" t="s">
        <v>5182</v>
      </c>
    </row>
    <row r="3008" spans="1:7" hidden="1">
      <c r="A3008" s="5" t="s">
        <v>3465</v>
      </c>
      <c r="B3008" t="s">
        <v>5161</v>
      </c>
      <c r="C3008" t="s">
        <v>348</v>
      </c>
      <c r="D3008" t="s">
        <v>8266</v>
      </c>
      <c r="E3008">
        <v>28</v>
      </c>
      <c r="F3008" t="s">
        <v>5163</v>
      </c>
      <c r="G3008" t="s">
        <v>1905</v>
      </c>
    </row>
    <row r="3009" spans="1:7" hidden="1">
      <c r="A3009" s="5" t="s">
        <v>4155</v>
      </c>
      <c r="B3009" t="s">
        <v>5161</v>
      </c>
      <c r="C3009" t="s">
        <v>348</v>
      </c>
      <c r="D3009" t="s">
        <v>8267</v>
      </c>
      <c r="E3009">
        <v>23</v>
      </c>
      <c r="F3009" t="s">
        <v>5163</v>
      </c>
      <c r="G3009" t="s">
        <v>5164</v>
      </c>
    </row>
    <row r="3010" spans="1:7" hidden="1">
      <c r="A3010" s="5" t="s">
        <v>2522</v>
      </c>
      <c r="B3010" t="s">
        <v>5161</v>
      </c>
      <c r="C3010" t="s">
        <v>348</v>
      </c>
      <c r="D3010" t="s">
        <v>8268</v>
      </c>
      <c r="E3010">
        <v>25</v>
      </c>
      <c r="F3010" t="s">
        <v>5163</v>
      </c>
      <c r="G3010" t="s">
        <v>1905</v>
      </c>
    </row>
    <row r="3011" spans="1:7" hidden="1">
      <c r="A3011" s="5" t="s">
        <v>3174</v>
      </c>
      <c r="B3011" t="s">
        <v>5161</v>
      </c>
      <c r="C3011" t="s">
        <v>348</v>
      </c>
      <c r="D3011" t="s">
        <v>8269</v>
      </c>
      <c r="E3011">
        <v>36</v>
      </c>
      <c r="F3011" t="s">
        <v>5163</v>
      </c>
      <c r="G3011" t="s">
        <v>1905</v>
      </c>
    </row>
    <row r="3012" spans="1:7" hidden="1">
      <c r="A3012" s="5" t="s">
        <v>3007</v>
      </c>
      <c r="B3012" t="s">
        <v>5161</v>
      </c>
      <c r="C3012" t="s">
        <v>348</v>
      </c>
      <c r="D3012" t="s">
        <v>8270</v>
      </c>
      <c r="E3012">
        <v>28</v>
      </c>
      <c r="F3012" t="s">
        <v>5163</v>
      </c>
      <c r="G3012" t="s">
        <v>5164</v>
      </c>
    </row>
    <row r="3013" spans="1:7" hidden="1">
      <c r="A3013" s="5" t="s">
        <v>2853</v>
      </c>
      <c r="B3013" t="s">
        <v>5161</v>
      </c>
      <c r="C3013" t="s">
        <v>348</v>
      </c>
      <c r="D3013" t="s">
        <v>8271</v>
      </c>
      <c r="E3013">
        <v>19</v>
      </c>
      <c r="F3013" t="s">
        <v>5163</v>
      </c>
      <c r="G3013" t="s">
        <v>5169</v>
      </c>
    </row>
    <row r="3014" spans="1:7" hidden="1">
      <c r="A3014" s="5" t="s">
        <v>2867</v>
      </c>
      <c r="B3014" t="s">
        <v>5161</v>
      </c>
      <c r="C3014" t="s">
        <v>348</v>
      </c>
      <c r="D3014" t="s">
        <v>8272</v>
      </c>
      <c r="E3014">
        <v>32</v>
      </c>
      <c r="F3014" t="s">
        <v>5163</v>
      </c>
      <c r="G3014" t="s">
        <v>5169</v>
      </c>
    </row>
    <row r="3015" spans="1:7" hidden="1">
      <c r="A3015" s="5" t="s">
        <v>2841</v>
      </c>
      <c r="B3015" t="s">
        <v>5161</v>
      </c>
      <c r="C3015" t="s">
        <v>348</v>
      </c>
      <c r="D3015" t="s">
        <v>8273</v>
      </c>
      <c r="E3015">
        <v>34</v>
      </c>
      <c r="F3015" t="s">
        <v>5163</v>
      </c>
      <c r="G3015" t="s">
        <v>5164</v>
      </c>
    </row>
    <row r="3016" spans="1:7" hidden="1">
      <c r="A3016" s="5" t="s">
        <v>338</v>
      </c>
      <c r="B3016" t="s">
        <v>5161</v>
      </c>
      <c r="C3016" t="s">
        <v>348</v>
      </c>
      <c r="D3016" t="s">
        <v>860</v>
      </c>
      <c r="E3016">
        <v>25</v>
      </c>
      <c r="F3016" t="s">
        <v>5163</v>
      </c>
      <c r="G3016" t="s">
        <v>1905</v>
      </c>
    </row>
    <row r="3017" spans="1:7" hidden="1">
      <c r="A3017" s="5" t="s">
        <v>2848</v>
      </c>
      <c r="B3017" t="s">
        <v>5161</v>
      </c>
      <c r="C3017" t="s">
        <v>348</v>
      </c>
      <c r="D3017" t="s">
        <v>8274</v>
      </c>
      <c r="E3017">
        <v>18</v>
      </c>
      <c r="F3017" t="s">
        <v>5163</v>
      </c>
      <c r="G3017" t="s">
        <v>5164</v>
      </c>
    </row>
    <row r="3018" spans="1:7" hidden="1">
      <c r="A3018" s="5" t="s">
        <v>4024</v>
      </c>
      <c r="B3018" t="s">
        <v>5161</v>
      </c>
      <c r="C3018" t="s">
        <v>348</v>
      </c>
      <c r="D3018" t="s">
        <v>8275</v>
      </c>
      <c r="E3018">
        <v>23</v>
      </c>
      <c r="F3018" t="s">
        <v>5163</v>
      </c>
      <c r="G3018" t="s">
        <v>5169</v>
      </c>
    </row>
    <row r="3019" spans="1:7" hidden="1">
      <c r="A3019" s="5" t="s">
        <v>2310</v>
      </c>
      <c r="B3019" t="s">
        <v>5161</v>
      </c>
      <c r="C3019" t="s">
        <v>348</v>
      </c>
      <c r="D3019" t="s">
        <v>8276</v>
      </c>
      <c r="E3019">
        <v>26</v>
      </c>
      <c r="F3019" t="s">
        <v>5163</v>
      </c>
      <c r="G3019" t="s">
        <v>1905</v>
      </c>
    </row>
    <row r="3020" spans="1:7" hidden="1">
      <c r="A3020" s="5" t="s">
        <v>340</v>
      </c>
      <c r="B3020" t="s">
        <v>5161</v>
      </c>
      <c r="C3020" t="s">
        <v>348</v>
      </c>
      <c r="D3020" t="s">
        <v>864</v>
      </c>
      <c r="E3020">
        <v>30</v>
      </c>
      <c r="F3020" t="s">
        <v>5163</v>
      </c>
      <c r="G3020" t="s">
        <v>5164</v>
      </c>
    </row>
    <row r="3021" spans="1:7" hidden="1">
      <c r="A3021" s="5" t="s">
        <v>2311</v>
      </c>
      <c r="B3021" t="s">
        <v>5161</v>
      </c>
      <c r="C3021" t="s">
        <v>348</v>
      </c>
      <c r="D3021" t="s">
        <v>8277</v>
      </c>
      <c r="E3021">
        <v>30</v>
      </c>
      <c r="F3021" t="s">
        <v>5163</v>
      </c>
      <c r="G3021" t="s">
        <v>5169</v>
      </c>
    </row>
    <row r="3022" spans="1:7" hidden="1">
      <c r="A3022" s="5" t="s">
        <v>4371</v>
      </c>
      <c r="B3022" t="s">
        <v>5161</v>
      </c>
      <c r="C3022" t="s">
        <v>348</v>
      </c>
      <c r="D3022" t="s">
        <v>8278</v>
      </c>
      <c r="E3022">
        <v>28</v>
      </c>
      <c r="F3022" t="s">
        <v>5163</v>
      </c>
      <c r="G3022" t="s">
        <v>5164</v>
      </c>
    </row>
    <row r="3023" spans="1:7" hidden="1">
      <c r="A3023" s="5" t="s">
        <v>4371</v>
      </c>
      <c r="B3023" t="s">
        <v>5161</v>
      </c>
      <c r="C3023" t="s">
        <v>348</v>
      </c>
      <c r="D3023" t="s">
        <v>8279</v>
      </c>
      <c r="E3023">
        <v>18</v>
      </c>
      <c r="F3023" t="s">
        <v>5172</v>
      </c>
      <c r="G3023" t="s">
        <v>5164</v>
      </c>
    </row>
    <row r="3024" spans="1:7" hidden="1">
      <c r="A3024" s="5" t="s">
        <v>3287</v>
      </c>
      <c r="B3024" t="s">
        <v>5161</v>
      </c>
      <c r="C3024" t="s">
        <v>348</v>
      </c>
      <c r="D3024" t="s">
        <v>6880</v>
      </c>
      <c r="E3024">
        <v>18</v>
      </c>
      <c r="F3024" t="s">
        <v>5163</v>
      </c>
      <c r="G3024" t="s">
        <v>1905</v>
      </c>
    </row>
    <row r="3025" spans="1:7" hidden="1">
      <c r="A3025" s="5" t="s">
        <v>339</v>
      </c>
      <c r="B3025" t="s">
        <v>5161</v>
      </c>
      <c r="C3025" t="s">
        <v>348</v>
      </c>
      <c r="D3025" t="s">
        <v>8280</v>
      </c>
      <c r="E3025">
        <v>29</v>
      </c>
      <c r="F3025" t="s">
        <v>5163</v>
      </c>
      <c r="G3025" t="s">
        <v>5164</v>
      </c>
    </row>
    <row r="3026" spans="1:7" hidden="1">
      <c r="A3026" s="5" t="s">
        <v>339</v>
      </c>
      <c r="B3026" t="s">
        <v>5161</v>
      </c>
      <c r="C3026" t="s">
        <v>348</v>
      </c>
      <c r="D3026" t="s">
        <v>8281</v>
      </c>
      <c r="E3026">
        <v>21</v>
      </c>
      <c r="F3026" t="s">
        <v>5163</v>
      </c>
      <c r="G3026" t="s">
        <v>5164</v>
      </c>
    </row>
    <row r="3027" spans="1:7" hidden="1">
      <c r="A3027" s="5" t="s">
        <v>3196</v>
      </c>
      <c r="B3027" t="s">
        <v>5161</v>
      </c>
      <c r="C3027" t="s">
        <v>348</v>
      </c>
      <c r="D3027" t="s">
        <v>5409</v>
      </c>
      <c r="E3027">
        <v>22</v>
      </c>
      <c r="F3027" t="s">
        <v>5163</v>
      </c>
      <c r="G3027" t="s">
        <v>1905</v>
      </c>
    </row>
    <row r="3028" spans="1:7" hidden="1">
      <c r="A3028" s="5" t="s">
        <v>3196</v>
      </c>
      <c r="B3028" t="s">
        <v>5161</v>
      </c>
      <c r="C3028" t="s">
        <v>348</v>
      </c>
      <c r="D3028" t="s">
        <v>8282</v>
      </c>
      <c r="E3028">
        <v>23</v>
      </c>
      <c r="F3028" t="s">
        <v>5172</v>
      </c>
      <c r="G3028" t="s">
        <v>1905</v>
      </c>
    </row>
    <row r="3029" spans="1:7" hidden="1">
      <c r="A3029" s="5" t="s">
        <v>3882</v>
      </c>
      <c r="B3029" t="s">
        <v>5161</v>
      </c>
      <c r="C3029" t="s">
        <v>348</v>
      </c>
      <c r="D3029" t="s">
        <v>8283</v>
      </c>
      <c r="E3029">
        <v>29</v>
      </c>
      <c r="F3029" t="s">
        <v>5163</v>
      </c>
      <c r="G3029" t="s">
        <v>5164</v>
      </c>
    </row>
    <row r="3030" spans="1:7" hidden="1">
      <c r="A3030" s="5" t="s">
        <v>4845</v>
      </c>
      <c r="B3030" t="s">
        <v>5161</v>
      </c>
      <c r="C3030" t="s">
        <v>348</v>
      </c>
      <c r="D3030" t="s">
        <v>8284</v>
      </c>
      <c r="E3030">
        <v>21</v>
      </c>
      <c r="F3030" t="s">
        <v>5163</v>
      </c>
      <c r="G3030" t="s">
        <v>1905</v>
      </c>
    </row>
    <row r="3031" spans="1:7" hidden="1">
      <c r="A3031" s="5" t="s">
        <v>4647</v>
      </c>
      <c r="B3031" t="s">
        <v>5161</v>
      </c>
      <c r="C3031" t="s">
        <v>348</v>
      </c>
      <c r="D3031" t="s">
        <v>8285</v>
      </c>
      <c r="E3031">
        <v>18</v>
      </c>
      <c r="F3031" t="s">
        <v>5163</v>
      </c>
      <c r="G3031" t="s">
        <v>1905</v>
      </c>
    </row>
    <row r="3032" spans="1:7" hidden="1">
      <c r="A3032" s="5" t="s">
        <v>4647</v>
      </c>
      <c r="B3032" t="s">
        <v>5161</v>
      </c>
      <c r="C3032" t="s">
        <v>348</v>
      </c>
      <c r="D3032" t="s">
        <v>8286</v>
      </c>
      <c r="E3032">
        <v>19</v>
      </c>
      <c r="F3032" t="s">
        <v>5163</v>
      </c>
      <c r="G3032" t="s">
        <v>5164</v>
      </c>
    </row>
    <row r="3033" spans="1:7" hidden="1">
      <c r="A3033" s="5" t="s">
        <v>4000</v>
      </c>
      <c r="B3033" t="s">
        <v>5161</v>
      </c>
      <c r="C3033" t="s">
        <v>348</v>
      </c>
      <c r="D3033" t="s">
        <v>8287</v>
      </c>
      <c r="E3033">
        <v>37</v>
      </c>
      <c r="F3033" t="s">
        <v>5163</v>
      </c>
      <c r="G3033" t="s">
        <v>5164</v>
      </c>
    </row>
    <row r="3034" spans="1:7" hidden="1">
      <c r="A3034" s="5" t="s">
        <v>4000</v>
      </c>
      <c r="B3034" t="s">
        <v>5161</v>
      </c>
      <c r="C3034" t="s">
        <v>348</v>
      </c>
      <c r="D3034" t="s">
        <v>8288</v>
      </c>
      <c r="E3034">
        <v>25</v>
      </c>
      <c r="F3034" t="s">
        <v>5172</v>
      </c>
      <c r="G3034" t="s">
        <v>5164</v>
      </c>
    </row>
    <row r="3035" spans="1:7" hidden="1">
      <c r="A3035" s="5" t="s">
        <v>3476</v>
      </c>
      <c r="B3035" t="s">
        <v>5161</v>
      </c>
      <c r="C3035" t="s">
        <v>348</v>
      </c>
      <c r="D3035" t="s">
        <v>8289</v>
      </c>
      <c r="E3035">
        <v>20</v>
      </c>
      <c r="F3035" t="s">
        <v>5172</v>
      </c>
      <c r="G3035" t="s">
        <v>5169</v>
      </c>
    </row>
    <row r="3036" spans="1:7" hidden="1">
      <c r="A3036" s="5" t="s">
        <v>3476</v>
      </c>
      <c r="B3036" t="s">
        <v>5161</v>
      </c>
      <c r="C3036" t="s">
        <v>348</v>
      </c>
      <c r="D3036" t="s">
        <v>7449</v>
      </c>
      <c r="E3036">
        <v>22</v>
      </c>
      <c r="F3036" t="s">
        <v>5163</v>
      </c>
      <c r="G3036" t="s">
        <v>1905</v>
      </c>
    </row>
    <row r="3037" spans="1:7" hidden="1">
      <c r="A3037" s="5" t="s">
        <v>3406</v>
      </c>
      <c r="B3037" t="s">
        <v>5161</v>
      </c>
      <c r="C3037" t="s">
        <v>348</v>
      </c>
      <c r="D3037" t="s">
        <v>8290</v>
      </c>
      <c r="E3037">
        <v>35</v>
      </c>
      <c r="F3037" t="s">
        <v>5172</v>
      </c>
      <c r="G3037" t="s">
        <v>1905</v>
      </c>
    </row>
    <row r="3038" spans="1:7" hidden="1">
      <c r="A3038" s="5" t="s">
        <v>8291</v>
      </c>
      <c r="B3038" t="s">
        <v>5161</v>
      </c>
      <c r="C3038" t="s">
        <v>348</v>
      </c>
      <c r="D3038" t="s">
        <v>8292</v>
      </c>
      <c r="E3038">
        <v>38</v>
      </c>
      <c r="F3038" t="s">
        <v>5172</v>
      </c>
      <c r="G3038" t="s">
        <v>5169</v>
      </c>
    </row>
    <row r="3039" spans="1:7" hidden="1">
      <c r="A3039" s="5" t="s">
        <v>4623</v>
      </c>
      <c r="B3039" t="s">
        <v>5161</v>
      </c>
      <c r="C3039" t="s">
        <v>348</v>
      </c>
      <c r="D3039" t="s">
        <v>8293</v>
      </c>
      <c r="E3039">
        <v>21</v>
      </c>
      <c r="F3039" t="s">
        <v>5163</v>
      </c>
      <c r="G3039" t="s">
        <v>1905</v>
      </c>
    </row>
    <row r="3040" spans="1:7" hidden="1">
      <c r="A3040" s="5" t="s">
        <v>3738</v>
      </c>
      <c r="B3040" t="s">
        <v>5161</v>
      </c>
      <c r="C3040" t="s">
        <v>348</v>
      </c>
      <c r="D3040" t="s">
        <v>8294</v>
      </c>
      <c r="E3040">
        <v>19</v>
      </c>
      <c r="F3040" t="s">
        <v>5163</v>
      </c>
      <c r="G3040" t="s">
        <v>5164</v>
      </c>
    </row>
    <row r="3041" spans="1:7" hidden="1">
      <c r="A3041" s="5" t="s">
        <v>4133</v>
      </c>
      <c r="B3041" t="s">
        <v>5161</v>
      </c>
      <c r="C3041" t="s">
        <v>348</v>
      </c>
      <c r="D3041" t="s">
        <v>8295</v>
      </c>
      <c r="E3041">
        <v>19</v>
      </c>
      <c r="F3041" t="s">
        <v>5163</v>
      </c>
      <c r="G3041" t="s">
        <v>5164</v>
      </c>
    </row>
    <row r="3042" spans="1:7" hidden="1">
      <c r="A3042" s="5" t="s">
        <v>4133</v>
      </c>
      <c r="B3042" t="s">
        <v>5161</v>
      </c>
      <c r="C3042" t="s">
        <v>348</v>
      </c>
      <c r="D3042" t="s">
        <v>8296</v>
      </c>
      <c r="E3042">
        <v>19</v>
      </c>
      <c r="F3042" t="s">
        <v>5163</v>
      </c>
      <c r="G3042" t="s">
        <v>1905</v>
      </c>
    </row>
    <row r="3043" spans="1:7" hidden="1">
      <c r="A3043" s="5" t="s">
        <v>8297</v>
      </c>
      <c r="B3043" t="s">
        <v>5161</v>
      </c>
      <c r="C3043" t="s">
        <v>348</v>
      </c>
      <c r="D3043" t="s">
        <v>8298</v>
      </c>
      <c r="E3043">
        <v>18</v>
      </c>
      <c r="F3043" t="s">
        <v>5163</v>
      </c>
      <c r="G3043" t="s">
        <v>5164</v>
      </c>
    </row>
    <row r="3044" spans="1:7" hidden="1">
      <c r="A3044" s="5" t="s">
        <v>4612</v>
      </c>
      <c r="B3044" t="s">
        <v>5161</v>
      </c>
      <c r="C3044" t="s">
        <v>348</v>
      </c>
      <c r="D3044" t="s">
        <v>8299</v>
      </c>
      <c r="E3044">
        <v>38</v>
      </c>
      <c r="F3044" t="s">
        <v>5163</v>
      </c>
      <c r="G3044" t="s">
        <v>5164</v>
      </c>
    </row>
    <row r="3045" spans="1:7" hidden="1">
      <c r="A3045" s="5" t="s">
        <v>4579</v>
      </c>
      <c r="B3045" t="s">
        <v>5161</v>
      </c>
      <c r="C3045" t="s">
        <v>348</v>
      </c>
      <c r="D3045" t="s">
        <v>8300</v>
      </c>
      <c r="E3045">
        <v>29</v>
      </c>
      <c r="F3045" t="s">
        <v>5163</v>
      </c>
      <c r="G3045" t="s">
        <v>5164</v>
      </c>
    </row>
    <row r="3046" spans="1:7" hidden="1">
      <c r="A3046" s="5" t="s">
        <v>3730</v>
      </c>
      <c r="B3046" t="s">
        <v>5161</v>
      </c>
      <c r="C3046" t="s">
        <v>348</v>
      </c>
      <c r="D3046" t="s">
        <v>8301</v>
      </c>
      <c r="E3046">
        <v>16</v>
      </c>
      <c r="F3046" t="s">
        <v>5163</v>
      </c>
      <c r="G3046" t="s">
        <v>5164</v>
      </c>
    </row>
    <row r="3047" spans="1:7" hidden="1">
      <c r="A3047" s="5" t="s">
        <v>3730</v>
      </c>
      <c r="B3047" t="s">
        <v>5161</v>
      </c>
      <c r="C3047" t="s">
        <v>348</v>
      </c>
      <c r="D3047" t="s">
        <v>8302</v>
      </c>
      <c r="E3047">
        <v>16</v>
      </c>
      <c r="F3047" t="s">
        <v>5163</v>
      </c>
      <c r="G3047" t="s">
        <v>5164</v>
      </c>
    </row>
    <row r="3048" spans="1:7" hidden="1">
      <c r="A3048" s="5" t="s">
        <v>3730</v>
      </c>
      <c r="B3048" t="s">
        <v>5161</v>
      </c>
      <c r="C3048" t="s">
        <v>348</v>
      </c>
      <c r="D3048" t="s">
        <v>8303</v>
      </c>
      <c r="E3048">
        <v>16</v>
      </c>
      <c r="F3048" t="s">
        <v>5163</v>
      </c>
      <c r="G3048" t="s">
        <v>1905</v>
      </c>
    </row>
    <row r="3049" spans="1:7" hidden="1">
      <c r="A3049" s="5" t="s">
        <v>3730</v>
      </c>
      <c r="B3049" t="s">
        <v>5161</v>
      </c>
      <c r="C3049" t="s">
        <v>348</v>
      </c>
      <c r="D3049" t="s">
        <v>8304</v>
      </c>
      <c r="E3049">
        <v>18</v>
      </c>
      <c r="F3049" t="s">
        <v>5163</v>
      </c>
      <c r="G3049" t="s">
        <v>1905</v>
      </c>
    </row>
    <row r="3050" spans="1:7" hidden="1">
      <c r="A3050" s="5" t="s">
        <v>3790</v>
      </c>
      <c r="B3050" t="s">
        <v>5161</v>
      </c>
      <c r="C3050" t="s">
        <v>348</v>
      </c>
      <c r="D3050" t="s">
        <v>8305</v>
      </c>
      <c r="E3050">
        <v>32</v>
      </c>
      <c r="F3050" t="s">
        <v>5163</v>
      </c>
      <c r="G3050" t="s">
        <v>5164</v>
      </c>
    </row>
    <row r="3051" spans="1:7" hidden="1">
      <c r="A3051" s="5" t="s">
        <v>3964</v>
      </c>
      <c r="B3051" t="s">
        <v>5161</v>
      </c>
      <c r="C3051" t="s">
        <v>348</v>
      </c>
      <c r="D3051" t="s">
        <v>8306</v>
      </c>
      <c r="E3051">
        <v>20</v>
      </c>
      <c r="F3051" t="s">
        <v>5163</v>
      </c>
      <c r="G3051" t="s">
        <v>5164</v>
      </c>
    </row>
    <row r="3052" spans="1:7" hidden="1">
      <c r="A3052" s="5" t="s">
        <v>5092</v>
      </c>
      <c r="B3052" t="s">
        <v>5161</v>
      </c>
      <c r="C3052" t="s">
        <v>348</v>
      </c>
      <c r="D3052" t="s">
        <v>8307</v>
      </c>
      <c r="E3052">
        <v>37</v>
      </c>
      <c r="F3052" t="s">
        <v>5163</v>
      </c>
      <c r="G3052" t="s">
        <v>5169</v>
      </c>
    </row>
    <row r="3053" spans="1:7" hidden="1">
      <c r="A3053" s="5" t="s">
        <v>3072</v>
      </c>
      <c r="B3053" t="s">
        <v>5161</v>
      </c>
      <c r="C3053" t="s">
        <v>348</v>
      </c>
      <c r="D3053" t="s">
        <v>8308</v>
      </c>
      <c r="E3053">
        <v>23</v>
      </c>
      <c r="F3053" t="s">
        <v>5163</v>
      </c>
      <c r="G3053" t="s">
        <v>5164</v>
      </c>
    </row>
    <row r="3054" spans="1:7" hidden="1">
      <c r="A3054" s="5" t="s">
        <v>3598</v>
      </c>
      <c r="B3054" t="s">
        <v>5161</v>
      </c>
      <c r="C3054" t="s">
        <v>348</v>
      </c>
      <c r="D3054" t="s">
        <v>8309</v>
      </c>
      <c r="E3054">
        <v>30</v>
      </c>
      <c r="F3054" t="s">
        <v>5163</v>
      </c>
      <c r="G3054" t="s">
        <v>5164</v>
      </c>
    </row>
    <row r="3055" spans="1:7" hidden="1">
      <c r="A3055" s="5" t="s">
        <v>4231</v>
      </c>
      <c r="B3055" t="s">
        <v>5161</v>
      </c>
      <c r="C3055" t="s">
        <v>348</v>
      </c>
      <c r="D3055" t="s">
        <v>8310</v>
      </c>
      <c r="E3055">
        <v>21</v>
      </c>
      <c r="F3055" t="s">
        <v>5163</v>
      </c>
      <c r="G3055" t="s">
        <v>5169</v>
      </c>
    </row>
    <row r="3056" spans="1:7" hidden="1">
      <c r="A3056" s="5" t="s">
        <v>4231</v>
      </c>
      <c r="B3056" t="s">
        <v>5161</v>
      </c>
      <c r="C3056" t="s">
        <v>348</v>
      </c>
      <c r="D3056" t="s">
        <v>8311</v>
      </c>
      <c r="E3056">
        <v>30</v>
      </c>
      <c r="F3056" t="s">
        <v>5163</v>
      </c>
      <c r="G3056" t="s">
        <v>5164</v>
      </c>
    </row>
    <row r="3057" spans="1:7" hidden="1">
      <c r="A3057" s="5" t="s">
        <v>3903</v>
      </c>
      <c r="B3057" t="s">
        <v>5161</v>
      </c>
      <c r="C3057" t="s">
        <v>348</v>
      </c>
      <c r="D3057" t="s">
        <v>8312</v>
      </c>
      <c r="E3057">
        <v>19</v>
      </c>
      <c r="F3057" t="s">
        <v>5163</v>
      </c>
      <c r="G3057" t="s">
        <v>5164</v>
      </c>
    </row>
    <row r="3058" spans="1:7" hidden="1">
      <c r="A3058" s="5" t="s">
        <v>4762</v>
      </c>
      <c r="B3058" t="s">
        <v>5161</v>
      </c>
      <c r="C3058" t="s">
        <v>348</v>
      </c>
      <c r="D3058" t="s">
        <v>8313</v>
      </c>
      <c r="E3058">
        <v>36</v>
      </c>
      <c r="F3058" t="s">
        <v>5163</v>
      </c>
      <c r="G3058" t="s">
        <v>5164</v>
      </c>
    </row>
    <row r="3059" spans="1:7" hidden="1">
      <c r="A3059" s="5" t="s">
        <v>3548</v>
      </c>
      <c r="B3059" t="s">
        <v>5161</v>
      </c>
      <c r="C3059" t="s">
        <v>348</v>
      </c>
      <c r="D3059" t="s">
        <v>5867</v>
      </c>
      <c r="E3059">
        <v>19</v>
      </c>
      <c r="F3059" t="s">
        <v>5163</v>
      </c>
      <c r="G3059" t="s">
        <v>5164</v>
      </c>
    </row>
    <row r="3060" spans="1:7" hidden="1">
      <c r="A3060" s="5" t="s">
        <v>3445</v>
      </c>
      <c r="B3060" t="s">
        <v>5161</v>
      </c>
      <c r="C3060" t="s">
        <v>348</v>
      </c>
      <c r="D3060" t="s">
        <v>8314</v>
      </c>
      <c r="E3060">
        <v>30</v>
      </c>
      <c r="F3060" t="s">
        <v>5172</v>
      </c>
      <c r="G3060" t="s">
        <v>1905</v>
      </c>
    </row>
    <row r="3061" spans="1:7" hidden="1">
      <c r="A3061" s="5" t="s">
        <v>3838</v>
      </c>
      <c r="B3061" t="s">
        <v>5161</v>
      </c>
      <c r="C3061" t="s">
        <v>348</v>
      </c>
      <c r="D3061" t="s">
        <v>8315</v>
      </c>
      <c r="E3061">
        <v>44</v>
      </c>
      <c r="F3061" t="s">
        <v>5163</v>
      </c>
      <c r="G3061" t="s">
        <v>5164</v>
      </c>
    </row>
    <row r="3062" spans="1:7" hidden="1">
      <c r="A3062" s="5" t="s">
        <v>8316</v>
      </c>
      <c r="B3062" t="s">
        <v>5161</v>
      </c>
      <c r="C3062" t="s">
        <v>348</v>
      </c>
      <c r="D3062" t="s">
        <v>8317</v>
      </c>
      <c r="E3062">
        <v>21</v>
      </c>
      <c r="F3062" t="s">
        <v>5163</v>
      </c>
      <c r="G3062" t="s">
        <v>1905</v>
      </c>
    </row>
    <row r="3063" spans="1:7" hidden="1">
      <c r="A3063" s="5" t="s">
        <v>3194</v>
      </c>
      <c r="B3063" t="s">
        <v>5161</v>
      </c>
      <c r="C3063" t="s">
        <v>348</v>
      </c>
      <c r="D3063" t="s">
        <v>8318</v>
      </c>
      <c r="E3063">
        <v>18</v>
      </c>
      <c r="F3063" t="s">
        <v>5163</v>
      </c>
      <c r="G3063" t="s">
        <v>5164</v>
      </c>
    </row>
    <row r="3064" spans="1:7" hidden="1">
      <c r="A3064" s="5" t="s">
        <v>3194</v>
      </c>
      <c r="B3064" t="s">
        <v>5161</v>
      </c>
      <c r="C3064" t="s">
        <v>348</v>
      </c>
      <c r="D3064" t="s">
        <v>8319</v>
      </c>
      <c r="E3064">
        <v>18</v>
      </c>
      <c r="F3064" t="s">
        <v>5163</v>
      </c>
      <c r="G3064" t="s">
        <v>1905</v>
      </c>
    </row>
    <row r="3065" spans="1:7" hidden="1">
      <c r="A3065" s="5" t="s">
        <v>2951</v>
      </c>
      <c r="B3065" t="s">
        <v>5161</v>
      </c>
      <c r="C3065" t="s">
        <v>348</v>
      </c>
      <c r="D3065" t="s">
        <v>8320</v>
      </c>
      <c r="E3065">
        <v>35</v>
      </c>
      <c r="F3065" t="s">
        <v>5163</v>
      </c>
      <c r="G3065" t="s">
        <v>5164</v>
      </c>
    </row>
    <row r="3066" spans="1:7" hidden="1">
      <c r="A3066" s="5" t="s">
        <v>3161</v>
      </c>
      <c r="B3066" t="s">
        <v>5161</v>
      </c>
      <c r="C3066" t="s">
        <v>348</v>
      </c>
      <c r="D3066" t="s">
        <v>8321</v>
      </c>
      <c r="E3066">
        <v>28</v>
      </c>
      <c r="F3066" t="s">
        <v>5163</v>
      </c>
      <c r="G3066" t="s">
        <v>5164</v>
      </c>
    </row>
    <row r="3067" spans="1:7" hidden="1">
      <c r="A3067" s="5" t="s">
        <v>3766</v>
      </c>
      <c r="B3067" t="s">
        <v>5161</v>
      </c>
      <c r="C3067" t="s">
        <v>348</v>
      </c>
      <c r="D3067" t="s">
        <v>8322</v>
      </c>
      <c r="E3067">
        <v>18</v>
      </c>
      <c r="F3067" t="s">
        <v>5163</v>
      </c>
      <c r="G3067" t="s">
        <v>5169</v>
      </c>
    </row>
    <row r="3068" spans="1:7" hidden="1">
      <c r="A3068" s="5" t="s">
        <v>3247</v>
      </c>
      <c r="B3068" t="s">
        <v>5161</v>
      </c>
      <c r="C3068" t="s">
        <v>348</v>
      </c>
      <c r="D3068" t="s">
        <v>8323</v>
      </c>
      <c r="E3068">
        <v>23</v>
      </c>
      <c r="F3068" t="s">
        <v>5163</v>
      </c>
      <c r="G3068" t="s">
        <v>5164</v>
      </c>
    </row>
    <row r="3069" spans="1:7" hidden="1">
      <c r="A3069" s="5" t="s">
        <v>2967</v>
      </c>
      <c r="B3069" t="s">
        <v>5161</v>
      </c>
      <c r="C3069" t="s">
        <v>348</v>
      </c>
      <c r="D3069" t="s">
        <v>8324</v>
      </c>
      <c r="E3069">
        <v>21</v>
      </c>
      <c r="F3069" t="s">
        <v>5172</v>
      </c>
      <c r="G3069" t="s">
        <v>5164</v>
      </c>
    </row>
    <row r="3070" spans="1:7" hidden="1">
      <c r="A3070" s="5" t="s">
        <v>3373</v>
      </c>
      <c r="B3070" t="s">
        <v>5161</v>
      </c>
      <c r="C3070" t="s">
        <v>348</v>
      </c>
      <c r="D3070" t="s">
        <v>8325</v>
      </c>
      <c r="E3070">
        <v>22</v>
      </c>
      <c r="F3070" t="s">
        <v>5163</v>
      </c>
      <c r="G3070" t="s">
        <v>5164</v>
      </c>
    </row>
    <row r="3071" spans="1:7" hidden="1">
      <c r="A3071" s="5" t="s">
        <v>3223</v>
      </c>
      <c r="B3071" t="s">
        <v>5161</v>
      </c>
      <c r="C3071" t="s">
        <v>348</v>
      </c>
      <c r="D3071" t="s">
        <v>5791</v>
      </c>
      <c r="E3071">
        <v>27</v>
      </c>
      <c r="F3071" t="s">
        <v>5163</v>
      </c>
      <c r="G3071" t="s">
        <v>5164</v>
      </c>
    </row>
    <row r="3072" spans="1:7" hidden="1">
      <c r="A3072" s="5" t="s">
        <v>342</v>
      </c>
      <c r="B3072" t="s">
        <v>5161</v>
      </c>
      <c r="C3072" t="s">
        <v>348</v>
      </c>
      <c r="D3072" t="s">
        <v>867</v>
      </c>
      <c r="E3072">
        <v>23</v>
      </c>
      <c r="F3072" t="s">
        <v>5163</v>
      </c>
      <c r="G3072" t="s">
        <v>5164</v>
      </c>
    </row>
    <row r="3073" spans="1:7" hidden="1">
      <c r="A3073" s="5" t="s">
        <v>3435</v>
      </c>
      <c r="B3073" t="s">
        <v>5161</v>
      </c>
      <c r="C3073" t="s">
        <v>348</v>
      </c>
      <c r="D3073" t="s">
        <v>6503</v>
      </c>
      <c r="E3073">
        <v>28</v>
      </c>
      <c r="F3073" t="s">
        <v>5163</v>
      </c>
      <c r="G3073" t="s">
        <v>1905</v>
      </c>
    </row>
    <row r="3074" spans="1:7" hidden="1">
      <c r="A3074" s="5" t="s">
        <v>4515</v>
      </c>
      <c r="B3074" t="s">
        <v>5161</v>
      </c>
      <c r="C3074" t="s">
        <v>348</v>
      </c>
      <c r="D3074" t="s">
        <v>8326</v>
      </c>
      <c r="E3074">
        <v>20</v>
      </c>
      <c r="F3074" t="s">
        <v>5163</v>
      </c>
      <c r="G3074" t="s">
        <v>1905</v>
      </c>
    </row>
    <row r="3075" spans="1:7" hidden="1">
      <c r="A3075" s="5" t="s">
        <v>2905</v>
      </c>
      <c r="B3075" t="s">
        <v>5161</v>
      </c>
      <c r="C3075" t="s">
        <v>348</v>
      </c>
      <c r="D3075" t="s">
        <v>8327</v>
      </c>
      <c r="E3075">
        <v>24</v>
      </c>
      <c r="F3075" t="s">
        <v>5163</v>
      </c>
      <c r="G3075" t="s">
        <v>5164</v>
      </c>
    </row>
    <row r="3076" spans="1:7" hidden="1">
      <c r="A3076" s="5" t="s">
        <v>2318</v>
      </c>
      <c r="B3076" t="s">
        <v>5161</v>
      </c>
      <c r="C3076" t="s">
        <v>348</v>
      </c>
      <c r="D3076" t="s">
        <v>8328</v>
      </c>
      <c r="E3076">
        <v>37</v>
      </c>
      <c r="F3076" t="s">
        <v>5172</v>
      </c>
      <c r="G3076" t="s">
        <v>1905</v>
      </c>
    </row>
    <row r="3077" spans="1:7" hidden="1">
      <c r="A3077" s="5" t="s">
        <v>3016</v>
      </c>
      <c r="B3077" t="s">
        <v>5161</v>
      </c>
      <c r="C3077" t="s">
        <v>348</v>
      </c>
      <c r="D3077" t="s">
        <v>8329</v>
      </c>
      <c r="E3077">
        <v>25</v>
      </c>
      <c r="F3077" t="s">
        <v>5163</v>
      </c>
      <c r="G3077" t="s">
        <v>5164</v>
      </c>
    </row>
    <row r="3078" spans="1:7" hidden="1">
      <c r="A3078" s="5" t="s">
        <v>2614</v>
      </c>
      <c r="B3078" t="s">
        <v>5161</v>
      </c>
      <c r="C3078" t="s">
        <v>348</v>
      </c>
      <c r="D3078" t="s">
        <v>8330</v>
      </c>
      <c r="E3078">
        <v>20</v>
      </c>
      <c r="F3078" t="s">
        <v>5163</v>
      </c>
      <c r="G3078" t="s">
        <v>5164</v>
      </c>
    </row>
    <row r="3079" spans="1:7" hidden="1">
      <c r="A3079" s="5" t="s">
        <v>2662</v>
      </c>
      <c r="B3079" t="s">
        <v>5161</v>
      </c>
      <c r="C3079" t="s">
        <v>348</v>
      </c>
      <c r="D3079" t="s">
        <v>8331</v>
      </c>
      <c r="E3079">
        <v>32</v>
      </c>
      <c r="F3079" t="s">
        <v>5172</v>
      </c>
      <c r="G3079" t="s">
        <v>5164</v>
      </c>
    </row>
    <row r="3080" spans="1:7" hidden="1">
      <c r="A3080" s="5" t="s">
        <v>3140</v>
      </c>
      <c r="B3080" t="s">
        <v>5161</v>
      </c>
      <c r="C3080" t="s">
        <v>348</v>
      </c>
      <c r="D3080" t="s">
        <v>8332</v>
      </c>
      <c r="E3080">
        <v>19</v>
      </c>
      <c r="F3080" t="s">
        <v>5163</v>
      </c>
      <c r="G3080" t="s">
        <v>5164</v>
      </c>
    </row>
    <row r="3081" spans="1:7" hidden="1">
      <c r="A3081" s="5" t="s">
        <v>343</v>
      </c>
      <c r="B3081" t="s">
        <v>5161</v>
      </c>
      <c r="C3081" t="s">
        <v>348</v>
      </c>
      <c r="D3081" t="s">
        <v>868</v>
      </c>
      <c r="E3081">
        <v>18</v>
      </c>
      <c r="F3081" t="s">
        <v>5163</v>
      </c>
      <c r="G3081" t="s">
        <v>5164</v>
      </c>
    </row>
    <row r="3082" spans="1:7" hidden="1">
      <c r="A3082" s="5" t="s">
        <v>2931</v>
      </c>
      <c r="B3082" t="s">
        <v>5161</v>
      </c>
      <c r="C3082" t="s">
        <v>348</v>
      </c>
      <c r="D3082" t="s">
        <v>7082</v>
      </c>
      <c r="E3082">
        <v>23</v>
      </c>
      <c r="F3082" t="s">
        <v>5163</v>
      </c>
      <c r="G3082" t="s">
        <v>5169</v>
      </c>
    </row>
    <row r="3083" spans="1:7" hidden="1">
      <c r="A3083" s="5" t="s">
        <v>2931</v>
      </c>
      <c r="B3083" t="s">
        <v>5161</v>
      </c>
      <c r="C3083" t="s">
        <v>348</v>
      </c>
      <c r="D3083" t="s">
        <v>8333</v>
      </c>
      <c r="E3083">
        <v>45</v>
      </c>
      <c r="F3083" t="s">
        <v>5163</v>
      </c>
      <c r="G3083" t="s">
        <v>5164</v>
      </c>
    </row>
    <row r="3084" spans="1:7" hidden="1">
      <c r="A3084" s="5" t="s">
        <v>3305</v>
      </c>
      <c r="B3084" t="s">
        <v>5161</v>
      </c>
      <c r="C3084" t="s">
        <v>348</v>
      </c>
      <c r="D3084" t="s">
        <v>8334</v>
      </c>
      <c r="E3084">
        <v>25</v>
      </c>
      <c r="F3084" t="s">
        <v>5172</v>
      </c>
      <c r="G3084" t="s">
        <v>1905</v>
      </c>
    </row>
    <row r="3085" spans="1:7" hidden="1">
      <c r="A3085" s="5" t="s">
        <v>2824</v>
      </c>
      <c r="B3085" t="s">
        <v>5161</v>
      </c>
      <c r="C3085" t="s">
        <v>348</v>
      </c>
      <c r="D3085" t="s">
        <v>8335</v>
      </c>
      <c r="E3085">
        <v>29</v>
      </c>
      <c r="F3085" t="s">
        <v>5163</v>
      </c>
      <c r="G3085" t="s">
        <v>5164</v>
      </c>
    </row>
    <row r="3086" spans="1:7" hidden="1">
      <c r="A3086" s="5" t="s">
        <v>2208</v>
      </c>
      <c r="B3086" t="s">
        <v>5161</v>
      </c>
      <c r="C3086" t="s">
        <v>348</v>
      </c>
      <c r="D3086" t="s">
        <v>8336</v>
      </c>
      <c r="E3086">
        <v>22</v>
      </c>
      <c r="F3086" t="s">
        <v>5163</v>
      </c>
      <c r="G3086" t="s">
        <v>5164</v>
      </c>
    </row>
    <row r="3087" spans="1:7" hidden="1">
      <c r="A3087" s="5" t="s">
        <v>3022</v>
      </c>
      <c r="B3087" t="s">
        <v>5161</v>
      </c>
      <c r="C3087" t="s">
        <v>348</v>
      </c>
      <c r="D3087" t="s">
        <v>8337</v>
      </c>
      <c r="E3087">
        <v>24</v>
      </c>
      <c r="F3087" t="s">
        <v>5163</v>
      </c>
      <c r="G3087" t="s">
        <v>1905</v>
      </c>
    </row>
    <row r="3088" spans="1:7" hidden="1">
      <c r="A3088" s="5" t="s">
        <v>2345</v>
      </c>
      <c r="B3088" t="s">
        <v>5161</v>
      </c>
      <c r="C3088" t="s">
        <v>348</v>
      </c>
      <c r="D3088" t="s">
        <v>8338</v>
      </c>
      <c r="E3088">
        <v>42</v>
      </c>
      <c r="F3088" t="s">
        <v>5163</v>
      </c>
      <c r="G3088" t="s">
        <v>1905</v>
      </c>
    </row>
    <row r="3089" spans="1:7" hidden="1">
      <c r="A3089" s="5" t="s">
        <v>2670</v>
      </c>
      <c r="B3089" t="s">
        <v>5161</v>
      </c>
      <c r="C3089" t="s">
        <v>348</v>
      </c>
      <c r="D3089" t="s">
        <v>8339</v>
      </c>
      <c r="E3089">
        <v>20</v>
      </c>
      <c r="F3089" t="s">
        <v>5163</v>
      </c>
      <c r="G3089" t="s">
        <v>5164</v>
      </c>
    </row>
    <row r="3090" spans="1:7" hidden="1">
      <c r="A3090" s="5" t="s">
        <v>4960</v>
      </c>
      <c r="B3090" t="s">
        <v>5161</v>
      </c>
      <c r="C3090" t="s">
        <v>348</v>
      </c>
      <c r="D3090" t="s">
        <v>8340</v>
      </c>
      <c r="E3090">
        <v>18</v>
      </c>
      <c r="F3090" t="s">
        <v>5163</v>
      </c>
      <c r="G3090" t="s">
        <v>5164</v>
      </c>
    </row>
    <row r="3091" spans="1:7" hidden="1">
      <c r="A3091" s="5" t="s">
        <v>2752</v>
      </c>
      <c r="B3091" t="s">
        <v>5161</v>
      </c>
      <c r="C3091" t="s">
        <v>348</v>
      </c>
      <c r="D3091" t="s">
        <v>8341</v>
      </c>
      <c r="E3091">
        <v>24</v>
      </c>
      <c r="F3091" t="s">
        <v>5163</v>
      </c>
      <c r="G3091" t="s">
        <v>5169</v>
      </c>
    </row>
    <row r="3092" spans="1:7" hidden="1">
      <c r="A3092" s="5" t="s">
        <v>2833</v>
      </c>
      <c r="B3092" t="s">
        <v>5161</v>
      </c>
      <c r="C3092" t="s">
        <v>348</v>
      </c>
      <c r="D3092" t="s">
        <v>8342</v>
      </c>
      <c r="E3092">
        <v>30</v>
      </c>
      <c r="F3092" t="s">
        <v>5163</v>
      </c>
      <c r="G3092" t="s">
        <v>1905</v>
      </c>
    </row>
    <row r="3093" spans="1:7" hidden="1">
      <c r="A3093" s="5" t="s">
        <v>2230</v>
      </c>
      <c r="B3093" t="s">
        <v>5161</v>
      </c>
      <c r="C3093" t="s">
        <v>348</v>
      </c>
      <c r="D3093" t="s">
        <v>8343</v>
      </c>
      <c r="E3093">
        <v>21</v>
      </c>
      <c r="F3093" t="s">
        <v>5163</v>
      </c>
      <c r="G3093" t="s">
        <v>5164</v>
      </c>
    </row>
    <row r="3094" spans="1:7" hidden="1">
      <c r="A3094" s="5" t="s">
        <v>5118</v>
      </c>
      <c r="B3094" t="s">
        <v>5161</v>
      </c>
      <c r="C3094" t="s">
        <v>348</v>
      </c>
      <c r="D3094" t="s">
        <v>8344</v>
      </c>
      <c r="E3094">
        <v>21</v>
      </c>
      <c r="F3094" t="s">
        <v>5163</v>
      </c>
      <c r="G3094" t="s">
        <v>1905</v>
      </c>
    </row>
    <row r="3095" spans="1:7" hidden="1">
      <c r="A3095" s="5" t="s">
        <v>2531</v>
      </c>
      <c r="B3095" t="s">
        <v>5161</v>
      </c>
      <c r="C3095" t="s">
        <v>348</v>
      </c>
      <c r="D3095" t="s">
        <v>8345</v>
      </c>
      <c r="E3095">
        <v>27</v>
      </c>
      <c r="F3095" t="s">
        <v>5163</v>
      </c>
      <c r="G3095" t="s">
        <v>5164</v>
      </c>
    </row>
    <row r="3096" spans="1:7" hidden="1">
      <c r="A3096" s="5" t="s">
        <v>2120</v>
      </c>
      <c r="B3096" t="s">
        <v>5161</v>
      </c>
      <c r="C3096" t="s">
        <v>348</v>
      </c>
      <c r="D3096" t="s">
        <v>8346</v>
      </c>
      <c r="E3096">
        <v>23</v>
      </c>
      <c r="F3096" t="s">
        <v>5163</v>
      </c>
      <c r="G3096" t="s">
        <v>5164</v>
      </c>
    </row>
    <row r="3097" spans="1:7" hidden="1">
      <c r="A3097" s="5" t="s">
        <v>2388</v>
      </c>
      <c r="B3097" t="s">
        <v>5161</v>
      </c>
      <c r="C3097" t="s">
        <v>348</v>
      </c>
      <c r="D3097" t="s">
        <v>8347</v>
      </c>
      <c r="E3097">
        <v>36</v>
      </c>
      <c r="F3097" t="s">
        <v>5163</v>
      </c>
      <c r="G3097" t="s">
        <v>1905</v>
      </c>
    </row>
    <row r="3098" spans="1:7" hidden="1">
      <c r="A3098" s="5" t="s">
        <v>8348</v>
      </c>
      <c r="B3098" t="s">
        <v>5161</v>
      </c>
      <c r="C3098" t="s">
        <v>348</v>
      </c>
      <c r="D3098" t="s">
        <v>8349</v>
      </c>
      <c r="E3098">
        <v>21</v>
      </c>
      <c r="F3098" t="s">
        <v>5163</v>
      </c>
      <c r="G3098" t="s">
        <v>5164</v>
      </c>
    </row>
    <row r="3099" spans="1:7" hidden="1">
      <c r="A3099" s="5" t="s">
        <v>2118</v>
      </c>
      <c r="B3099" t="s">
        <v>5161</v>
      </c>
      <c r="C3099" t="s">
        <v>348</v>
      </c>
      <c r="D3099" t="s">
        <v>8350</v>
      </c>
      <c r="E3099">
        <v>47</v>
      </c>
      <c r="F3099" t="s">
        <v>5172</v>
      </c>
      <c r="G3099" t="s">
        <v>5164</v>
      </c>
    </row>
    <row r="3100" spans="1:7" hidden="1">
      <c r="A3100" s="5" t="s">
        <v>2190</v>
      </c>
      <c r="B3100" t="s">
        <v>5161</v>
      </c>
      <c r="C3100" t="s">
        <v>348</v>
      </c>
      <c r="D3100" t="s">
        <v>8351</v>
      </c>
      <c r="E3100">
        <v>20</v>
      </c>
      <c r="F3100" t="s">
        <v>5163</v>
      </c>
      <c r="G3100" t="s">
        <v>5169</v>
      </c>
    </row>
    <row r="3101" spans="1:7" hidden="1">
      <c r="A3101" s="5" t="s">
        <v>337</v>
      </c>
      <c r="B3101" t="s">
        <v>5161</v>
      </c>
      <c r="C3101" t="s">
        <v>348</v>
      </c>
      <c r="D3101" t="s">
        <v>859</v>
      </c>
      <c r="E3101">
        <v>26</v>
      </c>
      <c r="F3101" t="s">
        <v>5163</v>
      </c>
      <c r="G3101" t="s">
        <v>5164</v>
      </c>
    </row>
    <row r="3102" spans="1:7" hidden="1">
      <c r="A3102" s="5" t="s">
        <v>2580</v>
      </c>
      <c r="B3102" t="s">
        <v>5161</v>
      </c>
      <c r="C3102" t="s">
        <v>348</v>
      </c>
      <c r="D3102" t="s">
        <v>8352</v>
      </c>
      <c r="E3102">
        <v>18</v>
      </c>
      <c r="F3102" t="s">
        <v>5163</v>
      </c>
      <c r="G3102" t="s">
        <v>5164</v>
      </c>
    </row>
    <row r="3103" spans="1:7" hidden="1">
      <c r="A3103" s="5" t="s">
        <v>2608</v>
      </c>
      <c r="B3103" t="s">
        <v>5161</v>
      </c>
      <c r="C3103" t="s">
        <v>348</v>
      </c>
      <c r="D3103" t="s">
        <v>8353</v>
      </c>
      <c r="E3103">
        <v>21</v>
      </c>
      <c r="F3103" t="s">
        <v>5163</v>
      </c>
      <c r="G3103" t="s">
        <v>5164</v>
      </c>
    </row>
    <row r="3104" spans="1:7" hidden="1">
      <c r="A3104" s="5" t="s">
        <v>2181</v>
      </c>
      <c r="B3104" t="s">
        <v>5161</v>
      </c>
      <c r="C3104" t="s">
        <v>348</v>
      </c>
      <c r="D3104" t="s">
        <v>8354</v>
      </c>
      <c r="E3104">
        <v>20</v>
      </c>
      <c r="F3104" t="s">
        <v>5163</v>
      </c>
      <c r="G3104" t="s">
        <v>5164</v>
      </c>
    </row>
    <row r="3105" spans="1:7" hidden="1">
      <c r="A3105" s="5" t="s">
        <v>2181</v>
      </c>
      <c r="B3105" t="s">
        <v>5161</v>
      </c>
      <c r="C3105" t="s">
        <v>348</v>
      </c>
      <c r="D3105" t="s">
        <v>8355</v>
      </c>
      <c r="E3105">
        <v>19</v>
      </c>
      <c r="F3105" t="s">
        <v>5163</v>
      </c>
      <c r="G3105" t="s">
        <v>6496</v>
      </c>
    </row>
    <row r="3106" spans="1:7" hidden="1">
      <c r="A3106" s="5" t="s">
        <v>8356</v>
      </c>
      <c r="B3106" t="s">
        <v>5161</v>
      </c>
      <c r="C3106" t="s">
        <v>348</v>
      </c>
      <c r="D3106" t="s">
        <v>8357</v>
      </c>
      <c r="E3106">
        <v>40</v>
      </c>
      <c r="F3106" t="s">
        <v>5163</v>
      </c>
      <c r="G3106" t="s">
        <v>5164</v>
      </c>
    </row>
    <row r="3107" spans="1:7" hidden="1">
      <c r="A3107" s="5" t="s">
        <v>8358</v>
      </c>
      <c r="B3107" t="s">
        <v>5161</v>
      </c>
      <c r="C3107" t="s">
        <v>348</v>
      </c>
      <c r="D3107" t="s">
        <v>7662</v>
      </c>
      <c r="E3107">
        <v>32</v>
      </c>
      <c r="F3107" t="s">
        <v>5172</v>
      </c>
      <c r="G3107" t="s">
        <v>1905</v>
      </c>
    </row>
    <row r="3108" spans="1:7" hidden="1">
      <c r="A3108" s="5" t="s">
        <v>2242</v>
      </c>
      <c r="B3108" t="s">
        <v>5161</v>
      </c>
      <c r="C3108" t="s">
        <v>348</v>
      </c>
      <c r="D3108" t="s">
        <v>8359</v>
      </c>
      <c r="E3108">
        <v>45</v>
      </c>
      <c r="F3108" t="s">
        <v>5163</v>
      </c>
      <c r="G3108" t="s">
        <v>5164</v>
      </c>
    </row>
    <row r="3109" spans="1:7" hidden="1">
      <c r="A3109" s="5" t="s">
        <v>8360</v>
      </c>
      <c r="B3109" t="s">
        <v>5161</v>
      </c>
      <c r="C3109" t="s">
        <v>348</v>
      </c>
      <c r="D3109" t="s">
        <v>8361</v>
      </c>
      <c r="E3109">
        <v>36</v>
      </c>
      <c r="F3109" t="s">
        <v>5163</v>
      </c>
      <c r="G3109" t="s">
        <v>1905</v>
      </c>
    </row>
    <row r="3110" spans="1:7" hidden="1">
      <c r="A3110" s="5" t="s">
        <v>2225</v>
      </c>
      <c r="B3110" t="s">
        <v>5161</v>
      </c>
      <c r="C3110" t="s">
        <v>348</v>
      </c>
      <c r="D3110" t="s">
        <v>8362</v>
      </c>
      <c r="E3110">
        <v>21</v>
      </c>
      <c r="F3110" t="s">
        <v>5163</v>
      </c>
      <c r="G3110" t="s">
        <v>5164</v>
      </c>
    </row>
    <row r="3111" spans="1:7" hidden="1">
      <c r="A3111" s="5" t="s">
        <v>8363</v>
      </c>
      <c r="B3111" t="s">
        <v>5161</v>
      </c>
      <c r="C3111" t="s">
        <v>348</v>
      </c>
      <c r="D3111" t="s">
        <v>8364</v>
      </c>
      <c r="E3111">
        <v>34</v>
      </c>
      <c r="F3111" t="s">
        <v>5163</v>
      </c>
      <c r="G3111" t="s">
        <v>5164</v>
      </c>
    </row>
    <row r="3112" spans="1:7" hidden="1">
      <c r="A3112" s="5" t="s">
        <v>5133</v>
      </c>
      <c r="B3112" t="s">
        <v>5161</v>
      </c>
      <c r="C3112" t="s">
        <v>348</v>
      </c>
      <c r="D3112" t="s">
        <v>8365</v>
      </c>
      <c r="E3112">
        <v>19</v>
      </c>
      <c r="F3112" t="s">
        <v>5163</v>
      </c>
      <c r="G3112" t="s">
        <v>1905</v>
      </c>
    </row>
    <row r="3113" spans="1:7" hidden="1">
      <c r="A3113" s="5" t="s">
        <v>4843</v>
      </c>
      <c r="B3113" t="s">
        <v>5161</v>
      </c>
      <c r="C3113" t="s">
        <v>348</v>
      </c>
      <c r="D3113" t="s">
        <v>8366</v>
      </c>
      <c r="E3113">
        <v>20</v>
      </c>
      <c r="F3113" t="s">
        <v>5163</v>
      </c>
      <c r="G3113" t="s">
        <v>5164</v>
      </c>
    </row>
    <row r="3114" spans="1:7" hidden="1">
      <c r="A3114" s="5" t="s">
        <v>2316</v>
      </c>
      <c r="B3114" t="s">
        <v>5161</v>
      </c>
      <c r="C3114" t="s">
        <v>348</v>
      </c>
      <c r="D3114" t="s">
        <v>8367</v>
      </c>
      <c r="E3114">
        <v>28</v>
      </c>
      <c r="F3114" t="s">
        <v>5163</v>
      </c>
      <c r="G3114" t="s">
        <v>1905</v>
      </c>
    </row>
    <row r="3115" spans="1:7" hidden="1">
      <c r="A3115" s="5" t="s">
        <v>4990</v>
      </c>
      <c r="B3115" t="s">
        <v>5161</v>
      </c>
      <c r="C3115" t="s">
        <v>348</v>
      </c>
      <c r="D3115" t="s">
        <v>8368</v>
      </c>
      <c r="E3115">
        <v>30</v>
      </c>
      <c r="F3115" t="s">
        <v>5163</v>
      </c>
      <c r="G3115" t="s">
        <v>5164</v>
      </c>
    </row>
    <row r="3116" spans="1:7" hidden="1">
      <c r="A3116" s="5" t="s">
        <v>4906</v>
      </c>
      <c r="B3116" t="s">
        <v>5161</v>
      </c>
      <c r="C3116" t="s">
        <v>348</v>
      </c>
      <c r="D3116" t="s">
        <v>8369</v>
      </c>
      <c r="E3116">
        <v>20</v>
      </c>
      <c r="F3116" t="s">
        <v>5163</v>
      </c>
      <c r="G3116" t="s">
        <v>5164</v>
      </c>
    </row>
    <row r="3117" spans="1:7" hidden="1">
      <c r="A3117" s="5" t="s">
        <v>2288</v>
      </c>
      <c r="B3117" t="s">
        <v>5161</v>
      </c>
      <c r="C3117" t="s">
        <v>348</v>
      </c>
      <c r="D3117" t="s">
        <v>8370</v>
      </c>
      <c r="E3117">
        <v>31</v>
      </c>
      <c r="F3117" t="s">
        <v>5163</v>
      </c>
      <c r="G3117" t="s">
        <v>5169</v>
      </c>
    </row>
    <row r="3118" spans="1:7" hidden="1">
      <c r="A3118" s="5" t="s">
        <v>2288</v>
      </c>
      <c r="B3118" t="s">
        <v>5161</v>
      </c>
      <c r="C3118" t="s">
        <v>348</v>
      </c>
      <c r="D3118" t="s">
        <v>8371</v>
      </c>
      <c r="E3118">
        <v>23</v>
      </c>
      <c r="F3118" t="s">
        <v>5163</v>
      </c>
      <c r="G3118" t="s">
        <v>1905</v>
      </c>
    </row>
    <row r="3119" spans="1:7" hidden="1">
      <c r="A3119" s="5" t="s">
        <v>3209</v>
      </c>
      <c r="B3119" t="s">
        <v>5161</v>
      </c>
      <c r="C3119" t="s">
        <v>348</v>
      </c>
      <c r="D3119" t="s">
        <v>8372</v>
      </c>
      <c r="E3119">
        <v>22</v>
      </c>
      <c r="F3119" t="s">
        <v>5163</v>
      </c>
      <c r="G3119" t="s">
        <v>6496</v>
      </c>
    </row>
    <row r="3120" spans="1:7" hidden="1">
      <c r="A3120" s="5" t="s">
        <v>3209</v>
      </c>
      <c r="B3120" t="s">
        <v>5161</v>
      </c>
      <c r="C3120" t="s">
        <v>348</v>
      </c>
      <c r="D3120" t="s">
        <v>8373</v>
      </c>
      <c r="E3120">
        <v>35</v>
      </c>
      <c r="F3120" t="s">
        <v>5163</v>
      </c>
      <c r="G3120" t="s">
        <v>6496</v>
      </c>
    </row>
    <row r="3121" spans="1:7" hidden="1">
      <c r="A3121" s="5" t="s">
        <v>2238</v>
      </c>
      <c r="B3121" t="s">
        <v>5161</v>
      </c>
      <c r="C3121" t="s">
        <v>348</v>
      </c>
      <c r="D3121" t="s">
        <v>8374</v>
      </c>
      <c r="E3121">
        <v>30</v>
      </c>
      <c r="F3121" t="s">
        <v>5163</v>
      </c>
      <c r="G3121" t="s">
        <v>5164</v>
      </c>
    </row>
    <row r="3122" spans="1:7" hidden="1">
      <c r="A3122" s="5" t="s">
        <v>4597</v>
      </c>
      <c r="B3122" t="s">
        <v>5161</v>
      </c>
      <c r="C3122" t="s">
        <v>348</v>
      </c>
      <c r="D3122" t="s">
        <v>8375</v>
      </c>
      <c r="E3122">
        <v>21</v>
      </c>
      <c r="F3122" t="s">
        <v>5163</v>
      </c>
      <c r="G3122" t="s">
        <v>1905</v>
      </c>
    </row>
    <row r="3123" spans="1:7" hidden="1">
      <c r="A3123" s="5" t="s">
        <v>3458</v>
      </c>
      <c r="B3123" t="s">
        <v>5161</v>
      </c>
      <c r="C3123" t="s">
        <v>348</v>
      </c>
      <c r="D3123" t="s">
        <v>8376</v>
      </c>
      <c r="E3123">
        <v>18</v>
      </c>
      <c r="F3123" t="s">
        <v>5163</v>
      </c>
      <c r="G3123" t="s">
        <v>5164</v>
      </c>
    </row>
    <row r="3124" spans="1:7" hidden="1">
      <c r="A3124" s="5" t="s">
        <v>2313</v>
      </c>
      <c r="B3124" t="s">
        <v>5161</v>
      </c>
      <c r="C3124" t="s">
        <v>348</v>
      </c>
      <c r="D3124" t="s">
        <v>8377</v>
      </c>
      <c r="E3124">
        <v>23</v>
      </c>
      <c r="F3124" t="s">
        <v>5163</v>
      </c>
      <c r="G3124" t="s">
        <v>5182</v>
      </c>
    </row>
    <row r="3125" spans="1:7" hidden="1">
      <c r="A3125" s="5" t="s">
        <v>4554</v>
      </c>
      <c r="B3125" t="s">
        <v>5161</v>
      </c>
      <c r="C3125" t="s">
        <v>348</v>
      </c>
      <c r="D3125" t="s">
        <v>7441</v>
      </c>
      <c r="E3125">
        <v>27</v>
      </c>
      <c r="F3125" t="s">
        <v>5163</v>
      </c>
      <c r="G3125" t="s">
        <v>5169</v>
      </c>
    </row>
    <row r="3126" spans="1:7" hidden="1">
      <c r="A3126" s="5" t="s">
        <v>4535</v>
      </c>
      <c r="B3126" t="s">
        <v>5161</v>
      </c>
      <c r="C3126" t="s">
        <v>348</v>
      </c>
      <c r="D3126" t="s">
        <v>8378</v>
      </c>
      <c r="E3126">
        <v>26</v>
      </c>
      <c r="F3126" t="s">
        <v>5163</v>
      </c>
      <c r="G3126" t="s">
        <v>5169</v>
      </c>
    </row>
    <row r="3127" spans="1:7" hidden="1">
      <c r="A3127" s="5" t="s">
        <v>4755</v>
      </c>
      <c r="B3127" t="s">
        <v>5161</v>
      </c>
      <c r="C3127" t="s">
        <v>348</v>
      </c>
      <c r="D3127" t="s">
        <v>8379</v>
      </c>
      <c r="E3127">
        <v>37</v>
      </c>
      <c r="F3127" t="s">
        <v>5172</v>
      </c>
      <c r="G3127" t="s">
        <v>1905</v>
      </c>
    </row>
    <row r="3128" spans="1:7" hidden="1">
      <c r="A3128" s="5" t="s">
        <v>4755</v>
      </c>
      <c r="B3128" t="s">
        <v>5161</v>
      </c>
      <c r="C3128" t="s">
        <v>348</v>
      </c>
      <c r="D3128" t="s">
        <v>8380</v>
      </c>
      <c r="E3128">
        <v>22</v>
      </c>
      <c r="F3128" t="s">
        <v>5163</v>
      </c>
      <c r="G3128" t="s">
        <v>6496</v>
      </c>
    </row>
    <row r="3129" spans="1:7" hidden="1">
      <c r="A3129" s="5" t="s">
        <v>8381</v>
      </c>
      <c r="B3129" t="s">
        <v>5161</v>
      </c>
      <c r="C3129" t="s">
        <v>348</v>
      </c>
      <c r="D3129" t="s">
        <v>903</v>
      </c>
      <c r="E3129">
        <v>25</v>
      </c>
      <c r="F3129" t="s">
        <v>5163</v>
      </c>
      <c r="G3129" t="s">
        <v>5164</v>
      </c>
    </row>
    <row r="3130" spans="1:7" hidden="1">
      <c r="A3130" s="5" t="s">
        <v>8382</v>
      </c>
      <c r="B3130" t="s">
        <v>5161</v>
      </c>
      <c r="C3130" t="s">
        <v>348</v>
      </c>
      <c r="D3130" t="s">
        <v>8383</v>
      </c>
      <c r="E3130">
        <v>18</v>
      </c>
      <c r="F3130" t="s">
        <v>5163</v>
      </c>
      <c r="G3130" t="s">
        <v>5164</v>
      </c>
    </row>
    <row r="3131" spans="1:7" hidden="1">
      <c r="A3131" s="5" t="s">
        <v>3327</v>
      </c>
      <c r="B3131" t="s">
        <v>5161</v>
      </c>
      <c r="C3131" t="s">
        <v>348</v>
      </c>
      <c r="D3131" t="s">
        <v>8384</v>
      </c>
      <c r="E3131">
        <v>18</v>
      </c>
      <c r="F3131" t="s">
        <v>5163</v>
      </c>
      <c r="G3131" t="s">
        <v>1905</v>
      </c>
    </row>
    <row r="3132" spans="1:7" hidden="1">
      <c r="A3132" s="5" t="s">
        <v>336</v>
      </c>
      <c r="B3132" t="s">
        <v>5161</v>
      </c>
      <c r="C3132" t="s">
        <v>348</v>
      </c>
      <c r="D3132" t="s">
        <v>856</v>
      </c>
      <c r="E3132">
        <v>518</v>
      </c>
      <c r="F3132" t="s">
        <v>5163</v>
      </c>
      <c r="G3132" t="s">
        <v>5164</v>
      </c>
    </row>
    <row r="3133" spans="1:7" hidden="1">
      <c r="A3133" s="5" t="s">
        <v>4381</v>
      </c>
      <c r="B3133" t="s">
        <v>5161</v>
      </c>
      <c r="C3133" t="s">
        <v>348</v>
      </c>
      <c r="D3133" t="s">
        <v>8385</v>
      </c>
      <c r="E3133">
        <v>20</v>
      </c>
      <c r="F3133" t="s">
        <v>5163</v>
      </c>
      <c r="G3133" t="s">
        <v>5169</v>
      </c>
    </row>
    <row r="3134" spans="1:7" hidden="1">
      <c r="A3134" s="5" t="s">
        <v>4672</v>
      </c>
      <c r="B3134" t="s">
        <v>5161</v>
      </c>
      <c r="C3134" t="s">
        <v>348</v>
      </c>
      <c r="D3134" t="s">
        <v>8386</v>
      </c>
      <c r="E3134">
        <v>22</v>
      </c>
      <c r="F3134" t="s">
        <v>5163</v>
      </c>
      <c r="G3134" t="s">
        <v>5164</v>
      </c>
    </row>
    <row r="3135" spans="1:7" hidden="1">
      <c r="A3135" s="5" t="s">
        <v>5062</v>
      </c>
      <c r="B3135" t="s">
        <v>5161</v>
      </c>
      <c r="C3135" t="s">
        <v>348</v>
      </c>
      <c r="D3135" t="s">
        <v>8387</v>
      </c>
      <c r="E3135">
        <v>32</v>
      </c>
      <c r="F3135" t="s">
        <v>5172</v>
      </c>
      <c r="G3135" t="s">
        <v>1905</v>
      </c>
    </row>
    <row r="3136" spans="1:7" hidden="1">
      <c r="A3136" s="5" t="s">
        <v>4413</v>
      </c>
      <c r="B3136" t="s">
        <v>5161</v>
      </c>
      <c r="C3136" t="s">
        <v>348</v>
      </c>
      <c r="D3136" t="s">
        <v>8388</v>
      </c>
      <c r="E3136">
        <v>23</v>
      </c>
      <c r="F3136" t="s">
        <v>5163</v>
      </c>
      <c r="G3136" t="s">
        <v>5164</v>
      </c>
    </row>
    <row r="3137" spans="1:7" hidden="1">
      <c r="A3137" s="5" t="s">
        <v>4580</v>
      </c>
      <c r="B3137" t="s">
        <v>5161</v>
      </c>
      <c r="C3137" t="s">
        <v>348</v>
      </c>
      <c r="D3137" t="s">
        <v>8389</v>
      </c>
      <c r="E3137">
        <v>32</v>
      </c>
      <c r="F3137" t="s">
        <v>5163</v>
      </c>
      <c r="G3137" t="s">
        <v>5182</v>
      </c>
    </row>
    <row r="3138" spans="1:7" hidden="1">
      <c r="A3138" s="5" t="s">
        <v>4663</v>
      </c>
      <c r="B3138" t="s">
        <v>5161</v>
      </c>
      <c r="C3138" t="s">
        <v>364</v>
      </c>
      <c r="D3138" t="s">
        <v>8390</v>
      </c>
      <c r="E3138">
        <v>22</v>
      </c>
      <c r="F3138" t="s">
        <v>5163</v>
      </c>
      <c r="G3138" t="s">
        <v>5169</v>
      </c>
    </row>
    <row r="3139" spans="1:7" hidden="1">
      <c r="A3139" s="5" t="s">
        <v>4663</v>
      </c>
      <c r="B3139" t="s">
        <v>5161</v>
      </c>
      <c r="C3139" t="s">
        <v>364</v>
      </c>
      <c r="D3139" t="s">
        <v>8391</v>
      </c>
      <c r="E3139">
        <v>21</v>
      </c>
      <c r="F3139" t="s">
        <v>5163</v>
      </c>
      <c r="G3139" t="s">
        <v>5164</v>
      </c>
    </row>
    <row r="3140" spans="1:7" hidden="1">
      <c r="A3140" s="5" t="s">
        <v>4358</v>
      </c>
      <c r="B3140" t="s">
        <v>5161</v>
      </c>
      <c r="C3140" t="s">
        <v>364</v>
      </c>
      <c r="D3140" t="s">
        <v>8392</v>
      </c>
      <c r="E3140">
        <v>28</v>
      </c>
      <c r="F3140" t="s">
        <v>5163</v>
      </c>
      <c r="G3140" t="s">
        <v>5169</v>
      </c>
    </row>
    <row r="3141" spans="1:7" hidden="1">
      <c r="A3141" s="5" t="s">
        <v>356</v>
      </c>
      <c r="B3141" t="s">
        <v>5161</v>
      </c>
      <c r="C3141" t="s">
        <v>364</v>
      </c>
      <c r="D3141" t="s">
        <v>963</v>
      </c>
      <c r="E3141">
        <v>28</v>
      </c>
      <c r="F3141" t="s">
        <v>5163</v>
      </c>
      <c r="G3141" t="s">
        <v>5169</v>
      </c>
    </row>
    <row r="3142" spans="1:7" hidden="1">
      <c r="A3142" s="5" t="s">
        <v>3958</v>
      </c>
      <c r="B3142" t="s">
        <v>5161</v>
      </c>
      <c r="C3142" t="s">
        <v>364</v>
      </c>
      <c r="D3142" t="s">
        <v>8393</v>
      </c>
      <c r="E3142">
        <v>51</v>
      </c>
      <c r="F3142" t="s">
        <v>5163</v>
      </c>
      <c r="G3142" t="s">
        <v>5182</v>
      </c>
    </row>
    <row r="3143" spans="1:7" hidden="1">
      <c r="A3143" s="5" t="s">
        <v>8394</v>
      </c>
      <c r="B3143" t="s">
        <v>5161</v>
      </c>
      <c r="C3143" t="s">
        <v>364</v>
      </c>
      <c r="D3143" t="s">
        <v>8395</v>
      </c>
      <c r="E3143">
        <v>23</v>
      </c>
      <c r="F3143" t="s">
        <v>5163</v>
      </c>
      <c r="G3143" t="s">
        <v>5164</v>
      </c>
    </row>
    <row r="3144" spans="1:7" hidden="1">
      <c r="A3144" s="5" t="s">
        <v>8394</v>
      </c>
      <c r="B3144" t="s">
        <v>5161</v>
      </c>
      <c r="C3144" t="s">
        <v>364</v>
      </c>
      <c r="D3144" t="s">
        <v>8396</v>
      </c>
      <c r="E3144">
        <v>35</v>
      </c>
      <c r="F3144" t="s">
        <v>5163</v>
      </c>
      <c r="G3144" t="s">
        <v>5164</v>
      </c>
    </row>
    <row r="3145" spans="1:7" hidden="1">
      <c r="A3145" s="5" t="s">
        <v>8394</v>
      </c>
      <c r="B3145" t="s">
        <v>5161</v>
      </c>
      <c r="C3145" t="s">
        <v>364</v>
      </c>
      <c r="D3145" t="s">
        <v>8397</v>
      </c>
      <c r="E3145">
        <v>19</v>
      </c>
      <c r="F3145" t="s">
        <v>5163</v>
      </c>
      <c r="G3145" t="s">
        <v>5164</v>
      </c>
    </row>
    <row r="3146" spans="1:7" hidden="1">
      <c r="A3146" s="5" t="s">
        <v>4620</v>
      </c>
      <c r="B3146" t="s">
        <v>5161</v>
      </c>
      <c r="C3146" t="s">
        <v>364</v>
      </c>
      <c r="D3146" t="s">
        <v>8398</v>
      </c>
      <c r="E3146">
        <v>28</v>
      </c>
      <c r="F3146" t="s">
        <v>5163</v>
      </c>
      <c r="G3146" t="s">
        <v>5164</v>
      </c>
    </row>
    <row r="3147" spans="1:7" hidden="1">
      <c r="A3147" s="5" t="s">
        <v>4584</v>
      </c>
      <c r="B3147" t="s">
        <v>5161</v>
      </c>
      <c r="C3147" t="s">
        <v>364</v>
      </c>
      <c r="D3147" t="s">
        <v>8399</v>
      </c>
      <c r="E3147">
        <v>28</v>
      </c>
      <c r="F3147" t="s">
        <v>5163</v>
      </c>
      <c r="G3147" t="s">
        <v>5169</v>
      </c>
    </row>
    <row r="3148" spans="1:7" hidden="1">
      <c r="A3148" s="5" t="s">
        <v>4584</v>
      </c>
      <c r="B3148" t="s">
        <v>5161</v>
      </c>
      <c r="C3148" t="s">
        <v>364</v>
      </c>
      <c r="D3148" t="s">
        <v>8400</v>
      </c>
      <c r="E3148">
        <v>19</v>
      </c>
      <c r="F3148" t="s">
        <v>5163</v>
      </c>
      <c r="G3148" t="s">
        <v>5164</v>
      </c>
    </row>
    <row r="3149" spans="1:7" hidden="1">
      <c r="A3149" s="5" t="s">
        <v>4176</v>
      </c>
      <c r="B3149" t="s">
        <v>5161</v>
      </c>
      <c r="C3149" t="s">
        <v>364</v>
      </c>
      <c r="D3149" t="s">
        <v>8401</v>
      </c>
      <c r="E3149">
        <v>31</v>
      </c>
      <c r="F3149" t="s">
        <v>5163</v>
      </c>
      <c r="G3149" t="s">
        <v>5164</v>
      </c>
    </row>
    <row r="3150" spans="1:7" hidden="1">
      <c r="A3150" s="5" t="s">
        <v>5052</v>
      </c>
      <c r="B3150" t="s">
        <v>5161</v>
      </c>
      <c r="C3150" t="s">
        <v>364</v>
      </c>
      <c r="D3150" t="s">
        <v>8402</v>
      </c>
      <c r="E3150">
        <v>24</v>
      </c>
      <c r="F3150" t="s">
        <v>5163</v>
      </c>
      <c r="G3150" t="s">
        <v>5169</v>
      </c>
    </row>
    <row r="3151" spans="1:7" hidden="1">
      <c r="A3151" s="5" t="s">
        <v>5052</v>
      </c>
      <c r="B3151" t="s">
        <v>5161</v>
      </c>
      <c r="C3151" t="s">
        <v>364</v>
      </c>
      <c r="D3151" t="s">
        <v>8403</v>
      </c>
      <c r="E3151">
        <v>38</v>
      </c>
      <c r="F3151" t="s">
        <v>5163</v>
      </c>
      <c r="G3151" t="s">
        <v>5169</v>
      </c>
    </row>
    <row r="3152" spans="1:7" hidden="1">
      <c r="A3152" s="5" t="s">
        <v>4006</v>
      </c>
      <c r="B3152" t="s">
        <v>5161</v>
      </c>
      <c r="C3152" t="s">
        <v>364</v>
      </c>
      <c r="D3152" t="s">
        <v>8404</v>
      </c>
      <c r="E3152">
        <v>26</v>
      </c>
      <c r="F3152" t="s">
        <v>5163</v>
      </c>
      <c r="G3152" t="s">
        <v>5164</v>
      </c>
    </row>
    <row r="3153" spans="1:7" hidden="1">
      <c r="A3153" s="5" t="s">
        <v>4121</v>
      </c>
      <c r="B3153" t="s">
        <v>5161</v>
      </c>
      <c r="C3153" t="s">
        <v>364</v>
      </c>
      <c r="D3153" t="s">
        <v>8405</v>
      </c>
      <c r="E3153">
        <v>35</v>
      </c>
      <c r="F3153" t="s">
        <v>5163</v>
      </c>
      <c r="G3153" t="s">
        <v>5164</v>
      </c>
    </row>
    <row r="3154" spans="1:7" hidden="1">
      <c r="A3154" s="5" t="s">
        <v>3825</v>
      </c>
      <c r="B3154" t="s">
        <v>5161</v>
      </c>
      <c r="C3154" t="s">
        <v>364</v>
      </c>
      <c r="D3154" t="s">
        <v>8406</v>
      </c>
      <c r="E3154">
        <v>20</v>
      </c>
      <c r="F3154" t="s">
        <v>5163</v>
      </c>
      <c r="G3154" t="s">
        <v>5164</v>
      </c>
    </row>
    <row r="3155" spans="1:7" hidden="1">
      <c r="A3155" s="5" t="s">
        <v>3841</v>
      </c>
      <c r="B3155" t="s">
        <v>5161</v>
      </c>
      <c r="C3155" t="s">
        <v>364</v>
      </c>
      <c r="D3155" t="s">
        <v>8407</v>
      </c>
      <c r="E3155">
        <v>28</v>
      </c>
      <c r="F3155" t="s">
        <v>5163</v>
      </c>
      <c r="G3155" t="s">
        <v>5164</v>
      </c>
    </row>
    <row r="3156" spans="1:7" hidden="1">
      <c r="A3156" s="5" t="s">
        <v>3938</v>
      </c>
      <c r="B3156" t="s">
        <v>5161</v>
      </c>
      <c r="C3156" t="s">
        <v>364</v>
      </c>
      <c r="D3156" t="s">
        <v>8408</v>
      </c>
      <c r="E3156">
        <v>31</v>
      </c>
      <c r="F3156" t="s">
        <v>5163</v>
      </c>
      <c r="G3156" t="s">
        <v>5182</v>
      </c>
    </row>
    <row r="3157" spans="1:7" hidden="1">
      <c r="A3157" s="5" t="s">
        <v>3789</v>
      </c>
      <c r="B3157" t="s">
        <v>5161</v>
      </c>
      <c r="C3157" t="s">
        <v>364</v>
      </c>
      <c r="D3157" t="s">
        <v>8409</v>
      </c>
      <c r="E3157">
        <v>28</v>
      </c>
      <c r="F3157" t="s">
        <v>5163</v>
      </c>
      <c r="G3157" t="s">
        <v>1905</v>
      </c>
    </row>
    <row r="3158" spans="1:7" hidden="1">
      <c r="A3158" s="5" t="s">
        <v>3621</v>
      </c>
      <c r="B3158" t="s">
        <v>5161</v>
      </c>
      <c r="C3158" t="s">
        <v>364</v>
      </c>
      <c r="D3158" t="s">
        <v>8410</v>
      </c>
      <c r="E3158">
        <v>28</v>
      </c>
      <c r="F3158" t="s">
        <v>5163</v>
      </c>
      <c r="G3158" t="s">
        <v>5164</v>
      </c>
    </row>
    <row r="3159" spans="1:7" hidden="1">
      <c r="A3159" s="5" t="s">
        <v>3214</v>
      </c>
      <c r="B3159" t="s">
        <v>5161</v>
      </c>
      <c r="C3159" t="s">
        <v>364</v>
      </c>
      <c r="D3159" t="s">
        <v>8411</v>
      </c>
      <c r="E3159">
        <v>25</v>
      </c>
      <c r="F3159" t="s">
        <v>5163</v>
      </c>
      <c r="G3159" t="s">
        <v>1905</v>
      </c>
    </row>
    <row r="3160" spans="1:7" hidden="1">
      <c r="A3160" s="5" t="s">
        <v>8412</v>
      </c>
      <c r="B3160" t="s">
        <v>5161</v>
      </c>
      <c r="C3160" t="s">
        <v>364</v>
      </c>
      <c r="D3160" t="s">
        <v>8413</v>
      </c>
      <c r="E3160">
        <v>71</v>
      </c>
      <c r="F3160" t="s">
        <v>5172</v>
      </c>
      <c r="G3160" t="s">
        <v>5169</v>
      </c>
    </row>
    <row r="3161" spans="1:7" hidden="1">
      <c r="A3161" s="5" t="s">
        <v>8412</v>
      </c>
      <c r="B3161" t="s">
        <v>5161</v>
      </c>
      <c r="C3161" t="s">
        <v>364</v>
      </c>
      <c r="D3161" t="s">
        <v>8414</v>
      </c>
      <c r="E3161" t="s">
        <v>5182</v>
      </c>
      <c r="F3161" t="s">
        <v>5172</v>
      </c>
      <c r="G3161" t="s">
        <v>5182</v>
      </c>
    </row>
    <row r="3162" spans="1:7" hidden="1">
      <c r="A3162" s="5" t="s">
        <v>8412</v>
      </c>
      <c r="B3162" t="s">
        <v>5161</v>
      </c>
      <c r="C3162" t="s">
        <v>364</v>
      </c>
      <c r="D3162" t="s">
        <v>8415</v>
      </c>
      <c r="E3162" t="s">
        <v>5182</v>
      </c>
      <c r="F3162" t="s">
        <v>5172</v>
      </c>
      <c r="G3162" t="s">
        <v>5164</v>
      </c>
    </row>
    <row r="3163" spans="1:7" hidden="1">
      <c r="A3163" s="5" t="s">
        <v>8412</v>
      </c>
      <c r="B3163" t="s">
        <v>5161</v>
      </c>
      <c r="C3163" t="s">
        <v>364</v>
      </c>
      <c r="D3163" t="s">
        <v>8416</v>
      </c>
      <c r="E3163" t="s">
        <v>5182</v>
      </c>
      <c r="F3163" t="s">
        <v>5172</v>
      </c>
      <c r="G3163" t="s">
        <v>1905</v>
      </c>
    </row>
    <row r="3164" spans="1:7" hidden="1">
      <c r="A3164" s="5" t="s">
        <v>3983</v>
      </c>
      <c r="B3164" t="s">
        <v>5161</v>
      </c>
      <c r="C3164" t="s">
        <v>364</v>
      </c>
      <c r="D3164" t="s">
        <v>8417</v>
      </c>
      <c r="E3164">
        <v>47</v>
      </c>
      <c r="F3164" t="s">
        <v>5163</v>
      </c>
      <c r="G3164" t="s">
        <v>5164</v>
      </c>
    </row>
    <row r="3165" spans="1:7" hidden="1">
      <c r="A3165" s="5" t="s">
        <v>3276</v>
      </c>
      <c r="B3165" t="s">
        <v>5161</v>
      </c>
      <c r="C3165" t="s">
        <v>364</v>
      </c>
      <c r="D3165" t="s">
        <v>8418</v>
      </c>
      <c r="E3165">
        <v>25</v>
      </c>
      <c r="F3165" t="s">
        <v>5163</v>
      </c>
      <c r="G3165" t="s">
        <v>5164</v>
      </c>
    </row>
    <row r="3166" spans="1:7" hidden="1">
      <c r="A3166" s="5" t="s">
        <v>3276</v>
      </c>
      <c r="B3166" t="s">
        <v>5161</v>
      </c>
      <c r="C3166" t="s">
        <v>364</v>
      </c>
      <c r="D3166" t="s">
        <v>8419</v>
      </c>
      <c r="E3166">
        <v>31</v>
      </c>
      <c r="F3166" t="s">
        <v>5163</v>
      </c>
      <c r="G3166" t="s">
        <v>5164</v>
      </c>
    </row>
    <row r="3167" spans="1:7" hidden="1">
      <c r="A3167" s="5" t="s">
        <v>3276</v>
      </c>
      <c r="B3167" t="s">
        <v>5161</v>
      </c>
      <c r="C3167" t="s">
        <v>364</v>
      </c>
      <c r="D3167" t="s">
        <v>8420</v>
      </c>
      <c r="E3167">
        <v>29</v>
      </c>
      <c r="F3167" t="s">
        <v>5163</v>
      </c>
      <c r="G3167" t="s">
        <v>5164</v>
      </c>
    </row>
    <row r="3168" spans="1:7" hidden="1">
      <c r="A3168" s="5" t="s">
        <v>2783</v>
      </c>
      <c r="B3168" t="s">
        <v>5161</v>
      </c>
      <c r="C3168" t="s">
        <v>364</v>
      </c>
      <c r="D3168" t="s">
        <v>8421</v>
      </c>
      <c r="E3168">
        <v>24</v>
      </c>
      <c r="F3168" t="s">
        <v>5163</v>
      </c>
      <c r="G3168" t="s">
        <v>1905</v>
      </c>
    </row>
    <row r="3169" spans="1:7" hidden="1">
      <c r="A3169" s="5" t="s">
        <v>2731</v>
      </c>
      <c r="B3169" t="s">
        <v>5161</v>
      </c>
      <c r="C3169" t="s">
        <v>364</v>
      </c>
      <c r="D3169" t="s">
        <v>8422</v>
      </c>
      <c r="E3169">
        <v>21</v>
      </c>
      <c r="F3169" t="s">
        <v>5163</v>
      </c>
      <c r="G3169" t="s">
        <v>5164</v>
      </c>
    </row>
    <row r="3170" spans="1:7" hidden="1">
      <c r="A3170" s="5" t="s">
        <v>4401</v>
      </c>
      <c r="B3170" t="s">
        <v>5161</v>
      </c>
      <c r="C3170" t="s">
        <v>364</v>
      </c>
      <c r="D3170" t="s">
        <v>8423</v>
      </c>
      <c r="E3170">
        <v>22</v>
      </c>
      <c r="F3170" t="s">
        <v>5163</v>
      </c>
      <c r="G3170" t="s">
        <v>5164</v>
      </c>
    </row>
    <row r="3171" spans="1:7" hidden="1">
      <c r="A3171" s="5" t="s">
        <v>2784</v>
      </c>
      <c r="B3171" t="s">
        <v>5161</v>
      </c>
      <c r="C3171" t="s">
        <v>364</v>
      </c>
      <c r="D3171" t="s">
        <v>8424</v>
      </c>
      <c r="E3171">
        <v>20</v>
      </c>
      <c r="F3171" t="s">
        <v>5163</v>
      </c>
      <c r="G3171" t="s">
        <v>5164</v>
      </c>
    </row>
    <row r="3172" spans="1:7" hidden="1">
      <c r="A3172" s="5" t="s">
        <v>2674</v>
      </c>
      <c r="B3172" t="s">
        <v>5161</v>
      </c>
      <c r="C3172" t="s">
        <v>364</v>
      </c>
      <c r="D3172" t="s">
        <v>8425</v>
      </c>
      <c r="E3172">
        <v>24</v>
      </c>
      <c r="F3172" t="s">
        <v>5163</v>
      </c>
      <c r="G3172" t="s">
        <v>1905</v>
      </c>
    </row>
    <row r="3173" spans="1:7" hidden="1">
      <c r="A3173" s="5" t="s">
        <v>2419</v>
      </c>
      <c r="B3173" t="s">
        <v>5161</v>
      </c>
      <c r="C3173" t="s">
        <v>364</v>
      </c>
      <c r="D3173" t="s">
        <v>8426</v>
      </c>
      <c r="E3173">
        <v>18</v>
      </c>
      <c r="F3173" t="s">
        <v>5163</v>
      </c>
      <c r="G3173" t="s">
        <v>5164</v>
      </c>
    </row>
    <row r="3174" spans="1:7" hidden="1">
      <c r="A3174" s="5" t="s">
        <v>2289</v>
      </c>
      <c r="B3174" t="s">
        <v>5161</v>
      </c>
      <c r="C3174" t="s">
        <v>364</v>
      </c>
      <c r="D3174" t="s">
        <v>8427</v>
      </c>
      <c r="E3174">
        <v>20</v>
      </c>
      <c r="F3174" t="s">
        <v>5172</v>
      </c>
      <c r="G3174" t="s">
        <v>5164</v>
      </c>
    </row>
    <row r="3175" spans="1:7" hidden="1">
      <c r="A3175" s="5" t="s">
        <v>2102</v>
      </c>
      <c r="B3175" t="s">
        <v>5161</v>
      </c>
      <c r="C3175" t="s">
        <v>364</v>
      </c>
      <c r="D3175" t="s">
        <v>8428</v>
      </c>
      <c r="E3175">
        <v>30</v>
      </c>
      <c r="F3175" t="s">
        <v>5163</v>
      </c>
      <c r="G3175" t="s">
        <v>5164</v>
      </c>
    </row>
    <row r="3176" spans="1:7" hidden="1">
      <c r="A3176" s="5" t="s">
        <v>2195</v>
      </c>
      <c r="B3176" t="s">
        <v>5161</v>
      </c>
      <c r="C3176" t="s">
        <v>364</v>
      </c>
      <c r="D3176" t="s">
        <v>8429</v>
      </c>
      <c r="E3176">
        <v>20</v>
      </c>
      <c r="F3176" t="s">
        <v>5163</v>
      </c>
      <c r="G3176" t="s">
        <v>5164</v>
      </c>
    </row>
    <row r="3177" spans="1:7" hidden="1">
      <c r="A3177" s="5" t="s">
        <v>2305</v>
      </c>
      <c r="B3177" t="s">
        <v>5161</v>
      </c>
      <c r="C3177" t="s">
        <v>364</v>
      </c>
      <c r="D3177" t="s">
        <v>8430</v>
      </c>
      <c r="E3177">
        <v>25</v>
      </c>
      <c r="F3177" t="s">
        <v>5163</v>
      </c>
      <c r="G3177" t="s">
        <v>5164</v>
      </c>
    </row>
    <row r="3178" spans="1:7" hidden="1">
      <c r="A3178" s="5" t="s">
        <v>4150</v>
      </c>
      <c r="B3178" t="s">
        <v>5161</v>
      </c>
      <c r="C3178" t="s">
        <v>364</v>
      </c>
      <c r="D3178" t="s">
        <v>8431</v>
      </c>
      <c r="E3178">
        <v>23</v>
      </c>
      <c r="F3178" t="s">
        <v>5163</v>
      </c>
      <c r="G3178" t="s">
        <v>5169</v>
      </c>
    </row>
    <row r="3179" spans="1:7" hidden="1">
      <c r="A3179" s="5" t="s">
        <v>3939</v>
      </c>
      <c r="B3179" t="s">
        <v>5161</v>
      </c>
      <c r="C3179" t="s">
        <v>364</v>
      </c>
      <c r="D3179" t="s">
        <v>8432</v>
      </c>
      <c r="E3179">
        <v>42</v>
      </c>
      <c r="F3179" t="s">
        <v>5163</v>
      </c>
      <c r="G3179" t="s">
        <v>1905</v>
      </c>
    </row>
    <row r="3180" spans="1:7" hidden="1">
      <c r="A3180" s="5" t="s">
        <v>8433</v>
      </c>
      <c r="B3180" t="s">
        <v>5161</v>
      </c>
      <c r="C3180" t="s">
        <v>364</v>
      </c>
      <c r="D3180" t="s">
        <v>8434</v>
      </c>
      <c r="E3180">
        <v>25</v>
      </c>
      <c r="F3180" t="s">
        <v>5163</v>
      </c>
      <c r="G3180" t="s">
        <v>1905</v>
      </c>
    </row>
    <row r="3181" spans="1:7" hidden="1">
      <c r="A3181" s="5" t="s">
        <v>4701</v>
      </c>
      <c r="B3181" t="s">
        <v>5161</v>
      </c>
      <c r="C3181" t="s">
        <v>364</v>
      </c>
      <c r="D3181" t="s">
        <v>8435</v>
      </c>
      <c r="E3181">
        <v>29</v>
      </c>
      <c r="F3181" t="s">
        <v>5172</v>
      </c>
      <c r="G3181" t="s">
        <v>1905</v>
      </c>
    </row>
    <row r="3182" spans="1:7" hidden="1">
      <c r="A3182" s="5" t="s">
        <v>5038</v>
      </c>
      <c r="B3182" t="s">
        <v>5161</v>
      </c>
      <c r="C3182" t="s">
        <v>364</v>
      </c>
      <c r="D3182" t="s">
        <v>8436</v>
      </c>
      <c r="E3182">
        <v>39</v>
      </c>
      <c r="F3182" t="s">
        <v>5163</v>
      </c>
      <c r="G3182" t="s">
        <v>1905</v>
      </c>
    </row>
    <row r="3183" spans="1:7" hidden="1">
      <c r="A3183" s="5" t="s">
        <v>4885</v>
      </c>
      <c r="B3183" t="s">
        <v>5161</v>
      </c>
      <c r="C3183" t="s">
        <v>364</v>
      </c>
      <c r="D3183" t="s">
        <v>8437</v>
      </c>
      <c r="E3183">
        <v>19</v>
      </c>
      <c r="F3183" t="s">
        <v>5163</v>
      </c>
      <c r="G3183" t="s">
        <v>5169</v>
      </c>
    </row>
    <row r="3184" spans="1:7" hidden="1">
      <c r="A3184" s="5" t="s">
        <v>3914</v>
      </c>
      <c r="B3184" t="s">
        <v>5161</v>
      </c>
      <c r="C3184" t="s">
        <v>364</v>
      </c>
      <c r="D3184" t="s">
        <v>8438</v>
      </c>
      <c r="E3184">
        <v>25</v>
      </c>
      <c r="F3184" t="s">
        <v>5163</v>
      </c>
      <c r="G3184" t="s">
        <v>5164</v>
      </c>
    </row>
    <row r="3185" spans="1:7" hidden="1">
      <c r="A3185" s="5" t="s">
        <v>4610</v>
      </c>
      <c r="B3185" t="s">
        <v>5161</v>
      </c>
      <c r="C3185" t="s">
        <v>364</v>
      </c>
      <c r="D3185" t="s">
        <v>8439</v>
      </c>
      <c r="E3185">
        <v>23</v>
      </c>
      <c r="F3185" t="s">
        <v>5163</v>
      </c>
      <c r="G3185" t="s">
        <v>5164</v>
      </c>
    </row>
    <row r="3186" spans="1:7" hidden="1">
      <c r="A3186" s="5" t="s">
        <v>2769</v>
      </c>
      <c r="B3186" t="s">
        <v>5161</v>
      </c>
      <c r="C3186" t="s">
        <v>364</v>
      </c>
      <c r="D3186" t="s">
        <v>7138</v>
      </c>
      <c r="E3186">
        <v>29</v>
      </c>
      <c r="F3186" t="s">
        <v>5163</v>
      </c>
      <c r="G3186" t="s">
        <v>5164</v>
      </c>
    </row>
    <row r="3187" spans="1:7" hidden="1">
      <c r="A3187" s="5" t="s">
        <v>2769</v>
      </c>
      <c r="B3187" t="s">
        <v>5161</v>
      </c>
      <c r="C3187" t="s">
        <v>364</v>
      </c>
      <c r="D3187" t="s">
        <v>8440</v>
      </c>
      <c r="E3187">
        <v>33</v>
      </c>
      <c r="F3187" t="s">
        <v>5163</v>
      </c>
      <c r="G3187" t="s">
        <v>1905</v>
      </c>
    </row>
    <row r="3188" spans="1:7" hidden="1">
      <c r="A3188" s="5" t="s">
        <v>4781</v>
      </c>
      <c r="B3188" t="s">
        <v>5161</v>
      </c>
      <c r="C3188" t="s">
        <v>364</v>
      </c>
      <c r="D3188" t="s">
        <v>8441</v>
      </c>
      <c r="E3188">
        <v>35</v>
      </c>
      <c r="F3188" t="s">
        <v>5163</v>
      </c>
      <c r="G3188" t="s">
        <v>5169</v>
      </c>
    </row>
    <row r="3189" spans="1:7" hidden="1">
      <c r="A3189" s="5" t="s">
        <v>4359</v>
      </c>
      <c r="B3189" t="s">
        <v>5161</v>
      </c>
      <c r="C3189" t="s">
        <v>364</v>
      </c>
      <c r="D3189" t="s">
        <v>8442</v>
      </c>
      <c r="E3189">
        <v>23</v>
      </c>
      <c r="F3189" t="s">
        <v>5172</v>
      </c>
      <c r="G3189" t="s">
        <v>5164</v>
      </c>
    </row>
    <row r="3190" spans="1:7" hidden="1">
      <c r="A3190" s="5" t="s">
        <v>4359</v>
      </c>
      <c r="B3190" t="s">
        <v>5161</v>
      </c>
      <c r="C3190" t="s">
        <v>364</v>
      </c>
      <c r="D3190" t="s">
        <v>6821</v>
      </c>
      <c r="E3190">
        <v>21</v>
      </c>
      <c r="F3190" t="s">
        <v>5163</v>
      </c>
      <c r="G3190" t="s">
        <v>5164</v>
      </c>
    </row>
    <row r="3191" spans="1:7" hidden="1">
      <c r="A3191" s="5" t="s">
        <v>4735</v>
      </c>
      <c r="B3191" t="s">
        <v>5161</v>
      </c>
      <c r="C3191" t="s">
        <v>364</v>
      </c>
      <c r="D3191" t="s">
        <v>8443</v>
      </c>
      <c r="E3191">
        <v>18</v>
      </c>
      <c r="F3191" t="s">
        <v>5163</v>
      </c>
      <c r="G3191" t="s">
        <v>5164</v>
      </c>
    </row>
    <row r="3192" spans="1:7" hidden="1">
      <c r="A3192" s="5" t="s">
        <v>3949</v>
      </c>
      <c r="B3192" t="s">
        <v>5161</v>
      </c>
      <c r="C3192" t="s">
        <v>364</v>
      </c>
      <c r="D3192" t="s">
        <v>8444</v>
      </c>
      <c r="E3192">
        <v>23</v>
      </c>
      <c r="F3192" t="s">
        <v>5163</v>
      </c>
      <c r="G3192" t="s">
        <v>5164</v>
      </c>
    </row>
    <row r="3193" spans="1:7" hidden="1">
      <c r="A3193" s="5" t="s">
        <v>351</v>
      </c>
      <c r="B3193" t="s">
        <v>5161</v>
      </c>
      <c r="C3193" t="s">
        <v>364</v>
      </c>
      <c r="D3193" t="s">
        <v>8445</v>
      </c>
      <c r="E3193">
        <v>21</v>
      </c>
      <c r="F3193" t="s">
        <v>5163</v>
      </c>
      <c r="G3193" t="s">
        <v>5164</v>
      </c>
    </row>
    <row r="3194" spans="1:7" hidden="1">
      <c r="A3194" s="5" t="s">
        <v>351</v>
      </c>
      <c r="B3194" t="s">
        <v>5161</v>
      </c>
      <c r="C3194" t="s">
        <v>364</v>
      </c>
      <c r="D3194" t="s">
        <v>8446</v>
      </c>
      <c r="E3194">
        <v>22</v>
      </c>
      <c r="F3194" t="s">
        <v>5163</v>
      </c>
      <c r="G3194" t="s">
        <v>5169</v>
      </c>
    </row>
    <row r="3195" spans="1:7" hidden="1">
      <c r="A3195" s="5" t="s">
        <v>3431</v>
      </c>
      <c r="B3195" t="s">
        <v>5161</v>
      </c>
      <c r="C3195" t="s">
        <v>364</v>
      </c>
      <c r="D3195" t="s">
        <v>8447</v>
      </c>
      <c r="E3195">
        <v>31</v>
      </c>
      <c r="F3195" t="s">
        <v>5172</v>
      </c>
      <c r="G3195" t="s">
        <v>1905</v>
      </c>
    </row>
    <row r="3196" spans="1:7" hidden="1">
      <c r="A3196" s="5" t="s">
        <v>4092</v>
      </c>
      <c r="B3196" t="s">
        <v>5161</v>
      </c>
      <c r="C3196" t="s">
        <v>364</v>
      </c>
      <c r="D3196" t="s">
        <v>8448</v>
      </c>
      <c r="E3196">
        <v>18</v>
      </c>
      <c r="F3196" t="s">
        <v>5163</v>
      </c>
      <c r="G3196" t="s">
        <v>5164</v>
      </c>
    </row>
    <row r="3197" spans="1:7" hidden="1">
      <c r="A3197" s="5" t="s">
        <v>4691</v>
      </c>
      <c r="B3197" t="s">
        <v>5161</v>
      </c>
      <c r="C3197" t="s">
        <v>364</v>
      </c>
      <c r="D3197" t="s">
        <v>8449</v>
      </c>
      <c r="E3197">
        <v>21</v>
      </c>
      <c r="F3197" t="s">
        <v>5163</v>
      </c>
      <c r="G3197" t="s">
        <v>5164</v>
      </c>
    </row>
    <row r="3198" spans="1:7" hidden="1">
      <c r="A3198" s="5" t="s">
        <v>4091</v>
      </c>
      <c r="B3198" t="s">
        <v>5161</v>
      </c>
      <c r="C3198" t="s">
        <v>364</v>
      </c>
      <c r="D3198" t="s">
        <v>8450</v>
      </c>
      <c r="E3198">
        <v>19</v>
      </c>
      <c r="F3198" t="s">
        <v>5163</v>
      </c>
      <c r="G3198" t="s">
        <v>5164</v>
      </c>
    </row>
    <row r="3199" spans="1:7" hidden="1">
      <c r="A3199" s="5" t="s">
        <v>3959</v>
      </c>
      <c r="B3199" t="s">
        <v>5161</v>
      </c>
      <c r="C3199" t="s">
        <v>364</v>
      </c>
      <c r="D3199" t="s">
        <v>8451</v>
      </c>
      <c r="E3199">
        <v>25</v>
      </c>
      <c r="F3199" t="s">
        <v>5163</v>
      </c>
      <c r="G3199" t="s">
        <v>5164</v>
      </c>
    </row>
    <row r="3200" spans="1:7" hidden="1">
      <c r="A3200" s="5" t="s">
        <v>3655</v>
      </c>
      <c r="B3200" t="s">
        <v>5161</v>
      </c>
      <c r="C3200" t="s">
        <v>364</v>
      </c>
      <c r="D3200" t="s">
        <v>8452</v>
      </c>
      <c r="E3200">
        <v>28</v>
      </c>
      <c r="F3200" t="s">
        <v>5163</v>
      </c>
      <c r="G3200" t="s">
        <v>5164</v>
      </c>
    </row>
    <row r="3201" spans="1:7" hidden="1">
      <c r="A3201" s="5" t="s">
        <v>3714</v>
      </c>
      <c r="B3201" t="s">
        <v>5161</v>
      </c>
      <c r="C3201" t="s">
        <v>364</v>
      </c>
      <c r="D3201" t="s">
        <v>8453</v>
      </c>
      <c r="E3201">
        <v>45</v>
      </c>
      <c r="F3201" t="s">
        <v>5163</v>
      </c>
      <c r="G3201" t="s">
        <v>1905</v>
      </c>
    </row>
    <row r="3202" spans="1:7" hidden="1">
      <c r="A3202" s="5" t="s">
        <v>3606</v>
      </c>
      <c r="B3202" t="s">
        <v>5161</v>
      </c>
      <c r="C3202" t="s">
        <v>364</v>
      </c>
      <c r="D3202" t="s">
        <v>8454</v>
      </c>
      <c r="E3202">
        <v>24</v>
      </c>
      <c r="F3202" t="s">
        <v>5163</v>
      </c>
      <c r="G3202" t="s">
        <v>1905</v>
      </c>
    </row>
    <row r="3203" spans="1:7" hidden="1">
      <c r="A3203" s="5" t="s">
        <v>4109</v>
      </c>
      <c r="B3203" t="s">
        <v>5161</v>
      </c>
      <c r="C3203" t="s">
        <v>364</v>
      </c>
      <c r="D3203" t="s">
        <v>8455</v>
      </c>
      <c r="E3203">
        <v>19</v>
      </c>
      <c r="F3203" t="s">
        <v>5163</v>
      </c>
      <c r="G3203" t="s">
        <v>5164</v>
      </c>
    </row>
    <row r="3204" spans="1:7" hidden="1">
      <c r="A3204" s="5" t="s">
        <v>353</v>
      </c>
      <c r="B3204" t="s">
        <v>5161</v>
      </c>
      <c r="C3204" t="s">
        <v>364</v>
      </c>
      <c r="D3204" t="s">
        <v>957</v>
      </c>
      <c r="E3204">
        <v>50</v>
      </c>
      <c r="F3204" t="s">
        <v>5163</v>
      </c>
      <c r="G3204" t="s">
        <v>1905</v>
      </c>
    </row>
    <row r="3205" spans="1:7" hidden="1">
      <c r="A3205" s="5" t="s">
        <v>3481</v>
      </c>
      <c r="B3205" t="s">
        <v>5161</v>
      </c>
      <c r="C3205" t="s">
        <v>364</v>
      </c>
      <c r="D3205" t="s">
        <v>8456</v>
      </c>
      <c r="E3205">
        <v>35</v>
      </c>
      <c r="F3205" t="s">
        <v>5163</v>
      </c>
      <c r="G3205" t="s">
        <v>1905</v>
      </c>
    </row>
    <row r="3206" spans="1:7" hidden="1">
      <c r="A3206" s="5" t="s">
        <v>3816</v>
      </c>
      <c r="B3206" t="s">
        <v>5161</v>
      </c>
      <c r="C3206" t="s">
        <v>364</v>
      </c>
      <c r="D3206" t="s">
        <v>8457</v>
      </c>
      <c r="E3206">
        <v>22</v>
      </c>
      <c r="F3206" t="s">
        <v>5163</v>
      </c>
      <c r="G3206" t="s">
        <v>5169</v>
      </c>
    </row>
    <row r="3207" spans="1:7" hidden="1">
      <c r="A3207" s="5" t="s">
        <v>3947</v>
      </c>
      <c r="B3207" t="s">
        <v>5161</v>
      </c>
      <c r="C3207" t="s">
        <v>364</v>
      </c>
      <c r="D3207" t="s">
        <v>8458</v>
      </c>
      <c r="E3207">
        <v>30</v>
      </c>
      <c r="F3207" t="s">
        <v>5163</v>
      </c>
      <c r="G3207" t="s">
        <v>5164</v>
      </c>
    </row>
    <row r="3208" spans="1:7" hidden="1">
      <c r="A3208" s="5" t="s">
        <v>3947</v>
      </c>
      <c r="B3208" t="s">
        <v>5161</v>
      </c>
      <c r="C3208" t="s">
        <v>364</v>
      </c>
      <c r="D3208" t="s">
        <v>8459</v>
      </c>
      <c r="E3208">
        <v>28</v>
      </c>
      <c r="F3208" t="s">
        <v>5163</v>
      </c>
      <c r="G3208" t="s">
        <v>5164</v>
      </c>
    </row>
    <row r="3209" spans="1:7" hidden="1">
      <c r="A3209" s="5" t="s">
        <v>3546</v>
      </c>
      <c r="B3209" t="s">
        <v>5161</v>
      </c>
      <c r="C3209" t="s">
        <v>364</v>
      </c>
      <c r="D3209" t="s">
        <v>8460</v>
      </c>
      <c r="E3209">
        <v>22</v>
      </c>
      <c r="F3209" t="s">
        <v>5163</v>
      </c>
      <c r="G3209" t="s">
        <v>1905</v>
      </c>
    </row>
    <row r="3210" spans="1:7" hidden="1">
      <c r="A3210" s="5" t="s">
        <v>3343</v>
      </c>
      <c r="B3210" t="s">
        <v>5161</v>
      </c>
      <c r="C3210" t="s">
        <v>364</v>
      </c>
      <c r="D3210" t="s">
        <v>8461</v>
      </c>
      <c r="E3210">
        <v>38</v>
      </c>
      <c r="F3210" t="s">
        <v>5163</v>
      </c>
      <c r="G3210" t="s">
        <v>5164</v>
      </c>
    </row>
    <row r="3211" spans="1:7" hidden="1">
      <c r="A3211" s="5" t="s">
        <v>3803</v>
      </c>
      <c r="B3211" t="s">
        <v>5161</v>
      </c>
      <c r="C3211" t="s">
        <v>364</v>
      </c>
      <c r="D3211" t="s">
        <v>8462</v>
      </c>
      <c r="E3211">
        <v>18</v>
      </c>
      <c r="F3211" t="s">
        <v>5163</v>
      </c>
      <c r="G3211" t="s">
        <v>5164</v>
      </c>
    </row>
    <row r="3212" spans="1:7" hidden="1">
      <c r="A3212" s="5" t="s">
        <v>4104</v>
      </c>
      <c r="B3212" t="s">
        <v>5161</v>
      </c>
      <c r="C3212" t="s">
        <v>364</v>
      </c>
      <c r="D3212" t="s">
        <v>6249</v>
      </c>
      <c r="E3212">
        <v>19</v>
      </c>
      <c r="F3212" t="s">
        <v>5163</v>
      </c>
      <c r="G3212" t="s">
        <v>5164</v>
      </c>
    </row>
    <row r="3213" spans="1:7" hidden="1">
      <c r="A3213" s="5" t="s">
        <v>3892</v>
      </c>
      <c r="B3213" t="s">
        <v>5161</v>
      </c>
      <c r="C3213" t="s">
        <v>364</v>
      </c>
      <c r="D3213" t="s">
        <v>8463</v>
      </c>
      <c r="E3213">
        <v>27</v>
      </c>
      <c r="F3213" t="s">
        <v>5163</v>
      </c>
      <c r="G3213" t="s">
        <v>1905</v>
      </c>
    </row>
    <row r="3214" spans="1:7" hidden="1">
      <c r="A3214" s="5" t="s">
        <v>362</v>
      </c>
      <c r="B3214" t="s">
        <v>5161</v>
      </c>
      <c r="C3214" t="s">
        <v>364</v>
      </c>
      <c r="D3214" t="s">
        <v>8464</v>
      </c>
      <c r="E3214">
        <v>27</v>
      </c>
      <c r="F3214" t="s">
        <v>5163</v>
      </c>
      <c r="G3214" t="s">
        <v>1905</v>
      </c>
    </row>
    <row r="3215" spans="1:7" hidden="1">
      <c r="A3215" s="5" t="s">
        <v>8465</v>
      </c>
      <c r="B3215" t="s">
        <v>5161</v>
      </c>
      <c r="C3215" t="s">
        <v>364</v>
      </c>
      <c r="D3215" t="s">
        <v>8466</v>
      </c>
      <c r="E3215">
        <v>23</v>
      </c>
      <c r="F3215" t="s">
        <v>5163</v>
      </c>
      <c r="G3215" t="s">
        <v>5164</v>
      </c>
    </row>
    <row r="3216" spans="1:7" hidden="1">
      <c r="A3216" s="5" t="s">
        <v>8465</v>
      </c>
      <c r="B3216" t="s">
        <v>5161</v>
      </c>
      <c r="C3216" t="s">
        <v>364</v>
      </c>
      <c r="D3216" t="s">
        <v>8467</v>
      </c>
      <c r="E3216">
        <v>27</v>
      </c>
      <c r="F3216" t="s">
        <v>5163</v>
      </c>
      <c r="G3216" t="s">
        <v>5164</v>
      </c>
    </row>
    <row r="3217" spans="1:7" hidden="1">
      <c r="A3217" s="5" t="s">
        <v>360</v>
      </c>
      <c r="B3217" t="s">
        <v>5161</v>
      </c>
      <c r="C3217" t="s">
        <v>364</v>
      </c>
      <c r="D3217" t="s">
        <v>8468</v>
      </c>
      <c r="E3217">
        <v>41</v>
      </c>
      <c r="F3217" t="s">
        <v>5163</v>
      </c>
      <c r="G3217" t="s">
        <v>5169</v>
      </c>
    </row>
    <row r="3218" spans="1:7" hidden="1">
      <c r="A3218" s="5" t="s">
        <v>4914</v>
      </c>
      <c r="B3218" t="s">
        <v>5161</v>
      </c>
      <c r="C3218" t="s">
        <v>364</v>
      </c>
      <c r="D3218" t="s">
        <v>8469</v>
      </c>
      <c r="E3218">
        <v>28</v>
      </c>
      <c r="F3218" t="s">
        <v>5163</v>
      </c>
      <c r="G3218" t="s">
        <v>5169</v>
      </c>
    </row>
    <row r="3219" spans="1:7" hidden="1">
      <c r="A3219" s="5" t="s">
        <v>5108</v>
      </c>
      <c r="B3219" t="s">
        <v>5161</v>
      </c>
      <c r="C3219" t="s">
        <v>364</v>
      </c>
      <c r="D3219" t="s">
        <v>8470</v>
      </c>
      <c r="E3219">
        <v>23</v>
      </c>
      <c r="F3219" t="s">
        <v>5163</v>
      </c>
      <c r="G3219" t="s">
        <v>1905</v>
      </c>
    </row>
    <row r="3220" spans="1:7" hidden="1">
      <c r="A3220" s="5" t="s">
        <v>5108</v>
      </c>
      <c r="B3220" t="s">
        <v>5161</v>
      </c>
      <c r="C3220" t="s">
        <v>364</v>
      </c>
      <c r="D3220" t="s">
        <v>8471</v>
      </c>
      <c r="E3220">
        <v>29</v>
      </c>
      <c r="F3220" t="s">
        <v>5163</v>
      </c>
      <c r="G3220" t="s">
        <v>1905</v>
      </c>
    </row>
    <row r="3221" spans="1:7" hidden="1">
      <c r="A3221" s="5" t="s">
        <v>3556</v>
      </c>
      <c r="B3221" t="s">
        <v>5161</v>
      </c>
      <c r="C3221" t="s">
        <v>364</v>
      </c>
      <c r="D3221" t="s">
        <v>8472</v>
      </c>
      <c r="E3221">
        <v>31</v>
      </c>
      <c r="F3221" t="s">
        <v>5163</v>
      </c>
      <c r="G3221" t="s">
        <v>5164</v>
      </c>
    </row>
    <row r="3222" spans="1:7" hidden="1">
      <c r="A3222" s="5" t="s">
        <v>3736</v>
      </c>
      <c r="B3222" t="s">
        <v>5161</v>
      </c>
      <c r="C3222" t="s">
        <v>364</v>
      </c>
      <c r="D3222" t="s">
        <v>8473</v>
      </c>
      <c r="E3222">
        <v>19</v>
      </c>
      <c r="F3222" t="s">
        <v>5163</v>
      </c>
      <c r="G3222" t="s">
        <v>1905</v>
      </c>
    </row>
    <row r="3223" spans="1:7" hidden="1">
      <c r="A3223" s="5" t="s">
        <v>350</v>
      </c>
      <c r="B3223" t="s">
        <v>5161</v>
      </c>
      <c r="C3223" t="s">
        <v>364</v>
      </c>
      <c r="D3223" t="s">
        <v>952</v>
      </c>
      <c r="E3223">
        <v>31</v>
      </c>
      <c r="F3223" t="s">
        <v>5163</v>
      </c>
      <c r="G3223" t="s">
        <v>1905</v>
      </c>
    </row>
    <row r="3224" spans="1:7" hidden="1">
      <c r="A3224" s="5" t="s">
        <v>3579</v>
      </c>
      <c r="B3224" t="s">
        <v>5161</v>
      </c>
      <c r="C3224" t="s">
        <v>364</v>
      </c>
      <c r="D3224" t="s">
        <v>8474</v>
      </c>
      <c r="E3224">
        <v>18</v>
      </c>
      <c r="F3224" t="s">
        <v>5163</v>
      </c>
      <c r="G3224" t="s">
        <v>5164</v>
      </c>
    </row>
    <row r="3225" spans="1:7" hidden="1">
      <c r="A3225" s="5" t="s">
        <v>3633</v>
      </c>
      <c r="B3225" t="s">
        <v>5161</v>
      </c>
      <c r="C3225" t="s">
        <v>364</v>
      </c>
      <c r="D3225" t="s">
        <v>8475</v>
      </c>
      <c r="E3225">
        <v>23</v>
      </c>
      <c r="F3225" t="s">
        <v>5163</v>
      </c>
      <c r="G3225" t="s">
        <v>5164</v>
      </c>
    </row>
    <row r="3226" spans="1:7" hidden="1">
      <c r="A3226" s="5" t="s">
        <v>3564</v>
      </c>
      <c r="B3226" t="s">
        <v>5161</v>
      </c>
      <c r="C3226" t="s">
        <v>364</v>
      </c>
      <c r="D3226" t="s">
        <v>8476</v>
      </c>
      <c r="E3226">
        <v>21</v>
      </c>
      <c r="F3226" t="s">
        <v>5163</v>
      </c>
      <c r="G3226" t="s">
        <v>5164</v>
      </c>
    </row>
    <row r="3227" spans="1:7" hidden="1">
      <c r="A3227" s="5" t="s">
        <v>3564</v>
      </c>
      <c r="B3227" t="s">
        <v>5161</v>
      </c>
      <c r="C3227" t="s">
        <v>364</v>
      </c>
      <c r="D3227" t="s">
        <v>8477</v>
      </c>
      <c r="E3227">
        <v>19</v>
      </c>
      <c r="F3227" t="s">
        <v>5163</v>
      </c>
      <c r="G3227" t="s">
        <v>1905</v>
      </c>
    </row>
    <row r="3228" spans="1:7" hidden="1">
      <c r="A3228" s="5" t="s">
        <v>2838</v>
      </c>
      <c r="B3228" t="s">
        <v>5161</v>
      </c>
      <c r="C3228" t="s">
        <v>364</v>
      </c>
      <c r="D3228" t="s">
        <v>8478</v>
      </c>
      <c r="E3228">
        <v>26</v>
      </c>
      <c r="F3228" t="s">
        <v>5163</v>
      </c>
      <c r="G3228" t="s">
        <v>5169</v>
      </c>
    </row>
    <row r="3229" spans="1:7" hidden="1">
      <c r="A3229" s="5" t="s">
        <v>2453</v>
      </c>
      <c r="B3229" t="s">
        <v>5161</v>
      </c>
      <c r="C3229" t="s">
        <v>364</v>
      </c>
      <c r="D3229" t="s">
        <v>8479</v>
      </c>
      <c r="E3229">
        <v>22</v>
      </c>
      <c r="F3229" t="s">
        <v>5163</v>
      </c>
      <c r="G3229" t="s">
        <v>5169</v>
      </c>
    </row>
    <row r="3230" spans="1:7" hidden="1">
      <c r="A3230" s="5" t="s">
        <v>3488</v>
      </c>
      <c r="B3230" t="s">
        <v>5161</v>
      </c>
      <c r="C3230" t="s">
        <v>364</v>
      </c>
      <c r="D3230" t="s">
        <v>8480</v>
      </c>
      <c r="E3230">
        <v>23</v>
      </c>
      <c r="F3230" t="s">
        <v>5163</v>
      </c>
      <c r="G3230" t="s">
        <v>5164</v>
      </c>
    </row>
    <row r="3231" spans="1:7" hidden="1">
      <c r="A3231" s="5" t="s">
        <v>3240</v>
      </c>
      <c r="B3231" t="s">
        <v>5161</v>
      </c>
      <c r="C3231" t="s">
        <v>364</v>
      </c>
      <c r="D3231" t="s">
        <v>8481</v>
      </c>
      <c r="E3231">
        <v>28</v>
      </c>
      <c r="F3231" t="s">
        <v>5163</v>
      </c>
      <c r="G3231" t="s">
        <v>5164</v>
      </c>
    </row>
    <row r="3232" spans="1:7" hidden="1">
      <c r="A3232" s="5" t="s">
        <v>3240</v>
      </c>
      <c r="B3232" t="s">
        <v>5161</v>
      </c>
      <c r="C3232" t="s">
        <v>364</v>
      </c>
      <c r="D3232" t="s">
        <v>8482</v>
      </c>
      <c r="E3232">
        <v>59</v>
      </c>
      <c r="F3232" t="s">
        <v>5172</v>
      </c>
      <c r="G3232" t="s">
        <v>5169</v>
      </c>
    </row>
    <row r="3233" spans="1:7" hidden="1">
      <c r="A3233" s="5" t="s">
        <v>3240</v>
      </c>
      <c r="B3233" t="s">
        <v>5161</v>
      </c>
      <c r="C3233" t="s">
        <v>364</v>
      </c>
      <c r="D3233" t="s">
        <v>8483</v>
      </c>
      <c r="E3233">
        <v>33</v>
      </c>
      <c r="F3233" t="s">
        <v>5163</v>
      </c>
      <c r="G3233" t="s">
        <v>5164</v>
      </c>
    </row>
    <row r="3234" spans="1:7" hidden="1">
      <c r="A3234" s="5" t="s">
        <v>3240</v>
      </c>
      <c r="B3234" t="s">
        <v>5161</v>
      </c>
      <c r="C3234" t="s">
        <v>364</v>
      </c>
      <c r="D3234" t="s">
        <v>8484</v>
      </c>
      <c r="E3234">
        <v>42</v>
      </c>
      <c r="F3234" t="s">
        <v>5172</v>
      </c>
      <c r="G3234" t="s">
        <v>5169</v>
      </c>
    </row>
    <row r="3235" spans="1:7" hidden="1">
      <c r="A3235" s="5" t="s">
        <v>3240</v>
      </c>
      <c r="B3235" t="s">
        <v>5161</v>
      </c>
      <c r="C3235" t="s">
        <v>364</v>
      </c>
      <c r="D3235" t="s">
        <v>8485</v>
      </c>
      <c r="E3235">
        <v>55</v>
      </c>
      <c r="F3235" t="s">
        <v>5172</v>
      </c>
      <c r="G3235" t="s">
        <v>5169</v>
      </c>
    </row>
    <row r="3236" spans="1:7" hidden="1">
      <c r="A3236" s="5" t="s">
        <v>3240</v>
      </c>
      <c r="B3236" t="s">
        <v>5161</v>
      </c>
      <c r="C3236" t="s">
        <v>364</v>
      </c>
      <c r="D3236" t="s">
        <v>8486</v>
      </c>
      <c r="E3236">
        <v>40</v>
      </c>
      <c r="F3236" t="s">
        <v>5172</v>
      </c>
      <c r="G3236" t="s">
        <v>5169</v>
      </c>
    </row>
    <row r="3237" spans="1:7" hidden="1">
      <c r="A3237" s="5" t="s">
        <v>2146</v>
      </c>
      <c r="B3237" t="s">
        <v>5161</v>
      </c>
      <c r="C3237" t="s">
        <v>364</v>
      </c>
      <c r="D3237" t="s">
        <v>8487</v>
      </c>
      <c r="E3237">
        <v>34</v>
      </c>
      <c r="F3237" t="s">
        <v>5163</v>
      </c>
      <c r="G3237" t="s">
        <v>5182</v>
      </c>
    </row>
    <row r="3238" spans="1:7" hidden="1">
      <c r="A3238" s="5" t="s">
        <v>3597</v>
      </c>
      <c r="B3238" t="s">
        <v>5161</v>
      </c>
      <c r="C3238" t="s">
        <v>364</v>
      </c>
      <c r="D3238" t="s">
        <v>8488</v>
      </c>
      <c r="E3238">
        <v>18</v>
      </c>
      <c r="F3238" t="s">
        <v>5163</v>
      </c>
      <c r="G3238" t="s">
        <v>5164</v>
      </c>
    </row>
    <row r="3239" spans="1:7" hidden="1">
      <c r="A3239" s="5" t="s">
        <v>5015</v>
      </c>
      <c r="B3239" t="s">
        <v>5161</v>
      </c>
      <c r="C3239" t="s">
        <v>364</v>
      </c>
      <c r="D3239" t="s">
        <v>8489</v>
      </c>
      <c r="E3239">
        <v>39</v>
      </c>
      <c r="F3239" t="s">
        <v>5163</v>
      </c>
      <c r="G3239" t="s">
        <v>1905</v>
      </c>
    </row>
    <row r="3240" spans="1:7" hidden="1">
      <c r="A3240" s="5" t="s">
        <v>5015</v>
      </c>
      <c r="B3240" t="s">
        <v>5161</v>
      </c>
      <c r="C3240" t="s">
        <v>364</v>
      </c>
      <c r="D3240" t="s">
        <v>8490</v>
      </c>
      <c r="E3240">
        <v>30</v>
      </c>
      <c r="F3240" t="s">
        <v>5163</v>
      </c>
      <c r="G3240" t="s">
        <v>1905</v>
      </c>
    </row>
    <row r="3241" spans="1:7" hidden="1">
      <c r="A3241" s="5" t="s">
        <v>8491</v>
      </c>
      <c r="B3241" t="s">
        <v>5161</v>
      </c>
      <c r="C3241" t="s">
        <v>364</v>
      </c>
      <c r="D3241" t="s">
        <v>8492</v>
      </c>
      <c r="E3241">
        <v>25</v>
      </c>
      <c r="F3241" t="s">
        <v>5172</v>
      </c>
      <c r="G3241" t="s">
        <v>5164</v>
      </c>
    </row>
    <row r="3242" spans="1:7" hidden="1">
      <c r="A3242" s="5" t="s">
        <v>2979</v>
      </c>
      <c r="B3242" t="s">
        <v>5161</v>
      </c>
      <c r="C3242" t="s">
        <v>364</v>
      </c>
      <c r="D3242" t="s">
        <v>8493</v>
      </c>
      <c r="E3242">
        <v>47</v>
      </c>
      <c r="F3242" t="s">
        <v>5172</v>
      </c>
      <c r="G3242" t="s">
        <v>5164</v>
      </c>
    </row>
    <row r="3243" spans="1:7" hidden="1">
      <c r="A3243" s="5" t="s">
        <v>8494</v>
      </c>
      <c r="B3243" t="s">
        <v>5161</v>
      </c>
      <c r="C3243" t="s">
        <v>364</v>
      </c>
      <c r="D3243" t="s">
        <v>8495</v>
      </c>
      <c r="E3243">
        <v>32</v>
      </c>
      <c r="F3243" t="s">
        <v>5163</v>
      </c>
      <c r="G3243" t="s">
        <v>5164</v>
      </c>
    </row>
    <row r="3244" spans="1:7" hidden="1">
      <c r="A3244" s="5" t="s">
        <v>8494</v>
      </c>
      <c r="B3244" t="s">
        <v>5161</v>
      </c>
      <c r="C3244" t="s">
        <v>364</v>
      </c>
      <c r="D3244" t="s">
        <v>8496</v>
      </c>
      <c r="E3244">
        <v>19</v>
      </c>
      <c r="F3244" t="s">
        <v>5163</v>
      </c>
      <c r="G3244" t="s">
        <v>1905</v>
      </c>
    </row>
    <row r="3245" spans="1:7" hidden="1">
      <c r="A3245" s="5" t="s">
        <v>2767</v>
      </c>
      <c r="B3245" t="s">
        <v>5161</v>
      </c>
      <c r="C3245" t="s">
        <v>364</v>
      </c>
      <c r="D3245" t="s">
        <v>8497</v>
      </c>
      <c r="E3245">
        <v>22</v>
      </c>
      <c r="F3245" t="s">
        <v>5163</v>
      </c>
      <c r="G3245" t="s">
        <v>5164</v>
      </c>
    </row>
    <row r="3246" spans="1:7" hidden="1">
      <c r="A3246" s="5" t="s">
        <v>3229</v>
      </c>
      <c r="B3246" t="s">
        <v>5161</v>
      </c>
      <c r="C3246" t="s">
        <v>364</v>
      </c>
      <c r="D3246" t="s">
        <v>8498</v>
      </c>
      <c r="E3246">
        <v>26</v>
      </c>
      <c r="F3246" t="s">
        <v>5163</v>
      </c>
      <c r="G3246" t="s">
        <v>1905</v>
      </c>
    </row>
    <row r="3247" spans="1:7" hidden="1">
      <c r="A3247" s="5" t="s">
        <v>3376</v>
      </c>
      <c r="B3247" t="s">
        <v>5161</v>
      </c>
      <c r="C3247" t="s">
        <v>364</v>
      </c>
      <c r="D3247" t="s">
        <v>8499</v>
      </c>
      <c r="E3247">
        <v>28</v>
      </c>
      <c r="F3247" t="s">
        <v>5163</v>
      </c>
      <c r="G3247" t="s">
        <v>5169</v>
      </c>
    </row>
    <row r="3248" spans="1:7" hidden="1">
      <c r="A3248" s="5" t="s">
        <v>2734</v>
      </c>
      <c r="B3248" t="s">
        <v>5161</v>
      </c>
      <c r="C3248" t="s">
        <v>364</v>
      </c>
      <c r="D3248" t="s">
        <v>8500</v>
      </c>
      <c r="E3248">
        <v>35</v>
      </c>
      <c r="F3248" t="s">
        <v>5163</v>
      </c>
      <c r="G3248" t="s">
        <v>1905</v>
      </c>
    </row>
    <row r="3249" spans="1:7" hidden="1">
      <c r="A3249" s="5" t="s">
        <v>3125</v>
      </c>
      <c r="B3249" t="s">
        <v>5161</v>
      </c>
      <c r="C3249" t="s">
        <v>364</v>
      </c>
      <c r="D3249" t="s">
        <v>8501</v>
      </c>
      <c r="E3249">
        <v>20</v>
      </c>
      <c r="F3249" t="s">
        <v>5163</v>
      </c>
      <c r="G3249" t="s">
        <v>1905</v>
      </c>
    </row>
    <row r="3250" spans="1:7" hidden="1">
      <c r="A3250" s="5" t="s">
        <v>4577</v>
      </c>
      <c r="B3250" t="s">
        <v>5161</v>
      </c>
      <c r="C3250" t="s">
        <v>364</v>
      </c>
      <c r="D3250" t="s">
        <v>8502</v>
      </c>
      <c r="E3250">
        <v>28</v>
      </c>
      <c r="F3250" t="s">
        <v>5163</v>
      </c>
      <c r="G3250" t="s">
        <v>5169</v>
      </c>
    </row>
    <row r="3251" spans="1:7" hidden="1">
      <c r="A3251" s="5" t="s">
        <v>3136</v>
      </c>
      <c r="B3251" t="s">
        <v>5161</v>
      </c>
      <c r="C3251" t="s">
        <v>364</v>
      </c>
      <c r="D3251" t="s">
        <v>8503</v>
      </c>
      <c r="E3251">
        <v>35</v>
      </c>
      <c r="F3251" t="s">
        <v>5163</v>
      </c>
      <c r="G3251" t="s">
        <v>1905</v>
      </c>
    </row>
    <row r="3252" spans="1:7" hidden="1">
      <c r="A3252" s="5" t="s">
        <v>3136</v>
      </c>
      <c r="B3252" t="s">
        <v>5161</v>
      </c>
      <c r="C3252" t="s">
        <v>364</v>
      </c>
      <c r="D3252" t="s">
        <v>8504</v>
      </c>
      <c r="E3252">
        <v>23</v>
      </c>
      <c r="F3252" t="s">
        <v>5163</v>
      </c>
      <c r="G3252" t="s">
        <v>1905</v>
      </c>
    </row>
    <row r="3253" spans="1:7" hidden="1">
      <c r="A3253" s="5" t="s">
        <v>8505</v>
      </c>
      <c r="B3253" t="s">
        <v>5161</v>
      </c>
      <c r="C3253" t="s">
        <v>364</v>
      </c>
      <c r="D3253" t="s">
        <v>8506</v>
      </c>
      <c r="E3253" t="s">
        <v>5182</v>
      </c>
      <c r="F3253" t="s">
        <v>5163</v>
      </c>
      <c r="G3253" t="s">
        <v>1905</v>
      </c>
    </row>
    <row r="3254" spans="1:7" hidden="1">
      <c r="A3254" s="5" t="s">
        <v>8505</v>
      </c>
      <c r="B3254" t="s">
        <v>5161</v>
      </c>
      <c r="C3254" t="s">
        <v>364</v>
      </c>
      <c r="D3254" t="s">
        <v>8507</v>
      </c>
      <c r="E3254" t="s">
        <v>5182</v>
      </c>
      <c r="F3254" t="s">
        <v>5163</v>
      </c>
      <c r="G3254" t="s">
        <v>1905</v>
      </c>
    </row>
    <row r="3255" spans="1:7" hidden="1">
      <c r="A3255" s="5" t="s">
        <v>8505</v>
      </c>
      <c r="B3255" t="s">
        <v>5161</v>
      </c>
      <c r="C3255" t="s">
        <v>364</v>
      </c>
      <c r="D3255" t="s">
        <v>8508</v>
      </c>
      <c r="E3255" t="s">
        <v>5182</v>
      </c>
      <c r="F3255" t="s">
        <v>5163</v>
      </c>
      <c r="G3255" t="s">
        <v>1905</v>
      </c>
    </row>
    <row r="3256" spans="1:7" hidden="1">
      <c r="A3256" s="5" t="s">
        <v>8505</v>
      </c>
      <c r="B3256" t="s">
        <v>5161</v>
      </c>
      <c r="C3256" t="s">
        <v>364</v>
      </c>
      <c r="D3256" t="s">
        <v>8509</v>
      </c>
      <c r="E3256" t="s">
        <v>5182</v>
      </c>
      <c r="F3256" t="s">
        <v>5163</v>
      </c>
      <c r="G3256" t="s">
        <v>1905</v>
      </c>
    </row>
    <row r="3257" spans="1:7" hidden="1">
      <c r="A3257" s="5" t="s">
        <v>8505</v>
      </c>
      <c r="B3257" t="s">
        <v>5161</v>
      </c>
      <c r="C3257" t="s">
        <v>364</v>
      </c>
      <c r="D3257" t="s">
        <v>8510</v>
      </c>
      <c r="E3257" t="s">
        <v>5182</v>
      </c>
      <c r="F3257" t="s">
        <v>5163</v>
      </c>
      <c r="G3257" t="s">
        <v>5164</v>
      </c>
    </row>
    <row r="3258" spans="1:7" hidden="1">
      <c r="A3258" s="5" t="s">
        <v>3062</v>
      </c>
      <c r="B3258" t="s">
        <v>5161</v>
      </c>
      <c r="C3258" t="s">
        <v>364</v>
      </c>
      <c r="D3258" t="s">
        <v>8511</v>
      </c>
      <c r="E3258">
        <v>33</v>
      </c>
      <c r="F3258" t="s">
        <v>5172</v>
      </c>
      <c r="G3258" t="s">
        <v>5164</v>
      </c>
    </row>
    <row r="3259" spans="1:7" hidden="1">
      <c r="A3259" s="5" t="s">
        <v>3241</v>
      </c>
      <c r="B3259" t="s">
        <v>5161</v>
      </c>
      <c r="C3259" t="s">
        <v>364</v>
      </c>
      <c r="D3259" t="s">
        <v>8512</v>
      </c>
      <c r="E3259">
        <v>37</v>
      </c>
      <c r="F3259" t="s">
        <v>5163</v>
      </c>
      <c r="G3259" t="s">
        <v>5169</v>
      </c>
    </row>
    <row r="3260" spans="1:7" hidden="1">
      <c r="A3260" s="5" t="s">
        <v>2770</v>
      </c>
      <c r="B3260" t="s">
        <v>5161</v>
      </c>
      <c r="C3260" t="s">
        <v>364</v>
      </c>
      <c r="D3260" t="s">
        <v>8513</v>
      </c>
      <c r="E3260">
        <v>21</v>
      </c>
      <c r="F3260" t="s">
        <v>5163</v>
      </c>
      <c r="G3260" t="s">
        <v>1905</v>
      </c>
    </row>
    <row r="3261" spans="1:7" hidden="1">
      <c r="A3261" s="5" t="s">
        <v>2760</v>
      </c>
      <c r="B3261" t="s">
        <v>5161</v>
      </c>
      <c r="C3261" t="s">
        <v>364</v>
      </c>
      <c r="D3261" t="s">
        <v>8514</v>
      </c>
      <c r="E3261">
        <v>28</v>
      </c>
      <c r="F3261" t="s">
        <v>5163</v>
      </c>
      <c r="G3261" t="s">
        <v>1905</v>
      </c>
    </row>
    <row r="3262" spans="1:7" hidden="1">
      <c r="A3262" s="5" t="s">
        <v>359</v>
      </c>
      <c r="B3262" t="s">
        <v>5161</v>
      </c>
      <c r="C3262" t="s">
        <v>364</v>
      </c>
      <c r="D3262" t="s">
        <v>8515</v>
      </c>
      <c r="E3262">
        <v>49</v>
      </c>
      <c r="F3262" t="s">
        <v>5163</v>
      </c>
      <c r="G3262" t="s">
        <v>1905</v>
      </c>
    </row>
    <row r="3263" spans="1:7" hidden="1">
      <c r="A3263" s="5" t="s">
        <v>2761</v>
      </c>
      <c r="B3263" t="s">
        <v>5161</v>
      </c>
      <c r="C3263" t="s">
        <v>364</v>
      </c>
      <c r="D3263" t="s">
        <v>8513</v>
      </c>
      <c r="E3263">
        <v>21</v>
      </c>
      <c r="F3263" t="s">
        <v>5163</v>
      </c>
      <c r="G3263" t="s">
        <v>1905</v>
      </c>
    </row>
    <row r="3264" spans="1:7" hidden="1">
      <c r="A3264" s="5" t="s">
        <v>352</v>
      </c>
      <c r="B3264" t="s">
        <v>5161</v>
      </c>
      <c r="C3264" t="s">
        <v>364</v>
      </c>
      <c r="D3264" t="s">
        <v>8516</v>
      </c>
      <c r="E3264">
        <v>24</v>
      </c>
      <c r="F3264" t="s">
        <v>5163</v>
      </c>
      <c r="G3264" t="s">
        <v>5169</v>
      </c>
    </row>
    <row r="3265" spans="1:7" hidden="1">
      <c r="A3265" s="5" t="s">
        <v>352</v>
      </c>
      <c r="B3265" t="s">
        <v>5161</v>
      </c>
      <c r="C3265" t="s">
        <v>364</v>
      </c>
      <c r="D3265" t="s">
        <v>8517</v>
      </c>
      <c r="E3265">
        <v>21</v>
      </c>
      <c r="F3265" t="s">
        <v>5163</v>
      </c>
      <c r="G3265" t="s">
        <v>5164</v>
      </c>
    </row>
    <row r="3266" spans="1:7" hidden="1">
      <c r="A3266" s="5" t="s">
        <v>2371</v>
      </c>
      <c r="B3266" t="s">
        <v>5161</v>
      </c>
      <c r="C3266" t="s">
        <v>364</v>
      </c>
      <c r="D3266" t="s">
        <v>8518</v>
      </c>
      <c r="E3266">
        <v>18</v>
      </c>
      <c r="F3266" t="s">
        <v>5163</v>
      </c>
      <c r="G3266" t="s">
        <v>1905</v>
      </c>
    </row>
    <row r="3267" spans="1:7" hidden="1">
      <c r="A3267" s="5" t="s">
        <v>4835</v>
      </c>
      <c r="B3267" t="s">
        <v>5161</v>
      </c>
      <c r="C3267" t="s">
        <v>364</v>
      </c>
      <c r="D3267" t="s">
        <v>8519</v>
      </c>
      <c r="E3267">
        <v>24</v>
      </c>
      <c r="F3267" t="s">
        <v>5163</v>
      </c>
      <c r="G3267" t="s">
        <v>5164</v>
      </c>
    </row>
    <row r="3268" spans="1:7" hidden="1">
      <c r="A3268" s="5" t="s">
        <v>8520</v>
      </c>
      <c r="B3268" t="s">
        <v>5161</v>
      </c>
      <c r="C3268" t="s">
        <v>364</v>
      </c>
      <c r="D3268" t="s">
        <v>8521</v>
      </c>
      <c r="E3268">
        <v>20</v>
      </c>
      <c r="F3268" t="s">
        <v>5163</v>
      </c>
      <c r="G3268" t="s">
        <v>5164</v>
      </c>
    </row>
    <row r="3269" spans="1:7" hidden="1">
      <c r="A3269" s="5" t="s">
        <v>4566</v>
      </c>
      <c r="B3269" t="s">
        <v>5161</v>
      </c>
      <c r="C3269" t="s">
        <v>364</v>
      </c>
      <c r="D3269" t="s">
        <v>5672</v>
      </c>
      <c r="E3269">
        <v>19</v>
      </c>
      <c r="F3269" t="s">
        <v>5163</v>
      </c>
      <c r="G3269" t="s">
        <v>5164</v>
      </c>
    </row>
    <row r="3270" spans="1:7" hidden="1">
      <c r="A3270" s="5" t="s">
        <v>4566</v>
      </c>
      <c r="B3270" t="s">
        <v>5161</v>
      </c>
      <c r="C3270" t="s">
        <v>364</v>
      </c>
      <c r="D3270" t="s">
        <v>8522</v>
      </c>
      <c r="E3270">
        <v>19</v>
      </c>
      <c r="F3270" t="s">
        <v>5163</v>
      </c>
      <c r="G3270" t="s">
        <v>5164</v>
      </c>
    </row>
    <row r="3271" spans="1:7" hidden="1">
      <c r="A3271" s="5" t="s">
        <v>2173</v>
      </c>
      <c r="B3271" t="s">
        <v>5161</v>
      </c>
      <c r="C3271" t="s">
        <v>364</v>
      </c>
      <c r="D3271" t="s">
        <v>8523</v>
      </c>
      <c r="E3271">
        <v>33</v>
      </c>
      <c r="F3271" t="s">
        <v>5163</v>
      </c>
      <c r="G3271" t="s">
        <v>1905</v>
      </c>
    </row>
    <row r="3272" spans="1:7" hidden="1">
      <c r="A3272" s="5" t="s">
        <v>2700</v>
      </c>
      <c r="B3272" t="s">
        <v>5161</v>
      </c>
      <c r="C3272" t="s">
        <v>364</v>
      </c>
      <c r="D3272" t="s">
        <v>8524</v>
      </c>
      <c r="E3272">
        <v>39</v>
      </c>
      <c r="F3272" t="s">
        <v>5163</v>
      </c>
      <c r="G3272" t="s">
        <v>5164</v>
      </c>
    </row>
    <row r="3273" spans="1:7" hidden="1">
      <c r="A3273" s="5" t="s">
        <v>4481</v>
      </c>
      <c r="B3273" t="s">
        <v>5161</v>
      </c>
      <c r="C3273" t="s">
        <v>364</v>
      </c>
      <c r="D3273" t="s">
        <v>8525</v>
      </c>
      <c r="E3273">
        <v>55</v>
      </c>
      <c r="F3273" t="s">
        <v>5163</v>
      </c>
      <c r="G3273" t="s">
        <v>5169</v>
      </c>
    </row>
    <row r="3274" spans="1:7" hidden="1">
      <c r="A3274" s="5" t="s">
        <v>5034</v>
      </c>
      <c r="B3274" t="s">
        <v>5161</v>
      </c>
      <c r="C3274" t="s">
        <v>364</v>
      </c>
      <c r="D3274" t="s">
        <v>8526</v>
      </c>
      <c r="E3274">
        <v>35</v>
      </c>
      <c r="F3274" t="s">
        <v>5163</v>
      </c>
      <c r="G3274" t="s">
        <v>1905</v>
      </c>
    </row>
    <row r="3275" spans="1:7" hidden="1">
      <c r="A3275" s="5" t="s">
        <v>5034</v>
      </c>
      <c r="B3275" t="s">
        <v>5161</v>
      </c>
      <c r="C3275" t="s">
        <v>364</v>
      </c>
      <c r="D3275" t="s">
        <v>8527</v>
      </c>
      <c r="E3275">
        <v>35</v>
      </c>
      <c r="F3275" t="s">
        <v>5163</v>
      </c>
      <c r="G3275" t="s">
        <v>5164</v>
      </c>
    </row>
    <row r="3276" spans="1:7" hidden="1">
      <c r="A3276" s="5" t="s">
        <v>5034</v>
      </c>
      <c r="B3276" t="s">
        <v>5161</v>
      </c>
      <c r="C3276" t="s">
        <v>364</v>
      </c>
      <c r="D3276" t="s">
        <v>8528</v>
      </c>
      <c r="E3276">
        <v>48</v>
      </c>
      <c r="F3276" t="s">
        <v>5172</v>
      </c>
      <c r="G3276" t="s">
        <v>5164</v>
      </c>
    </row>
    <row r="3277" spans="1:7" hidden="1">
      <c r="A3277" s="5" t="s">
        <v>2762</v>
      </c>
      <c r="B3277" t="s">
        <v>5161</v>
      </c>
      <c r="C3277" t="s">
        <v>364</v>
      </c>
      <c r="D3277" t="s">
        <v>8529</v>
      </c>
      <c r="E3277">
        <v>24</v>
      </c>
      <c r="F3277" t="s">
        <v>5163</v>
      </c>
      <c r="G3277" t="s">
        <v>5164</v>
      </c>
    </row>
    <row r="3278" spans="1:7" hidden="1">
      <c r="A3278" s="5" t="s">
        <v>5053</v>
      </c>
      <c r="B3278" t="s">
        <v>5161</v>
      </c>
      <c r="C3278" t="s">
        <v>364</v>
      </c>
      <c r="D3278" t="s">
        <v>8530</v>
      </c>
      <c r="E3278">
        <v>35</v>
      </c>
      <c r="F3278" t="s">
        <v>5163</v>
      </c>
      <c r="G3278" t="s">
        <v>5164</v>
      </c>
    </row>
    <row r="3279" spans="1:7" hidden="1">
      <c r="A3279" s="5" t="s">
        <v>363</v>
      </c>
      <c r="B3279" t="s">
        <v>5161</v>
      </c>
      <c r="C3279" t="s">
        <v>364</v>
      </c>
      <c r="D3279" t="s">
        <v>8531</v>
      </c>
      <c r="E3279">
        <v>19</v>
      </c>
      <c r="F3279" t="s">
        <v>5163</v>
      </c>
      <c r="G3279" t="s">
        <v>1905</v>
      </c>
    </row>
    <row r="3280" spans="1:7" hidden="1">
      <c r="A3280" s="5" t="s">
        <v>363</v>
      </c>
      <c r="B3280" t="s">
        <v>5161</v>
      </c>
      <c r="C3280" t="s">
        <v>364</v>
      </c>
      <c r="D3280" t="s">
        <v>972</v>
      </c>
      <c r="E3280">
        <v>40</v>
      </c>
      <c r="F3280" t="s">
        <v>5172</v>
      </c>
      <c r="G3280" t="s">
        <v>1905</v>
      </c>
    </row>
    <row r="3281" spans="1:7" hidden="1">
      <c r="A3281" s="5" t="s">
        <v>363</v>
      </c>
      <c r="B3281" t="s">
        <v>5161</v>
      </c>
      <c r="C3281" t="s">
        <v>364</v>
      </c>
      <c r="D3281" t="s">
        <v>971</v>
      </c>
      <c r="E3281">
        <v>44</v>
      </c>
      <c r="F3281" t="s">
        <v>5163</v>
      </c>
      <c r="G3281" t="s">
        <v>5164</v>
      </c>
    </row>
    <row r="3282" spans="1:7" hidden="1">
      <c r="A3282" s="5" t="s">
        <v>363</v>
      </c>
      <c r="B3282" t="s">
        <v>5161</v>
      </c>
      <c r="C3282" t="s">
        <v>364</v>
      </c>
      <c r="D3282" t="s">
        <v>974</v>
      </c>
      <c r="E3282">
        <v>19</v>
      </c>
      <c r="F3282" t="s">
        <v>5163</v>
      </c>
      <c r="G3282" t="s">
        <v>1905</v>
      </c>
    </row>
    <row r="3283" spans="1:7" hidden="1">
      <c r="A3283" s="5" t="s">
        <v>4889</v>
      </c>
      <c r="B3283" t="s">
        <v>5161</v>
      </c>
      <c r="C3283" t="s">
        <v>364</v>
      </c>
      <c r="D3283" t="s">
        <v>8532</v>
      </c>
      <c r="E3283">
        <v>37</v>
      </c>
      <c r="F3283" t="s">
        <v>5163</v>
      </c>
      <c r="G3283" t="s">
        <v>5169</v>
      </c>
    </row>
    <row r="3284" spans="1:7" hidden="1">
      <c r="A3284" s="5" t="s">
        <v>3273</v>
      </c>
      <c r="B3284" t="s">
        <v>5161</v>
      </c>
      <c r="C3284" t="s">
        <v>364</v>
      </c>
      <c r="D3284" t="s">
        <v>8533</v>
      </c>
      <c r="E3284">
        <v>35</v>
      </c>
      <c r="F3284" t="s">
        <v>5163</v>
      </c>
      <c r="G3284" t="s">
        <v>1905</v>
      </c>
    </row>
    <row r="3285" spans="1:7" hidden="1">
      <c r="A3285" s="5" t="s">
        <v>2488</v>
      </c>
      <c r="B3285" t="s">
        <v>5161</v>
      </c>
      <c r="C3285" t="s">
        <v>364</v>
      </c>
      <c r="D3285" t="s">
        <v>8534</v>
      </c>
      <c r="E3285">
        <v>31</v>
      </c>
      <c r="F3285" t="s">
        <v>5163</v>
      </c>
      <c r="G3285" t="s">
        <v>5169</v>
      </c>
    </row>
    <row r="3286" spans="1:7" hidden="1">
      <c r="A3286" s="5" t="s">
        <v>2574</v>
      </c>
      <c r="B3286" t="s">
        <v>5161</v>
      </c>
      <c r="C3286" t="s">
        <v>364</v>
      </c>
      <c r="D3286" t="s">
        <v>8535</v>
      </c>
      <c r="E3286">
        <v>44</v>
      </c>
      <c r="F3286" t="s">
        <v>5163</v>
      </c>
      <c r="G3286" t="s">
        <v>1905</v>
      </c>
    </row>
    <row r="3287" spans="1:7" hidden="1">
      <c r="A3287" s="5" t="s">
        <v>2317</v>
      </c>
      <c r="B3287" t="s">
        <v>5161</v>
      </c>
      <c r="C3287" t="s">
        <v>364</v>
      </c>
      <c r="D3287" t="s">
        <v>8536</v>
      </c>
      <c r="E3287">
        <v>19</v>
      </c>
      <c r="F3287" t="s">
        <v>5163</v>
      </c>
      <c r="G3287" t="s">
        <v>5164</v>
      </c>
    </row>
    <row r="3288" spans="1:7" hidden="1">
      <c r="A3288" s="5" t="s">
        <v>2348</v>
      </c>
      <c r="B3288" t="s">
        <v>5161</v>
      </c>
      <c r="C3288" t="s">
        <v>364</v>
      </c>
      <c r="D3288" t="s">
        <v>8537</v>
      </c>
      <c r="E3288">
        <v>33</v>
      </c>
      <c r="F3288" t="s">
        <v>5163</v>
      </c>
      <c r="G3288" t="s">
        <v>5164</v>
      </c>
    </row>
    <row r="3289" spans="1:7" hidden="1">
      <c r="A3289" s="5" t="s">
        <v>2681</v>
      </c>
      <c r="B3289" t="s">
        <v>5161</v>
      </c>
      <c r="C3289" t="s">
        <v>364</v>
      </c>
      <c r="D3289" t="s">
        <v>5192</v>
      </c>
      <c r="E3289">
        <v>34</v>
      </c>
      <c r="F3289" t="s">
        <v>5163</v>
      </c>
      <c r="G3289" t="s">
        <v>1905</v>
      </c>
    </row>
    <row r="3290" spans="1:7" hidden="1">
      <c r="A3290" s="5" t="s">
        <v>2561</v>
      </c>
      <c r="B3290" t="s">
        <v>5161</v>
      </c>
      <c r="C3290" t="s">
        <v>364</v>
      </c>
      <c r="D3290" t="s">
        <v>8538</v>
      </c>
      <c r="E3290">
        <v>31</v>
      </c>
      <c r="F3290" t="s">
        <v>5163</v>
      </c>
      <c r="G3290" t="s">
        <v>5169</v>
      </c>
    </row>
    <row r="3291" spans="1:7" hidden="1">
      <c r="A3291" s="5" t="s">
        <v>2168</v>
      </c>
      <c r="B3291" t="s">
        <v>5161</v>
      </c>
      <c r="C3291" t="s">
        <v>364</v>
      </c>
      <c r="D3291" t="s">
        <v>7244</v>
      </c>
      <c r="E3291">
        <v>37</v>
      </c>
      <c r="F3291" t="s">
        <v>5163</v>
      </c>
      <c r="G3291" t="s">
        <v>5164</v>
      </c>
    </row>
    <row r="3292" spans="1:7" hidden="1">
      <c r="A3292" s="5" t="s">
        <v>2323</v>
      </c>
      <c r="B3292" t="s">
        <v>5161</v>
      </c>
      <c r="C3292" t="s">
        <v>364</v>
      </c>
      <c r="D3292" t="s">
        <v>8539</v>
      </c>
      <c r="E3292">
        <v>23</v>
      </c>
      <c r="F3292" t="s">
        <v>5163</v>
      </c>
      <c r="G3292" t="s">
        <v>5164</v>
      </c>
    </row>
    <row r="3293" spans="1:7" hidden="1">
      <c r="A3293" s="5" t="s">
        <v>2251</v>
      </c>
      <c r="B3293" t="s">
        <v>5161</v>
      </c>
      <c r="C3293" t="s">
        <v>364</v>
      </c>
      <c r="D3293" t="s">
        <v>8540</v>
      </c>
      <c r="E3293">
        <v>29</v>
      </c>
      <c r="F3293" t="s">
        <v>5172</v>
      </c>
      <c r="G3293" t="s">
        <v>5164</v>
      </c>
    </row>
    <row r="3294" spans="1:7" hidden="1">
      <c r="A3294" s="5" t="s">
        <v>2251</v>
      </c>
      <c r="B3294" t="s">
        <v>5161</v>
      </c>
      <c r="C3294" t="s">
        <v>364</v>
      </c>
      <c r="D3294" t="s">
        <v>8541</v>
      </c>
      <c r="E3294">
        <v>26</v>
      </c>
      <c r="F3294" t="s">
        <v>5172</v>
      </c>
      <c r="G3294" t="s">
        <v>5164</v>
      </c>
    </row>
    <row r="3295" spans="1:7" hidden="1">
      <c r="A3295" s="5" t="s">
        <v>354</v>
      </c>
      <c r="B3295" t="s">
        <v>5161</v>
      </c>
      <c r="C3295" t="s">
        <v>364</v>
      </c>
      <c r="D3295" t="s">
        <v>8542</v>
      </c>
      <c r="E3295">
        <v>43</v>
      </c>
      <c r="F3295" t="s">
        <v>5163</v>
      </c>
      <c r="G3295" t="s">
        <v>1905</v>
      </c>
    </row>
    <row r="3296" spans="1:7" hidden="1">
      <c r="A3296" s="5" t="s">
        <v>5026</v>
      </c>
      <c r="B3296" t="s">
        <v>5161</v>
      </c>
      <c r="C3296" t="s">
        <v>364</v>
      </c>
      <c r="D3296" t="s">
        <v>8543</v>
      </c>
      <c r="E3296">
        <v>30</v>
      </c>
      <c r="F3296" t="s">
        <v>5163</v>
      </c>
      <c r="G3296" t="s">
        <v>5164</v>
      </c>
    </row>
    <row r="3297" spans="1:7" hidden="1">
      <c r="A3297" s="5" t="s">
        <v>2107</v>
      </c>
      <c r="B3297" t="s">
        <v>5161</v>
      </c>
      <c r="C3297" t="s">
        <v>364</v>
      </c>
      <c r="D3297" t="s">
        <v>8544</v>
      </c>
      <c r="E3297">
        <v>34</v>
      </c>
      <c r="F3297" t="s">
        <v>5163</v>
      </c>
      <c r="G3297" t="s">
        <v>5164</v>
      </c>
    </row>
    <row r="3298" spans="1:7" hidden="1">
      <c r="A3298" s="5" t="s">
        <v>2397</v>
      </c>
      <c r="B3298" t="s">
        <v>5161</v>
      </c>
      <c r="C3298" t="s">
        <v>364</v>
      </c>
      <c r="D3298" t="s">
        <v>8545</v>
      </c>
      <c r="E3298">
        <v>33</v>
      </c>
      <c r="F3298" t="s">
        <v>5172</v>
      </c>
      <c r="G3298" t="s">
        <v>5169</v>
      </c>
    </row>
    <row r="3299" spans="1:7" hidden="1">
      <c r="A3299" s="5" t="s">
        <v>361</v>
      </c>
      <c r="B3299" t="s">
        <v>5161</v>
      </c>
      <c r="C3299" t="s">
        <v>364</v>
      </c>
      <c r="D3299" t="s">
        <v>8546</v>
      </c>
      <c r="E3299">
        <v>20</v>
      </c>
      <c r="F3299" t="s">
        <v>5163</v>
      </c>
      <c r="G3299" t="s">
        <v>5164</v>
      </c>
    </row>
    <row r="3300" spans="1:7" hidden="1">
      <c r="A3300" s="5" t="s">
        <v>8547</v>
      </c>
      <c r="B3300" t="s">
        <v>5161</v>
      </c>
      <c r="C3300" t="s">
        <v>364</v>
      </c>
      <c r="D3300" t="s">
        <v>8548</v>
      </c>
      <c r="E3300">
        <v>52</v>
      </c>
      <c r="F3300" t="s">
        <v>5163</v>
      </c>
      <c r="G3300" t="s">
        <v>1905</v>
      </c>
    </row>
    <row r="3301" spans="1:7" hidden="1">
      <c r="A3301" s="5" t="s">
        <v>2298</v>
      </c>
      <c r="B3301" t="s">
        <v>5161</v>
      </c>
      <c r="C3301" t="s">
        <v>364</v>
      </c>
      <c r="D3301" t="s">
        <v>884</v>
      </c>
      <c r="E3301">
        <v>20</v>
      </c>
      <c r="F3301" t="s">
        <v>5163</v>
      </c>
      <c r="G3301" t="s">
        <v>5164</v>
      </c>
    </row>
    <row r="3302" spans="1:7" hidden="1">
      <c r="A3302" s="5" t="s">
        <v>4774</v>
      </c>
      <c r="B3302" t="s">
        <v>5161</v>
      </c>
      <c r="C3302" t="s">
        <v>364</v>
      </c>
      <c r="D3302" t="s">
        <v>8549</v>
      </c>
      <c r="E3302">
        <v>28</v>
      </c>
      <c r="F3302" t="s">
        <v>5172</v>
      </c>
      <c r="G3302" t="s">
        <v>5164</v>
      </c>
    </row>
    <row r="3303" spans="1:7" hidden="1">
      <c r="A3303" s="5" t="s">
        <v>4984</v>
      </c>
      <c r="B3303" t="s">
        <v>5161</v>
      </c>
      <c r="C3303" t="s">
        <v>364</v>
      </c>
      <c r="D3303" t="s">
        <v>8550</v>
      </c>
      <c r="E3303">
        <v>34</v>
      </c>
      <c r="F3303" t="s">
        <v>5163</v>
      </c>
      <c r="G3303" t="s">
        <v>5164</v>
      </c>
    </row>
    <row r="3304" spans="1:7" hidden="1">
      <c r="A3304" s="5" t="s">
        <v>4455</v>
      </c>
      <c r="B3304" t="s">
        <v>5161</v>
      </c>
      <c r="C3304" t="s">
        <v>364</v>
      </c>
      <c r="D3304" t="s">
        <v>8551</v>
      </c>
      <c r="E3304">
        <v>27</v>
      </c>
      <c r="F3304" t="s">
        <v>5163</v>
      </c>
      <c r="G3304" t="s">
        <v>1905</v>
      </c>
    </row>
    <row r="3305" spans="1:7" hidden="1">
      <c r="A3305" s="5" t="s">
        <v>4455</v>
      </c>
      <c r="B3305" t="s">
        <v>5161</v>
      </c>
      <c r="C3305" t="s">
        <v>364</v>
      </c>
      <c r="D3305" t="s">
        <v>8552</v>
      </c>
      <c r="E3305">
        <v>42</v>
      </c>
      <c r="F3305" t="s">
        <v>5163</v>
      </c>
      <c r="G3305" t="s">
        <v>1905</v>
      </c>
    </row>
    <row r="3306" spans="1:7" hidden="1">
      <c r="A3306" s="5" t="s">
        <v>2180</v>
      </c>
      <c r="B3306" t="s">
        <v>5161</v>
      </c>
      <c r="C3306" t="s">
        <v>364</v>
      </c>
      <c r="D3306" t="s">
        <v>8553</v>
      </c>
      <c r="E3306">
        <v>28</v>
      </c>
      <c r="F3306" t="s">
        <v>5163</v>
      </c>
      <c r="G3306" t="s">
        <v>5169</v>
      </c>
    </row>
    <row r="3307" spans="1:7" hidden="1">
      <c r="A3307" s="5" t="s">
        <v>2147</v>
      </c>
      <c r="B3307" t="s">
        <v>5161</v>
      </c>
      <c r="C3307" t="s">
        <v>364</v>
      </c>
      <c r="D3307" t="s">
        <v>8554</v>
      </c>
      <c r="E3307">
        <v>24</v>
      </c>
      <c r="F3307" t="s">
        <v>5163</v>
      </c>
      <c r="G3307" t="s">
        <v>1905</v>
      </c>
    </row>
    <row r="3308" spans="1:7" hidden="1">
      <c r="A3308" s="5" t="s">
        <v>4454</v>
      </c>
      <c r="B3308" t="s">
        <v>5161</v>
      </c>
      <c r="C3308" t="s">
        <v>364</v>
      </c>
      <c r="D3308" t="s">
        <v>8555</v>
      </c>
      <c r="E3308">
        <v>31</v>
      </c>
      <c r="F3308" t="s">
        <v>5163</v>
      </c>
      <c r="G3308" t="s">
        <v>5164</v>
      </c>
    </row>
    <row r="3309" spans="1:7" hidden="1">
      <c r="A3309" s="5" t="s">
        <v>5000</v>
      </c>
      <c r="B3309" t="s">
        <v>5161</v>
      </c>
      <c r="C3309" t="s">
        <v>364</v>
      </c>
      <c r="D3309" t="s">
        <v>8556</v>
      </c>
      <c r="E3309">
        <v>27</v>
      </c>
      <c r="F3309" t="s">
        <v>5163</v>
      </c>
      <c r="G3309" t="s">
        <v>5169</v>
      </c>
    </row>
    <row r="3310" spans="1:7" hidden="1">
      <c r="A3310" s="5" t="s">
        <v>2865</v>
      </c>
      <c r="B3310" t="s">
        <v>5161</v>
      </c>
      <c r="C3310" t="s">
        <v>364</v>
      </c>
      <c r="D3310" t="s">
        <v>7199</v>
      </c>
      <c r="E3310">
        <v>38</v>
      </c>
      <c r="F3310" t="s">
        <v>5172</v>
      </c>
      <c r="G3310" t="s">
        <v>5164</v>
      </c>
    </row>
    <row r="3311" spans="1:7" hidden="1">
      <c r="A3311" s="5" t="s">
        <v>8557</v>
      </c>
      <c r="B3311" t="s">
        <v>5161</v>
      </c>
      <c r="C3311" t="s">
        <v>364</v>
      </c>
      <c r="D3311" t="s">
        <v>8558</v>
      </c>
      <c r="E3311">
        <v>32</v>
      </c>
      <c r="F3311" t="s">
        <v>5163</v>
      </c>
      <c r="G3311" t="s">
        <v>5164</v>
      </c>
    </row>
    <row r="3312" spans="1:7" hidden="1">
      <c r="A3312" s="5" t="s">
        <v>4294</v>
      </c>
      <c r="B3312" t="s">
        <v>5161</v>
      </c>
      <c r="C3312" t="s">
        <v>364</v>
      </c>
      <c r="D3312" t="s">
        <v>8559</v>
      </c>
      <c r="E3312">
        <v>25</v>
      </c>
      <c r="F3312" t="s">
        <v>5163</v>
      </c>
      <c r="G3312" t="s">
        <v>5164</v>
      </c>
    </row>
    <row r="3313" spans="1:7" hidden="1">
      <c r="A3313" s="5" t="s">
        <v>4585</v>
      </c>
      <c r="B3313" t="s">
        <v>5161</v>
      </c>
      <c r="C3313" t="s">
        <v>364</v>
      </c>
      <c r="D3313" t="s">
        <v>8560</v>
      </c>
      <c r="E3313">
        <v>30</v>
      </c>
      <c r="F3313" t="s">
        <v>5163</v>
      </c>
      <c r="G3313" t="s">
        <v>5164</v>
      </c>
    </row>
    <row r="3314" spans="1:7" hidden="1">
      <c r="A3314" s="5" t="s">
        <v>4013</v>
      </c>
      <c r="B3314" t="s">
        <v>5161</v>
      </c>
      <c r="C3314" t="s">
        <v>364</v>
      </c>
      <c r="D3314" t="s">
        <v>5168</v>
      </c>
      <c r="E3314">
        <v>39</v>
      </c>
      <c r="F3314" t="s">
        <v>5163</v>
      </c>
      <c r="G3314" t="s">
        <v>5164</v>
      </c>
    </row>
    <row r="3315" spans="1:7" hidden="1">
      <c r="A3315" s="5" t="s">
        <v>4782</v>
      </c>
      <c r="B3315" t="s">
        <v>5161</v>
      </c>
      <c r="C3315" t="s">
        <v>364</v>
      </c>
      <c r="D3315" t="s">
        <v>8561</v>
      </c>
      <c r="E3315">
        <v>818</v>
      </c>
      <c r="F3315" t="s">
        <v>5163</v>
      </c>
      <c r="G3315" t="s">
        <v>5164</v>
      </c>
    </row>
    <row r="3316" spans="1:7" hidden="1">
      <c r="A3316" s="5" t="s">
        <v>3587</v>
      </c>
      <c r="B3316" t="s">
        <v>5161</v>
      </c>
      <c r="C3316" t="s">
        <v>364</v>
      </c>
      <c r="D3316" t="s">
        <v>6405</v>
      </c>
      <c r="E3316">
        <v>19</v>
      </c>
      <c r="F3316" t="s">
        <v>5163</v>
      </c>
      <c r="G3316" t="s">
        <v>5164</v>
      </c>
    </row>
    <row r="3317" spans="1:7" hidden="1">
      <c r="A3317" s="5" t="s">
        <v>4139</v>
      </c>
      <c r="B3317" t="s">
        <v>5161</v>
      </c>
      <c r="C3317" t="s">
        <v>364</v>
      </c>
      <c r="D3317" t="s">
        <v>8562</v>
      </c>
      <c r="E3317">
        <v>28</v>
      </c>
      <c r="F3317" t="s">
        <v>5163</v>
      </c>
      <c r="G3317" t="s">
        <v>5164</v>
      </c>
    </row>
    <row r="3318" spans="1:7" hidden="1">
      <c r="A3318" s="5" t="s">
        <v>3344</v>
      </c>
      <c r="B3318" t="s">
        <v>5161</v>
      </c>
      <c r="C3318" t="s">
        <v>364</v>
      </c>
      <c r="D3318" t="s">
        <v>8563</v>
      </c>
      <c r="E3318">
        <v>41</v>
      </c>
      <c r="F3318" t="s">
        <v>5172</v>
      </c>
      <c r="G3318" t="s">
        <v>5169</v>
      </c>
    </row>
    <row r="3319" spans="1:7" hidden="1">
      <c r="A3319" s="5" t="s">
        <v>4549</v>
      </c>
      <c r="B3319" t="s">
        <v>5161</v>
      </c>
      <c r="C3319" t="s">
        <v>364</v>
      </c>
      <c r="D3319" t="s">
        <v>8564</v>
      </c>
      <c r="E3319">
        <v>18</v>
      </c>
      <c r="F3319" t="s">
        <v>5163</v>
      </c>
      <c r="G3319" t="s">
        <v>1905</v>
      </c>
    </row>
    <row r="3320" spans="1:7" hidden="1">
      <c r="A3320" s="5" t="s">
        <v>4884</v>
      </c>
      <c r="B3320" t="s">
        <v>5161</v>
      </c>
      <c r="C3320" t="s">
        <v>364</v>
      </c>
      <c r="D3320" t="s">
        <v>8565</v>
      </c>
      <c r="E3320">
        <v>28</v>
      </c>
      <c r="F3320" t="s">
        <v>5163</v>
      </c>
      <c r="G3320" t="s">
        <v>1905</v>
      </c>
    </row>
    <row r="3321" spans="1:7" hidden="1">
      <c r="A3321" s="5" t="s">
        <v>4578</v>
      </c>
      <c r="B3321" t="s">
        <v>5161</v>
      </c>
      <c r="C3321" t="s">
        <v>364</v>
      </c>
      <c r="D3321" t="s">
        <v>8566</v>
      </c>
      <c r="E3321">
        <v>20</v>
      </c>
      <c r="F3321" t="s">
        <v>5163</v>
      </c>
      <c r="G3321" t="s">
        <v>1905</v>
      </c>
    </row>
    <row r="3322" spans="1:7" hidden="1">
      <c r="A3322" s="5" t="s">
        <v>4578</v>
      </c>
      <c r="B3322" t="s">
        <v>5161</v>
      </c>
      <c r="C3322" t="s">
        <v>364</v>
      </c>
      <c r="D3322" t="s">
        <v>8567</v>
      </c>
      <c r="E3322">
        <v>21</v>
      </c>
      <c r="F3322" t="s">
        <v>5163</v>
      </c>
      <c r="G3322" t="s">
        <v>5169</v>
      </c>
    </row>
    <row r="3323" spans="1:7" hidden="1">
      <c r="A3323" s="5" t="s">
        <v>8568</v>
      </c>
      <c r="B3323" t="s">
        <v>5161</v>
      </c>
      <c r="C3323" t="s">
        <v>364</v>
      </c>
      <c r="D3323" t="s">
        <v>8569</v>
      </c>
      <c r="E3323">
        <v>19</v>
      </c>
      <c r="F3323" t="s">
        <v>5163</v>
      </c>
      <c r="G3323" t="s">
        <v>5164</v>
      </c>
    </row>
    <row r="3324" spans="1:7" hidden="1">
      <c r="A3324" s="5" t="s">
        <v>5057</v>
      </c>
      <c r="B3324" t="s">
        <v>5161</v>
      </c>
      <c r="C3324" t="s">
        <v>378</v>
      </c>
      <c r="D3324" t="s">
        <v>8570</v>
      </c>
      <c r="E3324">
        <v>30</v>
      </c>
      <c r="F3324" t="s">
        <v>5163</v>
      </c>
      <c r="G3324" t="s">
        <v>5164</v>
      </c>
    </row>
    <row r="3325" spans="1:7" hidden="1">
      <c r="A3325" s="5" t="s">
        <v>5059</v>
      </c>
      <c r="B3325" t="s">
        <v>5161</v>
      </c>
      <c r="C3325" t="s">
        <v>378</v>
      </c>
      <c r="D3325" t="s">
        <v>8571</v>
      </c>
      <c r="E3325">
        <v>42</v>
      </c>
      <c r="F3325" t="s">
        <v>5163</v>
      </c>
      <c r="G3325" t="s">
        <v>5164</v>
      </c>
    </row>
    <row r="3326" spans="1:7" hidden="1">
      <c r="A3326" s="5" t="s">
        <v>3748</v>
      </c>
      <c r="B3326" t="s">
        <v>5161</v>
      </c>
      <c r="C3326" t="s">
        <v>378</v>
      </c>
      <c r="D3326" t="s">
        <v>8572</v>
      </c>
      <c r="E3326">
        <v>32</v>
      </c>
      <c r="F3326" t="s">
        <v>5163</v>
      </c>
      <c r="G3326" t="s">
        <v>1905</v>
      </c>
    </row>
    <row r="3327" spans="1:7" hidden="1">
      <c r="A3327" s="5" t="s">
        <v>3748</v>
      </c>
      <c r="B3327" t="s">
        <v>5161</v>
      </c>
      <c r="C3327" t="s">
        <v>378</v>
      </c>
      <c r="D3327" t="s">
        <v>8573</v>
      </c>
      <c r="E3327">
        <v>21</v>
      </c>
      <c r="F3327" t="s">
        <v>5172</v>
      </c>
      <c r="G3327" t="s">
        <v>1905</v>
      </c>
    </row>
    <row r="3328" spans="1:7" hidden="1">
      <c r="A3328" s="5" t="s">
        <v>3941</v>
      </c>
      <c r="B3328" t="s">
        <v>5161</v>
      </c>
      <c r="C3328" t="s">
        <v>378</v>
      </c>
      <c r="D3328" t="s">
        <v>8574</v>
      </c>
      <c r="E3328">
        <v>25</v>
      </c>
      <c r="F3328" t="s">
        <v>5163</v>
      </c>
      <c r="G3328" t="s">
        <v>1905</v>
      </c>
    </row>
    <row r="3329" spans="1:7" hidden="1">
      <c r="A3329" s="5" t="s">
        <v>5060</v>
      </c>
      <c r="B3329" t="s">
        <v>5161</v>
      </c>
      <c r="C3329" t="s">
        <v>378</v>
      </c>
      <c r="D3329" t="s">
        <v>8575</v>
      </c>
      <c r="E3329">
        <v>19</v>
      </c>
      <c r="F3329" t="s">
        <v>5163</v>
      </c>
      <c r="G3329" t="s">
        <v>5164</v>
      </c>
    </row>
    <row r="3330" spans="1:7" hidden="1">
      <c r="A3330" s="5" t="s">
        <v>5061</v>
      </c>
      <c r="B3330" t="s">
        <v>5161</v>
      </c>
      <c r="C3330" t="s">
        <v>378</v>
      </c>
      <c r="D3330" t="s">
        <v>8576</v>
      </c>
      <c r="E3330">
        <v>26</v>
      </c>
      <c r="F3330" t="s">
        <v>5163</v>
      </c>
      <c r="G3330" t="s">
        <v>5164</v>
      </c>
    </row>
    <row r="3331" spans="1:7" hidden="1">
      <c r="A3331" s="5" t="s">
        <v>5061</v>
      </c>
      <c r="B3331" t="s">
        <v>5161</v>
      </c>
      <c r="C3331" t="s">
        <v>378</v>
      </c>
      <c r="D3331" t="s">
        <v>8577</v>
      </c>
      <c r="E3331">
        <v>23</v>
      </c>
      <c r="F3331" t="s">
        <v>5163</v>
      </c>
      <c r="G3331" t="s">
        <v>5164</v>
      </c>
    </row>
    <row r="3332" spans="1:7" hidden="1">
      <c r="A3332" s="5" t="s">
        <v>5064</v>
      </c>
      <c r="B3332" t="s">
        <v>5161</v>
      </c>
      <c r="C3332" t="s">
        <v>378</v>
      </c>
      <c r="D3332" t="s">
        <v>8512</v>
      </c>
      <c r="E3332">
        <v>18</v>
      </c>
      <c r="F3332" t="s">
        <v>5163</v>
      </c>
      <c r="G3332" t="s">
        <v>5164</v>
      </c>
    </row>
    <row r="3333" spans="1:7" hidden="1">
      <c r="A3333" s="5" t="s">
        <v>5064</v>
      </c>
      <c r="B3333" t="s">
        <v>5161</v>
      </c>
      <c r="C3333" t="s">
        <v>378</v>
      </c>
      <c r="D3333" t="s">
        <v>8578</v>
      </c>
      <c r="E3333">
        <v>20</v>
      </c>
      <c r="F3333" t="s">
        <v>5163</v>
      </c>
      <c r="G3333" t="s">
        <v>5164</v>
      </c>
    </row>
    <row r="3334" spans="1:7" hidden="1">
      <c r="A3334" s="5" t="s">
        <v>4119</v>
      </c>
      <c r="B3334" t="s">
        <v>5161</v>
      </c>
      <c r="C3334" t="s">
        <v>378</v>
      </c>
      <c r="D3334" t="s">
        <v>8579</v>
      </c>
      <c r="E3334">
        <v>30</v>
      </c>
      <c r="F3334" t="s">
        <v>5163</v>
      </c>
      <c r="G3334" t="s">
        <v>5164</v>
      </c>
    </row>
    <row r="3335" spans="1:7" hidden="1">
      <c r="A3335" s="5" t="s">
        <v>4119</v>
      </c>
      <c r="B3335" t="s">
        <v>5161</v>
      </c>
      <c r="C3335" t="s">
        <v>378</v>
      </c>
      <c r="D3335" t="s">
        <v>8580</v>
      </c>
      <c r="E3335">
        <v>24</v>
      </c>
      <c r="F3335" t="s">
        <v>5163</v>
      </c>
      <c r="G3335" t="s">
        <v>5164</v>
      </c>
    </row>
    <row r="3336" spans="1:7" hidden="1">
      <c r="A3336" s="5" t="s">
        <v>5066</v>
      </c>
      <c r="B3336" t="s">
        <v>5161</v>
      </c>
      <c r="C3336" t="s">
        <v>378</v>
      </c>
      <c r="D3336" t="s">
        <v>8581</v>
      </c>
      <c r="E3336">
        <v>21</v>
      </c>
      <c r="F3336" t="s">
        <v>5163</v>
      </c>
      <c r="G3336" t="s">
        <v>1905</v>
      </c>
    </row>
    <row r="3337" spans="1:7" hidden="1">
      <c r="A3337" s="5" t="s">
        <v>5068</v>
      </c>
      <c r="B3337" t="s">
        <v>5161</v>
      </c>
      <c r="C3337" t="s">
        <v>378</v>
      </c>
      <c r="D3337" t="s">
        <v>8582</v>
      </c>
      <c r="E3337">
        <v>20</v>
      </c>
      <c r="F3337" t="s">
        <v>5163</v>
      </c>
      <c r="G3337" t="s">
        <v>5164</v>
      </c>
    </row>
    <row r="3338" spans="1:7" hidden="1">
      <c r="A3338" s="5" t="s">
        <v>4955</v>
      </c>
      <c r="B3338" t="s">
        <v>5161</v>
      </c>
      <c r="C3338" t="s">
        <v>378</v>
      </c>
      <c r="D3338" t="s">
        <v>8583</v>
      </c>
      <c r="E3338">
        <v>33</v>
      </c>
      <c r="F3338" t="s">
        <v>5163</v>
      </c>
      <c r="G3338" t="s">
        <v>5164</v>
      </c>
    </row>
    <row r="3339" spans="1:7" hidden="1">
      <c r="A3339" s="5" t="s">
        <v>8584</v>
      </c>
      <c r="B3339" t="s">
        <v>5161</v>
      </c>
      <c r="C3339" t="s">
        <v>378</v>
      </c>
      <c r="D3339" t="s">
        <v>8585</v>
      </c>
      <c r="E3339">
        <v>37</v>
      </c>
      <c r="F3339" t="s">
        <v>5172</v>
      </c>
      <c r="G3339" t="s">
        <v>1905</v>
      </c>
    </row>
    <row r="3340" spans="1:7" hidden="1">
      <c r="A3340" s="5" t="s">
        <v>3061</v>
      </c>
      <c r="B3340" t="s">
        <v>5161</v>
      </c>
      <c r="C3340" t="s">
        <v>378</v>
      </c>
      <c r="D3340" t="s">
        <v>8586</v>
      </c>
      <c r="E3340">
        <v>51</v>
      </c>
      <c r="F3340" t="s">
        <v>5163</v>
      </c>
      <c r="G3340" t="s">
        <v>1905</v>
      </c>
    </row>
    <row r="3341" spans="1:7" hidden="1">
      <c r="A3341" s="5" t="s">
        <v>5073</v>
      </c>
      <c r="B3341" t="s">
        <v>5161</v>
      </c>
      <c r="C3341" t="s">
        <v>378</v>
      </c>
      <c r="D3341" t="s">
        <v>8587</v>
      </c>
      <c r="E3341">
        <v>46</v>
      </c>
      <c r="F3341" t="s">
        <v>5163</v>
      </c>
      <c r="G3341" t="s">
        <v>5169</v>
      </c>
    </row>
    <row r="3342" spans="1:7" hidden="1">
      <c r="A3342" s="5" t="s">
        <v>3953</v>
      </c>
      <c r="B3342" t="s">
        <v>5161</v>
      </c>
      <c r="C3342" t="s">
        <v>378</v>
      </c>
      <c r="D3342" t="s">
        <v>8588</v>
      </c>
      <c r="E3342">
        <v>29</v>
      </c>
      <c r="F3342" t="s">
        <v>5163</v>
      </c>
      <c r="G3342" t="s">
        <v>1905</v>
      </c>
    </row>
    <row r="3343" spans="1:7" hidden="1">
      <c r="A3343" s="5" t="s">
        <v>5074</v>
      </c>
      <c r="B3343" t="s">
        <v>5161</v>
      </c>
      <c r="C3343" t="s">
        <v>378</v>
      </c>
      <c r="D3343" t="s">
        <v>8589</v>
      </c>
      <c r="E3343">
        <v>30</v>
      </c>
      <c r="F3343" t="s">
        <v>5163</v>
      </c>
      <c r="G3343" t="s">
        <v>5164</v>
      </c>
    </row>
    <row r="3344" spans="1:7" hidden="1">
      <c r="A3344" s="5" t="s">
        <v>3377</v>
      </c>
      <c r="B3344" t="s">
        <v>5161</v>
      </c>
      <c r="C3344" t="s">
        <v>378</v>
      </c>
      <c r="D3344" t="s">
        <v>8590</v>
      </c>
      <c r="E3344">
        <v>18</v>
      </c>
      <c r="F3344" t="s">
        <v>5163</v>
      </c>
      <c r="G3344" t="s">
        <v>5164</v>
      </c>
    </row>
    <row r="3345" spans="1:7" hidden="1">
      <c r="A3345" s="5" t="s">
        <v>5075</v>
      </c>
      <c r="B3345" t="s">
        <v>5161</v>
      </c>
      <c r="C3345" t="s">
        <v>378</v>
      </c>
      <c r="D3345" t="s">
        <v>8591</v>
      </c>
      <c r="E3345">
        <v>25</v>
      </c>
      <c r="F3345" t="s">
        <v>5163</v>
      </c>
      <c r="G3345" t="s">
        <v>5164</v>
      </c>
    </row>
    <row r="3346" spans="1:7" hidden="1">
      <c r="A3346" s="5" t="s">
        <v>4002</v>
      </c>
      <c r="B3346" t="s">
        <v>5161</v>
      </c>
      <c r="C3346" t="s">
        <v>378</v>
      </c>
      <c r="D3346" t="s">
        <v>8592</v>
      </c>
      <c r="E3346">
        <v>20</v>
      </c>
      <c r="F3346" t="s">
        <v>5163</v>
      </c>
      <c r="G3346" t="s">
        <v>1905</v>
      </c>
    </row>
    <row r="3347" spans="1:7" hidden="1">
      <c r="A3347" s="5" t="s">
        <v>5077</v>
      </c>
      <c r="B3347" t="s">
        <v>5161</v>
      </c>
      <c r="C3347" t="s">
        <v>378</v>
      </c>
      <c r="D3347" t="s">
        <v>8593</v>
      </c>
      <c r="E3347">
        <v>22</v>
      </c>
      <c r="F3347" t="s">
        <v>5163</v>
      </c>
      <c r="G3347" t="s">
        <v>5164</v>
      </c>
    </row>
    <row r="3348" spans="1:7" hidden="1">
      <c r="A3348" s="5" t="s">
        <v>5078</v>
      </c>
      <c r="B3348" t="s">
        <v>5161</v>
      </c>
      <c r="C3348" t="s">
        <v>378</v>
      </c>
      <c r="D3348" t="s">
        <v>8594</v>
      </c>
      <c r="E3348">
        <v>30</v>
      </c>
      <c r="F3348" t="s">
        <v>5163</v>
      </c>
      <c r="G3348" t="s">
        <v>5164</v>
      </c>
    </row>
    <row r="3349" spans="1:7" hidden="1">
      <c r="A3349" s="5" t="s">
        <v>5079</v>
      </c>
      <c r="B3349" t="s">
        <v>5161</v>
      </c>
      <c r="C3349" t="s">
        <v>378</v>
      </c>
      <c r="D3349" t="s">
        <v>8595</v>
      </c>
      <c r="E3349">
        <v>21</v>
      </c>
      <c r="F3349" t="s">
        <v>5163</v>
      </c>
      <c r="G3349" t="s">
        <v>1905</v>
      </c>
    </row>
    <row r="3350" spans="1:7" hidden="1">
      <c r="A3350" s="5" t="s">
        <v>5042</v>
      </c>
      <c r="B3350" t="s">
        <v>5161</v>
      </c>
      <c r="C3350" t="s">
        <v>378</v>
      </c>
      <c r="D3350" t="s">
        <v>8596</v>
      </c>
      <c r="E3350">
        <v>18</v>
      </c>
      <c r="F3350" t="s">
        <v>5172</v>
      </c>
      <c r="G3350" t="s">
        <v>5169</v>
      </c>
    </row>
    <row r="3351" spans="1:7" hidden="1">
      <c r="A3351" s="5" t="s">
        <v>5081</v>
      </c>
      <c r="B3351" t="s">
        <v>5161</v>
      </c>
      <c r="C3351" t="s">
        <v>378</v>
      </c>
      <c r="D3351" t="s">
        <v>8597</v>
      </c>
      <c r="E3351">
        <v>35</v>
      </c>
      <c r="F3351" t="s">
        <v>5172</v>
      </c>
      <c r="G3351" t="s">
        <v>1905</v>
      </c>
    </row>
    <row r="3352" spans="1:7" hidden="1">
      <c r="A3352" s="5" t="s">
        <v>5082</v>
      </c>
      <c r="B3352" t="s">
        <v>5161</v>
      </c>
      <c r="C3352" t="s">
        <v>378</v>
      </c>
      <c r="D3352" t="s">
        <v>8598</v>
      </c>
      <c r="E3352">
        <v>18</v>
      </c>
      <c r="F3352" t="s">
        <v>5163</v>
      </c>
      <c r="G3352" t="s">
        <v>6496</v>
      </c>
    </row>
    <row r="3353" spans="1:7" hidden="1">
      <c r="A3353" s="5" t="s">
        <v>1586</v>
      </c>
      <c r="B3353" t="s">
        <v>5161</v>
      </c>
      <c r="C3353" t="s">
        <v>378</v>
      </c>
      <c r="D3353" t="s">
        <v>1775</v>
      </c>
      <c r="E3353">
        <v>31</v>
      </c>
      <c r="F3353" t="s">
        <v>5163</v>
      </c>
      <c r="G3353" t="s">
        <v>5164</v>
      </c>
    </row>
    <row r="3354" spans="1:7" hidden="1">
      <c r="A3354" s="5" t="s">
        <v>2335</v>
      </c>
      <c r="B3354" t="s">
        <v>5161</v>
      </c>
      <c r="C3354" t="s">
        <v>378</v>
      </c>
      <c r="D3354" t="s">
        <v>8599</v>
      </c>
      <c r="E3354">
        <v>22</v>
      </c>
      <c r="F3354" t="s">
        <v>5163</v>
      </c>
      <c r="G3354" t="s">
        <v>5164</v>
      </c>
    </row>
    <row r="3355" spans="1:7" hidden="1">
      <c r="A3355" s="5" t="s">
        <v>3583</v>
      </c>
      <c r="B3355" t="s">
        <v>5161</v>
      </c>
      <c r="C3355" t="s">
        <v>378</v>
      </c>
      <c r="D3355" t="s">
        <v>8600</v>
      </c>
      <c r="E3355">
        <v>20</v>
      </c>
      <c r="F3355" t="s">
        <v>5163</v>
      </c>
      <c r="G3355" t="s">
        <v>5164</v>
      </c>
    </row>
    <row r="3356" spans="1:7" hidden="1">
      <c r="A3356" s="5" t="s">
        <v>3583</v>
      </c>
      <c r="B3356" t="s">
        <v>5161</v>
      </c>
      <c r="C3356" t="s">
        <v>378</v>
      </c>
      <c r="D3356" t="s">
        <v>8601</v>
      </c>
      <c r="E3356">
        <v>24</v>
      </c>
      <c r="F3356" t="s">
        <v>5163</v>
      </c>
      <c r="G3356" t="s">
        <v>1905</v>
      </c>
    </row>
    <row r="3357" spans="1:7" hidden="1">
      <c r="A3357" s="5" t="s">
        <v>2278</v>
      </c>
      <c r="B3357" t="s">
        <v>5161</v>
      </c>
      <c r="C3357" t="s">
        <v>378</v>
      </c>
      <c r="D3357" t="s">
        <v>8602</v>
      </c>
      <c r="E3357">
        <v>21</v>
      </c>
      <c r="F3357" t="s">
        <v>5163</v>
      </c>
      <c r="G3357" t="s">
        <v>1905</v>
      </c>
    </row>
    <row r="3358" spans="1:7" hidden="1">
      <c r="A3358" s="5" t="s">
        <v>3758</v>
      </c>
      <c r="B3358" t="s">
        <v>5161</v>
      </c>
      <c r="C3358" t="s">
        <v>378</v>
      </c>
      <c r="D3358" t="s">
        <v>8603</v>
      </c>
      <c r="E3358">
        <v>21</v>
      </c>
      <c r="F3358" t="s">
        <v>5163</v>
      </c>
      <c r="G3358" t="s">
        <v>5164</v>
      </c>
    </row>
    <row r="3359" spans="1:7" hidden="1">
      <c r="A3359" s="5" t="s">
        <v>3758</v>
      </c>
      <c r="B3359" t="s">
        <v>5161</v>
      </c>
      <c r="C3359" t="s">
        <v>378</v>
      </c>
      <c r="D3359" t="s">
        <v>8604</v>
      </c>
      <c r="E3359">
        <v>26</v>
      </c>
      <c r="F3359" t="s">
        <v>5163</v>
      </c>
      <c r="G3359" t="s">
        <v>5164</v>
      </c>
    </row>
    <row r="3360" spans="1:7" hidden="1">
      <c r="A3360" s="5" t="s">
        <v>5085</v>
      </c>
      <c r="B3360" t="s">
        <v>5161</v>
      </c>
      <c r="C3360" t="s">
        <v>378</v>
      </c>
      <c r="D3360" t="s">
        <v>8605</v>
      </c>
      <c r="E3360">
        <v>20</v>
      </c>
      <c r="F3360" t="s">
        <v>5163</v>
      </c>
      <c r="G3360" t="s">
        <v>5164</v>
      </c>
    </row>
    <row r="3361" spans="1:7" hidden="1">
      <c r="A3361" s="5" t="s">
        <v>5086</v>
      </c>
      <c r="B3361" t="s">
        <v>5161</v>
      </c>
      <c r="C3361" t="s">
        <v>378</v>
      </c>
      <c r="D3361" t="s">
        <v>8606</v>
      </c>
      <c r="E3361">
        <v>29</v>
      </c>
      <c r="F3361" t="s">
        <v>5163</v>
      </c>
      <c r="G3361" t="s">
        <v>1905</v>
      </c>
    </row>
    <row r="3362" spans="1:7" hidden="1">
      <c r="A3362" s="5" t="s">
        <v>5087</v>
      </c>
      <c r="B3362" t="s">
        <v>5161</v>
      </c>
      <c r="C3362" t="s">
        <v>378</v>
      </c>
      <c r="D3362" t="s">
        <v>8607</v>
      </c>
      <c r="E3362">
        <v>25</v>
      </c>
      <c r="F3362" t="s">
        <v>5163</v>
      </c>
      <c r="G3362" t="s">
        <v>5164</v>
      </c>
    </row>
    <row r="3363" spans="1:7" hidden="1">
      <c r="A3363" s="5" t="s">
        <v>4954</v>
      </c>
      <c r="B3363" t="s">
        <v>5161</v>
      </c>
      <c r="C3363" t="s">
        <v>378</v>
      </c>
      <c r="D3363" t="s">
        <v>8608</v>
      </c>
      <c r="E3363">
        <v>28</v>
      </c>
      <c r="F3363" t="s">
        <v>5163</v>
      </c>
      <c r="G3363" t="s">
        <v>5164</v>
      </c>
    </row>
    <row r="3364" spans="1:7" hidden="1">
      <c r="A3364" s="5" t="s">
        <v>376</v>
      </c>
      <c r="B3364" t="s">
        <v>5161</v>
      </c>
      <c r="C3364" t="s">
        <v>378</v>
      </c>
      <c r="D3364" t="s">
        <v>894</v>
      </c>
      <c r="E3364">
        <v>19</v>
      </c>
      <c r="F3364" t="s">
        <v>5163</v>
      </c>
      <c r="G3364" t="s">
        <v>5164</v>
      </c>
    </row>
    <row r="3365" spans="1:7" hidden="1">
      <c r="A3365" s="5" t="s">
        <v>5088</v>
      </c>
      <c r="B3365" t="s">
        <v>5161</v>
      </c>
      <c r="C3365" t="s">
        <v>378</v>
      </c>
      <c r="D3365" t="s">
        <v>8609</v>
      </c>
      <c r="E3365">
        <v>19</v>
      </c>
      <c r="F3365" t="s">
        <v>5163</v>
      </c>
      <c r="G3365" t="s">
        <v>5169</v>
      </c>
    </row>
    <row r="3366" spans="1:7" hidden="1">
      <c r="A3366" s="5" t="s">
        <v>5089</v>
      </c>
      <c r="B3366" t="s">
        <v>5161</v>
      </c>
      <c r="C3366" t="s">
        <v>378</v>
      </c>
      <c r="D3366" t="s">
        <v>8610</v>
      </c>
      <c r="E3366">
        <v>24</v>
      </c>
      <c r="F3366" t="s">
        <v>5163</v>
      </c>
      <c r="G3366" t="s">
        <v>5164</v>
      </c>
    </row>
    <row r="3367" spans="1:7" hidden="1">
      <c r="A3367" s="5" t="s">
        <v>5090</v>
      </c>
      <c r="B3367" t="s">
        <v>5161</v>
      </c>
      <c r="C3367" t="s">
        <v>378</v>
      </c>
      <c r="D3367" t="s">
        <v>8611</v>
      </c>
      <c r="E3367">
        <v>30</v>
      </c>
      <c r="F3367" t="s">
        <v>5163</v>
      </c>
      <c r="G3367" t="s">
        <v>5164</v>
      </c>
    </row>
    <row r="3368" spans="1:7" hidden="1">
      <c r="A3368" s="5" t="s">
        <v>3899</v>
      </c>
      <c r="B3368" t="s">
        <v>5161</v>
      </c>
      <c r="C3368" t="s">
        <v>378</v>
      </c>
      <c r="D3368" t="s">
        <v>8612</v>
      </c>
      <c r="E3368">
        <v>20</v>
      </c>
      <c r="F3368" t="s">
        <v>5163</v>
      </c>
      <c r="G3368" t="s">
        <v>1905</v>
      </c>
    </row>
    <row r="3369" spans="1:7" hidden="1">
      <c r="A3369" s="5" t="s">
        <v>3899</v>
      </c>
      <c r="B3369" t="s">
        <v>5161</v>
      </c>
      <c r="C3369" t="s">
        <v>378</v>
      </c>
      <c r="D3369" t="s">
        <v>8613</v>
      </c>
      <c r="E3369">
        <v>20</v>
      </c>
      <c r="F3369" t="s">
        <v>5163</v>
      </c>
      <c r="G3369" t="s">
        <v>1905</v>
      </c>
    </row>
    <row r="3370" spans="1:7" hidden="1">
      <c r="A3370" s="5" t="s">
        <v>3499</v>
      </c>
      <c r="B3370" t="s">
        <v>5161</v>
      </c>
      <c r="C3370" t="s">
        <v>378</v>
      </c>
      <c r="D3370" t="s">
        <v>8614</v>
      </c>
      <c r="E3370">
        <v>18</v>
      </c>
      <c r="F3370" t="s">
        <v>5163</v>
      </c>
      <c r="G3370" t="s">
        <v>1905</v>
      </c>
    </row>
    <row r="3371" spans="1:7" hidden="1">
      <c r="A3371" s="5" t="s">
        <v>5091</v>
      </c>
      <c r="B3371" t="s">
        <v>5161</v>
      </c>
      <c r="C3371" t="s">
        <v>378</v>
      </c>
      <c r="D3371" t="s">
        <v>8615</v>
      </c>
      <c r="E3371">
        <v>27</v>
      </c>
      <c r="F3371" t="s">
        <v>5163</v>
      </c>
      <c r="G3371" t="s">
        <v>5164</v>
      </c>
    </row>
    <row r="3372" spans="1:7" hidden="1">
      <c r="A3372" s="5" t="s">
        <v>3591</v>
      </c>
      <c r="B3372" t="s">
        <v>5161</v>
      </c>
      <c r="C3372" t="s">
        <v>378</v>
      </c>
      <c r="D3372" t="s">
        <v>8616</v>
      </c>
      <c r="E3372">
        <v>21</v>
      </c>
      <c r="F3372" t="s">
        <v>5163</v>
      </c>
      <c r="G3372" t="s">
        <v>1905</v>
      </c>
    </row>
    <row r="3373" spans="1:7" hidden="1">
      <c r="A3373" s="5" t="s">
        <v>3113</v>
      </c>
      <c r="B3373" t="s">
        <v>5161</v>
      </c>
      <c r="C3373" t="s">
        <v>378</v>
      </c>
      <c r="D3373" t="s">
        <v>8617</v>
      </c>
      <c r="E3373">
        <v>18</v>
      </c>
      <c r="F3373" t="s">
        <v>5172</v>
      </c>
      <c r="G3373" t="s">
        <v>5164</v>
      </c>
    </row>
    <row r="3374" spans="1:7" hidden="1">
      <c r="A3374" s="5" t="s">
        <v>3673</v>
      </c>
      <c r="B3374" t="s">
        <v>5161</v>
      </c>
      <c r="C3374" t="s">
        <v>378</v>
      </c>
      <c r="D3374" t="s">
        <v>8618</v>
      </c>
      <c r="E3374">
        <v>59</v>
      </c>
      <c r="F3374" t="s">
        <v>5172</v>
      </c>
      <c r="G3374" t="s">
        <v>5164</v>
      </c>
    </row>
    <row r="3375" spans="1:7" hidden="1">
      <c r="A3375" s="5" t="s">
        <v>5093</v>
      </c>
      <c r="B3375" t="s">
        <v>5161</v>
      </c>
      <c r="C3375" t="s">
        <v>378</v>
      </c>
      <c r="D3375" t="s">
        <v>8619</v>
      </c>
      <c r="E3375">
        <v>20</v>
      </c>
      <c r="F3375" t="s">
        <v>5163</v>
      </c>
      <c r="G3375" t="s">
        <v>5164</v>
      </c>
    </row>
    <row r="3376" spans="1:7" hidden="1">
      <c r="A3376" s="5" t="s">
        <v>5094</v>
      </c>
      <c r="B3376" t="s">
        <v>5161</v>
      </c>
      <c r="C3376" t="s">
        <v>378</v>
      </c>
      <c r="D3376" t="s">
        <v>8620</v>
      </c>
      <c r="E3376">
        <v>34</v>
      </c>
      <c r="F3376" t="s">
        <v>5163</v>
      </c>
      <c r="G3376" t="s">
        <v>5164</v>
      </c>
    </row>
    <row r="3377" spans="1:7" hidden="1">
      <c r="A3377" s="5" t="s">
        <v>3312</v>
      </c>
      <c r="B3377" t="s">
        <v>5161</v>
      </c>
      <c r="C3377" t="s">
        <v>378</v>
      </c>
      <c r="D3377" t="s">
        <v>8621</v>
      </c>
      <c r="E3377">
        <v>21</v>
      </c>
      <c r="F3377" t="s">
        <v>5163</v>
      </c>
      <c r="G3377" t="s">
        <v>5164</v>
      </c>
    </row>
    <row r="3378" spans="1:7" hidden="1">
      <c r="A3378" s="5" t="s">
        <v>2733</v>
      </c>
      <c r="B3378" t="s">
        <v>5161</v>
      </c>
      <c r="C3378" t="s">
        <v>378</v>
      </c>
      <c r="D3378" t="s">
        <v>8622</v>
      </c>
      <c r="E3378">
        <v>20</v>
      </c>
      <c r="F3378" t="s">
        <v>5163</v>
      </c>
      <c r="G3378" t="s">
        <v>1905</v>
      </c>
    </row>
    <row r="3379" spans="1:7" hidden="1">
      <c r="A3379" s="5" t="s">
        <v>2733</v>
      </c>
      <c r="B3379" t="s">
        <v>5161</v>
      </c>
      <c r="C3379" t="s">
        <v>378</v>
      </c>
      <c r="D3379" t="s">
        <v>8623</v>
      </c>
      <c r="E3379">
        <v>19</v>
      </c>
      <c r="F3379" t="s">
        <v>5163</v>
      </c>
      <c r="G3379" t="s">
        <v>5164</v>
      </c>
    </row>
    <row r="3380" spans="1:7" hidden="1">
      <c r="A3380" s="5" t="s">
        <v>4756</v>
      </c>
      <c r="B3380" t="s">
        <v>5161</v>
      </c>
      <c r="C3380" t="s">
        <v>378</v>
      </c>
      <c r="D3380" t="s">
        <v>8624</v>
      </c>
      <c r="E3380">
        <v>29</v>
      </c>
      <c r="F3380" t="s">
        <v>5163</v>
      </c>
      <c r="G3380" t="s">
        <v>5164</v>
      </c>
    </row>
    <row r="3381" spans="1:7" hidden="1">
      <c r="A3381" s="5" t="s">
        <v>4756</v>
      </c>
      <c r="B3381" t="s">
        <v>5161</v>
      </c>
      <c r="C3381" t="s">
        <v>378</v>
      </c>
      <c r="D3381" t="s">
        <v>8625</v>
      </c>
      <c r="E3381">
        <v>34</v>
      </c>
      <c r="F3381" t="s">
        <v>5163</v>
      </c>
      <c r="G3381" t="s">
        <v>1905</v>
      </c>
    </row>
    <row r="3382" spans="1:7" hidden="1">
      <c r="A3382" s="5" t="s">
        <v>4638</v>
      </c>
      <c r="B3382" t="s">
        <v>5161</v>
      </c>
      <c r="C3382" t="s">
        <v>378</v>
      </c>
      <c r="D3382" t="s">
        <v>8626</v>
      </c>
      <c r="E3382">
        <v>18</v>
      </c>
      <c r="F3382" t="s">
        <v>5163</v>
      </c>
      <c r="G3382" t="s">
        <v>5164</v>
      </c>
    </row>
    <row r="3383" spans="1:7" hidden="1">
      <c r="A3383" s="5" t="s">
        <v>369</v>
      </c>
      <c r="B3383" t="s">
        <v>5161</v>
      </c>
      <c r="C3383" t="s">
        <v>378</v>
      </c>
      <c r="D3383" t="s">
        <v>882</v>
      </c>
      <c r="E3383">
        <v>23</v>
      </c>
      <c r="F3383" t="s">
        <v>5163</v>
      </c>
      <c r="G3383" t="s">
        <v>5169</v>
      </c>
    </row>
    <row r="3384" spans="1:7" hidden="1">
      <c r="A3384" s="5" t="s">
        <v>2626</v>
      </c>
      <c r="B3384" t="s">
        <v>5161</v>
      </c>
      <c r="C3384" t="s">
        <v>378</v>
      </c>
      <c r="D3384" t="s">
        <v>8627</v>
      </c>
      <c r="E3384">
        <v>24</v>
      </c>
      <c r="F3384" t="s">
        <v>5172</v>
      </c>
      <c r="G3384" t="s">
        <v>5169</v>
      </c>
    </row>
    <row r="3385" spans="1:7" hidden="1">
      <c r="A3385" s="5" t="s">
        <v>2626</v>
      </c>
      <c r="B3385" t="s">
        <v>5161</v>
      </c>
      <c r="C3385" t="s">
        <v>378</v>
      </c>
      <c r="D3385" t="s">
        <v>8628</v>
      </c>
      <c r="E3385">
        <v>31</v>
      </c>
      <c r="F3385" t="s">
        <v>5163</v>
      </c>
      <c r="G3385" t="s">
        <v>5164</v>
      </c>
    </row>
    <row r="3386" spans="1:7" hidden="1">
      <c r="A3386" s="5" t="s">
        <v>5098</v>
      </c>
      <c r="B3386" t="s">
        <v>5161</v>
      </c>
      <c r="C3386" t="s">
        <v>378</v>
      </c>
      <c r="D3386" t="s">
        <v>8629</v>
      </c>
      <c r="E3386">
        <v>26</v>
      </c>
      <c r="F3386" t="s">
        <v>5163</v>
      </c>
      <c r="G3386" t="s">
        <v>5164</v>
      </c>
    </row>
    <row r="3387" spans="1:7" hidden="1">
      <c r="A3387" s="5" t="s">
        <v>5101</v>
      </c>
      <c r="B3387" t="s">
        <v>5161</v>
      </c>
      <c r="C3387" t="s">
        <v>378</v>
      </c>
      <c r="D3387" t="s">
        <v>8630</v>
      </c>
      <c r="E3387">
        <v>24</v>
      </c>
      <c r="F3387" t="s">
        <v>5163</v>
      </c>
      <c r="G3387" t="s">
        <v>5164</v>
      </c>
    </row>
    <row r="3388" spans="1:7" hidden="1">
      <c r="A3388" s="5" t="s">
        <v>3145</v>
      </c>
      <c r="B3388" t="s">
        <v>5161</v>
      </c>
      <c r="C3388" t="s">
        <v>378</v>
      </c>
      <c r="D3388" t="s">
        <v>8631</v>
      </c>
      <c r="E3388">
        <v>24</v>
      </c>
      <c r="F3388" t="s">
        <v>5172</v>
      </c>
      <c r="G3388" t="s">
        <v>1905</v>
      </c>
    </row>
    <row r="3389" spans="1:7" hidden="1">
      <c r="A3389" s="5" t="s">
        <v>2649</v>
      </c>
      <c r="B3389" t="s">
        <v>5161</v>
      </c>
      <c r="C3389" t="s">
        <v>378</v>
      </c>
      <c r="D3389" t="s">
        <v>8632</v>
      </c>
      <c r="E3389">
        <v>21</v>
      </c>
      <c r="F3389" t="s">
        <v>5163</v>
      </c>
      <c r="G3389" t="s">
        <v>5164</v>
      </c>
    </row>
    <row r="3390" spans="1:7" hidden="1">
      <c r="A3390" s="5" t="s">
        <v>5104</v>
      </c>
      <c r="B3390" t="s">
        <v>5161</v>
      </c>
      <c r="C3390" t="s">
        <v>378</v>
      </c>
      <c r="D3390" t="s">
        <v>8633</v>
      </c>
      <c r="E3390">
        <v>24</v>
      </c>
      <c r="F3390" t="s">
        <v>5163</v>
      </c>
      <c r="G3390" t="s">
        <v>5164</v>
      </c>
    </row>
    <row r="3391" spans="1:7" hidden="1">
      <c r="A3391" s="5" t="s">
        <v>5105</v>
      </c>
      <c r="B3391" t="s">
        <v>5161</v>
      </c>
      <c r="C3391" t="s">
        <v>378</v>
      </c>
      <c r="D3391" t="s">
        <v>8634</v>
      </c>
      <c r="E3391">
        <v>22</v>
      </c>
      <c r="F3391" t="s">
        <v>5163</v>
      </c>
      <c r="G3391" t="s">
        <v>1905</v>
      </c>
    </row>
    <row r="3392" spans="1:7" hidden="1">
      <c r="A3392" s="5" t="s">
        <v>2903</v>
      </c>
      <c r="B3392" t="s">
        <v>5161</v>
      </c>
      <c r="C3392" t="s">
        <v>378</v>
      </c>
      <c r="D3392" t="s">
        <v>8635</v>
      </c>
      <c r="E3392">
        <v>26</v>
      </c>
      <c r="F3392" t="s">
        <v>5163</v>
      </c>
      <c r="G3392" t="s">
        <v>5164</v>
      </c>
    </row>
    <row r="3393" spans="1:7" hidden="1">
      <c r="A3393" s="5" t="s">
        <v>5106</v>
      </c>
      <c r="B3393" t="s">
        <v>5161</v>
      </c>
      <c r="C3393" t="s">
        <v>378</v>
      </c>
      <c r="D3393" t="s">
        <v>8636</v>
      </c>
      <c r="E3393">
        <v>19</v>
      </c>
      <c r="F3393" t="s">
        <v>5163</v>
      </c>
      <c r="G3393" t="s">
        <v>5164</v>
      </c>
    </row>
    <row r="3394" spans="1:7" hidden="1">
      <c r="A3394" s="5" t="s">
        <v>2627</v>
      </c>
      <c r="B3394" t="s">
        <v>5161</v>
      </c>
      <c r="C3394" t="s">
        <v>378</v>
      </c>
      <c r="D3394" t="s">
        <v>8637</v>
      </c>
      <c r="E3394">
        <v>20</v>
      </c>
      <c r="F3394" t="s">
        <v>5163</v>
      </c>
      <c r="G3394" t="s">
        <v>1905</v>
      </c>
    </row>
    <row r="3395" spans="1:7" hidden="1">
      <c r="A3395" s="5" t="s">
        <v>3457</v>
      </c>
      <c r="B3395" t="s">
        <v>5161</v>
      </c>
      <c r="C3395" t="s">
        <v>378</v>
      </c>
      <c r="D3395" t="s">
        <v>8638</v>
      </c>
      <c r="E3395">
        <v>19</v>
      </c>
      <c r="F3395" t="s">
        <v>5163</v>
      </c>
      <c r="G3395" t="s">
        <v>1905</v>
      </c>
    </row>
    <row r="3396" spans="1:7" hidden="1">
      <c r="A3396" s="5" t="s">
        <v>5109</v>
      </c>
      <c r="B3396" t="s">
        <v>5161</v>
      </c>
      <c r="C3396" t="s">
        <v>378</v>
      </c>
      <c r="D3396" t="s">
        <v>8639</v>
      </c>
      <c r="E3396">
        <v>23</v>
      </c>
      <c r="F3396" t="s">
        <v>5163</v>
      </c>
      <c r="G3396" t="s">
        <v>5164</v>
      </c>
    </row>
    <row r="3397" spans="1:7" hidden="1">
      <c r="A3397" s="5" t="s">
        <v>2209</v>
      </c>
      <c r="B3397" t="s">
        <v>5161</v>
      </c>
      <c r="C3397" t="s">
        <v>378</v>
      </c>
      <c r="D3397" t="s">
        <v>8640</v>
      </c>
      <c r="E3397">
        <v>30</v>
      </c>
      <c r="F3397" t="s">
        <v>5163</v>
      </c>
      <c r="G3397" t="s">
        <v>5164</v>
      </c>
    </row>
    <row r="3398" spans="1:7" hidden="1">
      <c r="A3398" s="5" t="s">
        <v>2940</v>
      </c>
      <c r="B3398" t="s">
        <v>5161</v>
      </c>
      <c r="C3398" t="s">
        <v>378</v>
      </c>
      <c r="D3398" t="s">
        <v>8641</v>
      </c>
      <c r="E3398">
        <v>23</v>
      </c>
      <c r="F3398" t="s">
        <v>5163</v>
      </c>
      <c r="G3398" t="s">
        <v>5164</v>
      </c>
    </row>
    <row r="3399" spans="1:7" hidden="1">
      <c r="A3399" s="5" t="s">
        <v>2718</v>
      </c>
      <c r="B3399" t="s">
        <v>5161</v>
      </c>
      <c r="C3399" t="s">
        <v>378</v>
      </c>
      <c r="D3399" t="s">
        <v>8642</v>
      </c>
      <c r="E3399">
        <v>21</v>
      </c>
      <c r="F3399" t="s">
        <v>5163</v>
      </c>
      <c r="G3399" t="s">
        <v>1905</v>
      </c>
    </row>
    <row r="3400" spans="1:7" hidden="1">
      <c r="A3400" s="5" t="s">
        <v>2330</v>
      </c>
      <c r="B3400" t="s">
        <v>5161</v>
      </c>
      <c r="C3400" t="s">
        <v>378</v>
      </c>
      <c r="D3400" t="s">
        <v>5932</v>
      </c>
      <c r="E3400">
        <v>23</v>
      </c>
      <c r="F3400" t="s">
        <v>5163</v>
      </c>
      <c r="G3400" t="s">
        <v>1905</v>
      </c>
    </row>
    <row r="3401" spans="1:7" hidden="1">
      <c r="A3401" s="5" t="s">
        <v>5110</v>
      </c>
      <c r="B3401" t="s">
        <v>5161</v>
      </c>
      <c r="C3401" t="s">
        <v>378</v>
      </c>
      <c r="D3401" t="s">
        <v>8643</v>
      </c>
      <c r="E3401">
        <v>23</v>
      </c>
      <c r="F3401" t="s">
        <v>5163</v>
      </c>
      <c r="G3401" t="s">
        <v>5164</v>
      </c>
    </row>
    <row r="3402" spans="1:7" hidden="1">
      <c r="A3402" s="5" t="s">
        <v>372</v>
      </c>
      <c r="B3402" t="s">
        <v>5161</v>
      </c>
      <c r="C3402" t="s">
        <v>378</v>
      </c>
      <c r="D3402" t="s">
        <v>888</v>
      </c>
      <c r="E3402">
        <v>25</v>
      </c>
      <c r="F3402" t="s">
        <v>5163</v>
      </c>
      <c r="G3402" t="s">
        <v>5164</v>
      </c>
    </row>
    <row r="3403" spans="1:7" hidden="1">
      <c r="A3403" s="5" t="s">
        <v>373</v>
      </c>
      <c r="B3403" t="s">
        <v>5161</v>
      </c>
      <c r="C3403" t="s">
        <v>378</v>
      </c>
      <c r="D3403" t="s">
        <v>890</v>
      </c>
      <c r="E3403">
        <v>18</v>
      </c>
      <c r="F3403" t="s">
        <v>5163</v>
      </c>
      <c r="G3403" t="s">
        <v>1905</v>
      </c>
    </row>
    <row r="3404" spans="1:7" hidden="1">
      <c r="A3404" s="5" t="s">
        <v>5111</v>
      </c>
      <c r="B3404" t="s">
        <v>5161</v>
      </c>
      <c r="C3404" t="s">
        <v>378</v>
      </c>
      <c r="D3404" t="s">
        <v>8644</v>
      </c>
      <c r="E3404">
        <v>20</v>
      </c>
      <c r="F3404" t="s">
        <v>5163</v>
      </c>
      <c r="G3404" t="s">
        <v>1905</v>
      </c>
    </row>
    <row r="3405" spans="1:7" hidden="1">
      <c r="A3405" s="5" t="s">
        <v>5112</v>
      </c>
      <c r="B3405" t="s">
        <v>5161</v>
      </c>
      <c r="C3405" t="s">
        <v>378</v>
      </c>
      <c r="D3405" t="s">
        <v>8645</v>
      </c>
      <c r="E3405">
        <v>18</v>
      </c>
      <c r="F3405" t="s">
        <v>5163</v>
      </c>
      <c r="G3405" t="s">
        <v>5169</v>
      </c>
    </row>
    <row r="3406" spans="1:7" hidden="1">
      <c r="A3406" s="5" t="s">
        <v>5112</v>
      </c>
      <c r="B3406" t="s">
        <v>5161</v>
      </c>
      <c r="C3406" t="s">
        <v>378</v>
      </c>
      <c r="D3406" t="s">
        <v>8646</v>
      </c>
      <c r="E3406">
        <v>18</v>
      </c>
      <c r="F3406" t="s">
        <v>5163</v>
      </c>
      <c r="G3406" t="s">
        <v>5169</v>
      </c>
    </row>
    <row r="3407" spans="1:7" hidden="1">
      <c r="A3407" s="5" t="s">
        <v>3795</v>
      </c>
      <c r="B3407" t="s">
        <v>5161</v>
      </c>
      <c r="C3407" t="s">
        <v>378</v>
      </c>
      <c r="D3407" t="s">
        <v>8647</v>
      </c>
      <c r="E3407">
        <v>45</v>
      </c>
      <c r="F3407" t="s">
        <v>5172</v>
      </c>
      <c r="G3407" t="s">
        <v>5164</v>
      </c>
    </row>
    <row r="3408" spans="1:7" hidden="1">
      <c r="A3408" s="5" t="s">
        <v>3795</v>
      </c>
      <c r="B3408" t="s">
        <v>5161</v>
      </c>
      <c r="C3408" t="s">
        <v>378</v>
      </c>
      <c r="D3408" t="s">
        <v>8260</v>
      </c>
      <c r="E3408">
        <v>22</v>
      </c>
      <c r="F3408" t="s">
        <v>5163</v>
      </c>
      <c r="G3408" t="s">
        <v>1905</v>
      </c>
    </row>
    <row r="3409" spans="1:7" hidden="1">
      <c r="A3409" s="5" t="s">
        <v>2826</v>
      </c>
      <c r="B3409" t="s">
        <v>5161</v>
      </c>
      <c r="C3409" t="s">
        <v>378</v>
      </c>
      <c r="D3409" t="s">
        <v>8648</v>
      </c>
      <c r="E3409">
        <v>20</v>
      </c>
      <c r="F3409" t="s">
        <v>5163</v>
      </c>
      <c r="G3409" t="s">
        <v>5164</v>
      </c>
    </row>
    <row r="3410" spans="1:7" hidden="1">
      <c r="A3410" s="5" t="s">
        <v>371</v>
      </c>
      <c r="B3410" t="s">
        <v>5161</v>
      </c>
      <c r="C3410" t="s">
        <v>378</v>
      </c>
      <c r="D3410" t="s">
        <v>886</v>
      </c>
      <c r="E3410">
        <v>19</v>
      </c>
      <c r="F3410" t="s">
        <v>5163</v>
      </c>
      <c r="G3410" t="s">
        <v>1905</v>
      </c>
    </row>
    <row r="3411" spans="1:7" hidden="1">
      <c r="A3411" s="5" t="s">
        <v>5113</v>
      </c>
      <c r="B3411" t="s">
        <v>5161</v>
      </c>
      <c r="C3411" t="s">
        <v>378</v>
      </c>
      <c r="D3411" t="s">
        <v>8649</v>
      </c>
      <c r="E3411">
        <v>27</v>
      </c>
      <c r="F3411" t="s">
        <v>5163</v>
      </c>
      <c r="G3411" t="s">
        <v>1905</v>
      </c>
    </row>
    <row r="3412" spans="1:7" hidden="1">
      <c r="A3412" s="5" t="s">
        <v>3102</v>
      </c>
      <c r="B3412" t="s">
        <v>5161</v>
      </c>
      <c r="C3412" t="s">
        <v>378</v>
      </c>
      <c r="D3412" t="s">
        <v>8650</v>
      </c>
      <c r="E3412">
        <v>25</v>
      </c>
      <c r="F3412" t="s">
        <v>5163</v>
      </c>
      <c r="G3412" t="s">
        <v>1905</v>
      </c>
    </row>
    <row r="3413" spans="1:7" hidden="1">
      <c r="A3413" s="5" t="s">
        <v>4603</v>
      </c>
      <c r="B3413" t="s">
        <v>5161</v>
      </c>
      <c r="C3413" t="s">
        <v>378</v>
      </c>
      <c r="D3413" t="s">
        <v>8651</v>
      </c>
      <c r="E3413">
        <v>22</v>
      </c>
      <c r="F3413" t="s">
        <v>5163</v>
      </c>
      <c r="G3413" t="s">
        <v>1905</v>
      </c>
    </row>
    <row r="3414" spans="1:7" hidden="1">
      <c r="A3414" s="5" t="s">
        <v>2467</v>
      </c>
      <c r="B3414" t="s">
        <v>5161</v>
      </c>
      <c r="C3414" t="s">
        <v>378</v>
      </c>
      <c r="D3414" t="s">
        <v>8652</v>
      </c>
      <c r="E3414">
        <v>19</v>
      </c>
      <c r="F3414" t="s">
        <v>5163</v>
      </c>
      <c r="G3414" t="s">
        <v>5164</v>
      </c>
    </row>
    <row r="3415" spans="1:7" hidden="1">
      <c r="A3415" s="5" t="s">
        <v>2467</v>
      </c>
      <c r="B3415" t="s">
        <v>5161</v>
      </c>
      <c r="C3415" t="s">
        <v>378</v>
      </c>
      <c r="D3415" t="s">
        <v>8653</v>
      </c>
      <c r="E3415">
        <v>28</v>
      </c>
      <c r="F3415" t="s">
        <v>5163</v>
      </c>
      <c r="G3415" t="s">
        <v>5169</v>
      </c>
    </row>
    <row r="3416" spans="1:7" hidden="1">
      <c r="A3416" s="5" t="s">
        <v>2929</v>
      </c>
      <c r="B3416" t="s">
        <v>5161</v>
      </c>
      <c r="C3416" t="s">
        <v>378</v>
      </c>
      <c r="D3416" t="s">
        <v>8654</v>
      </c>
      <c r="E3416">
        <v>33</v>
      </c>
      <c r="F3416" t="s">
        <v>5163</v>
      </c>
      <c r="G3416" t="s">
        <v>5164</v>
      </c>
    </row>
    <row r="3417" spans="1:7" hidden="1">
      <c r="A3417" s="5" t="s">
        <v>5115</v>
      </c>
      <c r="B3417" t="s">
        <v>5161</v>
      </c>
      <c r="C3417" t="s">
        <v>378</v>
      </c>
      <c r="D3417" t="s">
        <v>8655</v>
      </c>
      <c r="E3417">
        <v>18</v>
      </c>
      <c r="F3417" t="s">
        <v>5163</v>
      </c>
      <c r="G3417" t="s">
        <v>5164</v>
      </c>
    </row>
    <row r="3418" spans="1:7" hidden="1">
      <c r="A3418" s="5" t="s">
        <v>5115</v>
      </c>
      <c r="B3418" t="s">
        <v>5161</v>
      </c>
      <c r="C3418" t="s">
        <v>378</v>
      </c>
      <c r="D3418" t="s">
        <v>8656</v>
      </c>
      <c r="E3418">
        <v>18</v>
      </c>
      <c r="F3418" t="s">
        <v>5163</v>
      </c>
      <c r="G3418" t="s">
        <v>5164</v>
      </c>
    </row>
    <row r="3419" spans="1:7" hidden="1">
      <c r="A3419" s="5" t="s">
        <v>2300</v>
      </c>
      <c r="B3419" t="s">
        <v>5161</v>
      </c>
      <c r="C3419" t="s">
        <v>378</v>
      </c>
      <c r="D3419" t="s">
        <v>8657</v>
      </c>
      <c r="E3419">
        <v>26</v>
      </c>
      <c r="F3419" t="s">
        <v>5163</v>
      </c>
      <c r="G3419" t="s">
        <v>5164</v>
      </c>
    </row>
    <row r="3420" spans="1:7" hidden="1">
      <c r="A3420" s="5" t="s">
        <v>8658</v>
      </c>
      <c r="B3420" t="s">
        <v>5161</v>
      </c>
      <c r="C3420" t="s">
        <v>378</v>
      </c>
      <c r="D3420" t="s">
        <v>8659</v>
      </c>
      <c r="E3420">
        <v>19</v>
      </c>
      <c r="F3420" t="s">
        <v>5163</v>
      </c>
      <c r="G3420" t="s">
        <v>1905</v>
      </c>
    </row>
    <row r="3421" spans="1:7" hidden="1">
      <c r="A3421" s="5" t="s">
        <v>4293</v>
      </c>
      <c r="B3421" t="s">
        <v>5161</v>
      </c>
      <c r="C3421" t="s">
        <v>378</v>
      </c>
      <c r="D3421" t="s">
        <v>8660</v>
      </c>
      <c r="E3421">
        <v>30</v>
      </c>
      <c r="F3421" t="s">
        <v>5163</v>
      </c>
      <c r="G3421" t="s">
        <v>5164</v>
      </c>
    </row>
    <row r="3422" spans="1:7" hidden="1">
      <c r="A3422" s="5" t="s">
        <v>3540</v>
      </c>
      <c r="B3422" t="s">
        <v>5161</v>
      </c>
      <c r="C3422" t="s">
        <v>378</v>
      </c>
      <c r="D3422" t="s">
        <v>8661</v>
      </c>
      <c r="E3422">
        <v>45</v>
      </c>
      <c r="F3422" t="s">
        <v>5163</v>
      </c>
      <c r="G3422" t="s">
        <v>5169</v>
      </c>
    </row>
    <row r="3423" spans="1:7" hidden="1">
      <c r="A3423" s="5" t="s">
        <v>5116</v>
      </c>
      <c r="B3423" t="s">
        <v>5161</v>
      </c>
      <c r="C3423" t="s">
        <v>378</v>
      </c>
      <c r="D3423" t="s">
        <v>8662</v>
      </c>
      <c r="E3423">
        <v>37</v>
      </c>
      <c r="F3423" t="s">
        <v>5163</v>
      </c>
      <c r="G3423" t="s">
        <v>1905</v>
      </c>
    </row>
    <row r="3424" spans="1:7" hidden="1">
      <c r="A3424" s="5" t="s">
        <v>5116</v>
      </c>
      <c r="B3424" t="s">
        <v>5161</v>
      </c>
      <c r="C3424" t="s">
        <v>378</v>
      </c>
      <c r="D3424" t="s">
        <v>8663</v>
      </c>
      <c r="E3424">
        <v>21</v>
      </c>
      <c r="F3424" t="s">
        <v>5163</v>
      </c>
      <c r="G3424" t="s">
        <v>1905</v>
      </c>
    </row>
    <row r="3425" spans="1:7" hidden="1">
      <c r="A3425" s="5" t="s">
        <v>4536</v>
      </c>
      <c r="B3425" t="s">
        <v>5161</v>
      </c>
      <c r="C3425" t="s">
        <v>378</v>
      </c>
      <c r="D3425" t="s">
        <v>8664</v>
      </c>
      <c r="E3425">
        <v>20</v>
      </c>
      <c r="F3425" t="s">
        <v>5163</v>
      </c>
      <c r="G3425" t="s">
        <v>5164</v>
      </c>
    </row>
    <row r="3426" spans="1:7" hidden="1">
      <c r="A3426" s="5" t="s">
        <v>5117</v>
      </c>
      <c r="B3426" t="s">
        <v>5161</v>
      </c>
      <c r="C3426" t="s">
        <v>378</v>
      </c>
      <c r="D3426" t="s">
        <v>8665</v>
      </c>
      <c r="E3426">
        <v>23</v>
      </c>
      <c r="F3426" t="s">
        <v>5163</v>
      </c>
      <c r="G3426" t="s">
        <v>5164</v>
      </c>
    </row>
    <row r="3427" spans="1:7" hidden="1">
      <c r="A3427" s="5" t="s">
        <v>4870</v>
      </c>
      <c r="B3427" t="s">
        <v>5161</v>
      </c>
      <c r="C3427" t="s">
        <v>378</v>
      </c>
      <c r="D3427" t="s">
        <v>8666</v>
      </c>
      <c r="E3427">
        <v>22</v>
      </c>
      <c r="F3427" t="s">
        <v>5163</v>
      </c>
      <c r="G3427" t="s">
        <v>5164</v>
      </c>
    </row>
    <row r="3428" spans="1:7" hidden="1">
      <c r="A3428" s="5" t="s">
        <v>4870</v>
      </c>
      <c r="B3428" t="s">
        <v>5161</v>
      </c>
      <c r="C3428" t="s">
        <v>378</v>
      </c>
      <c r="D3428" t="s">
        <v>8667</v>
      </c>
      <c r="E3428">
        <v>18</v>
      </c>
      <c r="F3428" t="s">
        <v>5163</v>
      </c>
      <c r="G3428" t="s">
        <v>5164</v>
      </c>
    </row>
    <row r="3429" spans="1:7" hidden="1">
      <c r="A3429" s="5" t="s">
        <v>2739</v>
      </c>
      <c r="B3429" t="s">
        <v>5161</v>
      </c>
      <c r="C3429" t="s">
        <v>378</v>
      </c>
      <c r="D3429" t="s">
        <v>8668</v>
      </c>
      <c r="E3429">
        <v>26</v>
      </c>
      <c r="F3429" t="s">
        <v>5163</v>
      </c>
      <c r="G3429" t="s">
        <v>5164</v>
      </c>
    </row>
    <row r="3430" spans="1:7" hidden="1">
      <c r="A3430" s="5" t="s">
        <v>2727</v>
      </c>
      <c r="B3430" t="s">
        <v>5161</v>
      </c>
      <c r="C3430" t="s">
        <v>378</v>
      </c>
      <c r="D3430" t="s">
        <v>8669</v>
      </c>
      <c r="E3430">
        <v>19</v>
      </c>
      <c r="F3430" t="s">
        <v>5163</v>
      </c>
      <c r="G3430" t="s">
        <v>5164</v>
      </c>
    </row>
    <row r="3431" spans="1:7" hidden="1">
      <c r="A3431" s="5" t="s">
        <v>366</v>
      </c>
      <c r="B3431" t="s">
        <v>5161</v>
      </c>
      <c r="C3431" t="s">
        <v>378</v>
      </c>
      <c r="D3431" t="s">
        <v>877</v>
      </c>
      <c r="E3431">
        <v>28</v>
      </c>
      <c r="F3431" t="s">
        <v>5163</v>
      </c>
      <c r="G3431" t="s">
        <v>5169</v>
      </c>
    </row>
    <row r="3432" spans="1:7" hidden="1">
      <c r="A3432" s="5" t="s">
        <v>375</v>
      </c>
      <c r="B3432" t="s">
        <v>5161</v>
      </c>
      <c r="C3432" t="s">
        <v>378</v>
      </c>
      <c r="D3432" t="s">
        <v>8670</v>
      </c>
      <c r="E3432">
        <v>18</v>
      </c>
      <c r="F3432" t="s">
        <v>5163</v>
      </c>
      <c r="G3432" t="s">
        <v>5164</v>
      </c>
    </row>
    <row r="3433" spans="1:7" hidden="1">
      <c r="A3433" s="5" t="s">
        <v>375</v>
      </c>
      <c r="B3433" t="s">
        <v>5161</v>
      </c>
      <c r="C3433" t="s">
        <v>378</v>
      </c>
      <c r="D3433" t="s">
        <v>893</v>
      </c>
      <c r="E3433">
        <v>19</v>
      </c>
      <c r="F3433" t="s">
        <v>5163</v>
      </c>
      <c r="G3433" t="s">
        <v>5164</v>
      </c>
    </row>
    <row r="3434" spans="1:7" hidden="1">
      <c r="A3434" s="5" t="s">
        <v>3138</v>
      </c>
      <c r="B3434" t="s">
        <v>5161</v>
      </c>
      <c r="C3434" t="s">
        <v>378</v>
      </c>
      <c r="D3434" t="s">
        <v>8671</v>
      </c>
      <c r="E3434">
        <v>25</v>
      </c>
      <c r="F3434" t="s">
        <v>5163</v>
      </c>
      <c r="G3434" t="s">
        <v>5164</v>
      </c>
    </row>
    <row r="3435" spans="1:7" hidden="1">
      <c r="A3435" s="5" t="s">
        <v>5119</v>
      </c>
      <c r="B3435" t="s">
        <v>5161</v>
      </c>
      <c r="C3435" t="s">
        <v>378</v>
      </c>
      <c r="D3435" t="s">
        <v>8672</v>
      </c>
      <c r="E3435">
        <v>19</v>
      </c>
      <c r="F3435" t="s">
        <v>5163</v>
      </c>
      <c r="G3435" t="s">
        <v>1905</v>
      </c>
    </row>
    <row r="3436" spans="1:7" hidden="1">
      <c r="A3436" s="5" t="s">
        <v>5119</v>
      </c>
      <c r="B3436" t="s">
        <v>5161</v>
      </c>
      <c r="C3436" t="s">
        <v>378</v>
      </c>
      <c r="D3436" t="s">
        <v>8673</v>
      </c>
      <c r="E3436">
        <v>25</v>
      </c>
      <c r="F3436" t="s">
        <v>5163</v>
      </c>
      <c r="G3436" t="s">
        <v>1905</v>
      </c>
    </row>
    <row r="3437" spans="1:7" hidden="1">
      <c r="A3437" s="5" t="s">
        <v>5120</v>
      </c>
      <c r="B3437" t="s">
        <v>5161</v>
      </c>
      <c r="C3437" t="s">
        <v>378</v>
      </c>
      <c r="D3437" t="s">
        <v>8674</v>
      </c>
      <c r="E3437">
        <v>20</v>
      </c>
      <c r="F3437" t="s">
        <v>5163</v>
      </c>
      <c r="G3437" t="s">
        <v>1905</v>
      </c>
    </row>
    <row r="3438" spans="1:7" hidden="1">
      <c r="A3438" s="5" t="s">
        <v>5121</v>
      </c>
      <c r="B3438" t="s">
        <v>5161</v>
      </c>
      <c r="C3438" t="s">
        <v>378</v>
      </c>
      <c r="D3438" t="s">
        <v>8675</v>
      </c>
      <c r="E3438">
        <v>36</v>
      </c>
      <c r="F3438" t="s">
        <v>5163</v>
      </c>
      <c r="G3438" t="s">
        <v>5164</v>
      </c>
    </row>
    <row r="3439" spans="1:7" hidden="1">
      <c r="A3439" s="5" t="s">
        <v>368</v>
      </c>
      <c r="B3439" t="s">
        <v>5161</v>
      </c>
      <c r="C3439" t="s">
        <v>378</v>
      </c>
      <c r="D3439" t="s">
        <v>880</v>
      </c>
      <c r="E3439">
        <v>18</v>
      </c>
      <c r="F3439" t="s">
        <v>5163</v>
      </c>
      <c r="G3439" t="s">
        <v>5164</v>
      </c>
    </row>
    <row r="3440" spans="1:7" hidden="1">
      <c r="A3440" s="5" t="s">
        <v>5122</v>
      </c>
      <c r="B3440" t="s">
        <v>5161</v>
      </c>
      <c r="C3440" t="s">
        <v>378</v>
      </c>
      <c r="D3440" t="s">
        <v>8676</v>
      </c>
      <c r="E3440">
        <v>20</v>
      </c>
      <c r="F3440" t="s">
        <v>5163</v>
      </c>
      <c r="G3440" t="s">
        <v>5164</v>
      </c>
    </row>
    <row r="3441" spans="1:7" hidden="1">
      <c r="A3441" s="5" t="s">
        <v>4895</v>
      </c>
      <c r="B3441" t="s">
        <v>5161</v>
      </c>
      <c r="C3441" t="s">
        <v>378</v>
      </c>
      <c r="D3441" t="s">
        <v>8677</v>
      </c>
      <c r="E3441">
        <v>38</v>
      </c>
      <c r="F3441" t="s">
        <v>5163</v>
      </c>
      <c r="G3441" t="s">
        <v>5164</v>
      </c>
    </row>
    <row r="3442" spans="1:7" hidden="1">
      <c r="A3442" s="5" t="s">
        <v>5124</v>
      </c>
      <c r="B3442" t="s">
        <v>5161</v>
      </c>
      <c r="C3442" t="s">
        <v>378</v>
      </c>
      <c r="D3442" t="s">
        <v>8678</v>
      </c>
      <c r="E3442">
        <v>25</v>
      </c>
      <c r="F3442" t="s">
        <v>5163</v>
      </c>
      <c r="G3442" t="s">
        <v>5164</v>
      </c>
    </row>
    <row r="3443" spans="1:7" hidden="1">
      <c r="A3443" s="5" t="s">
        <v>5125</v>
      </c>
      <c r="B3443" t="s">
        <v>5161</v>
      </c>
      <c r="C3443" t="s">
        <v>378</v>
      </c>
      <c r="D3443" t="s">
        <v>8679</v>
      </c>
      <c r="E3443">
        <v>18</v>
      </c>
      <c r="F3443" t="s">
        <v>5163</v>
      </c>
      <c r="G3443" t="s">
        <v>5164</v>
      </c>
    </row>
    <row r="3444" spans="1:7" hidden="1">
      <c r="A3444" s="5" t="s">
        <v>3818</v>
      </c>
      <c r="B3444" t="s">
        <v>5161</v>
      </c>
      <c r="C3444" t="s">
        <v>378</v>
      </c>
      <c r="D3444" t="s">
        <v>8680</v>
      </c>
      <c r="E3444">
        <v>28</v>
      </c>
      <c r="F3444" t="s">
        <v>5172</v>
      </c>
      <c r="G3444" t="s">
        <v>5164</v>
      </c>
    </row>
    <row r="3445" spans="1:7" hidden="1">
      <c r="A3445" s="5" t="s">
        <v>4800</v>
      </c>
      <c r="B3445" t="s">
        <v>5161</v>
      </c>
      <c r="C3445" t="s">
        <v>378</v>
      </c>
      <c r="D3445" t="s">
        <v>8681</v>
      </c>
      <c r="E3445">
        <v>21</v>
      </c>
      <c r="F3445" t="s">
        <v>5172</v>
      </c>
      <c r="G3445" t="s">
        <v>5169</v>
      </c>
    </row>
    <row r="3446" spans="1:7" hidden="1">
      <c r="A3446" s="5" t="s">
        <v>2503</v>
      </c>
      <c r="B3446" t="s">
        <v>5161</v>
      </c>
      <c r="C3446" t="s">
        <v>378</v>
      </c>
      <c r="D3446" t="s">
        <v>8682</v>
      </c>
      <c r="E3446">
        <v>30</v>
      </c>
      <c r="F3446" t="s">
        <v>5163</v>
      </c>
      <c r="G3446" t="s">
        <v>5164</v>
      </c>
    </row>
    <row r="3447" spans="1:7" hidden="1">
      <c r="A3447" s="5" t="s">
        <v>5127</v>
      </c>
      <c r="B3447" t="s">
        <v>5161</v>
      </c>
      <c r="C3447" t="s">
        <v>378</v>
      </c>
      <c r="D3447" t="s">
        <v>8683</v>
      </c>
      <c r="E3447">
        <v>24</v>
      </c>
      <c r="F3447" t="s">
        <v>5163</v>
      </c>
      <c r="G3447" t="s">
        <v>5169</v>
      </c>
    </row>
    <row r="3448" spans="1:7" hidden="1">
      <c r="A3448" s="5" t="s">
        <v>4730</v>
      </c>
      <c r="B3448" t="s">
        <v>5161</v>
      </c>
      <c r="C3448" t="s">
        <v>378</v>
      </c>
      <c r="D3448" t="s">
        <v>8684</v>
      </c>
      <c r="E3448">
        <v>26</v>
      </c>
      <c r="F3448" t="s">
        <v>5163</v>
      </c>
      <c r="G3448" t="s">
        <v>1905</v>
      </c>
    </row>
    <row r="3449" spans="1:7" hidden="1">
      <c r="A3449" s="5" t="s">
        <v>4879</v>
      </c>
      <c r="B3449" t="s">
        <v>5161</v>
      </c>
      <c r="C3449" t="s">
        <v>378</v>
      </c>
      <c r="D3449" t="s">
        <v>8685</v>
      </c>
      <c r="E3449">
        <v>38</v>
      </c>
      <c r="F3449" t="s">
        <v>5163</v>
      </c>
      <c r="G3449" t="s">
        <v>1905</v>
      </c>
    </row>
    <row r="3450" spans="1:7" hidden="1">
      <c r="A3450" s="5" t="s">
        <v>2277</v>
      </c>
      <c r="B3450" t="s">
        <v>5161</v>
      </c>
      <c r="C3450" t="s">
        <v>378</v>
      </c>
      <c r="D3450" t="s">
        <v>8686</v>
      </c>
      <c r="E3450">
        <v>19</v>
      </c>
      <c r="F3450" t="s">
        <v>5163</v>
      </c>
      <c r="G3450" t="s">
        <v>1905</v>
      </c>
    </row>
    <row r="3451" spans="1:7" hidden="1">
      <c r="A3451" s="5" t="s">
        <v>3990</v>
      </c>
      <c r="B3451" t="s">
        <v>5161</v>
      </c>
      <c r="C3451" t="s">
        <v>378</v>
      </c>
      <c r="D3451" t="s">
        <v>8687</v>
      </c>
      <c r="E3451">
        <v>29</v>
      </c>
      <c r="F3451" t="s">
        <v>5163</v>
      </c>
      <c r="G3451" t="s">
        <v>5182</v>
      </c>
    </row>
    <row r="3452" spans="1:7" hidden="1">
      <c r="A3452" s="5" t="s">
        <v>5128</v>
      </c>
      <c r="B3452" t="s">
        <v>5161</v>
      </c>
      <c r="C3452" t="s">
        <v>378</v>
      </c>
      <c r="D3452" t="s">
        <v>8688</v>
      </c>
      <c r="E3452">
        <v>45</v>
      </c>
      <c r="F3452" t="s">
        <v>5163</v>
      </c>
      <c r="G3452" t="s">
        <v>5164</v>
      </c>
    </row>
    <row r="3453" spans="1:7" hidden="1">
      <c r="A3453" s="5" t="s">
        <v>5130</v>
      </c>
      <c r="B3453" t="s">
        <v>5161</v>
      </c>
      <c r="C3453" t="s">
        <v>378</v>
      </c>
      <c r="D3453" t="s">
        <v>8689</v>
      </c>
      <c r="E3453">
        <v>18</v>
      </c>
      <c r="F3453" t="s">
        <v>5163</v>
      </c>
      <c r="G3453" t="s">
        <v>1905</v>
      </c>
    </row>
    <row r="3454" spans="1:7" hidden="1">
      <c r="A3454" s="5" t="s">
        <v>365</v>
      </c>
      <c r="B3454" t="s">
        <v>5161</v>
      </c>
      <c r="C3454" t="s">
        <v>378</v>
      </c>
      <c r="D3454" t="s">
        <v>8690</v>
      </c>
      <c r="E3454">
        <v>33</v>
      </c>
      <c r="F3454" t="s">
        <v>5163</v>
      </c>
      <c r="G3454" t="s">
        <v>5164</v>
      </c>
    </row>
    <row r="3455" spans="1:7" hidden="1">
      <c r="A3455" s="5" t="s">
        <v>5132</v>
      </c>
      <c r="B3455" t="s">
        <v>5161</v>
      </c>
      <c r="C3455" t="s">
        <v>378</v>
      </c>
      <c r="D3455" t="s">
        <v>8691</v>
      </c>
      <c r="E3455">
        <v>34</v>
      </c>
      <c r="F3455" t="s">
        <v>5163</v>
      </c>
      <c r="G3455" t="s">
        <v>5164</v>
      </c>
    </row>
    <row r="3456" spans="1:7" hidden="1">
      <c r="A3456" s="5" t="s">
        <v>5135</v>
      </c>
      <c r="B3456" t="s">
        <v>5161</v>
      </c>
      <c r="C3456" t="s">
        <v>378</v>
      </c>
      <c r="D3456" t="s">
        <v>8692</v>
      </c>
      <c r="E3456">
        <v>31</v>
      </c>
      <c r="F3456" t="s">
        <v>5163</v>
      </c>
      <c r="G3456" t="s">
        <v>1905</v>
      </c>
    </row>
    <row r="3457" spans="1:7" hidden="1">
      <c r="A3457" s="5" t="s">
        <v>5136</v>
      </c>
      <c r="B3457" t="s">
        <v>5161</v>
      </c>
      <c r="C3457" t="s">
        <v>378</v>
      </c>
      <c r="D3457" t="s">
        <v>8693</v>
      </c>
      <c r="E3457">
        <v>21</v>
      </c>
      <c r="F3457" t="s">
        <v>5163</v>
      </c>
      <c r="G3457" t="s">
        <v>1905</v>
      </c>
    </row>
    <row r="3458" spans="1:7" hidden="1">
      <c r="A3458" s="5" t="s">
        <v>5137</v>
      </c>
      <c r="B3458" t="s">
        <v>5161</v>
      </c>
      <c r="C3458" t="s">
        <v>378</v>
      </c>
      <c r="D3458" t="s">
        <v>8694</v>
      </c>
      <c r="E3458">
        <v>24</v>
      </c>
      <c r="F3458" t="s">
        <v>5163</v>
      </c>
      <c r="G3458" t="s">
        <v>5169</v>
      </c>
    </row>
    <row r="3459" spans="1:7" hidden="1">
      <c r="A3459" s="5" t="s">
        <v>370</v>
      </c>
      <c r="B3459" t="s">
        <v>5161</v>
      </c>
      <c r="C3459" t="s">
        <v>378</v>
      </c>
      <c r="D3459" t="s">
        <v>883</v>
      </c>
      <c r="E3459">
        <v>18</v>
      </c>
      <c r="F3459" t="s">
        <v>5163</v>
      </c>
      <c r="G3459" t="s">
        <v>5169</v>
      </c>
    </row>
    <row r="3460" spans="1:7" hidden="1">
      <c r="A3460" s="5" t="s">
        <v>3901</v>
      </c>
      <c r="B3460" t="s">
        <v>5161</v>
      </c>
      <c r="C3460" t="s">
        <v>378</v>
      </c>
      <c r="D3460" t="s">
        <v>8695</v>
      </c>
      <c r="E3460">
        <v>29</v>
      </c>
      <c r="F3460" t="s">
        <v>5163</v>
      </c>
      <c r="G3460" t="s">
        <v>5169</v>
      </c>
    </row>
    <row r="3461" spans="1:7" hidden="1">
      <c r="A3461" s="5" t="s">
        <v>3989</v>
      </c>
      <c r="B3461" t="s">
        <v>5161</v>
      </c>
      <c r="C3461" t="s">
        <v>378</v>
      </c>
      <c r="D3461" t="s">
        <v>8696</v>
      </c>
      <c r="E3461">
        <v>23</v>
      </c>
      <c r="F3461" t="s">
        <v>5163</v>
      </c>
      <c r="G3461" t="s">
        <v>1905</v>
      </c>
    </row>
    <row r="3462" spans="1:7" hidden="1">
      <c r="A3462" s="5" t="s">
        <v>4529</v>
      </c>
      <c r="B3462" t="s">
        <v>5161</v>
      </c>
      <c r="C3462" t="s">
        <v>378</v>
      </c>
      <c r="D3462" t="s">
        <v>8697</v>
      </c>
      <c r="E3462">
        <v>22</v>
      </c>
      <c r="F3462" t="s">
        <v>5172</v>
      </c>
      <c r="G3462" t="s">
        <v>5164</v>
      </c>
    </row>
    <row r="3463" spans="1:7" hidden="1">
      <c r="A3463" s="5" t="s">
        <v>5139</v>
      </c>
      <c r="B3463" t="s">
        <v>5161</v>
      </c>
      <c r="C3463" t="s">
        <v>378</v>
      </c>
      <c r="D3463" t="s">
        <v>8698</v>
      </c>
      <c r="E3463">
        <v>20</v>
      </c>
      <c r="F3463" t="s">
        <v>5163</v>
      </c>
      <c r="G3463" t="s">
        <v>1905</v>
      </c>
    </row>
    <row r="3464" spans="1:7" hidden="1">
      <c r="A3464" s="5" t="s">
        <v>2717</v>
      </c>
      <c r="B3464" t="s">
        <v>5161</v>
      </c>
      <c r="C3464" t="s">
        <v>378</v>
      </c>
      <c r="D3464" t="s">
        <v>8699</v>
      </c>
      <c r="E3464">
        <v>21</v>
      </c>
      <c r="F3464" t="s">
        <v>5163</v>
      </c>
      <c r="G3464" t="s">
        <v>5169</v>
      </c>
    </row>
    <row r="3465" spans="1:7" hidden="1">
      <c r="A3465" s="5" t="s">
        <v>2172</v>
      </c>
      <c r="B3465" t="s">
        <v>5161</v>
      </c>
      <c r="C3465" t="s">
        <v>378</v>
      </c>
      <c r="D3465" t="s">
        <v>8700</v>
      </c>
      <c r="E3465">
        <v>30</v>
      </c>
      <c r="F3465" t="s">
        <v>5163</v>
      </c>
      <c r="G3465" t="s">
        <v>5169</v>
      </c>
    </row>
    <row r="3466" spans="1:7" hidden="1">
      <c r="A3466" s="5" t="s">
        <v>2172</v>
      </c>
      <c r="B3466" t="s">
        <v>5161</v>
      </c>
      <c r="C3466" t="s">
        <v>378</v>
      </c>
      <c r="D3466" t="s">
        <v>8701</v>
      </c>
      <c r="E3466">
        <v>36</v>
      </c>
      <c r="F3466" t="s">
        <v>5163</v>
      </c>
      <c r="G3466" t="s">
        <v>5169</v>
      </c>
    </row>
    <row r="3467" spans="1:7" hidden="1">
      <c r="A3467" s="5" t="s">
        <v>5140</v>
      </c>
      <c r="B3467" t="s">
        <v>5161</v>
      </c>
      <c r="C3467" t="s">
        <v>378</v>
      </c>
      <c r="D3467" t="s">
        <v>8702</v>
      </c>
      <c r="E3467">
        <v>26</v>
      </c>
      <c r="F3467" t="s">
        <v>5163</v>
      </c>
      <c r="G3467" t="s">
        <v>5169</v>
      </c>
    </row>
    <row r="3468" spans="1:7" hidden="1">
      <c r="A3468" s="5" t="s">
        <v>8703</v>
      </c>
      <c r="B3468" t="s">
        <v>5161</v>
      </c>
      <c r="C3468" t="s">
        <v>378</v>
      </c>
      <c r="D3468" t="s">
        <v>8704</v>
      </c>
      <c r="E3468">
        <v>18</v>
      </c>
      <c r="F3468" t="s">
        <v>5172</v>
      </c>
      <c r="G3468" t="s">
        <v>5164</v>
      </c>
    </row>
    <row r="3469" spans="1:7" hidden="1">
      <c r="A3469" s="5" t="s">
        <v>8703</v>
      </c>
      <c r="B3469" t="s">
        <v>5161</v>
      </c>
      <c r="C3469" t="s">
        <v>378</v>
      </c>
      <c r="D3469" t="s">
        <v>8705</v>
      </c>
      <c r="E3469">
        <v>25</v>
      </c>
      <c r="F3469" t="s">
        <v>5163</v>
      </c>
      <c r="G3469" t="s">
        <v>5164</v>
      </c>
    </row>
    <row r="3470" spans="1:7" hidden="1">
      <c r="A3470" s="5" t="s">
        <v>8703</v>
      </c>
      <c r="B3470" t="s">
        <v>5161</v>
      </c>
      <c r="C3470" t="s">
        <v>378</v>
      </c>
      <c r="D3470" t="s">
        <v>8706</v>
      </c>
      <c r="E3470" t="s">
        <v>5182</v>
      </c>
      <c r="F3470" t="s">
        <v>5163</v>
      </c>
      <c r="G3470" t="s">
        <v>5164</v>
      </c>
    </row>
    <row r="3471" spans="1:7" hidden="1">
      <c r="A3471" s="5" t="s">
        <v>8707</v>
      </c>
      <c r="B3471" t="s">
        <v>5161</v>
      </c>
      <c r="C3471" t="s">
        <v>378</v>
      </c>
      <c r="D3471" t="s">
        <v>8708</v>
      </c>
      <c r="E3471">
        <v>34</v>
      </c>
      <c r="F3471" t="s">
        <v>5163</v>
      </c>
      <c r="G3471" t="s">
        <v>5164</v>
      </c>
    </row>
    <row r="3472" spans="1:7" hidden="1">
      <c r="A3472" s="5" t="s">
        <v>4308</v>
      </c>
      <c r="B3472" t="s">
        <v>5161</v>
      </c>
      <c r="C3472" t="s">
        <v>378</v>
      </c>
      <c r="D3472" t="s">
        <v>8709</v>
      </c>
      <c r="E3472">
        <v>25</v>
      </c>
      <c r="F3472" t="s">
        <v>5163</v>
      </c>
      <c r="G3472" t="s">
        <v>1905</v>
      </c>
    </row>
    <row r="3473" spans="1:7" hidden="1">
      <c r="A3473" s="5" t="s">
        <v>5142</v>
      </c>
      <c r="B3473" t="s">
        <v>5161</v>
      </c>
      <c r="C3473" t="s">
        <v>378</v>
      </c>
      <c r="D3473" t="s">
        <v>8710</v>
      </c>
      <c r="E3473">
        <v>24</v>
      </c>
      <c r="F3473" t="s">
        <v>5172</v>
      </c>
      <c r="G3473" t="s">
        <v>1905</v>
      </c>
    </row>
    <row r="3474" spans="1:7" hidden="1">
      <c r="A3474" s="5" t="s">
        <v>3900</v>
      </c>
      <c r="B3474" t="s">
        <v>5161</v>
      </c>
      <c r="C3474" t="s">
        <v>378</v>
      </c>
      <c r="D3474" t="s">
        <v>8711</v>
      </c>
      <c r="E3474">
        <v>23</v>
      </c>
      <c r="F3474" t="s">
        <v>5163</v>
      </c>
      <c r="G3474" t="s">
        <v>5164</v>
      </c>
    </row>
    <row r="3475" spans="1:7" hidden="1">
      <c r="A3475" s="5" t="s">
        <v>5143</v>
      </c>
      <c r="B3475" t="s">
        <v>5161</v>
      </c>
      <c r="C3475" t="s">
        <v>378</v>
      </c>
      <c r="D3475" t="s">
        <v>8712</v>
      </c>
      <c r="E3475">
        <v>29</v>
      </c>
      <c r="F3475" t="s">
        <v>5163</v>
      </c>
      <c r="G3475" t="s">
        <v>1905</v>
      </c>
    </row>
    <row r="3476" spans="1:7" hidden="1">
      <c r="A3476" s="5" t="s">
        <v>5144</v>
      </c>
      <c r="B3476" t="s">
        <v>5161</v>
      </c>
      <c r="C3476" t="s">
        <v>378</v>
      </c>
      <c r="D3476" t="s">
        <v>8713</v>
      </c>
      <c r="E3476">
        <v>19</v>
      </c>
      <c r="F3476" t="s">
        <v>5163</v>
      </c>
      <c r="G3476" t="s">
        <v>5169</v>
      </c>
    </row>
    <row r="3477" spans="1:7" hidden="1">
      <c r="A3477" s="5" t="s">
        <v>3757</v>
      </c>
      <c r="B3477" t="s">
        <v>5161</v>
      </c>
      <c r="C3477" t="s">
        <v>378</v>
      </c>
      <c r="D3477" t="s">
        <v>8714</v>
      </c>
      <c r="E3477">
        <v>44</v>
      </c>
      <c r="F3477" t="s">
        <v>5163</v>
      </c>
      <c r="G3477" t="s">
        <v>1905</v>
      </c>
    </row>
    <row r="3478" spans="1:7" hidden="1">
      <c r="A3478" s="5" t="s">
        <v>5146</v>
      </c>
      <c r="B3478" t="s">
        <v>5161</v>
      </c>
      <c r="C3478" t="s">
        <v>378</v>
      </c>
      <c r="D3478" t="s">
        <v>8715</v>
      </c>
      <c r="E3478">
        <v>19</v>
      </c>
      <c r="F3478" t="s">
        <v>5163</v>
      </c>
      <c r="G3478" t="s">
        <v>1905</v>
      </c>
    </row>
    <row r="3479" spans="1:7" hidden="1">
      <c r="A3479" s="5" t="s">
        <v>5147</v>
      </c>
      <c r="B3479" t="s">
        <v>5161</v>
      </c>
      <c r="C3479" t="s">
        <v>378</v>
      </c>
      <c r="D3479" t="s">
        <v>8716</v>
      </c>
      <c r="E3479">
        <v>20</v>
      </c>
      <c r="F3479" t="s">
        <v>5163</v>
      </c>
      <c r="G3479" t="s">
        <v>5164</v>
      </c>
    </row>
    <row r="3480" spans="1:7" hidden="1">
      <c r="A3480" s="5" t="s">
        <v>5147</v>
      </c>
      <c r="B3480" t="s">
        <v>5161</v>
      </c>
      <c r="C3480" t="s">
        <v>378</v>
      </c>
      <c r="D3480" t="s">
        <v>8717</v>
      </c>
      <c r="E3480">
        <v>33</v>
      </c>
      <c r="F3480" t="s">
        <v>5163</v>
      </c>
      <c r="G3480" t="s">
        <v>5169</v>
      </c>
    </row>
    <row r="3481" spans="1:7" hidden="1">
      <c r="A3481" s="5" t="s">
        <v>2759</v>
      </c>
      <c r="B3481" t="s">
        <v>5161</v>
      </c>
      <c r="C3481" t="s">
        <v>378</v>
      </c>
      <c r="D3481" t="s">
        <v>8718</v>
      </c>
      <c r="E3481">
        <v>19</v>
      </c>
      <c r="F3481" t="s">
        <v>5163</v>
      </c>
      <c r="G3481" t="s">
        <v>5182</v>
      </c>
    </row>
    <row r="3482" spans="1:7" hidden="1">
      <c r="A3482" s="5" t="s">
        <v>4005</v>
      </c>
      <c r="B3482" t="s">
        <v>5161</v>
      </c>
      <c r="C3482" t="s">
        <v>378</v>
      </c>
      <c r="D3482" t="s">
        <v>8719</v>
      </c>
      <c r="E3482">
        <v>22</v>
      </c>
      <c r="F3482" t="s">
        <v>5163</v>
      </c>
      <c r="G3482" t="s">
        <v>5164</v>
      </c>
    </row>
    <row r="3483" spans="1:7" hidden="1">
      <c r="A3483" s="5" t="s">
        <v>3360</v>
      </c>
      <c r="B3483" t="s">
        <v>5161</v>
      </c>
      <c r="C3483" t="s">
        <v>378</v>
      </c>
      <c r="D3483" t="s">
        <v>8720</v>
      </c>
      <c r="E3483">
        <v>41</v>
      </c>
      <c r="F3483" t="s">
        <v>5163</v>
      </c>
      <c r="G3483" t="s">
        <v>5164</v>
      </c>
    </row>
    <row r="3484" spans="1:7" hidden="1">
      <c r="A3484" s="5" t="s">
        <v>5148</v>
      </c>
      <c r="B3484" t="s">
        <v>5161</v>
      </c>
      <c r="C3484" t="s">
        <v>378</v>
      </c>
      <c r="D3484" t="s">
        <v>8721</v>
      </c>
      <c r="E3484">
        <v>24</v>
      </c>
      <c r="F3484" t="s">
        <v>5163</v>
      </c>
      <c r="G3484" t="s">
        <v>5164</v>
      </c>
    </row>
    <row r="3485" spans="1:7" hidden="1">
      <c r="A3485" s="5" t="s">
        <v>8722</v>
      </c>
      <c r="B3485" t="s">
        <v>5161</v>
      </c>
      <c r="C3485" t="s">
        <v>378</v>
      </c>
      <c r="D3485" t="s">
        <v>8723</v>
      </c>
      <c r="E3485">
        <v>31</v>
      </c>
      <c r="F3485" t="s">
        <v>5163</v>
      </c>
      <c r="G3485" t="s">
        <v>5169</v>
      </c>
    </row>
    <row r="3486" spans="1:7" hidden="1">
      <c r="A3486" s="5" t="s">
        <v>8722</v>
      </c>
      <c r="B3486" t="s">
        <v>5161</v>
      </c>
      <c r="C3486" t="s">
        <v>378</v>
      </c>
      <c r="D3486" t="s">
        <v>893</v>
      </c>
      <c r="E3486">
        <v>19</v>
      </c>
      <c r="F3486" t="s">
        <v>5163</v>
      </c>
      <c r="G3486" t="s">
        <v>5164</v>
      </c>
    </row>
    <row r="3487" spans="1:7" hidden="1">
      <c r="A3487" s="5" t="s">
        <v>2716</v>
      </c>
      <c r="B3487" t="s">
        <v>5161</v>
      </c>
      <c r="C3487" t="s">
        <v>378</v>
      </c>
      <c r="D3487" t="s">
        <v>8724</v>
      </c>
      <c r="E3487">
        <v>21</v>
      </c>
      <c r="F3487" t="s">
        <v>5163</v>
      </c>
      <c r="G3487" t="s">
        <v>5164</v>
      </c>
    </row>
    <row r="3488" spans="1:7" hidden="1">
      <c r="A3488" s="5" t="s">
        <v>5149</v>
      </c>
      <c r="B3488" t="s">
        <v>5161</v>
      </c>
      <c r="C3488" t="s">
        <v>378</v>
      </c>
      <c r="D3488" t="s">
        <v>8725</v>
      </c>
      <c r="E3488">
        <v>24</v>
      </c>
      <c r="F3488" t="s">
        <v>5163</v>
      </c>
      <c r="G3488" t="s">
        <v>1905</v>
      </c>
    </row>
    <row r="3489" spans="1:7" hidden="1">
      <c r="A3489" s="5" t="s">
        <v>5151</v>
      </c>
      <c r="B3489" t="s">
        <v>5161</v>
      </c>
      <c r="C3489" t="s">
        <v>378</v>
      </c>
      <c r="D3489" t="s">
        <v>8726</v>
      </c>
      <c r="E3489">
        <v>24</v>
      </c>
      <c r="F3489" t="s">
        <v>5163</v>
      </c>
      <c r="G3489" t="s">
        <v>1905</v>
      </c>
    </row>
    <row r="3490" spans="1:7" hidden="1">
      <c r="A3490" s="5" t="s">
        <v>5151</v>
      </c>
      <c r="B3490" t="s">
        <v>5161</v>
      </c>
      <c r="C3490" t="s">
        <v>378</v>
      </c>
      <c r="D3490" t="s">
        <v>8727</v>
      </c>
      <c r="E3490">
        <v>22</v>
      </c>
      <c r="F3490" t="s">
        <v>5163</v>
      </c>
      <c r="G3490" t="s">
        <v>5164</v>
      </c>
    </row>
    <row r="3491" spans="1:7" hidden="1">
      <c r="A3491" s="5" t="s">
        <v>4115</v>
      </c>
      <c r="B3491" t="s">
        <v>5161</v>
      </c>
      <c r="C3491" t="s">
        <v>378</v>
      </c>
      <c r="D3491" t="s">
        <v>8728</v>
      </c>
      <c r="E3491">
        <v>23</v>
      </c>
      <c r="F3491" t="s">
        <v>5163</v>
      </c>
      <c r="G3491" t="s">
        <v>1905</v>
      </c>
    </row>
    <row r="3492" spans="1:7" hidden="1">
      <c r="A3492" s="5" t="s">
        <v>2738</v>
      </c>
      <c r="B3492" t="s">
        <v>5161</v>
      </c>
      <c r="C3492" t="s">
        <v>378</v>
      </c>
      <c r="D3492" t="s">
        <v>8729</v>
      </c>
      <c r="E3492">
        <v>21</v>
      </c>
      <c r="F3492" t="s">
        <v>5172</v>
      </c>
      <c r="G3492" t="s">
        <v>5164</v>
      </c>
    </row>
    <row r="3493" spans="1:7" hidden="1">
      <c r="A3493" s="5" t="s">
        <v>3509</v>
      </c>
      <c r="B3493" t="s">
        <v>5161</v>
      </c>
      <c r="C3493" t="s">
        <v>378</v>
      </c>
      <c r="D3493" t="s">
        <v>992</v>
      </c>
      <c r="E3493">
        <v>34</v>
      </c>
      <c r="F3493" t="s">
        <v>5163</v>
      </c>
      <c r="G3493" t="s">
        <v>1905</v>
      </c>
    </row>
    <row r="3494" spans="1:7" hidden="1">
      <c r="A3494" s="5" t="s">
        <v>4206</v>
      </c>
      <c r="B3494" t="s">
        <v>5161</v>
      </c>
      <c r="C3494" t="s">
        <v>392</v>
      </c>
      <c r="D3494" t="s">
        <v>8730</v>
      </c>
      <c r="E3494">
        <v>22</v>
      </c>
      <c r="F3494" t="s">
        <v>5163</v>
      </c>
      <c r="G3494" t="s">
        <v>1905</v>
      </c>
    </row>
    <row r="3495" spans="1:7" hidden="1">
      <c r="A3495" s="5" t="s">
        <v>3876</v>
      </c>
      <c r="B3495" t="s">
        <v>5161</v>
      </c>
      <c r="C3495" t="s">
        <v>392</v>
      </c>
      <c r="D3495" t="s">
        <v>8731</v>
      </c>
      <c r="E3495">
        <v>18</v>
      </c>
      <c r="F3495" t="s">
        <v>5163</v>
      </c>
      <c r="G3495" t="s">
        <v>5169</v>
      </c>
    </row>
    <row r="3496" spans="1:7" hidden="1">
      <c r="A3496" s="5" t="s">
        <v>379</v>
      </c>
      <c r="B3496" t="s">
        <v>5161</v>
      </c>
      <c r="C3496" t="s">
        <v>392</v>
      </c>
      <c r="D3496" t="s">
        <v>897</v>
      </c>
      <c r="E3496">
        <v>29</v>
      </c>
      <c r="F3496" t="s">
        <v>5163</v>
      </c>
      <c r="G3496" t="s">
        <v>5164</v>
      </c>
    </row>
    <row r="3497" spans="1:7" hidden="1">
      <c r="A3497" s="5" t="s">
        <v>4273</v>
      </c>
      <c r="B3497" t="s">
        <v>5161</v>
      </c>
      <c r="C3497" t="s">
        <v>392</v>
      </c>
      <c r="D3497" t="s">
        <v>8732</v>
      </c>
      <c r="E3497">
        <v>34</v>
      </c>
      <c r="F3497" t="s">
        <v>5163</v>
      </c>
      <c r="G3497" t="s">
        <v>5164</v>
      </c>
    </row>
    <row r="3498" spans="1:7" hidden="1">
      <c r="A3498" s="5" t="s">
        <v>4140</v>
      </c>
      <c r="B3498" t="s">
        <v>5161</v>
      </c>
      <c r="C3498" t="s">
        <v>392</v>
      </c>
      <c r="D3498" t="s">
        <v>8733</v>
      </c>
      <c r="E3498">
        <v>46</v>
      </c>
      <c r="F3498" t="s">
        <v>5163</v>
      </c>
      <c r="G3498" t="s">
        <v>5164</v>
      </c>
    </row>
    <row r="3499" spans="1:7" hidden="1">
      <c r="A3499" s="5" t="s">
        <v>4157</v>
      </c>
      <c r="B3499" t="s">
        <v>5161</v>
      </c>
      <c r="C3499" t="s">
        <v>392</v>
      </c>
      <c r="D3499" t="s">
        <v>8734</v>
      </c>
      <c r="E3499">
        <v>26</v>
      </c>
      <c r="F3499" t="s">
        <v>5163</v>
      </c>
      <c r="G3499" t="s">
        <v>5164</v>
      </c>
    </row>
    <row r="3500" spans="1:7" hidden="1">
      <c r="A3500" s="5" t="s">
        <v>3678</v>
      </c>
      <c r="B3500" t="s">
        <v>5161</v>
      </c>
      <c r="C3500" t="s">
        <v>392</v>
      </c>
      <c r="D3500" t="s">
        <v>8735</v>
      </c>
      <c r="E3500">
        <v>22</v>
      </c>
      <c r="F3500" t="s">
        <v>5163</v>
      </c>
      <c r="G3500" t="s">
        <v>5164</v>
      </c>
    </row>
    <row r="3501" spans="1:7" hidden="1">
      <c r="A3501" s="5" t="s">
        <v>3505</v>
      </c>
      <c r="B3501" t="s">
        <v>5161</v>
      </c>
      <c r="C3501" t="s">
        <v>392</v>
      </c>
      <c r="D3501" t="s">
        <v>8736</v>
      </c>
      <c r="E3501">
        <v>31</v>
      </c>
      <c r="F3501" t="s">
        <v>5163</v>
      </c>
      <c r="G3501" t="s">
        <v>5169</v>
      </c>
    </row>
    <row r="3502" spans="1:7" hidden="1">
      <c r="A3502" s="5" t="s">
        <v>4415</v>
      </c>
      <c r="B3502" t="s">
        <v>5161</v>
      </c>
      <c r="C3502" t="s">
        <v>392</v>
      </c>
      <c r="D3502" t="s">
        <v>8737</v>
      </c>
      <c r="E3502">
        <v>37</v>
      </c>
      <c r="F3502" t="s">
        <v>5163</v>
      </c>
      <c r="G3502" t="s">
        <v>1905</v>
      </c>
    </row>
    <row r="3503" spans="1:7" hidden="1">
      <c r="A3503" s="5" t="s">
        <v>2745</v>
      </c>
      <c r="B3503" t="s">
        <v>5161</v>
      </c>
      <c r="C3503" t="s">
        <v>392</v>
      </c>
      <c r="D3503" t="s">
        <v>8738</v>
      </c>
      <c r="E3503">
        <v>18</v>
      </c>
      <c r="F3503" t="s">
        <v>5163</v>
      </c>
      <c r="G3503" t="s">
        <v>1905</v>
      </c>
    </row>
    <row r="3504" spans="1:7" hidden="1">
      <c r="A3504" s="5" t="s">
        <v>2745</v>
      </c>
      <c r="B3504" t="s">
        <v>5161</v>
      </c>
      <c r="C3504" t="s">
        <v>392</v>
      </c>
      <c r="D3504" t="s">
        <v>8739</v>
      </c>
      <c r="E3504">
        <v>20</v>
      </c>
      <c r="F3504" t="s">
        <v>5172</v>
      </c>
      <c r="G3504" t="s">
        <v>1905</v>
      </c>
    </row>
    <row r="3505" spans="1:7" hidden="1">
      <c r="A3505" s="5" t="s">
        <v>3350</v>
      </c>
      <c r="B3505" t="s">
        <v>5161</v>
      </c>
      <c r="C3505" t="s">
        <v>392</v>
      </c>
      <c r="D3505" t="s">
        <v>8740</v>
      </c>
      <c r="E3505">
        <v>20</v>
      </c>
      <c r="F3505" t="s">
        <v>5163</v>
      </c>
      <c r="G3505" t="s">
        <v>1905</v>
      </c>
    </row>
    <row r="3506" spans="1:7" hidden="1">
      <c r="A3506" s="5" t="s">
        <v>3544</v>
      </c>
      <c r="B3506" t="s">
        <v>5161</v>
      </c>
      <c r="C3506" t="s">
        <v>392</v>
      </c>
      <c r="D3506" t="s">
        <v>8741</v>
      </c>
      <c r="E3506">
        <v>19</v>
      </c>
      <c r="F3506" t="s">
        <v>5163</v>
      </c>
      <c r="G3506" t="s">
        <v>1905</v>
      </c>
    </row>
    <row r="3507" spans="1:7" hidden="1">
      <c r="A3507" s="5" t="s">
        <v>3544</v>
      </c>
      <c r="B3507" t="s">
        <v>5161</v>
      </c>
      <c r="C3507" t="s">
        <v>392</v>
      </c>
      <c r="D3507" t="s">
        <v>8742</v>
      </c>
      <c r="E3507">
        <v>48</v>
      </c>
      <c r="F3507" t="s">
        <v>5163</v>
      </c>
      <c r="G3507" t="s">
        <v>5169</v>
      </c>
    </row>
    <row r="3508" spans="1:7" hidden="1">
      <c r="A3508" s="5" t="s">
        <v>3005</v>
      </c>
      <c r="B3508" t="s">
        <v>5161</v>
      </c>
      <c r="C3508" t="s">
        <v>392</v>
      </c>
      <c r="D3508" t="s">
        <v>8743</v>
      </c>
      <c r="E3508">
        <v>20</v>
      </c>
      <c r="F3508" t="s">
        <v>5163</v>
      </c>
      <c r="G3508" t="s">
        <v>5164</v>
      </c>
    </row>
    <row r="3509" spans="1:7" hidden="1">
      <c r="A3509" s="5" t="s">
        <v>4367</v>
      </c>
      <c r="B3509" t="s">
        <v>5161</v>
      </c>
      <c r="C3509" t="s">
        <v>392</v>
      </c>
      <c r="D3509" t="s">
        <v>8744</v>
      </c>
      <c r="E3509">
        <v>26</v>
      </c>
      <c r="F3509" t="s">
        <v>5163</v>
      </c>
      <c r="G3509" t="s">
        <v>5169</v>
      </c>
    </row>
    <row r="3510" spans="1:7" hidden="1">
      <c r="A3510" s="5" t="s">
        <v>3802</v>
      </c>
      <c r="B3510" t="s">
        <v>5161</v>
      </c>
      <c r="C3510" t="s">
        <v>392</v>
      </c>
      <c r="D3510" t="s">
        <v>8745</v>
      </c>
      <c r="E3510">
        <v>29</v>
      </c>
      <c r="F3510" t="s">
        <v>5163</v>
      </c>
      <c r="G3510" t="s">
        <v>1905</v>
      </c>
    </row>
    <row r="3511" spans="1:7" hidden="1">
      <c r="A3511" s="5" t="s">
        <v>3571</v>
      </c>
      <c r="B3511" t="s">
        <v>5161</v>
      </c>
      <c r="C3511" t="s">
        <v>392</v>
      </c>
      <c r="D3511" t="s">
        <v>8746</v>
      </c>
      <c r="E3511">
        <v>21</v>
      </c>
      <c r="F3511" t="s">
        <v>5163</v>
      </c>
      <c r="G3511" t="s">
        <v>5164</v>
      </c>
    </row>
    <row r="3512" spans="1:7" hidden="1">
      <c r="A3512" s="5" t="s">
        <v>389</v>
      </c>
      <c r="B3512" t="s">
        <v>5161</v>
      </c>
      <c r="C3512" t="s">
        <v>392</v>
      </c>
      <c r="D3512" t="s">
        <v>915</v>
      </c>
      <c r="E3512">
        <v>29</v>
      </c>
      <c r="F3512" t="s">
        <v>5163</v>
      </c>
      <c r="G3512" t="s">
        <v>5164</v>
      </c>
    </row>
    <row r="3513" spans="1:7" hidden="1">
      <c r="A3513" s="5" t="s">
        <v>3358</v>
      </c>
      <c r="B3513" t="s">
        <v>5161</v>
      </c>
      <c r="C3513" t="s">
        <v>392</v>
      </c>
      <c r="D3513" t="s">
        <v>8747</v>
      </c>
      <c r="E3513">
        <v>20</v>
      </c>
      <c r="F3513" t="s">
        <v>5163</v>
      </c>
      <c r="G3513" t="s">
        <v>1905</v>
      </c>
    </row>
    <row r="3514" spans="1:7" hidden="1">
      <c r="A3514" s="5" t="s">
        <v>3358</v>
      </c>
      <c r="B3514" t="s">
        <v>5161</v>
      </c>
      <c r="C3514" t="s">
        <v>392</v>
      </c>
      <c r="D3514" t="s">
        <v>8748</v>
      </c>
      <c r="E3514">
        <v>18</v>
      </c>
      <c r="F3514" t="s">
        <v>5163</v>
      </c>
      <c r="G3514" t="s">
        <v>1905</v>
      </c>
    </row>
    <row r="3515" spans="1:7" hidden="1">
      <c r="A3515" s="5" t="s">
        <v>3358</v>
      </c>
      <c r="B3515" t="s">
        <v>5161</v>
      </c>
      <c r="C3515" t="s">
        <v>392</v>
      </c>
      <c r="D3515" t="s">
        <v>8749</v>
      </c>
      <c r="E3515">
        <v>21</v>
      </c>
      <c r="F3515" t="s">
        <v>5163</v>
      </c>
      <c r="G3515" t="s">
        <v>5164</v>
      </c>
    </row>
    <row r="3516" spans="1:7" hidden="1">
      <c r="A3516" s="5" t="s">
        <v>2601</v>
      </c>
      <c r="B3516" t="s">
        <v>5161</v>
      </c>
      <c r="C3516" t="s">
        <v>392</v>
      </c>
      <c r="D3516" t="s">
        <v>8750</v>
      </c>
      <c r="E3516">
        <v>29</v>
      </c>
      <c r="F3516" t="s">
        <v>5163</v>
      </c>
      <c r="G3516" t="s">
        <v>5164</v>
      </c>
    </row>
    <row r="3517" spans="1:7" hidden="1">
      <c r="A3517" s="5" t="s">
        <v>4357</v>
      </c>
      <c r="B3517" t="s">
        <v>5161</v>
      </c>
      <c r="C3517" t="s">
        <v>392</v>
      </c>
      <c r="D3517" t="s">
        <v>8751</v>
      </c>
      <c r="E3517">
        <v>25</v>
      </c>
      <c r="F3517" t="s">
        <v>5163</v>
      </c>
      <c r="G3517" t="s">
        <v>1905</v>
      </c>
    </row>
    <row r="3518" spans="1:7" hidden="1">
      <c r="A3518" s="5" t="s">
        <v>2570</v>
      </c>
      <c r="B3518" t="s">
        <v>5161</v>
      </c>
      <c r="C3518" t="s">
        <v>392</v>
      </c>
      <c r="D3518" t="s">
        <v>8752</v>
      </c>
      <c r="E3518">
        <v>32</v>
      </c>
      <c r="F3518" t="s">
        <v>5163</v>
      </c>
      <c r="G3518" t="s">
        <v>5164</v>
      </c>
    </row>
    <row r="3519" spans="1:7" hidden="1">
      <c r="A3519" s="5" t="s">
        <v>2570</v>
      </c>
      <c r="B3519" t="s">
        <v>5161</v>
      </c>
      <c r="C3519" t="s">
        <v>392</v>
      </c>
      <c r="D3519" t="s">
        <v>8753</v>
      </c>
      <c r="E3519">
        <v>29</v>
      </c>
      <c r="F3519" t="s">
        <v>5172</v>
      </c>
      <c r="G3519" t="s">
        <v>1905</v>
      </c>
    </row>
    <row r="3520" spans="1:7" hidden="1">
      <c r="A3520" s="5" t="s">
        <v>4207</v>
      </c>
      <c r="B3520" t="s">
        <v>5161</v>
      </c>
      <c r="C3520" t="s">
        <v>392</v>
      </c>
      <c r="D3520" t="s">
        <v>8754</v>
      </c>
      <c r="E3520">
        <v>41</v>
      </c>
      <c r="F3520" t="s">
        <v>5163</v>
      </c>
      <c r="G3520" t="s">
        <v>5164</v>
      </c>
    </row>
    <row r="3521" spans="1:7" hidden="1">
      <c r="A3521" s="5" t="s">
        <v>3042</v>
      </c>
      <c r="B3521" t="s">
        <v>5161</v>
      </c>
      <c r="C3521" t="s">
        <v>392</v>
      </c>
      <c r="D3521" t="s">
        <v>8755</v>
      </c>
      <c r="E3521">
        <v>32</v>
      </c>
      <c r="F3521" t="s">
        <v>5163</v>
      </c>
      <c r="G3521" t="s">
        <v>1905</v>
      </c>
    </row>
    <row r="3522" spans="1:7" hidden="1">
      <c r="A3522" s="5" t="s">
        <v>2119</v>
      </c>
      <c r="B3522" t="s">
        <v>5161</v>
      </c>
      <c r="C3522" t="s">
        <v>392</v>
      </c>
      <c r="D3522" t="s">
        <v>8756</v>
      </c>
      <c r="E3522">
        <v>20</v>
      </c>
      <c r="F3522" t="s">
        <v>5163</v>
      </c>
      <c r="G3522" t="s">
        <v>5169</v>
      </c>
    </row>
    <row r="3523" spans="1:7" hidden="1">
      <c r="A3523" s="5" t="s">
        <v>4311</v>
      </c>
      <c r="B3523" t="s">
        <v>5161</v>
      </c>
      <c r="C3523" t="s">
        <v>392</v>
      </c>
      <c r="D3523" t="s">
        <v>8757</v>
      </c>
      <c r="E3523">
        <v>34</v>
      </c>
      <c r="F3523" t="s">
        <v>5172</v>
      </c>
      <c r="G3523" t="s">
        <v>1905</v>
      </c>
    </row>
    <row r="3524" spans="1:7" hidden="1">
      <c r="A3524" s="5" t="s">
        <v>3933</v>
      </c>
      <c r="B3524" t="s">
        <v>5161</v>
      </c>
      <c r="C3524" t="s">
        <v>392</v>
      </c>
      <c r="D3524" t="s">
        <v>8758</v>
      </c>
      <c r="E3524">
        <v>23</v>
      </c>
      <c r="F3524" t="s">
        <v>5163</v>
      </c>
      <c r="G3524" t="s">
        <v>5164</v>
      </c>
    </row>
    <row r="3525" spans="1:7" hidden="1">
      <c r="A3525" s="5" t="s">
        <v>4350</v>
      </c>
      <c r="B3525" t="s">
        <v>5161</v>
      </c>
      <c r="C3525" t="s">
        <v>392</v>
      </c>
      <c r="D3525" t="s">
        <v>8759</v>
      </c>
      <c r="E3525">
        <v>30</v>
      </c>
      <c r="F3525" t="s">
        <v>5163</v>
      </c>
      <c r="G3525" t="s">
        <v>5164</v>
      </c>
    </row>
    <row r="3526" spans="1:7" hidden="1">
      <c r="A3526" s="5" t="s">
        <v>4088</v>
      </c>
      <c r="B3526" t="s">
        <v>5161</v>
      </c>
      <c r="C3526" t="s">
        <v>392</v>
      </c>
      <c r="D3526" t="s">
        <v>8760</v>
      </c>
      <c r="E3526">
        <v>25</v>
      </c>
      <c r="F3526" t="s">
        <v>5163</v>
      </c>
      <c r="G3526" t="s">
        <v>5169</v>
      </c>
    </row>
    <row r="3527" spans="1:7" hidden="1">
      <c r="A3527" s="5" t="s">
        <v>380</v>
      </c>
      <c r="B3527" t="s">
        <v>5161</v>
      </c>
      <c r="C3527" t="s">
        <v>392</v>
      </c>
      <c r="D3527" t="s">
        <v>8761</v>
      </c>
      <c r="E3527">
        <v>18</v>
      </c>
      <c r="F3527" t="s">
        <v>5163</v>
      </c>
      <c r="G3527" t="s">
        <v>5164</v>
      </c>
    </row>
    <row r="3528" spans="1:7" hidden="1">
      <c r="A3528" s="5" t="s">
        <v>380</v>
      </c>
      <c r="B3528" t="s">
        <v>5161</v>
      </c>
      <c r="C3528" t="s">
        <v>392</v>
      </c>
      <c r="D3528" t="s">
        <v>8762</v>
      </c>
      <c r="E3528">
        <v>21</v>
      </c>
      <c r="F3528" t="s">
        <v>5163</v>
      </c>
      <c r="G3528" t="s">
        <v>5164</v>
      </c>
    </row>
    <row r="3529" spans="1:7" hidden="1">
      <c r="A3529" s="5" t="s">
        <v>4680</v>
      </c>
      <c r="B3529" t="s">
        <v>5161</v>
      </c>
      <c r="C3529" t="s">
        <v>392</v>
      </c>
      <c r="D3529" t="s">
        <v>8763</v>
      </c>
      <c r="E3529">
        <v>19</v>
      </c>
      <c r="F3529" t="s">
        <v>5163</v>
      </c>
      <c r="G3529" t="s">
        <v>5164</v>
      </c>
    </row>
    <row r="3530" spans="1:7" hidden="1">
      <c r="A3530" s="5" t="s">
        <v>3468</v>
      </c>
      <c r="B3530" t="s">
        <v>5161</v>
      </c>
      <c r="C3530" t="s">
        <v>392</v>
      </c>
      <c r="D3530" t="s">
        <v>8764</v>
      </c>
      <c r="E3530">
        <v>39</v>
      </c>
      <c r="F3530" t="s">
        <v>5163</v>
      </c>
      <c r="G3530" t="s">
        <v>5164</v>
      </c>
    </row>
    <row r="3531" spans="1:7" hidden="1">
      <c r="A3531" s="5" t="s">
        <v>3464</v>
      </c>
      <c r="B3531" t="s">
        <v>5161</v>
      </c>
      <c r="C3531" t="s">
        <v>392</v>
      </c>
      <c r="D3531" t="s">
        <v>8765</v>
      </c>
      <c r="E3531">
        <v>18</v>
      </c>
      <c r="F3531" t="s">
        <v>5163</v>
      </c>
      <c r="G3531" t="s">
        <v>5169</v>
      </c>
    </row>
    <row r="3532" spans="1:7" hidden="1">
      <c r="A3532" s="5" t="s">
        <v>3948</v>
      </c>
      <c r="B3532" t="s">
        <v>5161</v>
      </c>
      <c r="C3532" t="s">
        <v>392</v>
      </c>
      <c r="D3532" t="s">
        <v>8766</v>
      </c>
      <c r="E3532">
        <v>21</v>
      </c>
      <c r="F3532" t="s">
        <v>5163</v>
      </c>
      <c r="G3532" t="s">
        <v>1905</v>
      </c>
    </row>
    <row r="3533" spans="1:7" hidden="1">
      <c r="A3533" s="5" t="s">
        <v>3948</v>
      </c>
      <c r="B3533" t="s">
        <v>5161</v>
      </c>
      <c r="C3533" t="s">
        <v>392</v>
      </c>
      <c r="D3533" t="s">
        <v>8767</v>
      </c>
      <c r="E3533">
        <v>27</v>
      </c>
      <c r="F3533" t="s">
        <v>5163</v>
      </c>
      <c r="G3533" t="s">
        <v>1905</v>
      </c>
    </row>
    <row r="3534" spans="1:7" hidden="1">
      <c r="A3534" s="5" t="s">
        <v>2392</v>
      </c>
      <c r="B3534" t="s">
        <v>5161</v>
      </c>
      <c r="C3534" t="s">
        <v>392</v>
      </c>
      <c r="D3534" t="s">
        <v>7118</v>
      </c>
      <c r="E3534">
        <v>27</v>
      </c>
      <c r="F3534" t="s">
        <v>5163</v>
      </c>
      <c r="G3534" t="s">
        <v>5164</v>
      </c>
    </row>
    <row r="3535" spans="1:7" hidden="1">
      <c r="A3535" s="5" t="s">
        <v>4296</v>
      </c>
      <c r="B3535" t="s">
        <v>5161</v>
      </c>
      <c r="C3535" t="s">
        <v>392</v>
      </c>
      <c r="D3535" t="s">
        <v>8768</v>
      </c>
      <c r="E3535">
        <v>19</v>
      </c>
      <c r="F3535" t="s">
        <v>5163</v>
      </c>
      <c r="G3535" t="s">
        <v>1905</v>
      </c>
    </row>
    <row r="3536" spans="1:7" hidden="1">
      <c r="A3536" s="5" t="s">
        <v>4922</v>
      </c>
      <c r="B3536" t="s">
        <v>5161</v>
      </c>
      <c r="C3536" t="s">
        <v>392</v>
      </c>
      <c r="D3536" t="s">
        <v>8769</v>
      </c>
      <c r="E3536">
        <v>28</v>
      </c>
      <c r="F3536" t="s">
        <v>5163</v>
      </c>
      <c r="G3536" t="s">
        <v>5164</v>
      </c>
    </row>
    <row r="3537" spans="1:7" hidden="1">
      <c r="A3537" s="5" t="s">
        <v>4205</v>
      </c>
      <c r="B3537" t="s">
        <v>5161</v>
      </c>
      <c r="C3537" t="s">
        <v>392</v>
      </c>
      <c r="D3537" t="s">
        <v>8770</v>
      </c>
      <c r="E3537" t="s">
        <v>5182</v>
      </c>
      <c r="F3537" t="s">
        <v>5163</v>
      </c>
      <c r="G3537" t="s">
        <v>5182</v>
      </c>
    </row>
    <row r="3538" spans="1:7" hidden="1">
      <c r="A3538" s="5" t="s">
        <v>4205</v>
      </c>
      <c r="B3538" t="s">
        <v>5161</v>
      </c>
      <c r="C3538" t="s">
        <v>392</v>
      </c>
      <c r="D3538" t="s">
        <v>8771</v>
      </c>
      <c r="E3538">
        <v>48</v>
      </c>
      <c r="F3538" t="s">
        <v>5163</v>
      </c>
      <c r="G3538" t="s">
        <v>5182</v>
      </c>
    </row>
    <row r="3539" spans="1:7" hidden="1">
      <c r="A3539" s="5" t="s">
        <v>4205</v>
      </c>
      <c r="B3539" t="s">
        <v>5161</v>
      </c>
      <c r="C3539" t="s">
        <v>392</v>
      </c>
      <c r="D3539" t="s">
        <v>8772</v>
      </c>
      <c r="E3539">
        <v>29</v>
      </c>
      <c r="F3539" t="s">
        <v>5163</v>
      </c>
      <c r="G3539" t="s">
        <v>5182</v>
      </c>
    </row>
    <row r="3540" spans="1:7" hidden="1">
      <c r="A3540" s="5" t="s">
        <v>4205</v>
      </c>
      <c r="B3540" t="s">
        <v>5161</v>
      </c>
      <c r="C3540" t="s">
        <v>392</v>
      </c>
      <c r="D3540" t="s">
        <v>8773</v>
      </c>
      <c r="E3540">
        <v>21</v>
      </c>
      <c r="F3540" t="s">
        <v>5163</v>
      </c>
      <c r="G3540" t="s">
        <v>1905</v>
      </c>
    </row>
    <row r="3541" spans="1:7" hidden="1">
      <c r="A3541" s="5" t="s">
        <v>4205</v>
      </c>
      <c r="B3541" t="s">
        <v>5161</v>
      </c>
      <c r="C3541" t="s">
        <v>392</v>
      </c>
      <c r="D3541" t="s">
        <v>7071</v>
      </c>
      <c r="E3541">
        <v>27</v>
      </c>
      <c r="F3541" t="s">
        <v>5163</v>
      </c>
      <c r="G3541" t="s">
        <v>5164</v>
      </c>
    </row>
    <row r="3542" spans="1:7" hidden="1">
      <c r="A3542" s="5" t="s">
        <v>4205</v>
      </c>
      <c r="B3542" t="s">
        <v>5161</v>
      </c>
      <c r="C3542" t="s">
        <v>392</v>
      </c>
      <c r="D3542" t="s">
        <v>8774</v>
      </c>
      <c r="E3542">
        <v>41</v>
      </c>
      <c r="F3542" t="s">
        <v>5163</v>
      </c>
      <c r="G3542" t="s">
        <v>5182</v>
      </c>
    </row>
    <row r="3543" spans="1:7" hidden="1">
      <c r="A3543" s="5" t="s">
        <v>3808</v>
      </c>
      <c r="B3543" t="s">
        <v>5161</v>
      </c>
      <c r="C3543" t="s">
        <v>392</v>
      </c>
      <c r="D3543" t="s">
        <v>8775</v>
      </c>
      <c r="E3543">
        <v>34</v>
      </c>
      <c r="F3543" t="s">
        <v>5163</v>
      </c>
      <c r="G3543" t="s">
        <v>5169</v>
      </c>
    </row>
    <row r="3544" spans="1:7" hidden="1">
      <c r="A3544" s="5" t="s">
        <v>4126</v>
      </c>
      <c r="B3544" t="s">
        <v>5161</v>
      </c>
      <c r="C3544" t="s">
        <v>392</v>
      </c>
      <c r="D3544" t="s">
        <v>8776</v>
      </c>
      <c r="E3544">
        <v>20</v>
      </c>
      <c r="F3544" t="s">
        <v>5163</v>
      </c>
      <c r="G3544" t="s">
        <v>5164</v>
      </c>
    </row>
    <row r="3545" spans="1:7" hidden="1">
      <c r="A3545" s="5" t="s">
        <v>3912</v>
      </c>
      <c r="B3545" t="s">
        <v>5161</v>
      </c>
      <c r="C3545" t="s">
        <v>392</v>
      </c>
      <c r="D3545" t="s">
        <v>8777</v>
      </c>
      <c r="E3545">
        <v>25</v>
      </c>
      <c r="F3545" t="s">
        <v>5163</v>
      </c>
      <c r="G3545" t="s">
        <v>1905</v>
      </c>
    </row>
    <row r="3546" spans="1:7" hidden="1">
      <c r="A3546" s="5" t="s">
        <v>2893</v>
      </c>
      <c r="B3546" t="s">
        <v>5161</v>
      </c>
      <c r="C3546" t="s">
        <v>392</v>
      </c>
      <c r="D3546" t="s">
        <v>8778</v>
      </c>
      <c r="E3546">
        <v>27</v>
      </c>
      <c r="F3546" t="s">
        <v>5163</v>
      </c>
      <c r="G3546" t="s">
        <v>5169</v>
      </c>
    </row>
    <row r="3547" spans="1:7" hidden="1">
      <c r="A3547" s="5" t="s">
        <v>3955</v>
      </c>
      <c r="B3547" t="s">
        <v>5161</v>
      </c>
      <c r="C3547" t="s">
        <v>392</v>
      </c>
      <c r="D3547" t="s">
        <v>8779</v>
      </c>
      <c r="E3547">
        <v>40</v>
      </c>
      <c r="F3547" t="s">
        <v>5163</v>
      </c>
      <c r="G3547" t="s">
        <v>5169</v>
      </c>
    </row>
    <row r="3548" spans="1:7" hidden="1">
      <c r="A3548" s="5" t="s">
        <v>3835</v>
      </c>
      <c r="B3548" t="s">
        <v>5161</v>
      </c>
      <c r="C3548" t="s">
        <v>392</v>
      </c>
      <c r="D3548" t="s">
        <v>8780</v>
      </c>
      <c r="E3548">
        <v>32</v>
      </c>
      <c r="F3548" t="s">
        <v>5163</v>
      </c>
      <c r="G3548" t="s">
        <v>5164</v>
      </c>
    </row>
    <row r="3549" spans="1:7" hidden="1">
      <c r="A3549" s="5" t="s">
        <v>3197</v>
      </c>
      <c r="B3549" t="s">
        <v>5161</v>
      </c>
      <c r="C3549" t="s">
        <v>392</v>
      </c>
      <c r="D3549" t="s">
        <v>8781</v>
      </c>
      <c r="E3549">
        <v>37</v>
      </c>
      <c r="F3549" t="s">
        <v>5163</v>
      </c>
      <c r="G3549" t="s">
        <v>1905</v>
      </c>
    </row>
    <row r="3550" spans="1:7" hidden="1">
      <c r="A3550" s="5" t="s">
        <v>2884</v>
      </c>
      <c r="B3550" t="s">
        <v>5161</v>
      </c>
      <c r="C3550" t="s">
        <v>392</v>
      </c>
      <c r="D3550" t="s">
        <v>8782</v>
      </c>
      <c r="E3550">
        <v>55</v>
      </c>
      <c r="F3550" t="s">
        <v>5163</v>
      </c>
      <c r="G3550" t="s">
        <v>1905</v>
      </c>
    </row>
    <row r="3551" spans="1:7" hidden="1">
      <c r="A3551" s="5" t="s">
        <v>2566</v>
      </c>
      <c r="B3551" t="s">
        <v>5161</v>
      </c>
      <c r="C3551" t="s">
        <v>392</v>
      </c>
      <c r="D3551" t="s">
        <v>8783</v>
      </c>
      <c r="E3551">
        <v>32</v>
      </c>
      <c r="F3551" t="s">
        <v>5163</v>
      </c>
      <c r="G3551" t="s">
        <v>5164</v>
      </c>
    </row>
    <row r="3552" spans="1:7" hidden="1">
      <c r="A3552" s="5" t="s">
        <v>2124</v>
      </c>
      <c r="B3552" t="s">
        <v>5161</v>
      </c>
      <c r="C3552" t="s">
        <v>392</v>
      </c>
      <c r="D3552" t="s">
        <v>8784</v>
      </c>
      <c r="E3552">
        <v>38</v>
      </c>
      <c r="F3552" t="s">
        <v>5163</v>
      </c>
      <c r="G3552" t="s">
        <v>5164</v>
      </c>
    </row>
    <row r="3553" spans="1:7" hidden="1">
      <c r="A3553" s="5" t="s">
        <v>2513</v>
      </c>
      <c r="B3553" t="s">
        <v>5161</v>
      </c>
      <c r="C3553" t="s">
        <v>392</v>
      </c>
      <c r="D3553" t="s">
        <v>8785</v>
      </c>
      <c r="E3553">
        <v>22</v>
      </c>
      <c r="F3553" t="s">
        <v>5163</v>
      </c>
      <c r="G3553" t="s">
        <v>5164</v>
      </c>
    </row>
    <row r="3554" spans="1:7" hidden="1">
      <c r="A3554" s="5" t="s">
        <v>3416</v>
      </c>
      <c r="B3554" t="s">
        <v>5161</v>
      </c>
      <c r="C3554" t="s">
        <v>392</v>
      </c>
      <c r="D3554" t="s">
        <v>8786</v>
      </c>
      <c r="E3554">
        <v>18</v>
      </c>
      <c r="F3554" t="s">
        <v>5163</v>
      </c>
      <c r="G3554" t="s">
        <v>5164</v>
      </c>
    </row>
    <row r="3555" spans="1:7" hidden="1">
      <c r="A3555" s="5" t="s">
        <v>3280</v>
      </c>
      <c r="B3555" t="s">
        <v>5161</v>
      </c>
      <c r="C3555" t="s">
        <v>392</v>
      </c>
      <c r="D3555" t="s">
        <v>8787</v>
      </c>
      <c r="E3555">
        <v>24</v>
      </c>
      <c r="F3555" t="s">
        <v>5163</v>
      </c>
      <c r="G3555" t="s">
        <v>5164</v>
      </c>
    </row>
    <row r="3556" spans="1:7" hidden="1">
      <c r="A3556" s="5" t="s">
        <v>3364</v>
      </c>
      <c r="B3556" t="s">
        <v>5161</v>
      </c>
      <c r="C3556" t="s">
        <v>392</v>
      </c>
      <c r="D3556" t="s">
        <v>8788</v>
      </c>
      <c r="E3556">
        <v>30</v>
      </c>
      <c r="F3556" t="s">
        <v>5163</v>
      </c>
      <c r="G3556" t="s">
        <v>1905</v>
      </c>
    </row>
    <row r="3557" spans="1:7" hidden="1">
      <c r="A3557" s="5" t="s">
        <v>4783</v>
      </c>
      <c r="B3557" t="s">
        <v>5161</v>
      </c>
      <c r="C3557" t="s">
        <v>392</v>
      </c>
      <c r="D3557" t="s">
        <v>8789</v>
      </c>
      <c r="E3557">
        <v>26</v>
      </c>
      <c r="F3557" t="s">
        <v>5163</v>
      </c>
      <c r="G3557" t="s">
        <v>5164</v>
      </c>
    </row>
    <row r="3558" spans="1:7" hidden="1">
      <c r="A3558" s="5" t="s">
        <v>8790</v>
      </c>
      <c r="B3558" t="s">
        <v>5161</v>
      </c>
      <c r="C3558" t="s">
        <v>392</v>
      </c>
      <c r="D3558" t="s">
        <v>8791</v>
      </c>
      <c r="E3558">
        <v>19</v>
      </c>
      <c r="F3558" t="s">
        <v>5163</v>
      </c>
      <c r="G3558" t="s">
        <v>5164</v>
      </c>
    </row>
    <row r="3559" spans="1:7" hidden="1">
      <c r="A3559" s="5" t="s">
        <v>3185</v>
      </c>
      <c r="B3559" t="s">
        <v>5161</v>
      </c>
      <c r="C3559" t="s">
        <v>392</v>
      </c>
      <c r="D3559" t="s">
        <v>8792</v>
      </c>
      <c r="E3559">
        <v>20</v>
      </c>
      <c r="F3559" t="s">
        <v>5163</v>
      </c>
      <c r="G3559" t="s">
        <v>5169</v>
      </c>
    </row>
    <row r="3560" spans="1:7" hidden="1">
      <c r="A3560" s="5" t="s">
        <v>2095</v>
      </c>
      <c r="B3560" t="s">
        <v>5161</v>
      </c>
      <c r="C3560" t="s">
        <v>392</v>
      </c>
      <c r="D3560" t="s">
        <v>8793</v>
      </c>
      <c r="E3560">
        <v>23</v>
      </c>
      <c r="F3560" t="s">
        <v>5163</v>
      </c>
      <c r="G3560" t="s">
        <v>5169</v>
      </c>
    </row>
    <row r="3561" spans="1:7" hidden="1">
      <c r="A3561" s="5" t="s">
        <v>3283</v>
      </c>
      <c r="B3561" t="s">
        <v>5161</v>
      </c>
      <c r="C3561" t="s">
        <v>392</v>
      </c>
      <c r="D3561" t="s">
        <v>8794</v>
      </c>
      <c r="E3561">
        <v>41</v>
      </c>
      <c r="F3561" t="s">
        <v>5172</v>
      </c>
      <c r="G3561" t="s">
        <v>5164</v>
      </c>
    </row>
    <row r="3562" spans="1:7" hidden="1">
      <c r="A3562" s="5" t="s">
        <v>3283</v>
      </c>
      <c r="B3562" t="s">
        <v>5161</v>
      </c>
      <c r="C3562" t="s">
        <v>392</v>
      </c>
      <c r="D3562" t="s">
        <v>8795</v>
      </c>
      <c r="E3562">
        <v>27</v>
      </c>
      <c r="F3562" t="s">
        <v>5163</v>
      </c>
      <c r="G3562" t="s">
        <v>1905</v>
      </c>
    </row>
    <row r="3563" spans="1:7" hidden="1">
      <c r="A3563" s="5" t="s">
        <v>4869</v>
      </c>
      <c r="B3563" t="s">
        <v>5161</v>
      </c>
      <c r="C3563" t="s">
        <v>392</v>
      </c>
      <c r="D3563" t="s">
        <v>8796</v>
      </c>
      <c r="E3563">
        <v>30</v>
      </c>
      <c r="F3563" t="s">
        <v>5163</v>
      </c>
      <c r="G3563" t="s">
        <v>5169</v>
      </c>
    </row>
    <row r="3564" spans="1:7" hidden="1">
      <c r="A3564" s="5" t="s">
        <v>8797</v>
      </c>
      <c r="B3564" t="s">
        <v>5161</v>
      </c>
      <c r="C3564" t="s">
        <v>392</v>
      </c>
      <c r="D3564" t="s">
        <v>8798</v>
      </c>
      <c r="E3564">
        <v>25</v>
      </c>
      <c r="F3564" t="s">
        <v>5163</v>
      </c>
      <c r="G3564" t="s">
        <v>1905</v>
      </c>
    </row>
    <row r="3565" spans="1:7" hidden="1">
      <c r="A3565" s="5" t="s">
        <v>4728</v>
      </c>
      <c r="B3565" t="s">
        <v>5161</v>
      </c>
      <c r="C3565" t="s">
        <v>392</v>
      </c>
      <c r="D3565" t="s">
        <v>8799</v>
      </c>
      <c r="E3565">
        <v>24</v>
      </c>
      <c r="F3565" t="s">
        <v>5163</v>
      </c>
      <c r="G3565" t="s">
        <v>1905</v>
      </c>
    </row>
    <row r="3566" spans="1:7" hidden="1">
      <c r="A3566" s="5" t="s">
        <v>2268</v>
      </c>
      <c r="B3566" t="s">
        <v>5161</v>
      </c>
      <c r="C3566" t="s">
        <v>392</v>
      </c>
      <c r="D3566" t="s">
        <v>8800</v>
      </c>
      <c r="E3566">
        <v>22</v>
      </c>
      <c r="F3566" t="s">
        <v>5163</v>
      </c>
      <c r="G3566" t="s">
        <v>1905</v>
      </c>
    </row>
    <row r="3567" spans="1:7" hidden="1">
      <c r="A3567" s="5" t="s">
        <v>2268</v>
      </c>
      <c r="B3567" t="s">
        <v>5161</v>
      </c>
      <c r="C3567" t="s">
        <v>392</v>
      </c>
      <c r="D3567" t="s">
        <v>8801</v>
      </c>
      <c r="E3567">
        <v>24</v>
      </c>
      <c r="F3567" t="s">
        <v>5163</v>
      </c>
      <c r="G3567" t="s">
        <v>1905</v>
      </c>
    </row>
    <row r="3568" spans="1:7" hidden="1">
      <c r="A3568" s="5" t="s">
        <v>4806</v>
      </c>
      <c r="B3568" t="s">
        <v>5161</v>
      </c>
      <c r="C3568" t="s">
        <v>392</v>
      </c>
      <c r="D3568" t="s">
        <v>8802</v>
      </c>
      <c r="E3568">
        <v>18</v>
      </c>
      <c r="F3568" t="s">
        <v>5163</v>
      </c>
      <c r="G3568" t="s">
        <v>5164</v>
      </c>
    </row>
    <row r="3569" spans="1:7" hidden="1">
      <c r="A3569" s="5" t="s">
        <v>4749</v>
      </c>
      <c r="B3569" t="s">
        <v>5161</v>
      </c>
      <c r="C3569" t="s">
        <v>392</v>
      </c>
      <c r="D3569" t="s">
        <v>8803</v>
      </c>
      <c r="E3569">
        <v>817</v>
      </c>
      <c r="F3569" t="s">
        <v>5163</v>
      </c>
      <c r="G3569" t="s">
        <v>5164</v>
      </c>
    </row>
    <row r="3570" spans="1:7" hidden="1">
      <c r="A3570" s="5" t="s">
        <v>4334</v>
      </c>
      <c r="B3570" t="s">
        <v>5161</v>
      </c>
      <c r="C3570" t="s">
        <v>392</v>
      </c>
      <c r="D3570" t="s">
        <v>8804</v>
      </c>
      <c r="E3570">
        <v>28</v>
      </c>
      <c r="F3570" t="s">
        <v>5163</v>
      </c>
      <c r="G3570" t="s">
        <v>1905</v>
      </c>
    </row>
    <row r="3571" spans="1:7" hidden="1">
      <c r="A3571" s="5" t="s">
        <v>4646</v>
      </c>
      <c r="B3571" t="s">
        <v>5161</v>
      </c>
      <c r="C3571" t="s">
        <v>392</v>
      </c>
      <c r="D3571" t="s">
        <v>8805</v>
      </c>
      <c r="E3571">
        <v>22</v>
      </c>
      <c r="F3571" t="s">
        <v>5163</v>
      </c>
      <c r="G3571" t="s">
        <v>1905</v>
      </c>
    </row>
    <row r="3572" spans="1:7" hidden="1">
      <c r="A3572" s="5" t="s">
        <v>4833</v>
      </c>
      <c r="B3572" t="s">
        <v>5161</v>
      </c>
      <c r="C3572" t="s">
        <v>392</v>
      </c>
      <c r="D3572" t="s">
        <v>8806</v>
      </c>
      <c r="E3572">
        <v>19</v>
      </c>
      <c r="F3572" t="s">
        <v>5163</v>
      </c>
      <c r="G3572" t="s">
        <v>5182</v>
      </c>
    </row>
    <row r="3573" spans="1:7" hidden="1">
      <c r="A3573" s="5" t="s">
        <v>2349</v>
      </c>
      <c r="B3573" t="s">
        <v>5161</v>
      </c>
      <c r="C3573" t="s">
        <v>392</v>
      </c>
      <c r="D3573" t="s">
        <v>8807</v>
      </c>
      <c r="E3573">
        <v>19</v>
      </c>
      <c r="F3573" t="s">
        <v>5163</v>
      </c>
      <c r="G3573" t="s">
        <v>5164</v>
      </c>
    </row>
    <row r="3574" spans="1:7" hidden="1">
      <c r="A3574" s="5" t="s">
        <v>4828</v>
      </c>
      <c r="B3574" t="s">
        <v>5161</v>
      </c>
      <c r="C3574" t="s">
        <v>392</v>
      </c>
      <c r="D3574" t="s">
        <v>8808</v>
      </c>
      <c r="E3574">
        <v>19</v>
      </c>
      <c r="F3574" t="s">
        <v>5163</v>
      </c>
      <c r="G3574" t="s">
        <v>1905</v>
      </c>
    </row>
    <row r="3575" spans="1:7" hidden="1">
      <c r="A3575" s="5" t="s">
        <v>8809</v>
      </c>
      <c r="B3575" t="s">
        <v>5161</v>
      </c>
      <c r="C3575" t="s">
        <v>392</v>
      </c>
      <c r="D3575" t="s">
        <v>8810</v>
      </c>
      <c r="E3575">
        <v>38</v>
      </c>
      <c r="F3575" t="s">
        <v>5163</v>
      </c>
      <c r="G3575" t="s">
        <v>5164</v>
      </c>
    </row>
    <row r="3576" spans="1:7" hidden="1">
      <c r="A3576" s="5" t="s">
        <v>2709</v>
      </c>
      <c r="B3576" t="s">
        <v>5161</v>
      </c>
      <c r="C3576" t="s">
        <v>392</v>
      </c>
      <c r="D3576" t="s">
        <v>8811</v>
      </c>
      <c r="E3576">
        <v>32</v>
      </c>
      <c r="F3576" t="s">
        <v>5163</v>
      </c>
      <c r="G3576" t="s">
        <v>5164</v>
      </c>
    </row>
    <row r="3577" spans="1:7" hidden="1">
      <c r="A3577" s="5" t="s">
        <v>2753</v>
      </c>
      <c r="B3577" t="s">
        <v>5161</v>
      </c>
      <c r="C3577" t="s">
        <v>392</v>
      </c>
      <c r="D3577" t="s">
        <v>8812</v>
      </c>
      <c r="E3577">
        <v>24</v>
      </c>
      <c r="F3577" t="s">
        <v>5163</v>
      </c>
      <c r="G3577" t="s">
        <v>5169</v>
      </c>
    </row>
    <row r="3578" spans="1:7" hidden="1">
      <c r="A3578" s="5" t="s">
        <v>8813</v>
      </c>
      <c r="B3578" t="s">
        <v>5161</v>
      </c>
      <c r="C3578" t="s">
        <v>392</v>
      </c>
      <c r="D3578" t="s">
        <v>8814</v>
      </c>
      <c r="E3578">
        <v>21</v>
      </c>
      <c r="F3578" t="s">
        <v>5163</v>
      </c>
      <c r="G3578" t="s">
        <v>1905</v>
      </c>
    </row>
    <row r="3579" spans="1:7" hidden="1">
      <c r="A3579" s="5" t="s">
        <v>2641</v>
      </c>
      <c r="B3579" t="s">
        <v>5161</v>
      </c>
      <c r="C3579" t="s">
        <v>392</v>
      </c>
      <c r="D3579" t="s">
        <v>8815</v>
      </c>
      <c r="E3579">
        <v>34</v>
      </c>
      <c r="F3579" t="s">
        <v>5163</v>
      </c>
      <c r="G3579" t="s">
        <v>5164</v>
      </c>
    </row>
    <row r="3580" spans="1:7" hidden="1">
      <c r="A3580" s="5" t="s">
        <v>4128</v>
      </c>
      <c r="B3580" t="s">
        <v>5161</v>
      </c>
      <c r="C3580" t="s">
        <v>392</v>
      </c>
      <c r="D3580" t="s">
        <v>8816</v>
      </c>
      <c r="E3580">
        <v>19</v>
      </c>
      <c r="F3580" t="s">
        <v>5163</v>
      </c>
      <c r="G3580" t="s">
        <v>5164</v>
      </c>
    </row>
    <row r="3581" spans="1:7" hidden="1">
      <c r="A3581" s="5" t="s">
        <v>8817</v>
      </c>
      <c r="B3581" t="s">
        <v>5161</v>
      </c>
      <c r="C3581" t="s">
        <v>392</v>
      </c>
      <c r="D3581" t="s">
        <v>8818</v>
      </c>
      <c r="E3581">
        <v>29</v>
      </c>
      <c r="F3581" t="s">
        <v>5163</v>
      </c>
      <c r="G3581" t="s">
        <v>5164</v>
      </c>
    </row>
    <row r="3582" spans="1:7" hidden="1">
      <c r="A3582" s="5" t="s">
        <v>8817</v>
      </c>
      <c r="B3582" t="s">
        <v>5161</v>
      </c>
      <c r="C3582" t="s">
        <v>392</v>
      </c>
      <c r="D3582" t="s">
        <v>8819</v>
      </c>
      <c r="E3582">
        <v>20</v>
      </c>
      <c r="F3582" t="s">
        <v>5163</v>
      </c>
      <c r="G3582" t="s">
        <v>5164</v>
      </c>
    </row>
    <row r="3583" spans="1:7" hidden="1">
      <c r="A3583" s="5" t="s">
        <v>2444</v>
      </c>
      <c r="B3583" t="s">
        <v>5161</v>
      </c>
      <c r="C3583" t="s">
        <v>392</v>
      </c>
      <c r="D3583" t="s">
        <v>8820</v>
      </c>
      <c r="E3583">
        <v>34</v>
      </c>
      <c r="F3583" t="s">
        <v>5163</v>
      </c>
      <c r="G3583" t="s">
        <v>1905</v>
      </c>
    </row>
    <row r="3584" spans="1:7" hidden="1">
      <c r="A3584" s="5" t="s">
        <v>4662</v>
      </c>
      <c r="B3584" t="s">
        <v>5161</v>
      </c>
      <c r="C3584" t="s">
        <v>392</v>
      </c>
      <c r="D3584" t="s">
        <v>8821</v>
      </c>
      <c r="E3584">
        <v>41</v>
      </c>
      <c r="F3584" t="s">
        <v>5163</v>
      </c>
      <c r="G3584" t="s">
        <v>5164</v>
      </c>
    </row>
    <row r="3585" spans="1:7" hidden="1">
      <c r="A3585" s="5" t="s">
        <v>2498</v>
      </c>
      <c r="B3585" t="s">
        <v>5161</v>
      </c>
      <c r="C3585" t="s">
        <v>392</v>
      </c>
      <c r="D3585" t="s">
        <v>8822</v>
      </c>
      <c r="E3585">
        <v>30</v>
      </c>
      <c r="F3585" t="s">
        <v>5163</v>
      </c>
      <c r="G3585" t="s">
        <v>5164</v>
      </c>
    </row>
    <row r="3586" spans="1:7" hidden="1">
      <c r="A3586" s="5" t="s">
        <v>3120</v>
      </c>
      <c r="B3586" t="s">
        <v>5161</v>
      </c>
      <c r="C3586" t="s">
        <v>392</v>
      </c>
      <c r="D3586" t="s">
        <v>8823</v>
      </c>
      <c r="E3586">
        <v>27</v>
      </c>
      <c r="F3586" t="s">
        <v>5163</v>
      </c>
      <c r="G3586" t="s">
        <v>1905</v>
      </c>
    </row>
    <row r="3587" spans="1:7" hidden="1">
      <c r="A3587" s="5" t="s">
        <v>3120</v>
      </c>
      <c r="B3587" t="s">
        <v>5161</v>
      </c>
      <c r="C3587" t="s">
        <v>392</v>
      </c>
      <c r="D3587" t="s">
        <v>8824</v>
      </c>
      <c r="E3587">
        <v>34</v>
      </c>
      <c r="F3587" t="s">
        <v>5163</v>
      </c>
      <c r="G3587" t="s">
        <v>1905</v>
      </c>
    </row>
    <row r="3588" spans="1:7" hidden="1">
      <c r="A3588" s="5" t="s">
        <v>4417</v>
      </c>
      <c r="B3588" t="s">
        <v>5161</v>
      </c>
      <c r="C3588" t="s">
        <v>392</v>
      </c>
      <c r="D3588" t="s">
        <v>8825</v>
      </c>
      <c r="E3588">
        <v>22</v>
      </c>
      <c r="F3588" t="s">
        <v>5163</v>
      </c>
      <c r="G3588" t="s">
        <v>5164</v>
      </c>
    </row>
    <row r="3589" spans="1:7" hidden="1">
      <c r="A3589" s="5" t="s">
        <v>387</v>
      </c>
      <c r="B3589" t="s">
        <v>5161</v>
      </c>
      <c r="C3589" t="s">
        <v>392</v>
      </c>
      <c r="D3589" t="s">
        <v>911</v>
      </c>
      <c r="E3589">
        <v>22</v>
      </c>
      <c r="F3589" t="s">
        <v>5163</v>
      </c>
      <c r="G3589" t="s">
        <v>5164</v>
      </c>
    </row>
    <row r="3590" spans="1:7" hidden="1">
      <c r="A3590" s="5" t="s">
        <v>3858</v>
      </c>
      <c r="B3590" t="s">
        <v>5161</v>
      </c>
      <c r="C3590" t="s">
        <v>392</v>
      </c>
      <c r="D3590" t="s">
        <v>8826</v>
      </c>
      <c r="E3590">
        <v>28</v>
      </c>
      <c r="F3590" t="s">
        <v>5163</v>
      </c>
      <c r="G3590" t="s">
        <v>5164</v>
      </c>
    </row>
    <row r="3591" spans="1:7" hidden="1">
      <c r="A3591" s="5" t="s">
        <v>2454</v>
      </c>
      <c r="B3591" t="s">
        <v>5161</v>
      </c>
      <c r="C3591" t="s">
        <v>392</v>
      </c>
      <c r="D3591" t="s">
        <v>8827</v>
      </c>
      <c r="E3591">
        <v>21</v>
      </c>
      <c r="F3591" t="s">
        <v>5172</v>
      </c>
      <c r="G3591" t="s">
        <v>5164</v>
      </c>
    </row>
    <row r="3592" spans="1:7" hidden="1">
      <c r="A3592" s="5" t="s">
        <v>4940</v>
      </c>
      <c r="B3592" t="s">
        <v>5161</v>
      </c>
      <c r="C3592" t="s">
        <v>392</v>
      </c>
      <c r="D3592" t="s">
        <v>8828</v>
      </c>
      <c r="E3592">
        <v>30</v>
      </c>
      <c r="F3592" t="s">
        <v>5163</v>
      </c>
      <c r="G3592" t="s">
        <v>5164</v>
      </c>
    </row>
    <row r="3593" spans="1:7" hidden="1">
      <c r="A3593" s="5" t="s">
        <v>4940</v>
      </c>
      <c r="B3593" t="s">
        <v>5161</v>
      </c>
      <c r="C3593" t="s">
        <v>392</v>
      </c>
      <c r="D3593" t="s">
        <v>8829</v>
      </c>
      <c r="E3593">
        <v>24</v>
      </c>
      <c r="F3593" t="s">
        <v>5163</v>
      </c>
      <c r="G3593" t="s">
        <v>5164</v>
      </c>
    </row>
    <row r="3594" spans="1:7" hidden="1">
      <c r="A3594" s="5" t="s">
        <v>2350</v>
      </c>
      <c r="B3594" t="s">
        <v>5161</v>
      </c>
      <c r="C3594" t="s">
        <v>392</v>
      </c>
      <c r="D3594" t="s">
        <v>8830</v>
      </c>
      <c r="E3594">
        <v>30</v>
      </c>
      <c r="F3594" t="s">
        <v>5163</v>
      </c>
      <c r="G3594" t="s">
        <v>1905</v>
      </c>
    </row>
    <row r="3595" spans="1:7" hidden="1">
      <c r="A3595" s="5" t="s">
        <v>2169</v>
      </c>
      <c r="B3595" t="s">
        <v>5161</v>
      </c>
      <c r="C3595" t="s">
        <v>392</v>
      </c>
      <c r="D3595" t="s">
        <v>8831</v>
      </c>
      <c r="E3595">
        <v>25</v>
      </c>
      <c r="F3595" t="s">
        <v>5163</v>
      </c>
      <c r="G3595" t="s">
        <v>5164</v>
      </c>
    </row>
    <row r="3596" spans="1:7" hidden="1">
      <c r="A3596" s="5" t="s">
        <v>8832</v>
      </c>
      <c r="B3596" t="s">
        <v>5161</v>
      </c>
      <c r="C3596" t="s">
        <v>392</v>
      </c>
      <c r="D3596" t="s">
        <v>8833</v>
      </c>
      <c r="E3596">
        <v>26</v>
      </c>
      <c r="F3596" t="s">
        <v>5163</v>
      </c>
      <c r="G3596" t="s">
        <v>5164</v>
      </c>
    </row>
    <row r="3597" spans="1:7" hidden="1">
      <c r="A3597" s="5" t="s">
        <v>4327</v>
      </c>
      <c r="B3597" t="s">
        <v>5161</v>
      </c>
      <c r="C3597" t="s">
        <v>392</v>
      </c>
      <c r="D3597" t="s">
        <v>8834</v>
      </c>
      <c r="E3597">
        <v>45</v>
      </c>
      <c r="F3597" t="s">
        <v>5172</v>
      </c>
      <c r="G3597" t="s">
        <v>5164</v>
      </c>
    </row>
    <row r="3598" spans="1:7" hidden="1">
      <c r="A3598" s="5" t="s">
        <v>4644</v>
      </c>
      <c r="B3598" t="s">
        <v>5161</v>
      </c>
      <c r="C3598" t="s">
        <v>392</v>
      </c>
      <c r="D3598" t="s">
        <v>8835</v>
      </c>
      <c r="E3598">
        <v>27</v>
      </c>
      <c r="F3598" t="s">
        <v>5163</v>
      </c>
      <c r="G3598" t="s">
        <v>5169</v>
      </c>
    </row>
    <row r="3599" spans="1:7" hidden="1">
      <c r="A3599" s="5" t="s">
        <v>4748</v>
      </c>
      <c r="B3599" t="s">
        <v>5161</v>
      </c>
      <c r="C3599" t="s">
        <v>392</v>
      </c>
      <c r="D3599" t="s">
        <v>8836</v>
      </c>
      <c r="E3599">
        <v>28</v>
      </c>
      <c r="F3599" t="s">
        <v>5163</v>
      </c>
      <c r="G3599" t="s">
        <v>5164</v>
      </c>
    </row>
    <row r="3600" spans="1:7" hidden="1">
      <c r="A3600" s="5" t="s">
        <v>388</v>
      </c>
      <c r="B3600" t="s">
        <v>5161</v>
      </c>
      <c r="C3600" t="s">
        <v>392</v>
      </c>
      <c r="D3600" t="s">
        <v>913</v>
      </c>
      <c r="E3600">
        <v>46</v>
      </c>
      <c r="F3600" t="s">
        <v>5163</v>
      </c>
      <c r="G3600" t="s">
        <v>1905</v>
      </c>
    </row>
    <row r="3601" spans="1:7" hidden="1">
      <c r="A3601" s="5" t="s">
        <v>4177</v>
      </c>
      <c r="B3601" t="s">
        <v>5161</v>
      </c>
      <c r="C3601" t="s">
        <v>392</v>
      </c>
      <c r="D3601" t="s">
        <v>8837</v>
      </c>
      <c r="E3601">
        <v>29</v>
      </c>
      <c r="F3601" t="s">
        <v>5163</v>
      </c>
      <c r="G3601" t="s">
        <v>5164</v>
      </c>
    </row>
    <row r="3602" spans="1:7" hidden="1">
      <c r="A3602" s="5" t="s">
        <v>4761</v>
      </c>
      <c r="B3602" t="s">
        <v>5161</v>
      </c>
      <c r="C3602" t="s">
        <v>392</v>
      </c>
      <c r="D3602" t="s">
        <v>8838</v>
      </c>
      <c r="E3602">
        <v>25</v>
      </c>
      <c r="F3602" t="s">
        <v>5163</v>
      </c>
      <c r="G3602" t="s">
        <v>5164</v>
      </c>
    </row>
    <row r="3603" spans="1:7" hidden="1">
      <c r="A3603" s="5" t="s">
        <v>4912</v>
      </c>
      <c r="B3603" t="s">
        <v>5161</v>
      </c>
      <c r="C3603" t="s">
        <v>392</v>
      </c>
      <c r="D3603" t="s">
        <v>8839</v>
      </c>
      <c r="E3603">
        <v>40</v>
      </c>
      <c r="F3603" t="s">
        <v>5163</v>
      </c>
      <c r="G3603" t="s">
        <v>1905</v>
      </c>
    </row>
    <row r="3604" spans="1:7" hidden="1">
      <c r="A3604" s="5" t="s">
        <v>391</v>
      </c>
      <c r="B3604" t="s">
        <v>5161</v>
      </c>
      <c r="C3604" t="s">
        <v>392</v>
      </c>
      <c r="D3604" t="s">
        <v>917</v>
      </c>
      <c r="E3604">
        <v>18</v>
      </c>
      <c r="F3604" t="s">
        <v>5163</v>
      </c>
      <c r="G3604" t="s">
        <v>1905</v>
      </c>
    </row>
    <row r="3605" spans="1:7" hidden="1">
      <c r="A3605" s="5" t="s">
        <v>4886</v>
      </c>
      <c r="B3605" t="s">
        <v>5161</v>
      </c>
      <c r="C3605" t="s">
        <v>392</v>
      </c>
      <c r="D3605" t="s">
        <v>8840</v>
      </c>
      <c r="E3605">
        <v>22</v>
      </c>
      <c r="F3605" t="s">
        <v>5163</v>
      </c>
      <c r="G3605" t="s">
        <v>5169</v>
      </c>
    </row>
    <row r="3606" spans="1:7" hidden="1">
      <c r="A3606" s="5" t="s">
        <v>383</v>
      </c>
      <c r="B3606" t="s">
        <v>5161</v>
      </c>
      <c r="C3606" t="s">
        <v>392</v>
      </c>
      <c r="D3606" t="s">
        <v>903</v>
      </c>
      <c r="E3606">
        <v>25</v>
      </c>
      <c r="F3606" t="s">
        <v>5163</v>
      </c>
      <c r="G3606" t="s">
        <v>5164</v>
      </c>
    </row>
    <row r="3607" spans="1:7" hidden="1">
      <c r="A3607" s="5" t="s">
        <v>3898</v>
      </c>
      <c r="B3607" t="s">
        <v>5161</v>
      </c>
      <c r="C3607" t="s">
        <v>392</v>
      </c>
      <c r="D3607" t="s">
        <v>8841</v>
      </c>
      <c r="E3607">
        <v>47</v>
      </c>
      <c r="F3607" t="s">
        <v>5163</v>
      </c>
      <c r="G3607" t="s">
        <v>1905</v>
      </c>
    </row>
    <row r="3608" spans="1:7" hidden="1">
      <c r="A3608" s="5" t="s">
        <v>4514</v>
      </c>
      <c r="B3608" t="s">
        <v>5161</v>
      </c>
      <c r="C3608" t="s">
        <v>392</v>
      </c>
      <c r="D3608" t="s">
        <v>8842</v>
      </c>
      <c r="E3608">
        <v>25</v>
      </c>
      <c r="F3608" t="s">
        <v>5163</v>
      </c>
      <c r="G3608" t="s">
        <v>5164</v>
      </c>
    </row>
    <row r="3609" spans="1:7" hidden="1">
      <c r="A3609" s="5" t="s">
        <v>3753</v>
      </c>
      <c r="B3609" t="s">
        <v>5161</v>
      </c>
      <c r="C3609" t="s">
        <v>392</v>
      </c>
      <c r="D3609" t="s">
        <v>8843</v>
      </c>
      <c r="E3609">
        <v>18</v>
      </c>
      <c r="F3609" t="s">
        <v>5163</v>
      </c>
      <c r="G3609" t="s">
        <v>5169</v>
      </c>
    </row>
    <row r="3610" spans="1:7" hidden="1">
      <c r="A3610" s="5" t="s">
        <v>2587</v>
      </c>
      <c r="B3610" t="s">
        <v>5161</v>
      </c>
      <c r="C3610" t="s">
        <v>392</v>
      </c>
      <c r="D3610" t="s">
        <v>8844</v>
      </c>
      <c r="E3610">
        <v>35</v>
      </c>
      <c r="F3610" t="s">
        <v>5163</v>
      </c>
      <c r="G3610" t="s">
        <v>5164</v>
      </c>
    </row>
    <row r="3611" spans="1:7" hidden="1">
      <c r="A3611" s="5" t="s">
        <v>4550</v>
      </c>
      <c r="B3611" t="s">
        <v>5161</v>
      </c>
      <c r="C3611" t="s">
        <v>392</v>
      </c>
      <c r="D3611" t="s">
        <v>6738</v>
      </c>
      <c r="E3611">
        <v>24</v>
      </c>
      <c r="F3611" t="s">
        <v>5163</v>
      </c>
      <c r="G3611" t="s">
        <v>5164</v>
      </c>
    </row>
    <row r="3612" spans="1:7" hidden="1">
      <c r="A3612" s="5" t="s">
        <v>390</v>
      </c>
      <c r="B3612" t="s">
        <v>5161</v>
      </c>
      <c r="C3612" t="s">
        <v>392</v>
      </c>
      <c r="D3612" t="s">
        <v>916</v>
      </c>
      <c r="E3612">
        <v>29</v>
      </c>
      <c r="F3612" t="s">
        <v>5163</v>
      </c>
      <c r="G3612" t="s">
        <v>1905</v>
      </c>
    </row>
    <row r="3613" spans="1:7" hidden="1">
      <c r="A3613" s="5" t="s">
        <v>4850</v>
      </c>
      <c r="B3613" t="s">
        <v>5161</v>
      </c>
      <c r="C3613" t="s">
        <v>392</v>
      </c>
      <c r="D3613" t="s">
        <v>8845</v>
      </c>
      <c r="E3613">
        <v>40</v>
      </c>
      <c r="F3613" t="s">
        <v>5163</v>
      </c>
      <c r="G3613" t="s">
        <v>5164</v>
      </c>
    </row>
    <row r="3614" spans="1:7" hidden="1">
      <c r="A3614" s="5" t="s">
        <v>8846</v>
      </c>
      <c r="B3614" t="s">
        <v>5161</v>
      </c>
      <c r="C3614" t="s">
        <v>392</v>
      </c>
      <c r="D3614" t="s">
        <v>8847</v>
      </c>
      <c r="E3614">
        <v>22</v>
      </c>
      <c r="F3614" t="s">
        <v>5163</v>
      </c>
      <c r="G3614" t="s">
        <v>1905</v>
      </c>
    </row>
    <row r="3615" spans="1:7" hidden="1">
      <c r="A3615" s="5" t="s">
        <v>2618</v>
      </c>
      <c r="B3615" t="s">
        <v>5161</v>
      </c>
      <c r="C3615" t="s">
        <v>392</v>
      </c>
      <c r="D3615" t="s">
        <v>8848</v>
      </c>
      <c r="E3615">
        <v>22</v>
      </c>
      <c r="F3615" t="s">
        <v>5163</v>
      </c>
      <c r="G3615" t="s">
        <v>5164</v>
      </c>
    </row>
    <row r="3616" spans="1:7" hidden="1">
      <c r="A3616" s="5" t="s">
        <v>3827</v>
      </c>
      <c r="B3616" t="s">
        <v>5161</v>
      </c>
      <c r="C3616" t="s">
        <v>392</v>
      </c>
      <c r="D3616" t="s">
        <v>8849</v>
      </c>
      <c r="E3616">
        <v>26</v>
      </c>
      <c r="F3616" t="s">
        <v>5163</v>
      </c>
      <c r="G3616" t="s">
        <v>5169</v>
      </c>
    </row>
    <row r="3617" spans="1:7" hidden="1">
      <c r="A3617" s="5" t="s">
        <v>4627</v>
      </c>
      <c r="B3617" t="s">
        <v>5161</v>
      </c>
      <c r="C3617" t="s">
        <v>392</v>
      </c>
      <c r="D3617" t="s">
        <v>8850</v>
      </c>
      <c r="E3617">
        <v>36</v>
      </c>
      <c r="F3617" t="s">
        <v>5163</v>
      </c>
      <c r="G3617" t="s">
        <v>5164</v>
      </c>
    </row>
    <row r="3618" spans="1:7" hidden="1">
      <c r="A3618" s="5" t="s">
        <v>4627</v>
      </c>
      <c r="B3618" t="s">
        <v>5161</v>
      </c>
      <c r="C3618" t="s">
        <v>392</v>
      </c>
      <c r="D3618" t="s">
        <v>7734</v>
      </c>
      <c r="E3618">
        <v>20</v>
      </c>
      <c r="F3618" t="s">
        <v>5163</v>
      </c>
      <c r="G3618" t="s">
        <v>5164</v>
      </c>
    </row>
    <row r="3619" spans="1:7" hidden="1">
      <c r="A3619" s="5" t="s">
        <v>4232</v>
      </c>
      <c r="B3619" t="s">
        <v>5161</v>
      </c>
      <c r="C3619" t="s">
        <v>392</v>
      </c>
      <c r="D3619" t="s">
        <v>8851</v>
      </c>
      <c r="E3619">
        <v>29</v>
      </c>
      <c r="F3619" t="s">
        <v>5163</v>
      </c>
      <c r="G3619" t="s">
        <v>1905</v>
      </c>
    </row>
    <row r="3620" spans="1:7" hidden="1">
      <c r="A3620" s="5" t="s">
        <v>4721</v>
      </c>
      <c r="B3620" t="s">
        <v>5161</v>
      </c>
      <c r="C3620" t="s">
        <v>392</v>
      </c>
      <c r="D3620" t="s">
        <v>8852</v>
      </c>
      <c r="E3620">
        <v>22</v>
      </c>
      <c r="F3620" t="s">
        <v>5163</v>
      </c>
      <c r="G3620" t="s">
        <v>1905</v>
      </c>
    </row>
    <row r="3621" spans="1:7" hidden="1">
      <c r="A3621" s="5" t="s">
        <v>4629</v>
      </c>
      <c r="B3621" t="s">
        <v>5161</v>
      </c>
      <c r="C3621" t="s">
        <v>392</v>
      </c>
      <c r="D3621" t="s">
        <v>8853</v>
      </c>
      <c r="E3621">
        <v>21</v>
      </c>
      <c r="F3621" t="s">
        <v>5163</v>
      </c>
      <c r="G3621" t="s">
        <v>1905</v>
      </c>
    </row>
    <row r="3622" spans="1:7" hidden="1">
      <c r="A3622" s="5" t="s">
        <v>3836</v>
      </c>
      <c r="B3622" t="s">
        <v>5161</v>
      </c>
      <c r="C3622" t="s">
        <v>392</v>
      </c>
      <c r="D3622" t="s">
        <v>8854</v>
      </c>
      <c r="E3622">
        <v>36</v>
      </c>
      <c r="F3622" t="s">
        <v>5172</v>
      </c>
      <c r="G3622" t="s">
        <v>1905</v>
      </c>
    </row>
    <row r="3623" spans="1:7" hidden="1">
      <c r="A3623" s="5" t="s">
        <v>3644</v>
      </c>
      <c r="B3623" t="s">
        <v>5161</v>
      </c>
      <c r="C3623" t="s">
        <v>392</v>
      </c>
      <c r="D3623" t="s">
        <v>8445</v>
      </c>
      <c r="E3623">
        <v>21</v>
      </c>
      <c r="F3623" t="s">
        <v>5163</v>
      </c>
      <c r="G3623" t="s">
        <v>5164</v>
      </c>
    </row>
    <row r="3624" spans="1:7" hidden="1">
      <c r="A3624" s="5" t="s">
        <v>3523</v>
      </c>
      <c r="B3624" t="s">
        <v>5161</v>
      </c>
      <c r="C3624" t="s">
        <v>392</v>
      </c>
      <c r="D3624" t="s">
        <v>8855</v>
      </c>
      <c r="E3624">
        <v>38</v>
      </c>
      <c r="F3624" t="s">
        <v>5172</v>
      </c>
      <c r="G3624" t="s">
        <v>5169</v>
      </c>
    </row>
    <row r="3625" spans="1:7" hidden="1">
      <c r="A3625" s="5" t="s">
        <v>4495</v>
      </c>
      <c r="B3625" t="s">
        <v>5161</v>
      </c>
      <c r="C3625" t="s">
        <v>392</v>
      </c>
      <c r="D3625" t="s">
        <v>8856</v>
      </c>
      <c r="E3625">
        <v>25</v>
      </c>
      <c r="F3625" t="s">
        <v>5163</v>
      </c>
      <c r="G3625" t="s">
        <v>5164</v>
      </c>
    </row>
    <row r="3626" spans="1:7" hidden="1">
      <c r="A3626" s="5" t="s">
        <v>4254</v>
      </c>
      <c r="B3626" t="s">
        <v>5161</v>
      </c>
      <c r="C3626" t="s">
        <v>392</v>
      </c>
      <c r="D3626" t="s">
        <v>8857</v>
      </c>
      <c r="E3626">
        <v>24</v>
      </c>
      <c r="F3626" t="s">
        <v>5163</v>
      </c>
      <c r="G3626" t="s">
        <v>5164</v>
      </c>
    </row>
    <row r="3627" spans="1:7" hidden="1">
      <c r="A3627" s="5" t="s">
        <v>8858</v>
      </c>
      <c r="B3627" t="s">
        <v>5161</v>
      </c>
      <c r="C3627" t="s">
        <v>411</v>
      </c>
      <c r="D3627" t="s">
        <v>8859</v>
      </c>
      <c r="E3627">
        <v>44</v>
      </c>
      <c r="F3627" t="s">
        <v>5163</v>
      </c>
      <c r="G3627" t="s">
        <v>1905</v>
      </c>
    </row>
    <row r="3628" spans="1:7" hidden="1">
      <c r="A3628" s="5" t="s">
        <v>4063</v>
      </c>
      <c r="B3628" t="s">
        <v>5161</v>
      </c>
      <c r="C3628" t="s">
        <v>411</v>
      </c>
      <c r="D3628" t="s">
        <v>8860</v>
      </c>
      <c r="E3628">
        <v>39</v>
      </c>
      <c r="F3628" t="s">
        <v>5163</v>
      </c>
      <c r="G3628" t="s">
        <v>5164</v>
      </c>
    </row>
    <row r="3629" spans="1:7" hidden="1">
      <c r="A3629" s="5" t="s">
        <v>4315</v>
      </c>
      <c r="B3629" t="s">
        <v>5161</v>
      </c>
      <c r="C3629" t="s">
        <v>411</v>
      </c>
      <c r="D3629" t="s">
        <v>8861</v>
      </c>
      <c r="E3629">
        <v>30</v>
      </c>
      <c r="F3629" t="s">
        <v>5163</v>
      </c>
      <c r="G3629" t="s">
        <v>5164</v>
      </c>
    </row>
    <row r="3630" spans="1:7" hidden="1">
      <c r="A3630" s="5" t="s">
        <v>3316</v>
      </c>
      <c r="B3630" t="s">
        <v>5161</v>
      </c>
      <c r="C3630" t="s">
        <v>411</v>
      </c>
      <c r="D3630" t="s">
        <v>8862</v>
      </c>
      <c r="E3630">
        <v>25</v>
      </c>
      <c r="F3630" t="s">
        <v>5172</v>
      </c>
      <c r="G3630" t="s">
        <v>1905</v>
      </c>
    </row>
    <row r="3631" spans="1:7" hidden="1">
      <c r="A3631" s="5" t="s">
        <v>3316</v>
      </c>
      <c r="B3631" t="s">
        <v>5161</v>
      </c>
      <c r="C3631" t="s">
        <v>411</v>
      </c>
      <c r="D3631" t="s">
        <v>8863</v>
      </c>
      <c r="E3631">
        <v>27</v>
      </c>
      <c r="F3631" t="s">
        <v>5163</v>
      </c>
      <c r="G3631" t="s">
        <v>5164</v>
      </c>
    </row>
    <row r="3632" spans="1:7" hidden="1">
      <c r="A3632" s="5" t="s">
        <v>2215</v>
      </c>
      <c r="B3632" t="s">
        <v>5161</v>
      </c>
      <c r="C3632" t="s">
        <v>411</v>
      </c>
      <c r="D3632" t="s">
        <v>8864</v>
      </c>
      <c r="E3632">
        <v>43</v>
      </c>
      <c r="F3632" t="s">
        <v>5163</v>
      </c>
      <c r="G3632" t="s">
        <v>5169</v>
      </c>
    </row>
    <row r="3633" spans="1:7" hidden="1">
      <c r="A3633" s="5" t="s">
        <v>4113</v>
      </c>
      <c r="B3633" t="s">
        <v>5161</v>
      </c>
      <c r="C3633" t="s">
        <v>411</v>
      </c>
      <c r="D3633" t="s">
        <v>8865</v>
      </c>
      <c r="E3633">
        <v>18</v>
      </c>
      <c r="F3633" t="s">
        <v>5163</v>
      </c>
      <c r="G3633" t="s">
        <v>5164</v>
      </c>
    </row>
    <row r="3634" spans="1:7" hidden="1">
      <c r="A3634" s="5" t="s">
        <v>2203</v>
      </c>
      <c r="B3634" t="s">
        <v>5161</v>
      </c>
      <c r="C3634" t="s">
        <v>411</v>
      </c>
      <c r="D3634" t="s">
        <v>8866</v>
      </c>
      <c r="E3634">
        <v>22</v>
      </c>
      <c r="F3634" t="s">
        <v>5163</v>
      </c>
      <c r="G3634" t="s">
        <v>5164</v>
      </c>
    </row>
    <row r="3635" spans="1:7" hidden="1">
      <c r="A3635" s="5" t="s">
        <v>2328</v>
      </c>
      <c r="B3635" t="s">
        <v>5161</v>
      </c>
      <c r="C3635" t="s">
        <v>411</v>
      </c>
      <c r="D3635" t="s">
        <v>8867</v>
      </c>
      <c r="E3635">
        <v>24</v>
      </c>
      <c r="F3635" t="s">
        <v>5163</v>
      </c>
      <c r="G3635" t="s">
        <v>5164</v>
      </c>
    </row>
    <row r="3636" spans="1:7" hidden="1">
      <c r="A3636" s="5" t="s">
        <v>3794</v>
      </c>
      <c r="B3636" t="s">
        <v>5161</v>
      </c>
      <c r="C3636" t="s">
        <v>411</v>
      </c>
      <c r="D3636" t="s">
        <v>8868</v>
      </c>
      <c r="E3636">
        <v>34</v>
      </c>
      <c r="F3636" t="s">
        <v>5163</v>
      </c>
      <c r="G3636" t="s">
        <v>1905</v>
      </c>
    </row>
    <row r="3637" spans="1:7" hidden="1">
      <c r="A3637" s="5" t="s">
        <v>3871</v>
      </c>
      <c r="B3637" t="s">
        <v>5161</v>
      </c>
      <c r="C3637" t="s">
        <v>411</v>
      </c>
      <c r="D3637" t="s">
        <v>8869</v>
      </c>
      <c r="E3637">
        <v>33</v>
      </c>
      <c r="F3637" t="s">
        <v>5163</v>
      </c>
      <c r="G3637" t="s">
        <v>5164</v>
      </c>
    </row>
    <row r="3638" spans="1:7" hidden="1">
      <c r="A3638" s="5" t="s">
        <v>5071</v>
      </c>
      <c r="B3638" t="s">
        <v>5161</v>
      </c>
      <c r="C3638" t="s">
        <v>411</v>
      </c>
      <c r="D3638" t="s">
        <v>8123</v>
      </c>
      <c r="E3638">
        <v>30</v>
      </c>
      <c r="F3638" t="s">
        <v>5163</v>
      </c>
      <c r="G3638" t="s">
        <v>1905</v>
      </c>
    </row>
    <row r="3639" spans="1:7" hidden="1">
      <c r="A3639" s="5" t="s">
        <v>2764</v>
      </c>
      <c r="B3639" t="s">
        <v>5161</v>
      </c>
      <c r="C3639" t="s">
        <v>411</v>
      </c>
      <c r="D3639" t="s">
        <v>8870</v>
      </c>
      <c r="E3639">
        <v>20</v>
      </c>
      <c r="F3639" t="s">
        <v>5163</v>
      </c>
      <c r="G3639" t="s">
        <v>5164</v>
      </c>
    </row>
    <row r="3640" spans="1:7" hidden="1">
      <c r="A3640" s="5" t="s">
        <v>3739</v>
      </c>
      <c r="B3640" t="s">
        <v>5161</v>
      </c>
      <c r="C3640" t="s">
        <v>411</v>
      </c>
      <c r="D3640" t="s">
        <v>8871</v>
      </c>
      <c r="E3640">
        <v>39</v>
      </c>
      <c r="F3640" t="s">
        <v>5163</v>
      </c>
      <c r="G3640" t="s">
        <v>5164</v>
      </c>
    </row>
    <row r="3641" spans="1:7" hidden="1">
      <c r="A3641" s="5" t="s">
        <v>2729</v>
      </c>
      <c r="B3641" t="s">
        <v>5161</v>
      </c>
      <c r="C3641" t="s">
        <v>411</v>
      </c>
      <c r="D3641" t="s">
        <v>8872</v>
      </c>
      <c r="E3641">
        <v>27</v>
      </c>
      <c r="F3641" t="s">
        <v>5163</v>
      </c>
      <c r="G3641" t="s">
        <v>5169</v>
      </c>
    </row>
    <row r="3642" spans="1:7" hidden="1">
      <c r="A3642" s="5" t="s">
        <v>409</v>
      </c>
      <c r="B3642" t="s">
        <v>5161</v>
      </c>
      <c r="C3642" t="s">
        <v>411</v>
      </c>
      <c r="D3642" t="s">
        <v>947</v>
      </c>
      <c r="E3642">
        <v>26</v>
      </c>
      <c r="F3642" t="s">
        <v>5163</v>
      </c>
      <c r="G3642" t="s">
        <v>5164</v>
      </c>
    </row>
    <row r="3643" spans="1:7" hidden="1">
      <c r="A3643" s="5" t="s">
        <v>3492</v>
      </c>
      <c r="B3643" t="s">
        <v>5161</v>
      </c>
      <c r="C3643" t="s">
        <v>411</v>
      </c>
      <c r="D3643" t="s">
        <v>8873</v>
      </c>
      <c r="E3643">
        <v>23</v>
      </c>
      <c r="F3643" t="s">
        <v>5163</v>
      </c>
      <c r="G3643" t="s">
        <v>1905</v>
      </c>
    </row>
    <row r="3644" spans="1:7" hidden="1">
      <c r="A3644" s="5" t="s">
        <v>3643</v>
      </c>
      <c r="B3644" t="s">
        <v>5161</v>
      </c>
      <c r="C3644" t="s">
        <v>411</v>
      </c>
      <c r="D3644" t="s">
        <v>8874</v>
      </c>
      <c r="E3644">
        <v>43</v>
      </c>
      <c r="F3644" t="s">
        <v>5163</v>
      </c>
      <c r="G3644" t="s">
        <v>1905</v>
      </c>
    </row>
    <row r="3645" spans="1:7" hidden="1">
      <c r="A3645" s="5" t="s">
        <v>4817</v>
      </c>
      <c r="B3645" t="s">
        <v>5161</v>
      </c>
      <c r="C3645" t="s">
        <v>411</v>
      </c>
      <c r="D3645" t="s">
        <v>8875</v>
      </c>
      <c r="E3645">
        <v>19</v>
      </c>
      <c r="F3645" t="s">
        <v>5163</v>
      </c>
      <c r="G3645" t="s">
        <v>5164</v>
      </c>
    </row>
    <row r="3646" spans="1:7" hidden="1">
      <c r="A3646" s="5" t="s">
        <v>4241</v>
      </c>
      <c r="B3646" t="s">
        <v>5161</v>
      </c>
      <c r="C3646" t="s">
        <v>411</v>
      </c>
      <c r="D3646" t="s">
        <v>8876</v>
      </c>
      <c r="E3646">
        <v>31</v>
      </c>
      <c r="F3646" t="s">
        <v>5163</v>
      </c>
      <c r="G3646" t="s">
        <v>5169</v>
      </c>
    </row>
    <row r="3647" spans="1:7" hidden="1">
      <c r="A3647" s="5" t="s">
        <v>4241</v>
      </c>
      <c r="B3647" t="s">
        <v>5161</v>
      </c>
      <c r="C3647" t="s">
        <v>411</v>
      </c>
      <c r="D3647" t="s">
        <v>8877</v>
      </c>
      <c r="E3647">
        <v>26</v>
      </c>
      <c r="F3647" t="s">
        <v>5163</v>
      </c>
      <c r="G3647" t="s">
        <v>1905</v>
      </c>
    </row>
    <row r="3648" spans="1:7" hidden="1">
      <c r="A3648" s="5" t="s">
        <v>3085</v>
      </c>
      <c r="B3648" t="s">
        <v>5161</v>
      </c>
      <c r="C3648" t="s">
        <v>411</v>
      </c>
      <c r="D3648" t="s">
        <v>8878</v>
      </c>
      <c r="E3648">
        <v>36</v>
      </c>
      <c r="F3648" t="s">
        <v>5163</v>
      </c>
      <c r="G3648" t="s">
        <v>1905</v>
      </c>
    </row>
    <row r="3649" spans="1:7" hidden="1">
      <c r="A3649" s="5" t="s">
        <v>3189</v>
      </c>
      <c r="B3649" t="s">
        <v>5161</v>
      </c>
      <c r="C3649" t="s">
        <v>411</v>
      </c>
      <c r="D3649" t="s">
        <v>8879</v>
      </c>
      <c r="E3649">
        <v>50</v>
      </c>
      <c r="F3649" t="s">
        <v>5172</v>
      </c>
      <c r="G3649" t="s">
        <v>5164</v>
      </c>
    </row>
    <row r="3650" spans="1:7" hidden="1">
      <c r="A3650" s="5" t="s">
        <v>3189</v>
      </c>
      <c r="B3650" t="s">
        <v>5161</v>
      </c>
      <c r="C3650" t="s">
        <v>411</v>
      </c>
      <c r="D3650" t="s">
        <v>8880</v>
      </c>
      <c r="E3650">
        <v>40</v>
      </c>
      <c r="F3650" t="s">
        <v>5163</v>
      </c>
      <c r="G3650" t="s">
        <v>5164</v>
      </c>
    </row>
    <row r="3651" spans="1:7" hidden="1">
      <c r="A3651" s="5" t="s">
        <v>401</v>
      </c>
      <c r="B3651" t="s">
        <v>5161</v>
      </c>
      <c r="C3651" t="s">
        <v>411</v>
      </c>
      <c r="D3651" t="s">
        <v>933</v>
      </c>
      <c r="E3651">
        <v>27</v>
      </c>
      <c r="F3651" t="s">
        <v>5163</v>
      </c>
      <c r="G3651" t="s">
        <v>1905</v>
      </c>
    </row>
    <row r="3652" spans="1:7" hidden="1">
      <c r="A3652" s="5" t="s">
        <v>401</v>
      </c>
      <c r="B3652" t="s">
        <v>5161</v>
      </c>
      <c r="C3652" t="s">
        <v>411</v>
      </c>
      <c r="D3652" t="s">
        <v>8881</v>
      </c>
      <c r="E3652">
        <v>22</v>
      </c>
      <c r="F3652" t="s">
        <v>5163</v>
      </c>
      <c r="G3652" t="s">
        <v>1905</v>
      </c>
    </row>
    <row r="3653" spans="1:7" hidden="1">
      <c r="A3653" s="5" t="s">
        <v>401</v>
      </c>
      <c r="B3653" t="s">
        <v>5161</v>
      </c>
      <c r="C3653" t="s">
        <v>411</v>
      </c>
      <c r="D3653" t="s">
        <v>935</v>
      </c>
      <c r="E3653">
        <v>23</v>
      </c>
      <c r="F3653" t="s">
        <v>5172</v>
      </c>
      <c r="G3653" t="s">
        <v>1905</v>
      </c>
    </row>
    <row r="3654" spans="1:7" hidden="1">
      <c r="A3654" s="5" t="s">
        <v>3282</v>
      </c>
      <c r="B3654" t="s">
        <v>5161</v>
      </c>
      <c r="C3654" t="s">
        <v>411</v>
      </c>
      <c r="D3654" t="s">
        <v>8882</v>
      </c>
      <c r="E3654">
        <v>24</v>
      </c>
      <c r="F3654" t="s">
        <v>5163</v>
      </c>
      <c r="G3654" t="s">
        <v>5169</v>
      </c>
    </row>
    <row r="3655" spans="1:7" hidden="1">
      <c r="A3655" s="5" t="s">
        <v>4080</v>
      </c>
      <c r="B3655" t="s">
        <v>5161</v>
      </c>
      <c r="C3655" t="s">
        <v>411</v>
      </c>
      <c r="D3655" t="s">
        <v>8883</v>
      </c>
      <c r="E3655">
        <v>27</v>
      </c>
      <c r="F3655" t="s">
        <v>5163</v>
      </c>
      <c r="G3655" t="s">
        <v>5164</v>
      </c>
    </row>
    <row r="3656" spans="1:7" hidden="1">
      <c r="A3656" s="5" t="s">
        <v>2616</v>
      </c>
      <c r="B3656" t="s">
        <v>5161</v>
      </c>
      <c r="C3656" t="s">
        <v>411</v>
      </c>
      <c r="D3656" t="s">
        <v>8884</v>
      </c>
      <c r="E3656">
        <v>35</v>
      </c>
      <c r="F3656" t="s">
        <v>5163</v>
      </c>
      <c r="G3656" t="s">
        <v>1905</v>
      </c>
    </row>
    <row r="3657" spans="1:7" hidden="1">
      <c r="A3657" s="5" t="s">
        <v>2616</v>
      </c>
      <c r="B3657" t="s">
        <v>5161</v>
      </c>
      <c r="C3657" t="s">
        <v>411</v>
      </c>
      <c r="D3657" t="s">
        <v>8885</v>
      </c>
      <c r="E3657">
        <v>30</v>
      </c>
      <c r="F3657" t="s">
        <v>5163</v>
      </c>
      <c r="G3657" t="s">
        <v>1905</v>
      </c>
    </row>
    <row r="3658" spans="1:7" hidden="1">
      <c r="A3658" s="5" t="s">
        <v>4819</v>
      </c>
      <c r="B3658" t="s">
        <v>5161</v>
      </c>
      <c r="C3658" t="s">
        <v>411</v>
      </c>
      <c r="D3658" t="s">
        <v>8886</v>
      </c>
      <c r="E3658">
        <v>31</v>
      </c>
      <c r="F3658" t="s">
        <v>5163</v>
      </c>
      <c r="G3658" t="s">
        <v>1905</v>
      </c>
    </row>
    <row r="3659" spans="1:7" hidden="1">
      <c r="A3659" s="5" t="s">
        <v>2284</v>
      </c>
      <c r="B3659" t="s">
        <v>5161</v>
      </c>
      <c r="C3659" t="s">
        <v>411</v>
      </c>
      <c r="D3659" t="s">
        <v>8887</v>
      </c>
      <c r="E3659">
        <v>67</v>
      </c>
      <c r="F3659" t="s">
        <v>5163</v>
      </c>
      <c r="G3659" t="s">
        <v>1905</v>
      </c>
    </row>
    <row r="3660" spans="1:7" hidden="1">
      <c r="A3660" s="5" t="s">
        <v>403</v>
      </c>
      <c r="B3660" t="s">
        <v>5161</v>
      </c>
      <c r="C3660" t="s">
        <v>411</v>
      </c>
      <c r="D3660" t="s">
        <v>939</v>
      </c>
      <c r="E3660">
        <v>31</v>
      </c>
      <c r="F3660" t="s">
        <v>5163</v>
      </c>
      <c r="G3660" t="s">
        <v>1905</v>
      </c>
    </row>
    <row r="3661" spans="1:7" hidden="1">
      <c r="A3661" s="5" t="s">
        <v>2204</v>
      </c>
      <c r="B3661" t="s">
        <v>5161</v>
      </c>
      <c r="C3661" t="s">
        <v>411</v>
      </c>
      <c r="D3661" t="s">
        <v>8888</v>
      </c>
      <c r="E3661">
        <v>20</v>
      </c>
      <c r="F3661" t="s">
        <v>5163</v>
      </c>
      <c r="G3661" t="s">
        <v>1905</v>
      </c>
    </row>
    <row r="3662" spans="1:7" hidden="1">
      <c r="A3662" s="5" t="s">
        <v>3776</v>
      </c>
      <c r="B3662" t="s">
        <v>5161</v>
      </c>
      <c r="C3662" t="s">
        <v>411</v>
      </c>
      <c r="D3662" t="s">
        <v>8889</v>
      </c>
      <c r="E3662">
        <v>21</v>
      </c>
      <c r="F3662" t="s">
        <v>5163</v>
      </c>
      <c r="G3662" t="s">
        <v>1905</v>
      </c>
    </row>
    <row r="3663" spans="1:7" hidden="1">
      <c r="A3663" s="5" t="s">
        <v>2185</v>
      </c>
      <c r="B3663" t="s">
        <v>5161</v>
      </c>
      <c r="C3663" t="s">
        <v>411</v>
      </c>
      <c r="D3663" t="s">
        <v>8890</v>
      </c>
      <c r="E3663">
        <v>23</v>
      </c>
      <c r="F3663" t="s">
        <v>5163</v>
      </c>
      <c r="G3663" t="s">
        <v>1905</v>
      </c>
    </row>
    <row r="3664" spans="1:7" hidden="1">
      <c r="A3664" s="5" t="s">
        <v>2329</v>
      </c>
      <c r="B3664" t="s">
        <v>5161</v>
      </c>
      <c r="C3664" t="s">
        <v>411</v>
      </c>
      <c r="D3664" t="s">
        <v>8891</v>
      </c>
      <c r="E3664">
        <v>23</v>
      </c>
      <c r="F3664" t="s">
        <v>5163</v>
      </c>
      <c r="G3664" t="s">
        <v>5164</v>
      </c>
    </row>
    <row r="3665" spans="1:7" hidden="1">
      <c r="A3665" s="5" t="s">
        <v>2099</v>
      </c>
      <c r="B3665" t="s">
        <v>5161</v>
      </c>
      <c r="C3665" t="s">
        <v>411</v>
      </c>
      <c r="D3665" t="s">
        <v>8892</v>
      </c>
      <c r="E3665">
        <v>33</v>
      </c>
      <c r="F3665" t="s">
        <v>5163</v>
      </c>
      <c r="G3665" t="s">
        <v>5164</v>
      </c>
    </row>
    <row r="3666" spans="1:7" hidden="1">
      <c r="A3666" s="5" t="s">
        <v>4657</v>
      </c>
      <c r="B3666" t="s">
        <v>5161</v>
      </c>
      <c r="C3666" t="s">
        <v>411</v>
      </c>
      <c r="D3666" t="s">
        <v>8893</v>
      </c>
      <c r="E3666">
        <v>29</v>
      </c>
      <c r="F3666" t="s">
        <v>5163</v>
      </c>
      <c r="G3666" t="s">
        <v>5169</v>
      </c>
    </row>
    <row r="3667" spans="1:7" hidden="1">
      <c r="A3667" s="5" t="s">
        <v>3747</v>
      </c>
      <c r="B3667" t="s">
        <v>5161</v>
      </c>
      <c r="C3667" t="s">
        <v>411</v>
      </c>
      <c r="D3667" t="s">
        <v>8894</v>
      </c>
      <c r="E3667">
        <v>18</v>
      </c>
      <c r="F3667" t="s">
        <v>5163</v>
      </c>
      <c r="G3667" t="s">
        <v>5164</v>
      </c>
    </row>
    <row r="3668" spans="1:7" hidden="1">
      <c r="A3668" s="5" t="s">
        <v>394</v>
      </c>
      <c r="B3668" t="s">
        <v>5161</v>
      </c>
      <c r="C3668" t="s">
        <v>411</v>
      </c>
      <c r="D3668" t="s">
        <v>923</v>
      </c>
      <c r="E3668">
        <v>20</v>
      </c>
      <c r="F3668" t="s">
        <v>5163</v>
      </c>
      <c r="G3668" t="s">
        <v>5169</v>
      </c>
    </row>
    <row r="3669" spans="1:7" hidden="1">
      <c r="A3669" s="5" t="s">
        <v>4639</v>
      </c>
      <c r="B3669" t="s">
        <v>5161</v>
      </c>
      <c r="C3669" t="s">
        <v>411</v>
      </c>
      <c r="D3669" t="s">
        <v>8895</v>
      </c>
      <c r="E3669">
        <v>22</v>
      </c>
      <c r="F3669" t="s">
        <v>5163</v>
      </c>
      <c r="G3669" t="s">
        <v>5169</v>
      </c>
    </row>
    <row r="3670" spans="1:7" hidden="1">
      <c r="A3670" s="5" t="s">
        <v>4127</v>
      </c>
      <c r="B3670" t="s">
        <v>5161</v>
      </c>
      <c r="C3670" t="s">
        <v>411</v>
      </c>
      <c r="D3670" t="s">
        <v>8896</v>
      </c>
      <c r="E3670">
        <v>28</v>
      </c>
      <c r="F3670" t="s">
        <v>5163</v>
      </c>
      <c r="G3670" t="s">
        <v>5164</v>
      </c>
    </row>
    <row r="3671" spans="1:7" hidden="1">
      <c r="A3671" s="5" t="s">
        <v>4127</v>
      </c>
      <c r="B3671" t="s">
        <v>5161</v>
      </c>
      <c r="C3671" t="s">
        <v>411</v>
      </c>
      <c r="D3671" t="s">
        <v>8897</v>
      </c>
      <c r="E3671">
        <v>46</v>
      </c>
      <c r="F3671" t="s">
        <v>5163</v>
      </c>
      <c r="G3671" t="s">
        <v>1905</v>
      </c>
    </row>
    <row r="3672" spans="1:7" hidden="1">
      <c r="A3672" s="5" t="s">
        <v>4127</v>
      </c>
      <c r="B3672" t="s">
        <v>5161</v>
      </c>
      <c r="C3672" t="s">
        <v>411</v>
      </c>
      <c r="D3672" t="s">
        <v>8898</v>
      </c>
      <c r="E3672">
        <v>29</v>
      </c>
      <c r="F3672" t="s">
        <v>5163</v>
      </c>
      <c r="G3672" t="s">
        <v>5164</v>
      </c>
    </row>
    <row r="3673" spans="1:7" hidden="1">
      <c r="A3673" s="5" t="s">
        <v>4127</v>
      </c>
      <c r="B3673" t="s">
        <v>5161</v>
      </c>
      <c r="C3673" t="s">
        <v>411</v>
      </c>
      <c r="D3673" t="s">
        <v>8899</v>
      </c>
      <c r="E3673">
        <v>44</v>
      </c>
      <c r="F3673" t="s">
        <v>5163</v>
      </c>
      <c r="G3673" t="s">
        <v>1905</v>
      </c>
    </row>
    <row r="3674" spans="1:7" hidden="1">
      <c r="A3674" s="5" t="s">
        <v>395</v>
      </c>
      <c r="B3674" t="s">
        <v>5161</v>
      </c>
      <c r="C3674" t="s">
        <v>411</v>
      </c>
      <c r="D3674" t="s">
        <v>925</v>
      </c>
      <c r="E3674">
        <v>21</v>
      </c>
      <c r="F3674" t="s">
        <v>5163</v>
      </c>
      <c r="G3674" t="s">
        <v>5169</v>
      </c>
    </row>
    <row r="3675" spans="1:7" hidden="1">
      <c r="A3675" s="5" t="s">
        <v>395</v>
      </c>
      <c r="B3675" t="s">
        <v>5161</v>
      </c>
      <c r="C3675" t="s">
        <v>411</v>
      </c>
      <c r="D3675" t="s">
        <v>925</v>
      </c>
      <c r="E3675">
        <v>21</v>
      </c>
      <c r="F3675" t="s">
        <v>5163</v>
      </c>
      <c r="G3675" t="s">
        <v>5169</v>
      </c>
    </row>
    <row r="3676" spans="1:7" hidden="1">
      <c r="A3676" s="5" t="s">
        <v>395</v>
      </c>
      <c r="B3676" t="s">
        <v>5161</v>
      </c>
      <c r="C3676" t="s">
        <v>411</v>
      </c>
      <c r="D3676" t="s">
        <v>8900</v>
      </c>
      <c r="E3676">
        <v>26</v>
      </c>
      <c r="F3676" t="s">
        <v>5163</v>
      </c>
      <c r="G3676" t="s">
        <v>5164</v>
      </c>
    </row>
    <row r="3677" spans="1:7" hidden="1">
      <c r="A3677" s="5" t="s">
        <v>4343</v>
      </c>
      <c r="B3677" t="s">
        <v>5161</v>
      </c>
      <c r="C3677" t="s">
        <v>411</v>
      </c>
      <c r="D3677" t="s">
        <v>7627</v>
      </c>
      <c r="E3677">
        <v>20</v>
      </c>
      <c r="F3677" t="s">
        <v>5163</v>
      </c>
      <c r="G3677" t="s">
        <v>5164</v>
      </c>
    </row>
    <row r="3678" spans="1:7" hidden="1">
      <c r="A3678" s="5" t="s">
        <v>3460</v>
      </c>
      <c r="B3678" t="s">
        <v>5161</v>
      </c>
      <c r="C3678" t="s">
        <v>411</v>
      </c>
      <c r="D3678" t="s">
        <v>8901</v>
      </c>
      <c r="E3678">
        <v>20</v>
      </c>
      <c r="F3678" t="s">
        <v>5163</v>
      </c>
      <c r="G3678" t="s">
        <v>5164</v>
      </c>
    </row>
    <row r="3679" spans="1:7" hidden="1">
      <c r="A3679" s="5" t="s">
        <v>3460</v>
      </c>
      <c r="B3679" t="s">
        <v>5161</v>
      </c>
      <c r="C3679" t="s">
        <v>411</v>
      </c>
      <c r="D3679" t="s">
        <v>8902</v>
      </c>
      <c r="E3679">
        <v>24</v>
      </c>
      <c r="F3679" t="s">
        <v>5163</v>
      </c>
      <c r="G3679" t="s">
        <v>1905</v>
      </c>
    </row>
    <row r="3680" spans="1:7" hidden="1">
      <c r="A3680" s="5" t="s">
        <v>3460</v>
      </c>
      <c r="B3680" t="s">
        <v>5161</v>
      </c>
      <c r="C3680" t="s">
        <v>411</v>
      </c>
      <c r="D3680" t="s">
        <v>8903</v>
      </c>
      <c r="E3680">
        <v>49</v>
      </c>
      <c r="F3680" t="s">
        <v>5163</v>
      </c>
      <c r="G3680" t="s">
        <v>5164</v>
      </c>
    </row>
    <row r="3681" spans="1:7" hidden="1">
      <c r="A3681" s="5" t="s">
        <v>4160</v>
      </c>
      <c r="B3681" t="s">
        <v>5161</v>
      </c>
      <c r="C3681" t="s">
        <v>411</v>
      </c>
      <c r="D3681" t="s">
        <v>8904</v>
      </c>
      <c r="E3681">
        <v>20</v>
      </c>
      <c r="F3681" t="s">
        <v>5163</v>
      </c>
      <c r="G3681" t="s">
        <v>5164</v>
      </c>
    </row>
    <row r="3682" spans="1:7" hidden="1">
      <c r="A3682" s="5" t="s">
        <v>8905</v>
      </c>
      <c r="B3682" t="s">
        <v>5161</v>
      </c>
      <c r="C3682" t="s">
        <v>411</v>
      </c>
      <c r="D3682" t="s">
        <v>8906</v>
      </c>
      <c r="E3682">
        <v>44</v>
      </c>
      <c r="F3682" t="s">
        <v>5163</v>
      </c>
      <c r="G3682" t="s">
        <v>1905</v>
      </c>
    </row>
    <row r="3683" spans="1:7" hidden="1">
      <c r="A3683" s="5" t="s">
        <v>4429</v>
      </c>
      <c r="B3683" t="s">
        <v>5161</v>
      </c>
      <c r="C3683" t="s">
        <v>411</v>
      </c>
      <c r="D3683" t="s">
        <v>8907</v>
      </c>
      <c r="E3683">
        <v>20</v>
      </c>
      <c r="F3683" t="s">
        <v>5163</v>
      </c>
      <c r="G3683" t="s">
        <v>5164</v>
      </c>
    </row>
    <row r="3684" spans="1:7" hidden="1">
      <c r="A3684" s="5" t="s">
        <v>4117</v>
      </c>
      <c r="B3684" t="s">
        <v>5161</v>
      </c>
      <c r="C3684" t="s">
        <v>411</v>
      </c>
      <c r="D3684" t="s">
        <v>8908</v>
      </c>
      <c r="E3684">
        <v>31</v>
      </c>
      <c r="F3684" t="s">
        <v>5163</v>
      </c>
      <c r="G3684" t="s">
        <v>1905</v>
      </c>
    </row>
    <row r="3685" spans="1:7" hidden="1">
      <c r="A3685" s="5" t="s">
        <v>3902</v>
      </c>
      <c r="B3685" t="s">
        <v>5161</v>
      </c>
      <c r="C3685" t="s">
        <v>411</v>
      </c>
      <c r="D3685" t="s">
        <v>8909</v>
      </c>
      <c r="E3685">
        <v>22</v>
      </c>
      <c r="F3685" t="s">
        <v>5163</v>
      </c>
      <c r="G3685" t="s">
        <v>1905</v>
      </c>
    </row>
    <row r="3686" spans="1:7" hidden="1">
      <c r="A3686" s="5" t="s">
        <v>4473</v>
      </c>
      <c r="B3686" t="s">
        <v>5161</v>
      </c>
      <c r="C3686" t="s">
        <v>411</v>
      </c>
      <c r="D3686" t="s">
        <v>6878</v>
      </c>
      <c r="E3686">
        <v>63</v>
      </c>
      <c r="F3686" t="s">
        <v>5163</v>
      </c>
      <c r="G3686" t="s">
        <v>5164</v>
      </c>
    </row>
    <row r="3687" spans="1:7" hidden="1">
      <c r="A3687" s="5" t="s">
        <v>3791</v>
      </c>
      <c r="B3687" t="s">
        <v>5161</v>
      </c>
      <c r="C3687" t="s">
        <v>411</v>
      </c>
      <c r="D3687" t="s">
        <v>8910</v>
      </c>
      <c r="E3687">
        <v>19</v>
      </c>
      <c r="F3687" t="s">
        <v>5163</v>
      </c>
      <c r="G3687" t="s">
        <v>5164</v>
      </c>
    </row>
    <row r="3688" spans="1:7" hidden="1">
      <c r="A3688" s="5" t="s">
        <v>3829</v>
      </c>
      <c r="B3688" t="s">
        <v>5161</v>
      </c>
      <c r="C3688" t="s">
        <v>411</v>
      </c>
      <c r="D3688" t="s">
        <v>8911</v>
      </c>
      <c r="E3688">
        <v>22</v>
      </c>
      <c r="F3688" t="s">
        <v>5163</v>
      </c>
      <c r="G3688" t="s">
        <v>5164</v>
      </c>
    </row>
    <row r="3689" spans="1:7" hidden="1">
      <c r="A3689" s="5" t="s">
        <v>2976</v>
      </c>
      <c r="B3689" t="s">
        <v>5161</v>
      </c>
      <c r="C3689" t="s">
        <v>411</v>
      </c>
      <c r="D3689" t="s">
        <v>8912</v>
      </c>
      <c r="E3689">
        <v>18</v>
      </c>
      <c r="F3689" t="s">
        <v>5163</v>
      </c>
      <c r="G3689" t="s">
        <v>5164</v>
      </c>
    </row>
    <row r="3690" spans="1:7" hidden="1">
      <c r="A3690" s="5" t="s">
        <v>3850</v>
      </c>
      <c r="B3690" t="s">
        <v>5161</v>
      </c>
      <c r="C3690" t="s">
        <v>411</v>
      </c>
      <c r="D3690" t="s">
        <v>917</v>
      </c>
      <c r="E3690">
        <v>18</v>
      </c>
      <c r="F3690" t="s">
        <v>5163</v>
      </c>
      <c r="G3690" t="s">
        <v>5164</v>
      </c>
    </row>
    <row r="3691" spans="1:7" hidden="1">
      <c r="A3691" s="5" t="s">
        <v>2949</v>
      </c>
      <c r="B3691" t="s">
        <v>5161</v>
      </c>
      <c r="C3691" t="s">
        <v>411</v>
      </c>
      <c r="D3691" t="s">
        <v>8913</v>
      </c>
      <c r="E3691">
        <v>18</v>
      </c>
      <c r="F3691" t="s">
        <v>5163</v>
      </c>
      <c r="G3691" t="s">
        <v>5164</v>
      </c>
    </row>
    <row r="3692" spans="1:7" hidden="1">
      <c r="A3692" s="5" t="s">
        <v>3570</v>
      </c>
      <c r="B3692" t="s">
        <v>5161</v>
      </c>
      <c r="C3692" t="s">
        <v>411</v>
      </c>
      <c r="D3692" t="s">
        <v>8914</v>
      </c>
      <c r="E3692">
        <v>21</v>
      </c>
      <c r="F3692" t="s">
        <v>5163</v>
      </c>
      <c r="G3692" t="s">
        <v>5164</v>
      </c>
    </row>
    <row r="3693" spans="1:7" hidden="1">
      <c r="A3693" s="5" t="s">
        <v>3559</v>
      </c>
      <c r="B3693" t="s">
        <v>5161</v>
      </c>
      <c r="C3693" t="s">
        <v>411</v>
      </c>
      <c r="D3693" t="s">
        <v>8915</v>
      </c>
      <c r="E3693">
        <v>19</v>
      </c>
      <c r="F3693" t="s">
        <v>5163</v>
      </c>
      <c r="G3693" t="s">
        <v>1905</v>
      </c>
    </row>
    <row r="3694" spans="1:7" hidden="1">
      <c r="A3694" s="5" t="s">
        <v>8916</v>
      </c>
      <c r="B3694" t="s">
        <v>5161</v>
      </c>
      <c r="C3694" t="s">
        <v>411</v>
      </c>
      <c r="D3694" t="s">
        <v>8917</v>
      </c>
      <c r="E3694">
        <v>21</v>
      </c>
      <c r="F3694" t="s">
        <v>5163</v>
      </c>
      <c r="G3694" t="s">
        <v>1905</v>
      </c>
    </row>
    <row r="3695" spans="1:7" hidden="1">
      <c r="A3695" s="5" t="s">
        <v>3742</v>
      </c>
      <c r="B3695" t="s">
        <v>5161</v>
      </c>
      <c r="C3695" t="s">
        <v>411</v>
      </c>
      <c r="D3695" t="s">
        <v>8918</v>
      </c>
      <c r="E3695">
        <v>24</v>
      </c>
      <c r="F3695" t="s">
        <v>5163</v>
      </c>
      <c r="G3695" t="s">
        <v>5164</v>
      </c>
    </row>
    <row r="3696" spans="1:7" hidden="1">
      <c r="A3696" s="5" t="s">
        <v>3708</v>
      </c>
      <c r="B3696" t="s">
        <v>5161</v>
      </c>
      <c r="C3696" t="s">
        <v>411</v>
      </c>
      <c r="D3696" t="s">
        <v>8919</v>
      </c>
      <c r="E3696">
        <v>46</v>
      </c>
      <c r="F3696" t="s">
        <v>5163</v>
      </c>
      <c r="G3696" t="s">
        <v>1905</v>
      </c>
    </row>
    <row r="3697" spans="1:7" hidden="1">
      <c r="A3697" s="5" t="s">
        <v>3728</v>
      </c>
      <c r="B3697" t="s">
        <v>5161</v>
      </c>
      <c r="C3697" t="s">
        <v>411</v>
      </c>
      <c r="D3697" t="s">
        <v>8920</v>
      </c>
      <c r="E3697">
        <v>21</v>
      </c>
      <c r="F3697" t="s">
        <v>5163</v>
      </c>
      <c r="G3697" t="s">
        <v>5164</v>
      </c>
    </row>
    <row r="3698" spans="1:7" hidden="1">
      <c r="A3698" s="5" t="s">
        <v>3614</v>
      </c>
      <c r="B3698" t="s">
        <v>5161</v>
      </c>
      <c r="C3698" t="s">
        <v>411</v>
      </c>
      <c r="D3698" t="s">
        <v>8921</v>
      </c>
      <c r="E3698">
        <v>19</v>
      </c>
      <c r="F3698" t="s">
        <v>5163</v>
      </c>
      <c r="G3698" t="s">
        <v>5164</v>
      </c>
    </row>
    <row r="3699" spans="1:7" hidden="1">
      <c r="A3699" s="5" t="s">
        <v>3922</v>
      </c>
      <c r="B3699" t="s">
        <v>5161</v>
      </c>
      <c r="C3699" t="s">
        <v>411</v>
      </c>
      <c r="D3699" t="s">
        <v>8922</v>
      </c>
      <c r="E3699">
        <v>29</v>
      </c>
      <c r="F3699" t="s">
        <v>5163</v>
      </c>
      <c r="G3699" t="s">
        <v>1905</v>
      </c>
    </row>
    <row r="3700" spans="1:7" hidden="1">
      <c r="A3700" s="5" t="s">
        <v>3260</v>
      </c>
      <c r="B3700" t="s">
        <v>5161</v>
      </c>
      <c r="C3700" t="s">
        <v>411</v>
      </c>
      <c r="D3700" t="s">
        <v>8923</v>
      </c>
      <c r="E3700">
        <v>19</v>
      </c>
      <c r="F3700" t="s">
        <v>5163</v>
      </c>
      <c r="G3700" t="s">
        <v>1905</v>
      </c>
    </row>
    <row r="3701" spans="1:7" hidden="1">
      <c r="A3701" s="5" t="s">
        <v>3490</v>
      </c>
      <c r="B3701" t="s">
        <v>5161</v>
      </c>
      <c r="C3701" t="s">
        <v>411</v>
      </c>
      <c r="D3701" t="s">
        <v>8924</v>
      </c>
      <c r="E3701">
        <v>36</v>
      </c>
      <c r="F3701" t="s">
        <v>5163</v>
      </c>
      <c r="G3701" t="s">
        <v>5164</v>
      </c>
    </row>
    <row r="3702" spans="1:7" hidden="1">
      <c r="A3702" s="5" t="s">
        <v>2191</v>
      </c>
      <c r="B3702" t="s">
        <v>5161</v>
      </c>
      <c r="C3702" t="s">
        <v>411</v>
      </c>
      <c r="D3702" t="s">
        <v>8925</v>
      </c>
      <c r="E3702">
        <v>24</v>
      </c>
      <c r="F3702" t="s">
        <v>5163</v>
      </c>
      <c r="G3702" t="s">
        <v>5164</v>
      </c>
    </row>
    <row r="3703" spans="1:7" hidden="1">
      <c r="A3703" s="5" t="s">
        <v>2911</v>
      </c>
      <c r="B3703" t="s">
        <v>5161</v>
      </c>
      <c r="C3703" t="s">
        <v>411</v>
      </c>
      <c r="D3703" t="s">
        <v>8926</v>
      </c>
      <c r="E3703">
        <v>18</v>
      </c>
      <c r="F3703" t="s">
        <v>5163</v>
      </c>
      <c r="G3703" t="s">
        <v>1905</v>
      </c>
    </row>
    <row r="3704" spans="1:7" hidden="1">
      <c r="A3704" s="5" t="s">
        <v>3126</v>
      </c>
      <c r="B3704" t="s">
        <v>5161</v>
      </c>
      <c r="C3704" t="s">
        <v>411</v>
      </c>
      <c r="D3704" t="s">
        <v>8927</v>
      </c>
      <c r="E3704">
        <v>35</v>
      </c>
      <c r="F3704" t="s">
        <v>5163</v>
      </c>
      <c r="G3704" t="s">
        <v>5164</v>
      </c>
    </row>
    <row r="3705" spans="1:7" hidden="1">
      <c r="A3705" s="5" t="s">
        <v>400</v>
      </c>
      <c r="B3705" t="s">
        <v>5161</v>
      </c>
      <c r="C3705" t="s">
        <v>411</v>
      </c>
      <c r="D3705" t="s">
        <v>932</v>
      </c>
      <c r="E3705">
        <v>19</v>
      </c>
      <c r="F3705" t="s">
        <v>5163</v>
      </c>
      <c r="G3705" t="s">
        <v>5164</v>
      </c>
    </row>
    <row r="3706" spans="1:7" hidden="1">
      <c r="A3706" s="5" t="s">
        <v>2860</v>
      </c>
      <c r="B3706" t="s">
        <v>5161</v>
      </c>
      <c r="C3706" t="s">
        <v>411</v>
      </c>
      <c r="D3706" t="s">
        <v>8928</v>
      </c>
      <c r="E3706">
        <v>49</v>
      </c>
      <c r="F3706" t="s">
        <v>5163</v>
      </c>
      <c r="G3706" t="s">
        <v>1905</v>
      </c>
    </row>
    <row r="3707" spans="1:7" hidden="1">
      <c r="A3707" s="5" t="s">
        <v>3446</v>
      </c>
      <c r="B3707" t="s">
        <v>5161</v>
      </c>
      <c r="C3707" t="s">
        <v>411</v>
      </c>
      <c r="D3707" t="s">
        <v>8929</v>
      </c>
      <c r="E3707">
        <v>24</v>
      </c>
      <c r="F3707" t="s">
        <v>5163</v>
      </c>
      <c r="G3707" t="s">
        <v>5164</v>
      </c>
    </row>
    <row r="3708" spans="1:7" hidden="1">
      <c r="A3708" s="5" t="s">
        <v>8930</v>
      </c>
      <c r="B3708" t="s">
        <v>5161</v>
      </c>
      <c r="C3708" t="s">
        <v>411</v>
      </c>
      <c r="D3708" t="s">
        <v>8931</v>
      </c>
      <c r="E3708">
        <v>23</v>
      </c>
      <c r="F3708" t="s">
        <v>5163</v>
      </c>
      <c r="G3708" t="s">
        <v>5169</v>
      </c>
    </row>
    <row r="3709" spans="1:7" hidden="1">
      <c r="A3709" s="5" t="s">
        <v>3506</v>
      </c>
      <c r="B3709" t="s">
        <v>5161</v>
      </c>
      <c r="C3709" t="s">
        <v>411</v>
      </c>
      <c r="D3709" t="s">
        <v>8932</v>
      </c>
      <c r="E3709">
        <v>26</v>
      </c>
      <c r="F3709" t="s">
        <v>5163</v>
      </c>
      <c r="G3709" t="s">
        <v>5182</v>
      </c>
    </row>
    <row r="3710" spans="1:7" hidden="1">
      <c r="A3710" s="5" t="s">
        <v>3139</v>
      </c>
      <c r="B3710" t="s">
        <v>5161</v>
      </c>
      <c r="C3710" t="s">
        <v>411</v>
      </c>
      <c r="D3710" t="s">
        <v>8933</v>
      </c>
      <c r="E3710">
        <v>27</v>
      </c>
      <c r="F3710" t="s">
        <v>5163</v>
      </c>
      <c r="G3710" t="s">
        <v>5169</v>
      </c>
    </row>
    <row r="3711" spans="1:7" hidden="1">
      <c r="A3711" s="5" t="s">
        <v>3357</v>
      </c>
      <c r="B3711" t="s">
        <v>5161</v>
      </c>
      <c r="C3711" t="s">
        <v>411</v>
      </c>
      <c r="D3711" t="s">
        <v>8934</v>
      </c>
      <c r="E3711">
        <v>29</v>
      </c>
      <c r="F3711" t="s">
        <v>5163</v>
      </c>
      <c r="G3711" t="s">
        <v>1905</v>
      </c>
    </row>
    <row r="3712" spans="1:7" hidden="1">
      <c r="A3712" s="5" t="s">
        <v>2686</v>
      </c>
      <c r="B3712" t="s">
        <v>5161</v>
      </c>
      <c r="C3712" t="s">
        <v>411</v>
      </c>
      <c r="D3712" t="s">
        <v>8935</v>
      </c>
      <c r="E3712">
        <v>32</v>
      </c>
      <c r="F3712" t="s">
        <v>5172</v>
      </c>
      <c r="G3712" t="s">
        <v>5164</v>
      </c>
    </row>
    <row r="3713" spans="1:7" hidden="1">
      <c r="A3713" s="5" t="s">
        <v>3000</v>
      </c>
      <c r="B3713" t="s">
        <v>5161</v>
      </c>
      <c r="C3713" t="s">
        <v>411</v>
      </c>
      <c r="D3713" t="s">
        <v>8936</v>
      </c>
      <c r="E3713">
        <v>26</v>
      </c>
      <c r="F3713" t="s">
        <v>5163</v>
      </c>
      <c r="G3713" t="s">
        <v>5164</v>
      </c>
    </row>
    <row r="3714" spans="1:7" hidden="1">
      <c r="A3714" s="5" t="s">
        <v>3659</v>
      </c>
      <c r="B3714" t="s">
        <v>5161</v>
      </c>
      <c r="C3714" t="s">
        <v>411</v>
      </c>
      <c r="D3714" t="s">
        <v>8937</v>
      </c>
      <c r="E3714">
        <v>35</v>
      </c>
      <c r="F3714" t="s">
        <v>5172</v>
      </c>
      <c r="G3714" t="s">
        <v>5164</v>
      </c>
    </row>
    <row r="3715" spans="1:7" hidden="1">
      <c r="A3715" s="5" t="s">
        <v>2768</v>
      </c>
      <c r="B3715" t="s">
        <v>5161</v>
      </c>
      <c r="C3715" t="s">
        <v>411</v>
      </c>
      <c r="D3715" t="s">
        <v>8938</v>
      </c>
      <c r="E3715">
        <v>19</v>
      </c>
      <c r="F3715" t="s">
        <v>5163</v>
      </c>
      <c r="G3715" t="s">
        <v>1905</v>
      </c>
    </row>
    <row r="3716" spans="1:7" hidden="1">
      <c r="A3716" s="5" t="s">
        <v>4710</v>
      </c>
      <c r="B3716" t="s">
        <v>5161</v>
      </c>
      <c r="C3716" t="s">
        <v>411</v>
      </c>
      <c r="D3716" t="s">
        <v>8939</v>
      </c>
      <c r="E3716">
        <v>25</v>
      </c>
      <c r="F3716" t="s">
        <v>5163</v>
      </c>
      <c r="G3716" t="s">
        <v>1905</v>
      </c>
    </row>
    <row r="3717" spans="1:7" hidden="1">
      <c r="A3717" s="5" t="s">
        <v>2410</v>
      </c>
      <c r="B3717" t="s">
        <v>5161</v>
      </c>
      <c r="C3717" t="s">
        <v>411</v>
      </c>
      <c r="D3717" t="s">
        <v>8940</v>
      </c>
      <c r="E3717">
        <v>31</v>
      </c>
      <c r="F3717" t="s">
        <v>5163</v>
      </c>
      <c r="G3717" t="s">
        <v>5169</v>
      </c>
    </row>
    <row r="3718" spans="1:7" hidden="1">
      <c r="A3718" s="5" t="s">
        <v>2410</v>
      </c>
      <c r="B3718" t="s">
        <v>5161</v>
      </c>
      <c r="C3718" t="s">
        <v>411</v>
      </c>
      <c r="D3718" t="s">
        <v>8941</v>
      </c>
      <c r="E3718">
        <v>23</v>
      </c>
      <c r="F3718" t="s">
        <v>5163</v>
      </c>
      <c r="G3718" t="s">
        <v>1905</v>
      </c>
    </row>
    <row r="3719" spans="1:7" hidden="1">
      <c r="A3719" s="5" t="s">
        <v>2776</v>
      </c>
      <c r="B3719" t="s">
        <v>5161</v>
      </c>
      <c r="C3719" t="s">
        <v>411</v>
      </c>
      <c r="D3719" t="s">
        <v>8942</v>
      </c>
      <c r="E3719">
        <v>30</v>
      </c>
      <c r="F3719" t="s">
        <v>5163</v>
      </c>
      <c r="G3719" t="s">
        <v>1905</v>
      </c>
    </row>
    <row r="3720" spans="1:7" hidden="1">
      <c r="A3720" s="5" t="s">
        <v>3090</v>
      </c>
      <c r="B3720" t="s">
        <v>5161</v>
      </c>
      <c r="C3720" t="s">
        <v>411</v>
      </c>
      <c r="D3720" t="s">
        <v>8943</v>
      </c>
      <c r="E3720">
        <v>25</v>
      </c>
      <c r="F3720" t="s">
        <v>5163</v>
      </c>
      <c r="G3720" t="s">
        <v>1905</v>
      </c>
    </row>
    <row r="3721" spans="1:7" hidden="1">
      <c r="A3721" s="5" t="s">
        <v>3281</v>
      </c>
      <c r="B3721" t="s">
        <v>5161</v>
      </c>
      <c r="C3721" t="s">
        <v>411</v>
      </c>
      <c r="D3721" t="s">
        <v>8944</v>
      </c>
      <c r="E3721">
        <v>19</v>
      </c>
      <c r="F3721" t="s">
        <v>5163</v>
      </c>
      <c r="G3721" t="s">
        <v>5164</v>
      </c>
    </row>
    <row r="3722" spans="1:7" hidden="1">
      <c r="A3722" s="5" t="s">
        <v>2259</v>
      </c>
      <c r="B3722" t="s">
        <v>5161</v>
      </c>
      <c r="C3722" t="s">
        <v>411</v>
      </c>
      <c r="D3722" t="s">
        <v>8945</v>
      </c>
      <c r="E3722">
        <v>43</v>
      </c>
      <c r="F3722" t="s">
        <v>5163</v>
      </c>
      <c r="G3722" t="s">
        <v>5164</v>
      </c>
    </row>
    <row r="3723" spans="1:7" hidden="1">
      <c r="A3723" s="5" t="s">
        <v>3070</v>
      </c>
      <c r="B3723" t="s">
        <v>5161</v>
      </c>
      <c r="C3723" t="s">
        <v>411</v>
      </c>
      <c r="D3723" t="s">
        <v>8946</v>
      </c>
      <c r="E3723">
        <v>22</v>
      </c>
      <c r="F3723" t="s">
        <v>5163</v>
      </c>
      <c r="G3723" t="s">
        <v>1905</v>
      </c>
    </row>
    <row r="3724" spans="1:7" hidden="1">
      <c r="A3724" s="5" t="s">
        <v>3255</v>
      </c>
      <c r="B3724" t="s">
        <v>5161</v>
      </c>
      <c r="C3724" t="s">
        <v>411</v>
      </c>
      <c r="D3724" t="s">
        <v>8947</v>
      </c>
      <c r="E3724">
        <v>28</v>
      </c>
      <c r="F3724" t="s">
        <v>5163</v>
      </c>
      <c r="G3724" t="s">
        <v>5164</v>
      </c>
    </row>
    <row r="3725" spans="1:7" hidden="1">
      <c r="A3725" s="5" t="s">
        <v>393</v>
      </c>
      <c r="B3725" t="s">
        <v>5161</v>
      </c>
      <c r="C3725" t="s">
        <v>411</v>
      </c>
      <c r="D3725" t="s">
        <v>920</v>
      </c>
      <c r="E3725">
        <v>22</v>
      </c>
      <c r="F3725" t="s">
        <v>5163</v>
      </c>
      <c r="G3725" t="s">
        <v>1905</v>
      </c>
    </row>
    <row r="3726" spans="1:7" hidden="1">
      <c r="A3726" s="5" t="s">
        <v>3168</v>
      </c>
      <c r="B3726" t="s">
        <v>5161</v>
      </c>
      <c r="C3726" t="s">
        <v>411</v>
      </c>
      <c r="D3726" t="s">
        <v>8948</v>
      </c>
      <c r="E3726">
        <v>21</v>
      </c>
      <c r="F3726" t="s">
        <v>5163</v>
      </c>
      <c r="G3726" t="s">
        <v>5164</v>
      </c>
    </row>
    <row r="3727" spans="1:7" hidden="1">
      <c r="A3727" s="5" t="s">
        <v>2546</v>
      </c>
      <c r="B3727" t="s">
        <v>5161</v>
      </c>
      <c r="C3727" t="s">
        <v>411</v>
      </c>
      <c r="D3727" t="s">
        <v>8949</v>
      </c>
      <c r="E3727">
        <v>32</v>
      </c>
      <c r="F3727" t="s">
        <v>5163</v>
      </c>
      <c r="G3727" t="s">
        <v>1905</v>
      </c>
    </row>
    <row r="3728" spans="1:7" hidden="1">
      <c r="A3728" s="5" t="s">
        <v>3269</v>
      </c>
      <c r="B3728" t="s">
        <v>5161</v>
      </c>
      <c r="C3728" t="s">
        <v>411</v>
      </c>
      <c r="D3728" t="s">
        <v>8950</v>
      </c>
      <c r="E3728">
        <v>33</v>
      </c>
      <c r="F3728" t="s">
        <v>5172</v>
      </c>
      <c r="G3728" t="s">
        <v>5164</v>
      </c>
    </row>
    <row r="3729" spans="1:7" hidden="1">
      <c r="A3729" s="5" t="s">
        <v>3069</v>
      </c>
      <c r="B3729" t="s">
        <v>5161</v>
      </c>
      <c r="C3729" t="s">
        <v>411</v>
      </c>
      <c r="D3729" t="s">
        <v>8951</v>
      </c>
      <c r="E3729">
        <v>24</v>
      </c>
      <c r="F3729" t="s">
        <v>5163</v>
      </c>
      <c r="G3729" t="s">
        <v>1905</v>
      </c>
    </row>
    <row r="3730" spans="1:7" hidden="1">
      <c r="A3730" s="5" t="s">
        <v>2623</v>
      </c>
      <c r="B3730" t="s">
        <v>5161</v>
      </c>
      <c r="C3730" t="s">
        <v>411</v>
      </c>
      <c r="D3730" t="s">
        <v>8952</v>
      </c>
      <c r="E3730">
        <v>33</v>
      </c>
      <c r="F3730" t="s">
        <v>5172</v>
      </c>
      <c r="G3730" t="s">
        <v>5164</v>
      </c>
    </row>
    <row r="3731" spans="1:7" hidden="1">
      <c r="A3731" s="5" t="s">
        <v>2623</v>
      </c>
      <c r="B3731" t="s">
        <v>5161</v>
      </c>
      <c r="C3731" t="s">
        <v>411</v>
      </c>
      <c r="D3731" t="s">
        <v>8953</v>
      </c>
      <c r="E3731">
        <v>24</v>
      </c>
      <c r="F3731" t="s">
        <v>5172</v>
      </c>
      <c r="G3731" t="s">
        <v>5169</v>
      </c>
    </row>
    <row r="3732" spans="1:7" hidden="1">
      <c r="A3732" s="5" t="s">
        <v>2888</v>
      </c>
      <c r="B3732" t="s">
        <v>5161</v>
      </c>
      <c r="C3732" t="s">
        <v>411</v>
      </c>
      <c r="D3732" t="s">
        <v>8954</v>
      </c>
      <c r="E3732">
        <v>39</v>
      </c>
      <c r="F3732" t="s">
        <v>5163</v>
      </c>
      <c r="G3732" t="s">
        <v>5164</v>
      </c>
    </row>
    <row r="3733" spans="1:7" hidden="1">
      <c r="A3733" s="5" t="s">
        <v>2935</v>
      </c>
      <c r="B3733" t="s">
        <v>5161</v>
      </c>
      <c r="C3733" t="s">
        <v>411</v>
      </c>
      <c r="D3733" t="s">
        <v>8955</v>
      </c>
      <c r="E3733">
        <v>29</v>
      </c>
      <c r="F3733" t="s">
        <v>5163</v>
      </c>
      <c r="G3733" t="s">
        <v>1905</v>
      </c>
    </row>
    <row r="3734" spans="1:7" hidden="1">
      <c r="A3734" s="5" t="s">
        <v>2692</v>
      </c>
      <c r="B3734" t="s">
        <v>5161</v>
      </c>
      <c r="C3734" t="s">
        <v>411</v>
      </c>
      <c r="D3734" t="s">
        <v>8956</v>
      </c>
      <c r="E3734">
        <v>18</v>
      </c>
      <c r="F3734" t="s">
        <v>5163</v>
      </c>
      <c r="G3734" t="s">
        <v>5164</v>
      </c>
    </row>
    <row r="3735" spans="1:7" hidden="1">
      <c r="A3735" s="5" t="s">
        <v>2280</v>
      </c>
      <c r="B3735" t="s">
        <v>5161</v>
      </c>
      <c r="C3735" t="s">
        <v>411</v>
      </c>
      <c r="D3735" t="s">
        <v>8957</v>
      </c>
      <c r="E3735">
        <v>36</v>
      </c>
      <c r="F3735" t="s">
        <v>5163</v>
      </c>
      <c r="G3735" t="s">
        <v>5169</v>
      </c>
    </row>
    <row r="3736" spans="1:7" hidden="1">
      <c r="A3736" s="5" t="s">
        <v>2820</v>
      </c>
      <c r="B3736" t="s">
        <v>5161</v>
      </c>
      <c r="C3736" t="s">
        <v>411</v>
      </c>
      <c r="D3736" t="s">
        <v>8958</v>
      </c>
      <c r="E3736">
        <v>22</v>
      </c>
      <c r="F3736" t="s">
        <v>5163</v>
      </c>
      <c r="G3736" t="s">
        <v>5164</v>
      </c>
    </row>
    <row r="3737" spans="1:7" hidden="1">
      <c r="A3737" s="5" t="s">
        <v>4050</v>
      </c>
      <c r="B3737" t="s">
        <v>5161</v>
      </c>
      <c r="C3737" t="s">
        <v>411</v>
      </c>
      <c r="D3737" t="s">
        <v>8959</v>
      </c>
      <c r="E3737">
        <v>22</v>
      </c>
      <c r="F3737" t="s">
        <v>5163</v>
      </c>
      <c r="G3737" t="s">
        <v>5164</v>
      </c>
    </row>
    <row r="3738" spans="1:7" hidden="1">
      <c r="A3738" s="5" t="s">
        <v>2711</v>
      </c>
      <c r="B3738" t="s">
        <v>5161</v>
      </c>
      <c r="C3738" t="s">
        <v>411</v>
      </c>
      <c r="D3738" t="s">
        <v>8960</v>
      </c>
      <c r="E3738">
        <v>38</v>
      </c>
      <c r="F3738" t="s">
        <v>5163</v>
      </c>
      <c r="G3738" t="s">
        <v>5164</v>
      </c>
    </row>
    <row r="3739" spans="1:7" hidden="1">
      <c r="A3739" s="5" t="s">
        <v>2798</v>
      </c>
      <c r="B3739" t="s">
        <v>5161</v>
      </c>
      <c r="C3739" t="s">
        <v>411</v>
      </c>
      <c r="D3739" t="s">
        <v>8961</v>
      </c>
      <c r="E3739">
        <v>37</v>
      </c>
      <c r="F3739" t="s">
        <v>5172</v>
      </c>
      <c r="G3739" t="s">
        <v>5164</v>
      </c>
    </row>
    <row r="3740" spans="1:7" hidden="1">
      <c r="A3740" s="5" t="s">
        <v>2798</v>
      </c>
      <c r="B3740" t="s">
        <v>5161</v>
      </c>
      <c r="C3740" t="s">
        <v>411</v>
      </c>
      <c r="D3740" t="s">
        <v>8962</v>
      </c>
      <c r="E3740">
        <v>32</v>
      </c>
      <c r="F3740" t="s">
        <v>5172</v>
      </c>
      <c r="G3740" t="s">
        <v>5164</v>
      </c>
    </row>
    <row r="3741" spans="1:7" hidden="1">
      <c r="A3741" s="5" t="s">
        <v>3821</v>
      </c>
      <c r="B3741" t="s">
        <v>5161</v>
      </c>
      <c r="C3741" t="s">
        <v>411</v>
      </c>
      <c r="D3741" t="s">
        <v>8963</v>
      </c>
      <c r="E3741">
        <v>22</v>
      </c>
      <c r="F3741" t="s">
        <v>5163</v>
      </c>
      <c r="G3741" t="s">
        <v>5164</v>
      </c>
    </row>
    <row r="3742" spans="1:7" hidden="1">
      <c r="A3742" s="5" t="s">
        <v>2999</v>
      </c>
      <c r="B3742" t="s">
        <v>5161</v>
      </c>
      <c r="C3742" t="s">
        <v>411</v>
      </c>
      <c r="D3742" t="s">
        <v>8964</v>
      </c>
      <c r="E3742">
        <v>26</v>
      </c>
      <c r="F3742" t="s">
        <v>5172</v>
      </c>
      <c r="G3742" t="s">
        <v>5164</v>
      </c>
    </row>
    <row r="3743" spans="1:7" hidden="1">
      <c r="A3743" s="5" t="s">
        <v>2219</v>
      </c>
      <c r="B3743" t="s">
        <v>5161</v>
      </c>
      <c r="C3743" t="s">
        <v>411</v>
      </c>
      <c r="D3743" t="s">
        <v>8965</v>
      </c>
      <c r="E3743">
        <v>38</v>
      </c>
      <c r="F3743" t="s">
        <v>5163</v>
      </c>
      <c r="G3743" t="s">
        <v>1905</v>
      </c>
    </row>
    <row r="3744" spans="1:7" hidden="1">
      <c r="A3744" s="5" t="s">
        <v>2563</v>
      </c>
      <c r="B3744" t="s">
        <v>5161</v>
      </c>
      <c r="C3744" t="s">
        <v>411</v>
      </c>
      <c r="D3744" t="s">
        <v>8966</v>
      </c>
      <c r="E3744">
        <v>46</v>
      </c>
      <c r="F3744" t="s">
        <v>5163</v>
      </c>
      <c r="G3744" t="s">
        <v>5164</v>
      </c>
    </row>
    <row r="3745" spans="1:7" hidden="1">
      <c r="A3745" s="5" t="s">
        <v>2111</v>
      </c>
      <c r="B3745" t="s">
        <v>5161</v>
      </c>
      <c r="C3745" t="s">
        <v>411</v>
      </c>
      <c r="D3745" t="s">
        <v>8967</v>
      </c>
      <c r="E3745">
        <v>25</v>
      </c>
      <c r="F3745" t="s">
        <v>5163</v>
      </c>
      <c r="G3745" t="s">
        <v>5164</v>
      </c>
    </row>
    <row r="3746" spans="1:7" hidden="1">
      <c r="A3746" s="5" t="s">
        <v>2579</v>
      </c>
      <c r="B3746" t="s">
        <v>5161</v>
      </c>
      <c r="C3746" t="s">
        <v>411</v>
      </c>
      <c r="D3746" t="s">
        <v>8493</v>
      </c>
      <c r="E3746">
        <v>47</v>
      </c>
      <c r="F3746" t="s">
        <v>5172</v>
      </c>
      <c r="G3746" t="s">
        <v>5164</v>
      </c>
    </row>
    <row r="3747" spans="1:7" hidden="1">
      <c r="A3747" s="5" t="s">
        <v>2632</v>
      </c>
      <c r="B3747" t="s">
        <v>5161</v>
      </c>
      <c r="C3747" t="s">
        <v>411</v>
      </c>
      <c r="D3747" t="s">
        <v>8968</v>
      </c>
      <c r="E3747">
        <v>25</v>
      </c>
      <c r="F3747" t="s">
        <v>5163</v>
      </c>
      <c r="G3747" t="s">
        <v>5164</v>
      </c>
    </row>
    <row r="3748" spans="1:7" hidden="1">
      <c r="A3748" s="5" t="s">
        <v>2113</v>
      </c>
      <c r="B3748" t="s">
        <v>5161</v>
      </c>
      <c r="C3748" t="s">
        <v>411</v>
      </c>
      <c r="D3748" t="s">
        <v>8969</v>
      </c>
      <c r="E3748">
        <v>32</v>
      </c>
      <c r="F3748" t="s">
        <v>5163</v>
      </c>
      <c r="G3748" t="s">
        <v>5164</v>
      </c>
    </row>
    <row r="3749" spans="1:7" hidden="1">
      <c r="A3749" s="5" t="s">
        <v>2516</v>
      </c>
      <c r="B3749" t="s">
        <v>5161</v>
      </c>
      <c r="C3749" t="s">
        <v>411</v>
      </c>
      <c r="D3749" t="s">
        <v>8970</v>
      </c>
      <c r="E3749">
        <v>22</v>
      </c>
      <c r="F3749" t="s">
        <v>5163</v>
      </c>
      <c r="G3749" t="s">
        <v>5164</v>
      </c>
    </row>
    <row r="3750" spans="1:7" hidden="1">
      <c r="A3750" s="5" t="s">
        <v>4407</v>
      </c>
      <c r="B3750" t="s">
        <v>5161</v>
      </c>
      <c r="C3750" t="s">
        <v>411</v>
      </c>
      <c r="D3750" t="s">
        <v>8971</v>
      </c>
      <c r="E3750">
        <v>28</v>
      </c>
      <c r="F3750" t="s">
        <v>5163</v>
      </c>
      <c r="G3750" t="s">
        <v>1905</v>
      </c>
    </row>
    <row r="3751" spans="1:7" hidden="1">
      <c r="A3751" s="5" t="s">
        <v>2367</v>
      </c>
      <c r="B3751" t="s">
        <v>5161</v>
      </c>
      <c r="C3751" t="s">
        <v>411</v>
      </c>
      <c r="D3751" t="s">
        <v>8972</v>
      </c>
      <c r="E3751">
        <v>22</v>
      </c>
      <c r="F3751" t="s">
        <v>5163</v>
      </c>
      <c r="G3751" t="s">
        <v>5164</v>
      </c>
    </row>
    <row r="3752" spans="1:7" hidden="1">
      <c r="A3752" s="5" t="s">
        <v>2367</v>
      </c>
      <c r="B3752" t="s">
        <v>5161</v>
      </c>
      <c r="C3752" t="s">
        <v>411</v>
      </c>
      <c r="D3752" t="s">
        <v>8973</v>
      </c>
      <c r="E3752">
        <v>24</v>
      </c>
      <c r="F3752" t="s">
        <v>5163</v>
      </c>
      <c r="G3752" t="s">
        <v>5164</v>
      </c>
    </row>
    <row r="3753" spans="1:7" hidden="1">
      <c r="A3753" s="5" t="s">
        <v>2653</v>
      </c>
      <c r="B3753" t="s">
        <v>5161</v>
      </c>
      <c r="C3753" t="s">
        <v>411</v>
      </c>
      <c r="D3753" t="s">
        <v>8974</v>
      </c>
      <c r="E3753">
        <v>18</v>
      </c>
      <c r="F3753" t="s">
        <v>5163</v>
      </c>
      <c r="G3753" t="s">
        <v>5164</v>
      </c>
    </row>
    <row r="3754" spans="1:7" hidden="1">
      <c r="A3754" s="5" t="s">
        <v>2320</v>
      </c>
      <c r="B3754" t="s">
        <v>5161</v>
      </c>
      <c r="C3754" t="s">
        <v>411</v>
      </c>
      <c r="D3754" t="s">
        <v>8975</v>
      </c>
      <c r="E3754">
        <v>25</v>
      </c>
      <c r="F3754" t="s">
        <v>5163</v>
      </c>
      <c r="G3754" t="s">
        <v>5164</v>
      </c>
    </row>
    <row r="3755" spans="1:7" hidden="1">
      <c r="A3755" s="5" t="s">
        <v>2320</v>
      </c>
      <c r="B3755" t="s">
        <v>5161</v>
      </c>
      <c r="C3755" t="s">
        <v>411</v>
      </c>
      <c r="D3755" t="s">
        <v>8976</v>
      </c>
      <c r="E3755">
        <v>26</v>
      </c>
      <c r="F3755" t="s">
        <v>5163</v>
      </c>
      <c r="G3755" t="s">
        <v>5164</v>
      </c>
    </row>
    <row r="3756" spans="1:7" hidden="1">
      <c r="A3756" s="5" t="s">
        <v>2541</v>
      </c>
      <c r="B3756" t="s">
        <v>5161</v>
      </c>
      <c r="C3756" t="s">
        <v>411</v>
      </c>
      <c r="D3756" t="s">
        <v>8977</v>
      </c>
      <c r="E3756">
        <v>24</v>
      </c>
      <c r="F3756" t="s">
        <v>5163</v>
      </c>
      <c r="G3756" t="s">
        <v>1905</v>
      </c>
    </row>
    <row r="3757" spans="1:7" hidden="1">
      <c r="A3757" s="5" t="s">
        <v>4982</v>
      </c>
      <c r="B3757" t="s">
        <v>5161</v>
      </c>
      <c r="C3757" t="s">
        <v>411</v>
      </c>
      <c r="D3757" t="s">
        <v>8978</v>
      </c>
      <c r="E3757">
        <v>25</v>
      </c>
      <c r="F3757" t="s">
        <v>5163</v>
      </c>
      <c r="G3757" t="s">
        <v>5164</v>
      </c>
    </row>
    <row r="3758" spans="1:7" hidden="1">
      <c r="A3758" s="5" t="s">
        <v>2411</v>
      </c>
      <c r="B3758" t="s">
        <v>5161</v>
      </c>
      <c r="C3758" t="s">
        <v>411</v>
      </c>
      <c r="D3758" t="s">
        <v>8979</v>
      </c>
      <c r="E3758">
        <v>32</v>
      </c>
      <c r="F3758" t="s">
        <v>5163</v>
      </c>
      <c r="G3758" t="s">
        <v>1905</v>
      </c>
    </row>
    <row r="3759" spans="1:7" hidden="1">
      <c r="A3759" s="5" t="s">
        <v>2765</v>
      </c>
      <c r="B3759" t="s">
        <v>5161</v>
      </c>
      <c r="C3759" t="s">
        <v>411</v>
      </c>
      <c r="D3759" t="s">
        <v>8870</v>
      </c>
      <c r="E3759">
        <v>21</v>
      </c>
      <c r="F3759" t="s">
        <v>5163</v>
      </c>
      <c r="G3759" t="s">
        <v>1905</v>
      </c>
    </row>
    <row r="3760" spans="1:7" hidden="1">
      <c r="A3760" s="5" t="s">
        <v>2394</v>
      </c>
      <c r="B3760" t="s">
        <v>5161</v>
      </c>
      <c r="C3760" t="s">
        <v>411</v>
      </c>
      <c r="D3760" t="s">
        <v>8980</v>
      </c>
      <c r="E3760">
        <v>23</v>
      </c>
      <c r="F3760" t="s">
        <v>5163</v>
      </c>
      <c r="G3760" t="s">
        <v>5164</v>
      </c>
    </row>
    <row r="3761" spans="1:7" hidden="1">
      <c r="A3761" s="5" t="s">
        <v>2378</v>
      </c>
      <c r="B3761" t="s">
        <v>5161</v>
      </c>
      <c r="C3761" t="s">
        <v>411</v>
      </c>
      <c r="D3761" t="s">
        <v>8981</v>
      </c>
      <c r="E3761">
        <v>23</v>
      </c>
      <c r="F3761" t="s">
        <v>5163</v>
      </c>
      <c r="G3761" t="s">
        <v>5164</v>
      </c>
    </row>
    <row r="3762" spans="1:7" hidden="1">
      <c r="A3762" s="5" t="s">
        <v>3502</v>
      </c>
      <c r="B3762" t="s">
        <v>5161</v>
      </c>
      <c r="C3762" t="s">
        <v>411</v>
      </c>
      <c r="D3762" t="s">
        <v>8982</v>
      </c>
      <c r="E3762">
        <v>52</v>
      </c>
      <c r="F3762" t="s">
        <v>5163</v>
      </c>
      <c r="G3762" t="s">
        <v>5169</v>
      </c>
    </row>
    <row r="3763" spans="1:7" hidden="1">
      <c r="A3763" s="5" t="s">
        <v>3300</v>
      </c>
      <c r="B3763" t="s">
        <v>5161</v>
      </c>
      <c r="C3763" t="s">
        <v>411</v>
      </c>
      <c r="D3763" t="s">
        <v>8983</v>
      </c>
      <c r="E3763">
        <v>34</v>
      </c>
      <c r="F3763" t="s">
        <v>5172</v>
      </c>
      <c r="G3763" t="s">
        <v>5164</v>
      </c>
    </row>
    <row r="3764" spans="1:7" hidden="1">
      <c r="A3764" s="5" t="s">
        <v>3300</v>
      </c>
      <c r="B3764" t="s">
        <v>5161</v>
      </c>
      <c r="C3764" t="s">
        <v>411</v>
      </c>
      <c r="D3764" t="s">
        <v>8984</v>
      </c>
      <c r="E3764">
        <v>37</v>
      </c>
      <c r="F3764" t="s">
        <v>5163</v>
      </c>
      <c r="G3764" t="s">
        <v>5164</v>
      </c>
    </row>
    <row r="3765" spans="1:7" hidden="1">
      <c r="A3765" s="5" t="s">
        <v>404</v>
      </c>
      <c r="B3765" t="s">
        <v>5161</v>
      </c>
      <c r="C3765" t="s">
        <v>411</v>
      </c>
      <c r="D3765" t="s">
        <v>941</v>
      </c>
      <c r="E3765">
        <v>29</v>
      </c>
      <c r="F3765" t="s">
        <v>5163</v>
      </c>
      <c r="G3765" t="s">
        <v>5164</v>
      </c>
    </row>
    <row r="3766" spans="1:7" hidden="1">
      <c r="A3766" s="5" t="s">
        <v>2351</v>
      </c>
      <c r="B3766" t="s">
        <v>5161</v>
      </c>
      <c r="C3766" t="s">
        <v>411</v>
      </c>
      <c r="D3766" t="s">
        <v>8985</v>
      </c>
      <c r="E3766">
        <v>38</v>
      </c>
      <c r="F3766" t="s">
        <v>5163</v>
      </c>
      <c r="G3766" t="s">
        <v>1905</v>
      </c>
    </row>
    <row r="3767" spans="1:7" hidden="1">
      <c r="A3767" s="5" t="s">
        <v>4904</v>
      </c>
      <c r="B3767" t="s">
        <v>5161</v>
      </c>
      <c r="C3767" t="s">
        <v>411</v>
      </c>
      <c r="D3767" t="s">
        <v>8986</v>
      </c>
      <c r="E3767">
        <v>28</v>
      </c>
      <c r="F3767" t="s">
        <v>5163</v>
      </c>
      <c r="G3767" t="s">
        <v>1905</v>
      </c>
    </row>
    <row r="3768" spans="1:7" hidden="1">
      <c r="A3768" s="5" t="s">
        <v>4904</v>
      </c>
      <c r="B3768" t="s">
        <v>5161</v>
      </c>
      <c r="C3768" t="s">
        <v>411</v>
      </c>
      <c r="D3768" t="s">
        <v>8987</v>
      </c>
      <c r="E3768">
        <v>34</v>
      </c>
      <c r="F3768" t="s">
        <v>5163</v>
      </c>
      <c r="G3768" t="s">
        <v>5169</v>
      </c>
    </row>
    <row r="3769" spans="1:7" hidden="1">
      <c r="A3769" s="5" t="s">
        <v>407</v>
      </c>
      <c r="B3769" t="s">
        <v>5161</v>
      </c>
      <c r="C3769" t="s">
        <v>411</v>
      </c>
      <c r="D3769" t="s">
        <v>945</v>
      </c>
      <c r="E3769">
        <v>30</v>
      </c>
      <c r="F3769" t="s">
        <v>5163</v>
      </c>
      <c r="G3769" t="s">
        <v>5164</v>
      </c>
    </row>
    <row r="3770" spans="1:7" hidden="1">
      <c r="A3770" s="5" t="s">
        <v>2274</v>
      </c>
      <c r="B3770" t="s">
        <v>5161</v>
      </c>
      <c r="C3770" t="s">
        <v>411</v>
      </c>
      <c r="D3770" t="s">
        <v>8988</v>
      </c>
      <c r="E3770">
        <v>20</v>
      </c>
      <c r="F3770" t="s">
        <v>5163</v>
      </c>
      <c r="G3770" t="s">
        <v>1905</v>
      </c>
    </row>
    <row r="3771" spans="1:7" hidden="1">
      <c r="A3771" s="5" t="s">
        <v>2274</v>
      </c>
      <c r="B3771" t="s">
        <v>5161</v>
      </c>
      <c r="C3771" t="s">
        <v>411</v>
      </c>
      <c r="D3771" t="s">
        <v>8989</v>
      </c>
      <c r="E3771">
        <v>19</v>
      </c>
      <c r="F3771" t="s">
        <v>5163</v>
      </c>
      <c r="G3771" t="s">
        <v>5164</v>
      </c>
    </row>
    <row r="3772" spans="1:7" hidden="1">
      <c r="A3772" s="5" t="s">
        <v>4290</v>
      </c>
      <c r="B3772" t="s">
        <v>5161</v>
      </c>
      <c r="C3772" t="s">
        <v>411</v>
      </c>
      <c r="D3772" t="s">
        <v>8990</v>
      </c>
      <c r="E3772">
        <v>19</v>
      </c>
      <c r="F3772" t="s">
        <v>5163</v>
      </c>
      <c r="G3772" t="s">
        <v>5169</v>
      </c>
    </row>
    <row r="3773" spans="1:7" hidden="1">
      <c r="A3773" s="5" t="s">
        <v>2464</v>
      </c>
      <c r="B3773" t="s">
        <v>5161</v>
      </c>
      <c r="C3773" t="s">
        <v>411</v>
      </c>
      <c r="D3773" t="s">
        <v>8991</v>
      </c>
      <c r="E3773">
        <v>52</v>
      </c>
      <c r="F3773" t="s">
        <v>5163</v>
      </c>
      <c r="G3773" t="s">
        <v>5164</v>
      </c>
    </row>
    <row r="3774" spans="1:7" hidden="1">
      <c r="A3774" s="5" t="s">
        <v>4926</v>
      </c>
      <c r="B3774" t="s">
        <v>5161</v>
      </c>
      <c r="C3774" t="s">
        <v>411</v>
      </c>
      <c r="D3774" t="s">
        <v>8659</v>
      </c>
      <c r="E3774">
        <v>19</v>
      </c>
      <c r="F3774" t="s">
        <v>5163</v>
      </c>
      <c r="G3774" t="s">
        <v>1905</v>
      </c>
    </row>
    <row r="3775" spans="1:7" hidden="1">
      <c r="A3775" s="5" t="s">
        <v>2151</v>
      </c>
      <c r="B3775" t="s">
        <v>5161</v>
      </c>
      <c r="C3775" t="s">
        <v>411</v>
      </c>
      <c r="D3775" t="s">
        <v>8992</v>
      </c>
      <c r="E3775">
        <v>25</v>
      </c>
      <c r="F3775" t="s">
        <v>5163</v>
      </c>
      <c r="G3775" t="s">
        <v>5164</v>
      </c>
    </row>
    <row r="3776" spans="1:7" hidden="1">
      <c r="A3776" s="5" t="s">
        <v>4200</v>
      </c>
      <c r="B3776" t="s">
        <v>5161</v>
      </c>
      <c r="C3776" t="s">
        <v>411</v>
      </c>
      <c r="D3776" t="s">
        <v>8993</v>
      </c>
      <c r="E3776">
        <v>20</v>
      </c>
      <c r="F3776" t="s">
        <v>5163</v>
      </c>
      <c r="G3776" t="s">
        <v>1905</v>
      </c>
    </row>
    <row r="3777" spans="1:7" hidden="1">
      <c r="A3777" s="5" t="s">
        <v>2465</v>
      </c>
      <c r="B3777" t="s">
        <v>5161</v>
      </c>
      <c r="C3777" t="s">
        <v>411</v>
      </c>
      <c r="D3777" t="s">
        <v>8994</v>
      </c>
      <c r="E3777">
        <v>28</v>
      </c>
      <c r="F3777" t="s">
        <v>5172</v>
      </c>
      <c r="G3777" t="s">
        <v>1905</v>
      </c>
    </row>
    <row r="3778" spans="1:7" hidden="1">
      <c r="A3778" s="5" t="s">
        <v>5002</v>
      </c>
      <c r="B3778" t="s">
        <v>5161</v>
      </c>
      <c r="C3778" t="s">
        <v>411</v>
      </c>
      <c r="D3778" t="s">
        <v>8995</v>
      </c>
      <c r="E3778">
        <v>22</v>
      </c>
      <c r="F3778" t="s">
        <v>5172</v>
      </c>
      <c r="G3778" t="s">
        <v>5164</v>
      </c>
    </row>
    <row r="3779" spans="1:7" hidden="1">
      <c r="A3779" s="5" t="s">
        <v>4760</v>
      </c>
      <c r="B3779" t="s">
        <v>5161</v>
      </c>
      <c r="C3779" t="s">
        <v>411</v>
      </c>
      <c r="D3779" t="s">
        <v>8996</v>
      </c>
      <c r="E3779">
        <v>28</v>
      </c>
      <c r="F3779" t="s">
        <v>5163</v>
      </c>
      <c r="G3779" t="s">
        <v>1905</v>
      </c>
    </row>
    <row r="3780" spans="1:7" hidden="1">
      <c r="A3780" s="5" t="s">
        <v>4772</v>
      </c>
      <c r="B3780" t="s">
        <v>5161</v>
      </c>
      <c r="C3780" t="s">
        <v>411</v>
      </c>
      <c r="D3780" t="s">
        <v>8997</v>
      </c>
      <c r="E3780">
        <v>22</v>
      </c>
      <c r="F3780" t="s">
        <v>5163</v>
      </c>
      <c r="G3780" t="s">
        <v>1905</v>
      </c>
    </row>
    <row r="3781" spans="1:7" hidden="1">
      <c r="A3781" s="5" t="s">
        <v>4656</v>
      </c>
      <c r="B3781" t="s">
        <v>5161</v>
      </c>
      <c r="C3781" t="s">
        <v>411</v>
      </c>
      <c r="D3781" t="s">
        <v>8998</v>
      </c>
      <c r="E3781">
        <v>25</v>
      </c>
      <c r="F3781" t="s">
        <v>5163</v>
      </c>
      <c r="G3781" t="s">
        <v>5164</v>
      </c>
    </row>
    <row r="3782" spans="1:7" hidden="1">
      <c r="A3782" s="5" t="s">
        <v>2628</v>
      </c>
      <c r="B3782" t="s">
        <v>5161</v>
      </c>
      <c r="C3782" t="s">
        <v>411</v>
      </c>
      <c r="D3782" t="s">
        <v>8999</v>
      </c>
      <c r="E3782">
        <v>32</v>
      </c>
      <c r="F3782" t="s">
        <v>5163</v>
      </c>
      <c r="G3782" t="s">
        <v>1905</v>
      </c>
    </row>
    <row r="3783" spans="1:7" hidden="1">
      <c r="A3783" s="5" t="s">
        <v>4120</v>
      </c>
      <c r="B3783" t="s">
        <v>5161</v>
      </c>
      <c r="C3783" t="s">
        <v>411</v>
      </c>
      <c r="D3783" t="s">
        <v>9000</v>
      </c>
      <c r="E3783">
        <v>30</v>
      </c>
      <c r="F3783" t="s">
        <v>5163</v>
      </c>
      <c r="G3783" t="s">
        <v>5169</v>
      </c>
    </row>
    <row r="3784" spans="1:7" hidden="1">
      <c r="A3784" s="5" t="s">
        <v>4120</v>
      </c>
      <c r="B3784" t="s">
        <v>5161</v>
      </c>
      <c r="C3784" t="s">
        <v>411</v>
      </c>
      <c r="D3784" t="s">
        <v>9001</v>
      </c>
      <c r="E3784">
        <v>35</v>
      </c>
      <c r="F3784" t="s">
        <v>5163</v>
      </c>
      <c r="G3784" t="s">
        <v>1905</v>
      </c>
    </row>
    <row r="3785" spans="1:7" hidden="1">
      <c r="A3785" s="5" t="s">
        <v>3813</v>
      </c>
      <c r="B3785" t="s">
        <v>5161</v>
      </c>
      <c r="C3785" t="s">
        <v>411</v>
      </c>
      <c r="D3785" t="s">
        <v>8713</v>
      </c>
      <c r="E3785">
        <v>23</v>
      </c>
      <c r="F3785" t="s">
        <v>5163</v>
      </c>
      <c r="G3785" t="s">
        <v>5164</v>
      </c>
    </row>
    <row r="3786" spans="1:7" hidden="1">
      <c r="A3786" s="5" t="s">
        <v>4746</v>
      </c>
      <c r="B3786" t="s">
        <v>5161</v>
      </c>
      <c r="C3786" t="s">
        <v>411</v>
      </c>
      <c r="D3786" t="s">
        <v>9002</v>
      </c>
      <c r="E3786">
        <v>18</v>
      </c>
      <c r="F3786" t="s">
        <v>5163</v>
      </c>
      <c r="G3786" t="s">
        <v>5169</v>
      </c>
    </row>
    <row r="3787" spans="1:7" hidden="1">
      <c r="A3787" s="5" t="s">
        <v>4377</v>
      </c>
      <c r="B3787" t="s">
        <v>5161</v>
      </c>
      <c r="C3787" t="s">
        <v>411</v>
      </c>
      <c r="D3787" t="s">
        <v>9003</v>
      </c>
      <c r="E3787">
        <v>23</v>
      </c>
      <c r="F3787" t="s">
        <v>5163</v>
      </c>
      <c r="G3787" t="s">
        <v>1905</v>
      </c>
    </row>
    <row r="3788" spans="1:7" hidden="1">
      <c r="A3788" s="5" t="s">
        <v>4630</v>
      </c>
      <c r="B3788" t="s">
        <v>5161</v>
      </c>
      <c r="C3788" t="s">
        <v>411</v>
      </c>
      <c r="D3788" t="s">
        <v>9004</v>
      </c>
      <c r="E3788">
        <v>32</v>
      </c>
      <c r="F3788" t="s">
        <v>5163</v>
      </c>
      <c r="G3788" t="s">
        <v>1905</v>
      </c>
    </row>
    <row r="3789" spans="1:7" hidden="1">
      <c r="A3789" s="5" t="s">
        <v>3679</v>
      </c>
      <c r="B3789" t="s">
        <v>5161</v>
      </c>
      <c r="C3789" t="s">
        <v>411</v>
      </c>
      <c r="D3789" t="s">
        <v>9005</v>
      </c>
      <c r="E3789">
        <v>29</v>
      </c>
      <c r="F3789" t="s">
        <v>5163</v>
      </c>
      <c r="G3789" t="s">
        <v>5164</v>
      </c>
    </row>
    <row r="3790" spans="1:7" hidden="1">
      <c r="A3790" s="5" t="s">
        <v>4110</v>
      </c>
      <c r="B3790" t="s">
        <v>5161</v>
      </c>
      <c r="C3790" t="s">
        <v>411</v>
      </c>
      <c r="D3790" t="s">
        <v>6440</v>
      </c>
      <c r="E3790">
        <v>18</v>
      </c>
      <c r="F3790" t="s">
        <v>5163</v>
      </c>
      <c r="G3790" t="s">
        <v>5169</v>
      </c>
    </row>
    <row r="3791" spans="1:7" hidden="1">
      <c r="A3791" s="5" t="s">
        <v>4423</v>
      </c>
      <c r="B3791" t="s">
        <v>5161</v>
      </c>
      <c r="C3791" t="s">
        <v>411</v>
      </c>
      <c r="D3791" t="s">
        <v>9006</v>
      </c>
      <c r="E3791">
        <v>21</v>
      </c>
      <c r="F3791" t="s">
        <v>5163</v>
      </c>
      <c r="G3791" t="s">
        <v>1905</v>
      </c>
    </row>
    <row r="3792" spans="1:7" hidden="1">
      <c r="A3792" s="5" t="s">
        <v>4661</v>
      </c>
      <c r="B3792" t="s">
        <v>5161</v>
      </c>
      <c r="C3792" t="s">
        <v>411</v>
      </c>
      <c r="D3792" t="s">
        <v>9007</v>
      </c>
      <c r="E3792">
        <v>21</v>
      </c>
      <c r="F3792" t="s">
        <v>5163</v>
      </c>
      <c r="G3792" t="s">
        <v>5164</v>
      </c>
    </row>
    <row r="3793" spans="1:7" hidden="1">
      <c r="A3793" s="5" t="s">
        <v>4661</v>
      </c>
      <c r="B3793" t="s">
        <v>5161</v>
      </c>
      <c r="C3793" t="s">
        <v>411</v>
      </c>
      <c r="D3793" t="s">
        <v>9008</v>
      </c>
      <c r="E3793">
        <v>29</v>
      </c>
      <c r="F3793" t="s">
        <v>5163</v>
      </c>
      <c r="G3793" t="s">
        <v>5164</v>
      </c>
    </row>
    <row r="3794" spans="1:7" hidden="1">
      <c r="A3794" s="5" t="s">
        <v>398</v>
      </c>
      <c r="B3794" t="s">
        <v>5161</v>
      </c>
      <c r="C3794" t="s">
        <v>411</v>
      </c>
      <c r="D3794" t="s">
        <v>928</v>
      </c>
      <c r="E3794">
        <v>21</v>
      </c>
      <c r="F3794" t="s">
        <v>5163</v>
      </c>
      <c r="G3794" t="s">
        <v>1905</v>
      </c>
    </row>
    <row r="3795" spans="1:7" hidden="1">
      <c r="A3795" s="5" t="s">
        <v>2948</v>
      </c>
      <c r="B3795" t="s">
        <v>5161</v>
      </c>
      <c r="C3795" t="s">
        <v>411</v>
      </c>
      <c r="D3795" t="s">
        <v>9009</v>
      </c>
      <c r="E3795">
        <v>18</v>
      </c>
      <c r="F3795" t="s">
        <v>5163</v>
      </c>
      <c r="G3795" t="s">
        <v>5164</v>
      </c>
    </row>
    <row r="3796" spans="1:7" hidden="1">
      <c r="A3796" s="5" t="s">
        <v>4593</v>
      </c>
      <c r="B3796" t="s">
        <v>5161</v>
      </c>
      <c r="C3796" t="s">
        <v>411</v>
      </c>
      <c r="D3796" t="s">
        <v>9010</v>
      </c>
      <c r="E3796">
        <v>30</v>
      </c>
      <c r="F3796" t="s">
        <v>5163</v>
      </c>
      <c r="G3796" t="s">
        <v>1905</v>
      </c>
    </row>
    <row r="3797" spans="1:7" hidden="1">
      <c r="A3797" s="5" t="s">
        <v>4373</v>
      </c>
      <c r="B3797" t="s">
        <v>5161</v>
      </c>
      <c r="C3797" t="s">
        <v>411</v>
      </c>
      <c r="D3797" t="s">
        <v>9011</v>
      </c>
      <c r="E3797">
        <v>23</v>
      </c>
      <c r="F3797" t="s">
        <v>5163</v>
      </c>
      <c r="G3797" t="s">
        <v>6496</v>
      </c>
    </row>
    <row r="3798" spans="1:7" hidden="1">
      <c r="A3798" s="5" t="s">
        <v>3002</v>
      </c>
      <c r="B3798" t="s">
        <v>5161</v>
      </c>
      <c r="C3798" t="s">
        <v>411</v>
      </c>
      <c r="D3798" t="s">
        <v>9012</v>
      </c>
      <c r="E3798">
        <v>27</v>
      </c>
      <c r="F3798" t="s">
        <v>5163</v>
      </c>
      <c r="G3798" t="s">
        <v>5164</v>
      </c>
    </row>
    <row r="3799" spans="1:7" hidden="1">
      <c r="A3799" s="5" t="s">
        <v>4132</v>
      </c>
      <c r="B3799" t="s">
        <v>5161</v>
      </c>
      <c r="C3799" t="s">
        <v>411</v>
      </c>
      <c r="D3799" t="s">
        <v>9013</v>
      </c>
      <c r="E3799">
        <v>19</v>
      </c>
      <c r="F3799" t="s">
        <v>5163</v>
      </c>
      <c r="G3799" t="s">
        <v>1905</v>
      </c>
    </row>
    <row r="3800" spans="1:7" hidden="1">
      <c r="A3800" s="5" t="s">
        <v>9014</v>
      </c>
      <c r="B3800" t="s">
        <v>5161</v>
      </c>
      <c r="C3800" t="s">
        <v>411</v>
      </c>
      <c r="D3800" t="s">
        <v>9015</v>
      </c>
      <c r="E3800">
        <v>23</v>
      </c>
      <c r="F3800" t="s">
        <v>5163</v>
      </c>
      <c r="G3800" t="s">
        <v>1905</v>
      </c>
    </row>
    <row r="3801" spans="1:7" hidden="1">
      <c r="A3801" s="5" t="s">
        <v>9014</v>
      </c>
      <c r="B3801" t="s">
        <v>5161</v>
      </c>
      <c r="C3801" t="s">
        <v>411</v>
      </c>
      <c r="D3801" t="s">
        <v>9016</v>
      </c>
      <c r="E3801">
        <v>38</v>
      </c>
      <c r="F3801" t="s">
        <v>5163</v>
      </c>
      <c r="G3801" t="s">
        <v>1905</v>
      </c>
    </row>
    <row r="3802" spans="1:7" hidden="1">
      <c r="A3802" s="5" t="s">
        <v>3830</v>
      </c>
      <c r="B3802" t="s">
        <v>5161</v>
      </c>
      <c r="C3802" t="s">
        <v>411</v>
      </c>
      <c r="D3802" t="s">
        <v>9017</v>
      </c>
      <c r="E3802">
        <v>32</v>
      </c>
      <c r="F3802" t="s">
        <v>5172</v>
      </c>
      <c r="G3802" t="s">
        <v>1905</v>
      </c>
    </row>
    <row r="3803" spans="1:7" hidden="1">
      <c r="A3803" s="5" t="s">
        <v>4326</v>
      </c>
      <c r="B3803" t="s">
        <v>5161</v>
      </c>
      <c r="C3803" t="s">
        <v>411</v>
      </c>
      <c r="D3803" t="s">
        <v>7357</v>
      </c>
      <c r="E3803">
        <v>23</v>
      </c>
      <c r="F3803" t="s">
        <v>5163</v>
      </c>
      <c r="G3803" t="s">
        <v>1905</v>
      </c>
    </row>
    <row r="3804" spans="1:7" hidden="1">
      <c r="A3804" s="5" t="s">
        <v>4326</v>
      </c>
      <c r="B3804" t="s">
        <v>5161</v>
      </c>
      <c r="C3804" t="s">
        <v>411</v>
      </c>
      <c r="D3804" t="s">
        <v>9018</v>
      </c>
      <c r="E3804">
        <v>23</v>
      </c>
      <c r="F3804" t="s">
        <v>5163</v>
      </c>
      <c r="G3804" t="s">
        <v>5164</v>
      </c>
    </row>
    <row r="3805" spans="1:7" hidden="1">
      <c r="A3805" s="5" t="s">
        <v>416</v>
      </c>
      <c r="B3805" t="s">
        <v>5161</v>
      </c>
      <c r="C3805" t="s">
        <v>426</v>
      </c>
      <c r="D3805" t="s">
        <v>980</v>
      </c>
      <c r="E3805">
        <v>53</v>
      </c>
      <c r="F3805" t="s">
        <v>5163</v>
      </c>
      <c r="G3805" t="s">
        <v>5164</v>
      </c>
    </row>
    <row r="3806" spans="1:7" hidden="1">
      <c r="A3806" s="5" t="s">
        <v>2319</v>
      </c>
      <c r="B3806" t="s">
        <v>5161</v>
      </c>
      <c r="C3806" t="s">
        <v>426</v>
      </c>
      <c r="D3806" t="s">
        <v>9019</v>
      </c>
      <c r="E3806">
        <v>31</v>
      </c>
      <c r="F3806" t="s">
        <v>5163</v>
      </c>
      <c r="G3806" t="s">
        <v>5164</v>
      </c>
    </row>
    <row r="3807" spans="1:7" hidden="1">
      <c r="A3807" s="5" t="s">
        <v>4295</v>
      </c>
      <c r="B3807" t="s">
        <v>5161</v>
      </c>
      <c r="C3807" t="s">
        <v>426</v>
      </c>
      <c r="D3807" t="s">
        <v>9020</v>
      </c>
      <c r="E3807">
        <v>20</v>
      </c>
      <c r="F3807" t="s">
        <v>5163</v>
      </c>
      <c r="G3807" t="s">
        <v>1905</v>
      </c>
    </row>
    <row r="3808" spans="1:7" hidden="1">
      <c r="A3808" s="5" t="s">
        <v>3767</v>
      </c>
      <c r="B3808" t="s">
        <v>5161</v>
      </c>
      <c r="C3808" t="s">
        <v>426</v>
      </c>
      <c r="D3808" t="s">
        <v>9021</v>
      </c>
      <c r="E3808">
        <v>18</v>
      </c>
      <c r="F3808" t="s">
        <v>5163</v>
      </c>
      <c r="G3808" t="s">
        <v>5169</v>
      </c>
    </row>
    <row r="3809" spans="1:7" hidden="1">
      <c r="A3809" s="5" t="s">
        <v>4605</v>
      </c>
      <c r="B3809" t="s">
        <v>5161</v>
      </c>
      <c r="C3809" t="s">
        <v>426</v>
      </c>
      <c r="D3809" t="s">
        <v>9022</v>
      </c>
      <c r="E3809">
        <v>18</v>
      </c>
      <c r="F3809" t="s">
        <v>5163</v>
      </c>
      <c r="G3809" t="s">
        <v>5169</v>
      </c>
    </row>
    <row r="3810" spans="1:7" hidden="1">
      <c r="A3810" s="5" t="s">
        <v>3669</v>
      </c>
      <c r="B3810" t="s">
        <v>5161</v>
      </c>
      <c r="C3810" t="s">
        <v>426</v>
      </c>
      <c r="D3810" t="s">
        <v>9023</v>
      </c>
      <c r="E3810">
        <v>25</v>
      </c>
      <c r="F3810" t="s">
        <v>5163</v>
      </c>
      <c r="G3810" t="s">
        <v>5169</v>
      </c>
    </row>
    <row r="3811" spans="1:7" hidden="1">
      <c r="A3811" s="5" t="s">
        <v>3735</v>
      </c>
      <c r="B3811" t="s">
        <v>5161</v>
      </c>
      <c r="C3811" t="s">
        <v>426</v>
      </c>
      <c r="D3811" t="s">
        <v>9024</v>
      </c>
      <c r="E3811">
        <v>22</v>
      </c>
      <c r="F3811" t="s">
        <v>5163</v>
      </c>
      <c r="G3811" t="s">
        <v>1905</v>
      </c>
    </row>
    <row r="3812" spans="1:7" hidden="1">
      <c r="A3812" s="5" t="s">
        <v>4561</v>
      </c>
      <c r="B3812" t="s">
        <v>5161</v>
      </c>
      <c r="C3812" t="s">
        <v>426</v>
      </c>
      <c r="D3812" t="s">
        <v>9025</v>
      </c>
      <c r="E3812">
        <v>21</v>
      </c>
      <c r="F3812" t="s">
        <v>5163</v>
      </c>
      <c r="G3812" t="s">
        <v>1905</v>
      </c>
    </row>
    <row r="3813" spans="1:7" hidden="1">
      <c r="A3813" s="5" t="s">
        <v>3459</v>
      </c>
      <c r="B3813" t="s">
        <v>5161</v>
      </c>
      <c r="C3813" t="s">
        <v>426</v>
      </c>
      <c r="D3813" t="s">
        <v>9026</v>
      </c>
      <c r="E3813">
        <v>19</v>
      </c>
      <c r="F3813" t="s">
        <v>5163</v>
      </c>
      <c r="G3813" t="s">
        <v>5164</v>
      </c>
    </row>
    <row r="3814" spans="1:7" hidden="1">
      <c r="A3814" s="5" t="s">
        <v>3839</v>
      </c>
      <c r="B3814" t="s">
        <v>5161</v>
      </c>
      <c r="C3814" t="s">
        <v>426</v>
      </c>
      <c r="D3814" t="s">
        <v>9027</v>
      </c>
      <c r="E3814">
        <v>26</v>
      </c>
      <c r="F3814" t="s">
        <v>5163</v>
      </c>
      <c r="G3814" t="s">
        <v>1905</v>
      </c>
    </row>
    <row r="3815" spans="1:7" hidden="1">
      <c r="A3815" s="5" t="s">
        <v>4403</v>
      </c>
      <c r="B3815" t="s">
        <v>5161</v>
      </c>
      <c r="C3815" t="s">
        <v>426</v>
      </c>
      <c r="D3815" t="s">
        <v>9028</v>
      </c>
      <c r="E3815">
        <v>34</v>
      </c>
      <c r="F3815" t="s">
        <v>5163</v>
      </c>
      <c r="G3815" t="s">
        <v>1905</v>
      </c>
    </row>
    <row r="3816" spans="1:7" hidden="1">
      <c r="A3816" s="5" t="s">
        <v>3665</v>
      </c>
      <c r="B3816" t="s">
        <v>5161</v>
      </c>
      <c r="C3816" t="s">
        <v>426</v>
      </c>
      <c r="D3816" t="s">
        <v>9029</v>
      </c>
      <c r="E3816">
        <v>33</v>
      </c>
      <c r="F3816" t="s">
        <v>5163</v>
      </c>
      <c r="G3816" t="s">
        <v>1905</v>
      </c>
    </row>
    <row r="3817" spans="1:7" hidden="1">
      <c r="A3817" s="5" t="s">
        <v>3966</v>
      </c>
      <c r="B3817" t="s">
        <v>5161</v>
      </c>
      <c r="C3817" t="s">
        <v>426</v>
      </c>
      <c r="D3817" t="s">
        <v>9030</v>
      </c>
      <c r="E3817">
        <v>41</v>
      </c>
      <c r="F3817" t="s">
        <v>5163</v>
      </c>
      <c r="G3817" t="s">
        <v>1905</v>
      </c>
    </row>
    <row r="3818" spans="1:7" hidden="1">
      <c r="A3818" s="5" t="s">
        <v>3637</v>
      </c>
      <c r="B3818" t="s">
        <v>5161</v>
      </c>
      <c r="C3818" t="s">
        <v>426</v>
      </c>
      <c r="D3818" t="s">
        <v>9031</v>
      </c>
      <c r="E3818">
        <v>21</v>
      </c>
      <c r="F3818" t="s">
        <v>5163</v>
      </c>
      <c r="G3818" t="s">
        <v>5164</v>
      </c>
    </row>
    <row r="3819" spans="1:7" hidden="1">
      <c r="A3819" s="5" t="s">
        <v>413</v>
      </c>
      <c r="B3819" t="s">
        <v>5161</v>
      </c>
      <c r="C3819" t="s">
        <v>426</v>
      </c>
      <c r="D3819" t="s">
        <v>976</v>
      </c>
      <c r="E3819">
        <v>20</v>
      </c>
      <c r="F3819" t="s">
        <v>5163</v>
      </c>
      <c r="G3819" t="s">
        <v>5164</v>
      </c>
    </row>
    <row r="3820" spans="1:7" hidden="1">
      <c r="A3820" s="5" t="s">
        <v>2721</v>
      </c>
      <c r="B3820" t="s">
        <v>5161</v>
      </c>
      <c r="C3820" t="s">
        <v>426</v>
      </c>
      <c r="D3820" t="s">
        <v>9032</v>
      </c>
      <c r="E3820">
        <v>20</v>
      </c>
      <c r="F3820" t="s">
        <v>5163</v>
      </c>
      <c r="G3820" t="s">
        <v>1905</v>
      </c>
    </row>
    <row r="3821" spans="1:7" hidden="1">
      <c r="A3821" s="5" t="s">
        <v>417</v>
      </c>
      <c r="B3821" t="s">
        <v>5161</v>
      </c>
      <c r="C3821" t="s">
        <v>426</v>
      </c>
      <c r="D3821" t="s">
        <v>9033</v>
      </c>
      <c r="E3821">
        <v>18</v>
      </c>
      <c r="F3821" t="s">
        <v>5163</v>
      </c>
      <c r="G3821" t="s">
        <v>5164</v>
      </c>
    </row>
    <row r="3822" spans="1:7" hidden="1">
      <c r="A3822" s="5" t="s">
        <v>4138</v>
      </c>
      <c r="B3822" t="s">
        <v>5161</v>
      </c>
      <c r="C3822" t="s">
        <v>426</v>
      </c>
      <c r="D3822" t="s">
        <v>9034</v>
      </c>
      <c r="E3822">
        <v>21</v>
      </c>
      <c r="F3822" t="s">
        <v>5163</v>
      </c>
      <c r="G3822" t="s">
        <v>5164</v>
      </c>
    </row>
    <row r="3823" spans="1:7" hidden="1">
      <c r="A3823" s="5" t="s">
        <v>3761</v>
      </c>
      <c r="B3823" t="s">
        <v>5161</v>
      </c>
      <c r="C3823" t="s">
        <v>426</v>
      </c>
      <c r="D3823" t="s">
        <v>9035</v>
      </c>
      <c r="E3823">
        <v>34</v>
      </c>
      <c r="F3823" t="s">
        <v>5163</v>
      </c>
      <c r="G3823" t="s">
        <v>1905</v>
      </c>
    </row>
    <row r="3824" spans="1:7" hidden="1">
      <c r="A3824" s="5" t="s">
        <v>3585</v>
      </c>
      <c r="B3824" t="s">
        <v>5161</v>
      </c>
      <c r="C3824" t="s">
        <v>426</v>
      </c>
      <c r="D3824" t="s">
        <v>9036</v>
      </c>
      <c r="E3824">
        <v>23</v>
      </c>
      <c r="F3824" t="s">
        <v>5163</v>
      </c>
      <c r="G3824" t="s">
        <v>5164</v>
      </c>
    </row>
    <row r="3825" spans="1:7" hidden="1">
      <c r="A3825" s="5" t="s">
        <v>4519</v>
      </c>
      <c r="B3825" t="s">
        <v>5161</v>
      </c>
      <c r="C3825" t="s">
        <v>426</v>
      </c>
      <c r="D3825" t="s">
        <v>9037</v>
      </c>
      <c r="E3825">
        <v>19</v>
      </c>
      <c r="F3825" t="s">
        <v>5163</v>
      </c>
      <c r="G3825" t="s">
        <v>5164</v>
      </c>
    </row>
    <row r="3826" spans="1:7" hidden="1">
      <c r="A3826" s="5" t="s">
        <v>2934</v>
      </c>
      <c r="B3826" t="s">
        <v>5161</v>
      </c>
      <c r="C3826" t="s">
        <v>426</v>
      </c>
      <c r="D3826" t="s">
        <v>9038</v>
      </c>
      <c r="E3826">
        <v>23</v>
      </c>
      <c r="F3826" t="s">
        <v>5172</v>
      </c>
      <c r="G3826" t="s">
        <v>5169</v>
      </c>
    </row>
    <row r="3827" spans="1:7" hidden="1">
      <c r="A3827" s="5" t="s">
        <v>3385</v>
      </c>
      <c r="B3827" t="s">
        <v>5161</v>
      </c>
      <c r="C3827" t="s">
        <v>426</v>
      </c>
      <c r="D3827" t="s">
        <v>9039</v>
      </c>
      <c r="E3827">
        <v>20</v>
      </c>
      <c r="F3827" t="s">
        <v>5163</v>
      </c>
      <c r="G3827" t="s">
        <v>5169</v>
      </c>
    </row>
    <row r="3828" spans="1:7" hidden="1">
      <c r="A3828" s="5" t="s">
        <v>3236</v>
      </c>
      <c r="B3828" t="s">
        <v>5161</v>
      </c>
      <c r="C3828" t="s">
        <v>426</v>
      </c>
      <c r="D3828" t="s">
        <v>9040</v>
      </c>
      <c r="E3828">
        <v>22</v>
      </c>
      <c r="F3828" t="s">
        <v>5163</v>
      </c>
      <c r="G3828" t="s">
        <v>5164</v>
      </c>
    </row>
    <row r="3829" spans="1:7" hidden="1">
      <c r="A3829" s="5" t="s">
        <v>4185</v>
      </c>
      <c r="B3829" t="s">
        <v>5161</v>
      </c>
      <c r="C3829" t="s">
        <v>426</v>
      </c>
      <c r="D3829" t="s">
        <v>9041</v>
      </c>
      <c r="E3829">
        <v>20</v>
      </c>
      <c r="F3829" t="s">
        <v>5172</v>
      </c>
      <c r="G3829" t="s">
        <v>5164</v>
      </c>
    </row>
    <row r="3830" spans="1:7" hidden="1">
      <c r="A3830" s="5" t="s">
        <v>4185</v>
      </c>
      <c r="B3830" t="s">
        <v>5161</v>
      </c>
      <c r="C3830" t="s">
        <v>426</v>
      </c>
      <c r="D3830" t="s">
        <v>9042</v>
      </c>
      <c r="E3830">
        <v>27</v>
      </c>
      <c r="F3830" t="s">
        <v>5172</v>
      </c>
      <c r="G3830" t="s">
        <v>5164</v>
      </c>
    </row>
    <row r="3831" spans="1:7" hidden="1">
      <c r="A3831" s="5" t="s">
        <v>2210</v>
      </c>
      <c r="B3831" t="s">
        <v>5161</v>
      </c>
      <c r="C3831" t="s">
        <v>426</v>
      </c>
      <c r="D3831" t="s">
        <v>9043</v>
      </c>
      <c r="E3831">
        <v>24</v>
      </c>
      <c r="F3831" t="s">
        <v>5163</v>
      </c>
      <c r="G3831" t="s">
        <v>1905</v>
      </c>
    </row>
    <row r="3832" spans="1:7" hidden="1">
      <c r="A3832" s="5" t="s">
        <v>2754</v>
      </c>
      <c r="B3832" t="s">
        <v>5161</v>
      </c>
      <c r="C3832" t="s">
        <v>426</v>
      </c>
      <c r="D3832" t="s">
        <v>9044</v>
      </c>
      <c r="E3832">
        <v>23</v>
      </c>
      <c r="F3832" t="s">
        <v>5163</v>
      </c>
      <c r="G3832" t="s">
        <v>5164</v>
      </c>
    </row>
    <row r="3833" spans="1:7" hidden="1">
      <c r="A3833" s="5" t="s">
        <v>9045</v>
      </c>
      <c r="B3833" t="s">
        <v>5161</v>
      </c>
      <c r="C3833" t="s">
        <v>426</v>
      </c>
      <c r="D3833" t="s">
        <v>9046</v>
      </c>
      <c r="E3833">
        <v>46</v>
      </c>
      <c r="F3833" t="s">
        <v>5163</v>
      </c>
      <c r="G3833" t="s">
        <v>5164</v>
      </c>
    </row>
    <row r="3834" spans="1:7" hidden="1">
      <c r="A3834" s="5" t="s">
        <v>2793</v>
      </c>
      <c r="B3834" t="s">
        <v>5161</v>
      </c>
      <c r="C3834" t="s">
        <v>426</v>
      </c>
      <c r="D3834" t="s">
        <v>9047</v>
      </c>
      <c r="E3834">
        <v>49</v>
      </c>
      <c r="F3834" t="s">
        <v>5172</v>
      </c>
      <c r="G3834" t="s">
        <v>5164</v>
      </c>
    </row>
    <row r="3835" spans="1:7" hidden="1">
      <c r="A3835" s="5" t="s">
        <v>2287</v>
      </c>
      <c r="B3835" t="s">
        <v>5161</v>
      </c>
      <c r="C3835" t="s">
        <v>426</v>
      </c>
      <c r="D3835" t="s">
        <v>9048</v>
      </c>
      <c r="E3835">
        <v>27</v>
      </c>
      <c r="F3835" t="s">
        <v>5163</v>
      </c>
      <c r="G3835" t="s">
        <v>5164</v>
      </c>
    </row>
    <row r="3836" spans="1:7" hidden="1">
      <c r="A3836" s="5" t="s">
        <v>2797</v>
      </c>
      <c r="B3836" t="s">
        <v>5161</v>
      </c>
      <c r="C3836" t="s">
        <v>426</v>
      </c>
      <c r="D3836" t="s">
        <v>9049</v>
      </c>
      <c r="E3836">
        <v>27</v>
      </c>
      <c r="F3836" t="s">
        <v>5163</v>
      </c>
      <c r="G3836" t="s">
        <v>5169</v>
      </c>
    </row>
    <row r="3837" spans="1:7" hidden="1">
      <c r="A3837" s="5" t="s">
        <v>423</v>
      </c>
      <c r="B3837" t="s">
        <v>5161</v>
      </c>
      <c r="C3837" t="s">
        <v>426</v>
      </c>
      <c r="D3837" t="s">
        <v>9050</v>
      </c>
      <c r="E3837">
        <v>52</v>
      </c>
      <c r="F3837" t="s">
        <v>5163</v>
      </c>
      <c r="G3837" t="s">
        <v>1905</v>
      </c>
    </row>
    <row r="3838" spans="1:7" hidden="1">
      <c r="A3838" s="5" t="s">
        <v>423</v>
      </c>
      <c r="B3838" t="s">
        <v>5161</v>
      </c>
      <c r="C3838" t="s">
        <v>426</v>
      </c>
      <c r="D3838" t="s">
        <v>9051</v>
      </c>
      <c r="E3838">
        <v>42</v>
      </c>
      <c r="F3838" t="s">
        <v>5163</v>
      </c>
      <c r="G3838" t="s">
        <v>1905</v>
      </c>
    </row>
    <row r="3839" spans="1:7" hidden="1">
      <c r="A3839" s="5" t="s">
        <v>2326</v>
      </c>
      <c r="B3839" t="s">
        <v>5161</v>
      </c>
      <c r="C3839" t="s">
        <v>426</v>
      </c>
      <c r="D3839" t="s">
        <v>9052</v>
      </c>
      <c r="E3839">
        <v>32</v>
      </c>
      <c r="F3839" t="s">
        <v>5163</v>
      </c>
      <c r="G3839" t="s">
        <v>5169</v>
      </c>
    </row>
    <row r="3840" spans="1:7" hidden="1">
      <c r="A3840" s="5" t="s">
        <v>2326</v>
      </c>
      <c r="B3840" t="s">
        <v>5161</v>
      </c>
      <c r="C3840" t="s">
        <v>426</v>
      </c>
      <c r="D3840" t="s">
        <v>9053</v>
      </c>
      <c r="E3840">
        <v>23</v>
      </c>
      <c r="F3840" t="s">
        <v>5163</v>
      </c>
      <c r="G3840" t="s">
        <v>1905</v>
      </c>
    </row>
    <row r="3841" spans="1:7" hidden="1">
      <c r="A3841" s="5" t="s">
        <v>4419</v>
      </c>
      <c r="B3841" t="s">
        <v>5161</v>
      </c>
      <c r="C3841" t="s">
        <v>426</v>
      </c>
      <c r="D3841" t="s">
        <v>9054</v>
      </c>
      <c r="E3841">
        <v>18</v>
      </c>
      <c r="F3841" t="s">
        <v>5163</v>
      </c>
      <c r="G3841" t="s">
        <v>1905</v>
      </c>
    </row>
    <row r="3842" spans="1:7" hidden="1">
      <c r="A3842" s="5" t="s">
        <v>2270</v>
      </c>
      <c r="B3842" t="s">
        <v>5161</v>
      </c>
      <c r="C3842" t="s">
        <v>426</v>
      </c>
      <c r="D3842" t="s">
        <v>9055</v>
      </c>
      <c r="E3842">
        <v>18</v>
      </c>
      <c r="F3842" t="s">
        <v>5163</v>
      </c>
      <c r="G3842" t="s">
        <v>5164</v>
      </c>
    </row>
    <row r="3843" spans="1:7" hidden="1">
      <c r="A3843" s="5" t="s">
        <v>2303</v>
      </c>
      <c r="B3843" t="s">
        <v>5161</v>
      </c>
      <c r="C3843" t="s">
        <v>426</v>
      </c>
      <c r="D3843" t="s">
        <v>9056</v>
      </c>
      <c r="E3843">
        <v>18</v>
      </c>
      <c r="F3843" t="s">
        <v>5163</v>
      </c>
      <c r="G3843" t="s">
        <v>5169</v>
      </c>
    </row>
    <row r="3844" spans="1:7" hidden="1">
      <c r="A3844" s="5" t="s">
        <v>2228</v>
      </c>
      <c r="B3844" t="s">
        <v>5161</v>
      </c>
      <c r="C3844" t="s">
        <v>426</v>
      </c>
      <c r="D3844" t="s">
        <v>9057</v>
      </c>
      <c r="E3844">
        <v>26</v>
      </c>
      <c r="F3844" t="s">
        <v>5163</v>
      </c>
      <c r="G3844" t="s">
        <v>1905</v>
      </c>
    </row>
    <row r="3845" spans="1:7" hidden="1">
      <c r="A3845" s="5" t="s">
        <v>2271</v>
      </c>
      <c r="B3845" t="s">
        <v>5161</v>
      </c>
      <c r="C3845" t="s">
        <v>426</v>
      </c>
      <c r="D3845" t="s">
        <v>9058</v>
      </c>
      <c r="E3845">
        <v>24</v>
      </c>
      <c r="F3845" t="s">
        <v>5163</v>
      </c>
      <c r="G3845" t="s">
        <v>5164</v>
      </c>
    </row>
    <row r="3846" spans="1:7" hidden="1">
      <c r="A3846" s="5" t="s">
        <v>3293</v>
      </c>
      <c r="B3846" t="s">
        <v>5161</v>
      </c>
      <c r="C3846" t="s">
        <v>426</v>
      </c>
      <c r="D3846" t="s">
        <v>9059</v>
      </c>
      <c r="E3846">
        <v>18</v>
      </c>
      <c r="F3846" t="s">
        <v>5163</v>
      </c>
      <c r="G3846" t="s">
        <v>1905</v>
      </c>
    </row>
    <row r="3847" spans="1:7" hidden="1">
      <c r="A3847" s="5" t="s">
        <v>9060</v>
      </c>
      <c r="B3847" t="s">
        <v>5161</v>
      </c>
      <c r="C3847" t="s">
        <v>426</v>
      </c>
      <c r="D3847" t="s">
        <v>9061</v>
      </c>
      <c r="E3847">
        <v>20</v>
      </c>
      <c r="F3847" t="s">
        <v>5172</v>
      </c>
      <c r="G3847" t="s">
        <v>5164</v>
      </c>
    </row>
    <row r="3848" spans="1:7" hidden="1">
      <c r="A3848" s="5" t="s">
        <v>4079</v>
      </c>
      <c r="B3848" t="s">
        <v>5161</v>
      </c>
      <c r="C3848" t="s">
        <v>426</v>
      </c>
      <c r="D3848" t="s">
        <v>9062</v>
      </c>
      <c r="E3848">
        <v>20</v>
      </c>
      <c r="F3848" t="s">
        <v>5163</v>
      </c>
      <c r="G3848" t="s">
        <v>1905</v>
      </c>
    </row>
    <row r="3849" spans="1:7" hidden="1">
      <c r="A3849" s="5" t="s">
        <v>4935</v>
      </c>
      <c r="B3849" t="s">
        <v>5161</v>
      </c>
      <c r="C3849" t="s">
        <v>426</v>
      </c>
      <c r="D3849" t="s">
        <v>9063</v>
      </c>
      <c r="E3849">
        <v>24</v>
      </c>
      <c r="F3849" t="s">
        <v>5163</v>
      </c>
      <c r="G3849" t="s">
        <v>1905</v>
      </c>
    </row>
    <row r="3850" spans="1:7" hidden="1">
      <c r="A3850" s="5" t="s">
        <v>3413</v>
      </c>
      <c r="B3850" t="s">
        <v>5161</v>
      </c>
      <c r="C3850" t="s">
        <v>426</v>
      </c>
      <c r="D3850" t="s">
        <v>9064</v>
      </c>
      <c r="E3850">
        <v>19</v>
      </c>
      <c r="F3850" t="s">
        <v>5163</v>
      </c>
      <c r="G3850" t="s">
        <v>5164</v>
      </c>
    </row>
    <row r="3851" spans="1:7" hidden="1">
      <c r="A3851" s="5" t="s">
        <v>3008</v>
      </c>
      <c r="B3851" t="s">
        <v>5161</v>
      </c>
      <c r="C3851" t="s">
        <v>426</v>
      </c>
      <c r="D3851" t="s">
        <v>9065</v>
      </c>
      <c r="E3851">
        <v>21</v>
      </c>
      <c r="F3851" t="s">
        <v>5163</v>
      </c>
      <c r="G3851" t="s">
        <v>5169</v>
      </c>
    </row>
    <row r="3852" spans="1:7" hidden="1">
      <c r="A3852" s="5" t="s">
        <v>4776</v>
      </c>
      <c r="B3852" t="s">
        <v>5161</v>
      </c>
      <c r="C3852" t="s">
        <v>426</v>
      </c>
      <c r="D3852" t="s">
        <v>9066</v>
      </c>
      <c r="E3852">
        <v>27</v>
      </c>
      <c r="F3852" t="s">
        <v>5163</v>
      </c>
      <c r="G3852" t="s">
        <v>5164</v>
      </c>
    </row>
    <row r="3853" spans="1:7" hidden="1">
      <c r="A3853" s="5" t="s">
        <v>4641</v>
      </c>
      <c r="B3853" t="s">
        <v>5161</v>
      </c>
      <c r="C3853" t="s">
        <v>426</v>
      </c>
      <c r="D3853" t="s">
        <v>9067</v>
      </c>
      <c r="E3853">
        <v>19</v>
      </c>
      <c r="F3853" t="s">
        <v>5163</v>
      </c>
      <c r="G3853" t="s">
        <v>1905</v>
      </c>
    </row>
    <row r="3854" spans="1:7">
      <c r="A3854" s="5" t="s">
        <v>414</v>
      </c>
      <c r="B3854" t="s">
        <v>5161</v>
      </c>
      <c r="C3854" t="s">
        <v>426</v>
      </c>
      <c r="D3854" t="s">
        <v>978</v>
      </c>
      <c r="E3854">
        <v>20</v>
      </c>
      <c r="F3854" t="s">
        <v>5163</v>
      </c>
      <c r="G3854" t="s">
        <v>1905</v>
      </c>
    </row>
    <row r="3855" spans="1:7" hidden="1">
      <c r="A3855" s="5" t="s">
        <v>981</v>
      </c>
      <c r="B3855" t="s">
        <v>5161</v>
      </c>
      <c r="C3855" t="s">
        <v>426</v>
      </c>
      <c r="D3855" t="s">
        <v>993</v>
      </c>
      <c r="E3855">
        <v>32</v>
      </c>
      <c r="F3855" t="s">
        <v>5163</v>
      </c>
      <c r="G3855" t="s">
        <v>1905</v>
      </c>
    </row>
    <row r="3856" spans="1:7" hidden="1">
      <c r="A3856" s="5" t="s">
        <v>4183</v>
      </c>
      <c r="B3856" t="s">
        <v>5161</v>
      </c>
      <c r="C3856" t="s">
        <v>426</v>
      </c>
      <c r="D3856" t="s">
        <v>9068</v>
      </c>
      <c r="E3856">
        <v>32</v>
      </c>
      <c r="F3856" t="s">
        <v>5163</v>
      </c>
      <c r="G3856" t="s">
        <v>5164</v>
      </c>
    </row>
    <row r="3857" spans="1:7" hidden="1">
      <c r="A3857" s="5" t="s">
        <v>2434</v>
      </c>
      <c r="B3857" t="s">
        <v>5161</v>
      </c>
      <c r="C3857" t="s">
        <v>426</v>
      </c>
      <c r="D3857" t="s">
        <v>9069</v>
      </c>
      <c r="E3857">
        <v>33</v>
      </c>
      <c r="F3857" t="s">
        <v>5163</v>
      </c>
      <c r="G3857" t="s">
        <v>1905</v>
      </c>
    </row>
    <row r="3858" spans="1:7" hidden="1">
      <c r="A3858" s="5" t="s">
        <v>2434</v>
      </c>
      <c r="B3858" t="s">
        <v>5161</v>
      </c>
      <c r="C3858" t="s">
        <v>426</v>
      </c>
      <c r="D3858" t="s">
        <v>9070</v>
      </c>
      <c r="E3858">
        <v>38</v>
      </c>
      <c r="F3858" t="s">
        <v>5163</v>
      </c>
      <c r="G3858" t="s">
        <v>1905</v>
      </c>
    </row>
    <row r="3859" spans="1:7" hidden="1">
      <c r="A3859" s="5" t="s">
        <v>4271</v>
      </c>
      <c r="B3859" t="s">
        <v>5161</v>
      </c>
      <c r="C3859" t="s">
        <v>426</v>
      </c>
      <c r="D3859" t="s">
        <v>9071</v>
      </c>
      <c r="E3859">
        <v>24</v>
      </c>
      <c r="F3859" t="s">
        <v>5163</v>
      </c>
      <c r="G3859" t="s">
        <v>5164</v>
      </c>
    </row>
    <row r="3860" spans="1:7" hidden="1">
      <c r="A3860" s="5" t="s">
        <v>3463</v>
      </c>
      <c r="B3860" t="s">
        <v>5161</v>
      </c>
      <c r="C3860" t="s">
        <v>426</v>
      </c>
      <c r="D3860" t="s">
        <v>9072</v>
      </c>
      <c r="E3860">
        <v>34</v>
      </c>
      <c r="F3860" t="s">
        <v>5163</v>
      </c>
      <c r="G3860" t="s">
        <v>1905</v>
      </c>
    </row>
    <row r="3861" spans="1:7" hidden="1">
      <c r="A3861" s="5" t="s">
        <v>4060</v>
      </c>
      <c r="B3861" t="s">
        <v>5161</v>
      </c>
      <c r="C3861" t="s">
        <v>426</v>
      </c>
      <c r="D3861" t="s">
        <v>9073</v>
      </c>
      <c r="E3861">
        <v>24</v>
      </c>
      <c r="F3861" t="s">
        <v>5163</v>
      </c>
      <c r="G3861" t="s">
        <v>5164</v>
      </c>
    </row>
    <row r="3862" spans="1:7" hidden="1">
      <c r="A3862" s="5" t="s">
        <v>3439</v>
      </c>
      <c r="B3862" t="s">
        <v>5161</v>
      </c>
      <c r="C3862" t="s">
        <v>426</v>
      </c>
      <c r="D3862" t="s">
        <v>9074</v>
      </c>
      <c r="E3862">
        <v>19</v>
      </c>
      <c r="F3862" t="s">
        <v>5163</v>
      </c>
      <c r="G3862" t="s">
        <v>1905</v>
      </c>
    </row>
    <row r="3863" spans="1:7" hidden="1">
      <c r="A3863" s="5" t="s">
        <v>4062</v>
      </c>
      <c r="B3863" t="s">
        <v>5161</v>
      </c>
      <c r="C3863" t="s">
        <v>426</v>
      </c>
      <c r="D3863" t="s">
        <v>9075</v>
      </c>
      <c r="E3863">
        <v>22</v>
      </c>
      <c r="F3863" t="s">
        <v>5163</v>
      </c>
      <c r="G3863" t="s">
        <v>1905</v>
      </c>
    </row>
    <row r="3864" spans="1:7" hidden="1">
      <c r="A3864" s="5" t="s">
        <v>2661</v>
      </c>
      <c r="B3864" t="s">
        <v>5161</v>
      </c>
      <c r="C3864" t="s">
        <v>426</v>
      </c>
      <c r="D3864" t="s">
        <v>9076</v>
      </c>
      <c r="E3864">
        <v>42</v>
      </c>
      <c r="F3864" t="s">
        <v>5163</v>
      </c>
      <c r="G3864" t="s">
        <v>1905</v>
      </c>
    </row>
    <row r="3865" spans="1:7" hidden="1">
      <c r="A3865" s="5" t="s">
        <v>2515</v>
      </c>
      <c r="B3865" t="s">
        <v>5161</v>
      </c>
      <c r="C3865" t="s">
        <v>426</v>
      </c>
      <c r="D3865" t="s">
        <v>9077</v>
      </c>
      <c r="E3865">
        <v>23</v>
      </c>
      <c r="F3865" t="s">
        <v>5163</v>
      </c>
      <c r="G3865" t="s">
        <v>5164</v>
      </c>
    </row>
    <row r="3866" spans="1:7" hidden="1">
      <c r="A3866" s="5" t="s">
        <v>3036</v>
      </c>
      <c r="B3866" t="s">
        <v>5161</v>
      </c>
      <c r="C3866" t="s">
        <v>426</v>
      </c>
      <c r="D3866" t="s">
        <v>9078</v>
      </c>
      <c r="E3866">
        <v>37</v>
      </c>
      <c r="F3866" t="s">
        <v>5163</v>
      </c>
      <c r="G3866" t="s">
        <v>5164</v>
      </c>
    </row>
    <row r="3867" spans="1:7" hidden="1">
      <c r="A3867" s="5" t="s">
        <v>9079</v>
      </c>
      <c r="B3867" t="s">
        <v>5161</v>
      </c>
      <c r="C3867" t="s">
        <v>426</v>
      </c>
      <c r="D3867" t="s">
        <v>9080</v>
      </c>
      <c r="E3867">
        <v>19</v>
      </c>
      <c r="F3867" t="s">
        <v>5163</v>
      </c>
      <c r="G3867" t="s">
        <v>5164</v>
      </c>
    </row>
    <row r="3868" spans="1:7" hidden="1">
      <c r="A3868" s="5" t="s">
        <v>2904</v>
      </c>
      <c r="B3868" t="s">
        <v>5161</v>
      </c>
      <c r="C3868" t="s">
        <v>426</v>
      </c>
      <c r="D3868" t="s">
        <v>9081</v>
      </c>
      <c r="E3868">
        <v>20</v>
      </c>
      <c r="F3868" t="s">
        <v>5163</v>
      </c>
      <c r="G3868" t="s">
        <v>1905</v>
      </c>
    </row>
    <row r="3869" spans="1:7" hidden="1">
      <c r="A3869" s="5" t="s">
        <v>3078</v>
      </c>
      <c r="B3869" t="s">
        <v>5161</v>
      </c>
      <c r="C3869" t="s">
        <v>426</v>
      </c>
      <c r="D3869" t="s">
        <v>9082</v>
      </c>
      <c r="E3869">
        <v>22</v>
      </c>
      <c r="F3869" t="s">
        <v>5163</v>
      </c>
      <c r="G3869" t="s">
        <v>1905</v>
      </c>
    </row>
    <row r="3870" spans="1:7" hidden="1">
      <c r="A3870" s="5" t="s">
        <v>3052</v>
      </c>
      <c r="B3870" t="s">
        <v>5161</v>
      </c>
      <c r="C3870" t="s">
        <v>426</v>
      </c>
      <c r="D3870" t="s">
        <v>9083</v>
      </c>
      <c r="E3870">
        <v>19</v>
      </c>
      <c r="F3870" t="s">
        <v>5163</v>
      </c>
      <c r="G3870" t="s">
        <v>5164</v>
      </c>
    </row>
    <row r="3871" spans="1:7" hidden="1">
      <c r="A3871" s="5" t="s">
        <v>2690</v>
      </c>
      <c r="B3871" t="s">
        <v>5161</v>
      </c>
      <c r="C3871" t="s">
        <v>426</v>
      </c>
      <c r="D3871" t="s">
        <v>9084</v>
      </c>
      <c r="E3871">
        <v>42</v>
      </c>
      <c r="F3871" t="s">
        <v>5172</v>
      </c>
      <c r="G3871" t="s">
        <v>5164</v>
      </c>
    </row>
    <row r="3872" spans="1:7" hidden="1">
      <c r="A3872" s="5" t="s">
        <v>3289</v>
      </c>
      <c r="B3872" t="s">
        <v>5161</v>
      </c>
      <c r="C3872" t="s">
        <v>426</v>
      </c>
      <c r="D3872" t="s">
        <v>9085</v>
      </c>
      <c r="E3872">
        <v>22</v>
      </c>
      <c r="F3872" t="s">
        <v>5172</v>
      </c>
      <c r="G3872" t="s">
        <v>1905</v>
      </c>
    </row>
    <row r="3873" spans="1:7" hidden="1">
      <c r="A3873" s="5" t="s">
        <v>3289</v>
      </c>
      <c r="B3873" t="s">
        <v>5161</v>
      </c>
      <c r="C3873" t="s">
        <v>426</v>
      </c>
      <c r="D3873" t="s">
        <v>9086</v>
      </c>
      <c r="E3873">
        <v>48</v>
      </c>
      <c r="F3873" t="s">
        <v>5172</v>
      </c>
      <c r="G3873" t="s">
        <v>1905</v>
      </c>
    </row>
    <row r="3874" spans="1:7" hidden="1">
      <c r="A3874" s="5" t="s">
        <v>2746</v>
      </c>
      <c r="B3874" t="s">
        <v>5161</v>
      </c>
      <c r="C3874" t="s">
        <v>426</v>
      </c>
      <c r="D3874" t="s">
        <v>9087</v>
      </c>
      <c r="E3874">
        <v>21</v>
      </c>
      <c r="F3874" t="s">
        <v>5163</v>
      </c>
      <c r="G3874" t="s">
        <v>5169</v>
      </c>
    </row>
    <row r="3875" spans="1:7" hidden="1">
      <c r="A3875" s="5" t="s">
        <v>2473</v>
      </c>
      <c r="B3875" t="s">
        <v>5161</v>
      </c>
      <c r="C3875" t="s">
        <v>426</v>
      </c>
      <c r="D3875" t="s">
        <v>9088</v>
      </c>
      <c r="E3875">
        <v>26</v>
      </c>
      <c r="F3875" t="s">
        <v>5163</v>
      </c>
      <c r="G3875" t="s">
        <v>1905</v>
      </c>
    </row>
    <row r="3876" spans="1:7" hidden="1">
      <c r="A3876" s="5" t="s">
        <v>2473</v>
      </c>
      <c r="B3876" t="s">
        <v>5161</v>
      </c>
      <c r="C3876" t="s">
        <v>426</v>
      </c>
      <c r="D3876" t="s">
        <v>9089</v>
      </c>
      <c r="E3876">
        <v>33</v>
      </c>
      <c r="F3876" t="s">
        <v>5163</v>
      </c>
      <c r="G3876" t="s">
        <v>5164</v>
      </c>
    </row>
    <row r="3877" spans="1:7" hidden="1">
      <c r="A3877" s="5" t="s">
        <v>2901</v>
      </c>
      <c r="B3877" t="s">
        <v>5161</v>
      </c>
      <c r="C3877" t="s">
        <v>426</v>
      </c>
      <c r="D3877" t="s">
        <v>9090</v>
      </c>
      <c r="E3877">
        <v>36</v>
      </c>
      <c r="F3877" t="s">
        <v>5163</v>
      </c>
      <c r="G3877" t="s">
        <v>6496</v>
      </c>
    </row>
    <row r="3878" spans="1:7" hidden="1">
      <c r="A3878" s="5" t="s">
        <v>422</v>
      </c>
      <c r="B3878" t="s">
        <v>5161</v>
      </c>
      <c r="C3878" t="s">
        <v>426</v>
      </c>
      <c r="D3878" t="s">
        <v>988</v>
      </c>
      <c r="E3878">
        <v>35</v>
      </c>
      <c r="F3878" t="s">
        <v>5163</v>
      </c>
      <c r="G3878" t="s">
        <v>5169</v>
      </c>
    </row>
    <row r="3879" spans="1:7" hidden="1">
      <c r="A3879" s="5" t="s">
        <v>419</v>
      </c>
      <c r="B3879" t="s">
        <v>5161</v>
      </c>
      <c r="C3879" t="s">
        <v>426</v>
      </c>
      <c r="D3879" t="s">
        <v>9091</v>
      </c>
      <c r="E3879">
        <v>28</v>
      </c>
      <c r="F3879" t="s">
        <v>5163</v>
      </c>
      <c r="G3879" t="s">
        <v>1905</v>
      </c>
    </row>
    <row r="3880" spans="1:7" hidden="1">
      <c r="A3880" s="5" t="s">
        <v>419</v>
      </c>
      <c r="B3880" t="s">
        <v>5161</v>
      </c>
      <c r="C3880" t="s">
        <v>426</v>
      </c>
      <c r="D3880" t="s">
        <v>9091</v>
      </c>
      <c r="E3880">
        <v>28</v>
      </c>
      <c r="F3880" t="s">
        <v>5163</v>
      </c>
      <c r="G3880" t="s">
        <v>1905</v>
      </c>
    </row>
    <row r="3881" spans="1:7" hidden="1">
      <c r="A3881" s="5" t="s">
        <v>419</v>
      </c>
      <c r="B3881" t="s">
        <v>5161</v>
      </c>
      <c r="C3881" t="s">
        <v>426</v>
      </c>
      <c r="D3881" t="s">
        <v>9092</v>
      </c>
      <c r="E3881">
        <v>39</v>
      </c>
      <c r="F3881" t="s">
        <v>5163</v>
      </c>
      <c r="G3881" t="s">
        <v>5164</v>
      </c>
    </row>
    <row r="3882" spans="1:7" hidden="1">
      <c r="A3882" s="5" t="s">
        <v>3191</v>
      </c>
      <c r="B3882" t="s">
        <v>5161</v>
      </c>
      <c r="C3882" t="s">
        <v>426</v>
      </c>
      <c r="D3882" t="s">
        <v>9093</v>
      </c>
      <c r="E3882">
        <v>19</v>
      </c>
      <c r="F3882" t="s">
        <v>5163</v>
      </c>
      <c r="G3882" t="s">
        <v>1905</v>
      </c>
    </row>
    <row r="3883" spans="1:7" hidden="1">
      <c r="A3883" s="5" t="s">
        <v>3215</v>
      </c>
      <c r="B3883" t="s">
        <v>5161</v>
      </c>
      <c r="C3883" t="s">
        <v>426</v>
      </c>
      <c r="D3883" t="s">
        <v>9094</v>
      </c>
      <c r="E3883">
        <v>39</v>
      </c>
      <c r="F3883" t="s">
        <v>5163</v>
      </c>
      <c r="G3883" t="s">
        <v>1905</v>
      </c>
    </row>
    <row r="3884" spans="1:7" hidden="1">
      <c r="A3884" s="5" t="s">
        <v>9095</v>
      </c>
      <c r="B3884" t="s">
        <v>5161</v>
      </c>
      <c r="C3884" t="s">
        <v>426</v>
      </c>
      <c r="D3884" t="s">
        <v>9096</v>
      </c>
      <c r="E3884">
        <v>26</v>
      </c>
      <c r="F3884" t="s">
        <v>5163</v>
      </c>
      <c r="G3884" t="s">
        <v>5164</v>
      </c>
    </row>
    <row r="3885" spans="1:7" hidden="1">
      <c r="A3885" s="5" t="s">
        <v>3237</v>
      </c>
      <c r="B3885" t="s">
        <v>5161</v>
      </c>
      <c r="C3885" t="s">
        <v>426</v>
      </c>
      <c r="D3885" t="s">
        <v>9097</v>
      </c>
      <c r="E3885">
        <v>22</v>
      </c>
      <c r="F3885" t="s">
        <v>5163</v>
      </c>
      <c r="G3885" t="s">
        <v>5164</v>
      </c>
    </row>
    <row r="3886" spans="1:7" hidden="1">
      <c r="A3886" s="5" t="s">
        <v>3087</v>
      </c>
      <c r="B3886" t="s">
        <v>5161</v>
      </c>
      <c r="C3886" t="s">
        <v>426</v>
      </c>
      <c r="D3886" t="s">
        <v>9098</v>
      </c>
      <c r="E3886">
        <v>18</v>
      </c>
      <c r="F3886" t="s">
        <v>5163</v>
      </c>
      <c r="G3886" t="s">
        <v>5164</v>
      </c>
    </row>
    <row r="3887" spans="1:7" hidden="1">
      <c r="A3887" s="5" t="s">
        <v>3297</v>
      </c>
      <c r="B3887" t="s">
        <v>5161</v>
      </c>
      <c r="C3887" t="s">
        <v>426</v>
      </c>
      <c r="D3887" t="s">
        <v>9099</v>
      </c>
      <c r="E3887">
        <v>41</v>
      </c>
      <c r="F3887" t="s">
        <v>5163</v>
      </c>
      <c r="G3887" t="s">
        <v>5169</v>
      </c>
    </row>
    <row r="3888" spans="1:7" hidden="1">
      <c r="A3888" s="5" t="s">
        <v>4418</v>
      </c>
      <c r="B3888" t="s">
        <v>5161</v>
      </c>
      <c r="C3888" t="s">
        <v>426</v>
      </c>
      <c r="D3888" t="s">
        <v>9100</v>
      </c>
      <c r="E3888">
        <v>33</v>
      </c>
      <c r="F3888" t="s">
        <v>5163</v>
      </c>
      <c r="G3888" t="s">
        <v>1905</v>
      </c>
    </row>
    <row r="3889" spans="1:7" hidden="1">
      <c r="A3889" s="5" t="s">
        <v>9101</v>
      </c>
      <c r="B3889" t="s">
        <v>5161</v>
      </c>
      <c r="C3889" t="s">
        <v>426</v>
      </c>
      <c r="D3889" t="s">
        <v>9102</v>
      </c>
      <c r="E3889">
        <v>22</v>
      </c>
      <c r="F3889" t="s">
        <v>5163</v>
      </c>
      <c r="G3889" t="s">
        <v>5164</v>
      </c>
    </row>
    <row r="3890" spans="1:7" hidden="1">
      <c r="A3890" s="5" t="s">
        <v>4938</v>
      </c>
      <c r="B3890" t="s">
        <v>5161</v>
      </c>
      <c r="C3890" t="s">
        <v>426</v>
      </c>
      <c r="D3890" t="s">
        <v>9103</v>
      </c>
      <c r="E3890">
        <v>24</v>
      </c>
      <c r="F3890" t="s">
        <v>5163</v>
      </c>
      <c r="G3890" t="s">
        <v>1905</v>
      </c>
    </row>
    <row r="3891" spans="1:7" hidden="1">
      <c r="A3891" s="5" t="s">
        <v>2980</v>
      </c>
      <c r="B3891" t="s">
        <v>5161</v>
      </c>
      <c r="C3891" t="s">
        <v>426</v>
      </c>
      <c r="D3891" t="s">
        <v>9104</v>
      </c>
      <c r="E3891">
        <v>18</v>
      </c>
      <c r="F3891" t="s">
        <v>5163</v>
      </c>
      <c r="G3891" t="s">
        <v>1905</v>
      </c>
    </row>
    <row r="3892" spans="1:7" hidden="1">
      <c r="A3892" s="5" t="s">
        <v>418</v>
      </c>
      <c r="B3892" t="s">
        <v>5161</v>
      </c>
      <c r="C3892" t="s">
        <v>426</v>
      </c>
      <c r="D3892" t="s">
        <v>982</v>
      </c>
      <c r="E3892">
        <v>34</v>
      </c>
      <c r="F3892" t="s">
        <v>5163</v>
      </c>
      <c r="G3892" t="s">
        <v>5164</v>
      </c>
    </row>
    <row r="3893" spans="1:7" hidden="1">
      <c r="A3893" s="5" t="s">
        <v>2720</v>
      </c>
      <c r="B3893" t="s">
        <v>5161</v>
      </c>
      <c r="C3893" t="s">
        <v>426</v>
      </c>
      <c r="D3893" t="s">
        <v>9105</v>
      </c>
      <c r="E3893">
        <v>23</v>
      </c>
      <c r="F3893" t="s">
        <v>5163</v>
      </c>
      <c r="G3893" t="s">
        <v>1905</v>
      </c>
    </row>
    <row r="3894" spans="1:7" hidden="1">
      <c r="A3894" s="5" t="s">
        <v>2584</v>
      </c>
      <c r="B3894" t="s">
        <v>5161</v>
      </c>
      <c r="C3894" t="s">
        <v>426</v>
      </c>
      <c r="D3894" t="s">
        <v>9106</v>
      </c>
      <c r="E3894">
        <v>35</v>
      </c>
      <c r="F3894" t="s">
        <v>5172</v>
      </c>
      <c r="G3894" t="s">
        <v>1905</v>
      </c>
    </row>
    <row r="3895" spans="1:7" hidden="1">
      <c r="A3895" s="5" t="s">
        <v>2358</v>
      </c>
      <c r="B3895" t="s">
        <v>5161</v>
      </c>
      <c r="C3895" t="s">
        <v>426</v>
      </c>
      <c r="D3895" t="s">
        <v>9107</v>
      </c>
      <c r="E3895">
        <v>22</v>
      </c>
      <c r="F3895" t="s">
        <v>5163</v>
      </c>
      <c r="G3895" t="s">
        <v>5164</v>
      </c>
    </row>
    <row r="3896" spans="1:7" hidden="1">
      <c r="A3896" s="5" t="s">
        <v>2927</v>
      </c>
      <c r="B3896" t="s">
        <v>5161</v>
      </c>
      <c r="C3896" t="s">
        <v>426</v>
      </c>
      <c r="D3896" t="s">
        <v>9108</v>
      </c>
      <c r="E3896">
        <v>29</v>
      </c>
      <c r="F3896" t="s">
        <v>5163</v>
      </c>
      <c r="G3896" t="s">
        <v>5164</v>
      </c>
    </row>
    <row r="3897" spans="1:7" hidden="1">
      <c r="A3897" s="5" t="s">
        <v>9109</v>
      </c>
      <c r="B3897" t="s">
        <v>5161</v>
      </c>
      <c r="C3897" t="s">
        <v>426</v>
      </c>
      <c r="D3897" t="s">
        <v>9110</v>
      </c>
      <c r="E3897">
        <v>26</v>
      </c>
      <c r="F3897" t="s">
        <v>5163</v>
      </c>
      <c r="G3897" t="s">
        <v>5164</v>
      </c>
    </row>
    <row r="3898" spans="1:7" hidden="1">
      <c r="A3898" s="5" t="s">
        <v>9109</v>
      </c>
      <c r="B3898" t="s">
        <v>5161</v>
      </c>
      <c r="C3898" t="s">
        <v>426</v>
      </c>
      <c r="D3898" t="s">
        <v>9111</v>
      </c>
      <c r="E3898">
        <v>22</v>
      </c>
      <c r="F3898" t="s">
        <v>5163</v>
      </c>
      <c r="G3898" t="s">
        <v>1905</v>
      </c>
    </row>
    <row r="3899" spans="1:7" hidden="1">
      <c r="A3899" s="5" t="s">
        <v>9112</v>
      </c>
      <c r="B3899" t="s">
        <v>5161</v>
      </c>
      <c r="C3899" t="s">
        <v>426</v>
      </c>
      <c r="D3899" t="s">
        <v>9113</v>
      </c>
      <c r="E3899">
        <v>20</v>
      </c>
      <c r="F3899" t="s">
        <v>5163</v>
      </c>
      <c r="G3899" t="s">
        <v>5164</v>
      </c>
    </row>
    <row r="3900" spans="1:7" hidden="1">
      <c r="A3900" s="5" t="s">
        <v>2719</v>
      </c>
      <c r="B3900" t="s">
        <v>5161</v>
      </c>
      <c r="C3900" t="s">
        <v>426</v>
      </c>
      <c r="D3900" t="s">
        <v>9114</v>
      </c>
      <c r="E3900">
        <v>35</v>
      </c>
      <c r="F3900" t="s">
        <v>5163</v>
      </c>
      <c r="G3900" t="s">
        <v>1905</v>
      </c>
    </row>
    <row r="3901" spans="1:7" hidden="1">
      <c r="A3901" s="5" t="s">
        <v>2359</v>
      </c>
      <c r="B3901" t="s">
        <v>5161</v>
      </c>
      <c r="C3901" t="s">
        <v>426</v>
      </c>
      <c r="D3901" t="s">
        <v>9115</v>
      </c>
      <c r="E3901">
        <v>31</v>
      </c>
      <c r="F3901" t="s">
        <v>5163</v>
      </c>
      <c r="G3901" t="s">
        <v>5164</v>
      </c>
    </row>
    <row r="3902" spans="1:7" hidden="1">
      <c r="A3902" s="5" t="s">
        <v>2359</v>
      </c>
      <c r="B3902" t="s">
        <v>5161</v>
      </c>
      <c r="C3902" t="s">
        <v>426</v>
      </c>
      <c r="D3902" t="s">
        <v>9116</v>
      </c>
      <c r="E3902">
        <v>29</v>
      </c>
      <c r="F3902" t="s">
        <v>5163</v>
      </c>
      <c r="G3902" t="s">
        <v>1905</v>
      </c>
    </row>
    <row r="3903" spans="1:7" hidden="1">
      <c r="A3903" s="5" t="s">
        <v>2283</v>
      </c>
      <c r="B3903" t="s">
        <v>5161</v>
      </c>
      <c r="C3903" t="s">
        <v>426</v>
      </c>
      <c r="D3903" t="s">
        <v>9117</v>
      </c>
      <c r="E3903">
        <v>21</v>
      </c>
      <c r="F3903" t="s">
        <v>5163</v>
      </c>
      <c r="G3903" t="s">
        <v>5169</v>
      </c>
    </row>
    <row r="3904" spans="1:7" hidden="1">
      <c r="A3904" s="5" t="s">
        <v>3787</v>
      </c>
      <c r="B3904" t="s">
        <v>5161</v>
      </c>
      <c r="C3904" t="s">
        <v>426</v>
      </c>
      <c r="D3904" t="s">
        <v>9118</v>
      </c>
      <c r="E3904">
        <v>20</v>
      </c>
      <c r="F3904" t="s">
        <v>5163</v>
      </c>
      <c r="G3904" t="s">
        <v>1905</v>
      </c>
    </row>
    <row r="3905" spans="1:7" hidden="1">
      <c r="A3905" s="5" t="s">
        <v>2176</v>
      </c>
      <c r="B3905" t="s">
        <v>5161</v>
      </c>
      <c r="C3905" t="s">
        <v>426</v>
      </c>
      <c r="D3905" t="s">
        <v>9119</v>
      </c>
      <c r="E3905">
        <v>29</v>
      </c>
      <c r="F3905" t="s">
        <v>5163</v>
      </c>
      <c r="G3905" t="s">
        <v>1905</v>
      </c>
    </row>
    <row r="3906" spans="1:7" hidden="1">
      <c r="A3906" s="5" t="s">
        <v>3874</v>
      </c>
      <c r="B3906" t="s">
        <v>5161</v>
      </c>
      <c r="C3906" t="s">
        <v>426</v>
      </c>
      <c r="D3906" t="s">
        <v>9120</v>
      </c>
      <c r="E3906">
        <v>56</v>
      </c>
      <c r="F3906" t="s">
        <v>5163</v>
      </c>
      <c r="G3906" t="s">
        <v>5169</v>
      </c>
    </row>
    <row r="3907" spans="1:7" hidden="1">
      <c r="A3907" s="5" t="s">
        <v>4346</v>
      </c>
      <c r="B3907" t="s">
        <v>5161</v>
      </c>
      <c r="C3907" t="s">
        <v>426</v>
      </c>
      <c r="D3907" t="s">
        <v>9121</v>
      </c>
      <c r="E3907">
        <v>26</v>
      </c>
      <c r="F3907" t="s">
        <v>5163</v>
      </c>
      <c r="G3907" t="s">
        <v>1905</v>
      </c>
    </row>
    <row r="3908" spans="1:7" hidden="1">
      <c r="A3908" s="5" t="s">
        <v>2796</v>
      </c>
      <c r="B3908" t="s">
        <v>5161</v>
      </c>
      <c r="C3908" t="s">
        <v>426</v>
      </c>
      <c r="D3908" t="s">
        <v>9122</v>
      </c>
      <c r="E3908">
        <v>31</v>
      </c>
      <c r="F3908" t="s">
        <v>5163</v>
      </c>
      <c r="G3908" t="s">
        <v>5164</v>
      </c>
    </row>
    <row r="3909" spans="1:7" hidden="1">
      <c r="A3909" s="5" t="s">
        <v>2651</v>
      </c>
      <c r="B3909" t="s">
        <v>5161</v>
      </c>
      <c r="C3909" t="s">
        <v>426</v>
      </c>
      <c r="D3909" t="s">
        <v>9123</v>
      </c>
      <c r="E3909">
        <v>19</v>
      </c>
      <c r="F3909" t="s">
        <v>5163</v>
      </c>
      <c r="G3909" t="s">
        <v>5169</v>
      </c>
    </row>
    <row r="3910" spans="1:7" hidden="1">
      <c r="A3910" s="5" t="s">
        <v>5123</v>
      </c>
      <c r="B3910" t="s">
        <v>5161</v>
      </c>
      <c r="C3910" t="s">
        <v>426</v>
      </c>
      <c r="D3910" t="s">
        <v>7273</v>
      </c>
      <c r="E3910">
        <v>22</v>
      </c>
      <c r="F3910" t="s">
        <v>5163</v>
      </c>
      <c r="G3910" t="s">
        <v>5164</v>
      </c>
    </row>
    <row r="3911" spans="1:7" hidden="1">
      <c r="A3911" s="5" t="s">
        <v>3956</v>
      </c>
      <c r="B3911" t="s">
        <v>5161</v>
      </c>
      <c r="C3911" t="s">
        <v>426</v>
      </c>
      <c r="D3911" t="s">
        <v>9124</v>
      </c>
      <c r="E3911">
        <v>29</v>
      </c>
      <c r="F3911" t="s">
        <v>5163</v>
      </c>
      <c r="G3911" t="s">
        <v>5164</v>
      </c>
    </row>
    <row r="3912" spans="1:7" hidden="1">
      <c r="A3912" s="5" t="s">
        <v>2744</v>
      </c>
      <c r="B3912" t="s">
        <v>5161</v>
      </c>
      <c r="C3912" t="s">
        <v>426</v>
      </c>
      <c r="D3912" t="s">
        <v>9125</v>
      </c>
      <c r="E3912">
        <v>26</v>
      </c>
      <c r="F3912" t="s">
        <v>5163</v>
      </c>
      <c r="G3912" t="s">
        <v>1905</v>
      </c>
    </row>
    <row r="3913" spans="1:7" hidden="1">
      <c r="A3913" s="5" t="s">
        <v>9126</v>
      </c>
      <c r="B3913" t="s">
        <v>5161</v>
      </c>
      <c r="C3913" t="s">
        <v>426</v>
      </c>
      <c r="D3913" t="s">
        <v>9127</v>
      </c>
      <c r="E3913">
        <v>29</v>
      </c>
      <c r="F3913" t="s">
        <v>5172</v>
      </c>
      <c r="G3913" t="s">
        <v>5164</v>
      </c>
    </row>
    <row r="3914" spans="1:7" hidden="1">
      <c r="A3914" s="5" t="s">
        <v>2282</v>
      </c>
      <c r="B3914" t="s">
        <v>5161</v>
      </c>
      <c r="C3914" t="s">
        <v>426</v>
      </c>
      <c r="D3914" t="s">
        <v>9128</v>
      </c>
      <c r="E3914">
        <v>23</v>
      </c>
      <c r="F3914" t="s">
        <v>5163</v>
      </c>
      <c r="G3914" t="s">
        <v>5164</v>
      </c>
    </row>
    <row r="3915" spans="1:7" hidden="1">
      <c r="A3915" s="5" t="s">
        <v>4747</v>
      </c>
      <c r="B3915" t="s">
        <v>5161</v>
      </c>
      <c r="C3915" t="s">
        <v>426</v>
      </c>
      <c r="D3915" t="s">
        <v>9129</v>
      </c>
      <c r="E3915">
        <v>38</v>
      </c>
      <c r="F3915" t="s">
        <v>5163</v>
      </c>
      <c r="G3915" t="s">
        <v>1905</v>
      </c>
    </row>
    <row r="3916" spans="1:7" hidden="1">
      <c r="A3916" s="5" t="s">
        <v>2201</v>
      </c>
      <c r="B3916" t="s">
        <v>5161</v>
      </c>
      <c r="C3916" t="s">
        <v>426</v>
      </c>
      <c r="D3916" t="s">
        <v>9130</v>
      </c>
      <c r="E3916">
        <v>33</v>
      </c>
      <c r="F3916" t="s">
        <v>5163</v>
      </c>
      <c r="G3916" t="s">
        <v>6496</v>
      </c>
    </row>
    <row r="3917" spans="1:7" hidden="1">
      <c r="A3917" s="5" t="s">
        <v>421</v>
      </c>
      <c r="B3917" t="s">
        <v>5161</v>
      </c>
      <c r="C3917" t="s">
        <v>426</v>
      </c>
      <c r="D3917" t="s">
        <v>986</v>
      </c>
      <c r="E3917">
        <v>19</v>
      </c>
      <c r="F3917" t="s">
        <v>5163</v>
      </c>
      <c r="G3917" t="s">
        <v>5164</v>
      </c>
    </row>
    <row r="3918" spans="1:7" hidden="1">
      <c r="A3918" s="5" t="s">
        <v>4405</v>
      </c>
      <c r="B3918" t="s">
        <v>5161</v>
      </c>
      <c r="C3918" t="s">
        <v>426</v>
      </c>
      <c r="D3918" t="s">
        <v>7682</v>
      </c>
      <c r="E3918">
        <v>56</v>
      </c>
      <c r="F3918" t="s">
        <v>5163</v>
      </c>
      <c r="G3918" t="s">
        <v>5164</v>
      </c>
    </row>
    <row r="3919" spans="1:7" hidden="1">
      <c r="A3919" s="5" t="s">
        <v>2581</v>
      </c>
      <c r="B3919" t="s">
        <v>5161</v>
      </c>
      <c r="C3919" t="s">
        <v>426</v>
      </c>
      <c r="D3919" t="s">
        <v>9131</v>
      </c>
      <c r="E3919">
        <v>25</v>
      </c>
      <c r="F3919" t="s">
        <v>5163</v>
      </c>
      <c r="G3919" t="s">
        <v>5164</v>
      </c>
    </row>
    <row r="3920" spans="1:7" hidden="1">
      <c r="A3920" s="5" t="s">
        <v>4985</v>
      </c>
      <c r="B3920" t="s">
        <v>5161</v>
      </c>
      <c r="C3920" t="s">
        <v>426</v>
      </c>
      <c r="D3920" t="s">
        <v>9132</v>
      </c>
      <c r="E3920">
        <v>20</v>
      </c>
      <c r="F3920" t="s">
        <v>5163</v>
      </c>
      <c r="G3920" t="s">
        <v>5169</v>
      </c>
    </row>
    <row r="3921" spans="1:7" hidden="1">
      <c r="A3921" s="5" t="s">
        <v>4989</v>
      </c>
      <c r="B3921" t="s">
        <v>5161</v>
      </c>
      <c r="C3921" t="s">
        <v>426</v>
      </c>
      <c r="D3921" t="s">
        <v>9133</v>
      </c>
      <c r="E3921">
        <v>21</v>
      </c>
      <c r="F3921" t="s">
        <v>5163</v>
      </c>
      <c r="G3921" t="s">
        <v>5164</v>
      </c>
    </row>
    <row r="3922" spans="1:7" hidden="1">
      <c r="A3922" s="5" t="s">
        <v>4989</v>
      </c>
      <c r="B3922" t="s">
        <v>5161</v>
      </c>
      <c r="C3922" t="s">
        <v>426</v>
      </c>
      <c r="D3922" t="s">
        <v>9134</v>
      </c>
      <c r="E3922">
        <v>18</v>
      </c>
      <c r="F3922" t="s">
        <v>5163</v>
      </c>
      <c r="G3922" t="s">
        <v>1905</v>
      </c>
    </row>
    <row r="3923" spans="1:7" hidden="1">
      <c r="A3923" s="5" t="s">
        <v>4181</v>
      </c>
      <c r="B3923" t="s">
        <v>5161</v>
      </c>
      <c r="C3923" t="s">
        <v>426</v>
      </c>
      <c r="D3923" t="s">
        <v>9135</v>
      </c>
      <c r="E3923">
        <v>33</v>
      </c>
      <c r="F3923" t="s">
        <v>5163</v>
      </c>
      <c r="G3923" t="s">
        <v>5164</v>
      </c>
    </row>
    <row r="3924" spans="1:7" hidden="1">
      <c r="A3924" s="5" t="s">
        <v>4181</v>
      </c>
      <c r="B3924" t="s">
        <v>5161</v>
      </c>
      <c r="C3924" t="s">
        <v>426</v>
      </c>
      <c r="D3924" t="s">
        <v>9136</v>
      </c>
      <c r="E3924">
        <v>21</v>
      </c>
      <c r="F3924" t="s">
        <v>5163</v>
      </c>
      <c r="G3924" t="s">
        <v>1905</v>
      </c>
    </row>
    <row r="3925" spans="1:7" hidden="1">
      <c r="A3925" s="5" t="s">
        <v>2525</v>
      </c>
      <c r="B3925" t="s">
        <v>5161</v>
      </c>
      <c r="C3925" t="s">
        <v>426</v>
      </c>
      <c r="D3925" t="s">
        <v>9137</v>
      </c>
      <c r="E3925">
        <v>18</v>
      </c>
      <c r="F3925" t="s">
        <v>5163</v>
      </c>
      <c r="G3925" t="s">
        <v>1905</v>
      </c>
    </row>
    <row r="3926" spans="1:7" hidden="1">
      <c r="A3926" s="5" t="s">
        <v>4394</v>
      </c>
      <c r="B3926" t="s">
        <v>5161</v>
      </c>
      <c r="C3926" t="s">
        <v>426</v>
      </c>
      <c r="D3926" t="s">
        <v>9138</v>
      </c>
      <c r="E3926">
        <v>22</v>
      </c>
      <c r="F3926" t="s">
        <v>5163</v>
      </c>
      <c r="G3926" t="s">
        <v>5164</v>
      </c>
    </row>
    <row r="3927" spans="1:7" hidden="1">
      <c r="A3927" s="5" t="s">
        <v>2272</v>
      </c>
      <c r="B3927" t="s">
        <v>5161</v>
      </c>
      <c r="C3927" t="s">
        <v>426</v>
      </c>
      <c r="D3927" t="s">
        <v>9139</v>
      </c>
      <c r="E3927">
        <v>18</v>
      </c>
      <c r="F3927" t="s">
        <v>5163</v>
      </c>
      <c r="G3927" t="s">
        <v>1905</v>
      </c>
    </row>
    <row r="3928" spans="1:7" hidden="1">
      <c r="A3928" s="5" t="s">
        <v>3782</v>
      </c>
      <c r="B3928" t="s">
        <v>5161</v>
      </c>
      <c r="C3928" t="s">
        <v>426</v>
      </c>
      <c r="D3928" t="s">
        <v>9140</v>
      </c>
      <c r="E3928">
        <v>38</v>
      </c>
      <c r="F3928" t="s">
        <v>5163</v>
      </c>
      <c r="G3928" t="s">
        <v>5164</v>
      </c>
    </row>
    <row r="3929" spans="1:7" hidden="1">
      <c r="A3929" s="5" t="s">
        <v>3274</v>
      </c>
      <c r="B3929" t="s">
        <v>5161</v>
      </c>
      <c r="C3929" t="s">
        <v>426</v>
      </c>
      <c r="D3929" t="s">
        <v>9141</v>
      </c>
      <c r="E3929">
        <v>18</v>
      </c>
      <c r="F3929" t="s">
        <v>5172</v>
      </c>
      <c r="G3929" t="s">
        <v>5169</v>
      </c>
    </row>
    <row r="3930" spans="1:7" hidden="1">
      <c r="A3930" s="5" t="s">
        <v>4777</v>
      </c>
      <c r="B3930" t="s">
        <v>5161</v>
      </c>
      <c r="C3930" t="s">
        <v>426</v>
      </c>
      <c r="D3930" t="s">
        <v>9142</v>
      </c>
      <c r="E3930">
        <v>18</v>
      </c>
      <c r="F3930" t="s">
        <v>5163</v>
      </c>
      <c r="G3930" t="s">
        <v>5164</v>
      </c>
    </row>
    <row r="3931" spans="1:7" hidden="1">
      <c r="A3931" s="5" t="s">
        <v>3451</v>
      </c>
      <c r="B3931" t="s">
        <v>5161</v>
      </c>
      <c r="C3931" t="s">
        <v>426</v>
      </c>
      <c r="D3931" t="s">
        <v>9143</v>
      </c>
      <c r="E3931">
        <v>37</v>
      </c>
      <c r="F3931" t="s">
        <v>5163</v>
      </c>
      <c r="G3931" t="s">
        <v>5169</v>
      </c>
    </row>
    <row r="3932" spans="1:7" hidden="1">
      <c r="A3932" s="5" t="s">
        <v>9144</v>
      </c>
      <c r="B3932" t="s">
        <v>5161</v>
      </c>
      <c r="C3932" t="s">
        <v>426</v>
      </c>
      <c r="D3932" t="s">
        <v>9145</v>
      </c>
      <c r="E3932" t="s">
        <v>5182</v>
      </c>
      <c r="F3932" t="s">
        <v>5163</v>
      </c>
      <c r="G3932" t="s">
        <v>6817</v>
      </c>
    </row>
    <row r="3933" spans="1:7" hidden="1">
      <c r="A3933" s="5" t="s">
        <v>4923</v>
      </c>
      <c r="B3933" t="s">
        <v>5161</v>
      </c>
      <c r="C3933" t="s">
        <v>426</v>
      </c>
      <c r="D3933" t="s">
        <v>9146</v>
      </c>
      <c r="E3933">
        <v>23</v>
      </c>
      <c r="F3933" t="s">
        <v>5163</v>
      </c>
      <c r="G3933" t="s">
        <v>5164</v>
      </c>
    </row>
    <row r="3934" spans="1:7" hidden="1">
      <c r="A3934" s="5" t="s">
        <v>2263</v>
      </c>
      <c r="B3934" t="s">
        <v>5161</v>
      </c>
      <c r="C3934" t="s">
        <v>426</v>
      </c>
      <c r="D3934" t="s">
        <v>9147</v>
      </c>
      <c r="E3934">
        <v>22</v>
      </c>
      <c r="F3934" t="s">
        <v>5163</v>
      </c>
      <c r="G3934" t="s">
        <v>5164</v>
      </c>
    </row>
    <row r="3935" spans="1:7" hidden="1">
      <c r="A3935" s="5" t="s">
        <v>4868</v>
      </c>
      <c r="B3935" t="s">
        <v>5161</v>
      </c>
      <c r="C3935" t="s">
        <v>426</v>
      </c>
      <c r="D3935" t="s">
        <v>9148</v>
      </c>
      <c r="E3935">
        <v>26</v>
      </c>
      <c r="F3935" t="s">
        <v>5163</v>
      </c>
      <c r="G3935" t="s">
        <v>5169</v>
      </c>
    </row>
    <row r="3936" spans="1:7" hidden="1">
      <c r="A3936" s="5" t="s">
        <v>2620</v>
      </c>
      <c r="B3936" t="s">
        <v>5161</v>
      </c>
      <c r="C3936" t="s">
        <v>426</v>
      </c>
      <c r="D3936" t="s">
        <v>9149</v>
      </c>
      <c r="E3936">
        <v>18</v>
      </c>
      <c r="F3936" t="s">
        <v>5163</v>
      </c>
      <c r="G3936" t="s">
        <v>5169</v>
      </c>
    </row>
    <row r="3937" spans="1:7" hidden="1">
      <c r="A3937" s="5" t="s">
        <v>3888</v>
      </c>
      <c r="B3937" t="s">
        <v>5161</v>
      </c>
      <c r="C3937" t="s">
        <v>426</v>
      </c>
      <c r="D3937" t="s">
        <v>9150</v>
      </c>
      <c r="E3937">
        <v>19</v>
      </c>
      <c r="F3937" t="s">
        <v>5163</v>
      </c>
      <c r="G3937" t="s">
        <v>5164</v>
      </c>
    </row>
    <row r="3938" spans="1:7" hidden="1">
      <c r="A3938" s="5" t="s">
        <v>2221</v>
      </c>
      <c r="B3938" t="s">
        <v>5161</v>
      </c>
      <c r="C3938" t="s">
        <v>426</v>
      </c>
      <c r="D3938" t="s">
        <v>9151</v>
      </c>
      <c r="E3938">
        <v>32</v>
      </c>
      <c r="F3938" t="s">
        <v>5163</v>
      </c>
      <c r="G3938" t="s">
        <v>5164</v>
      </c>
    </row>
    <row r="3939" spans="1:7" hidden="1">
      <c r="A3939" s="5" t="s">
        <v>4498</v>
      </c>
      <c r="B3939" t="s">
        <v>5161</v>
      </c>
      <c r="C3939" t="s">
        <v>426</v>
      </c>
      <c r="D3939" t="s">
        <v>9152</v>
      </c>
      <c r="E3939">
        <v>18</v>
      </c>
      <c r="F3939" t="s">
        <v>5163</v>
      </c>
      <c r="G3939" t="s">
        <v>5169</v>
      </c>
    </row>
    <row r="3940" spans="1:7" hidden="1">
      <c r="A3940" s="5" t="s">
        <v>3717</v>
      </c>
      <c r="B3940" t="s">
        <v>5161</v>
      </c>
      <c r="C3940" t="s">
        <v>426</v>
      </c>
      <c r="D3940" t="s">
        <v>9153</v>
      </c>
      <c r="E3940">
        <v>21</v>
      </c>
      <c r="F3940" t="s">
        <v>5163</v>
      </c>
      <c r="G3940" t="s">
        <v>5164</v>
      </c>
    </row>
    <row r="3941" spans="1:7" hidden="1">
      <c r="A3941" s="5" t="s">
        <v>424</v>
      </c>
      <c r="B3941" t="s">
        <v>5161</v>
      </c>
      <c r="C3941" t="s">
        <v>426</v>
      </c>
      <c r="D3941" t="s">
        <v>991</v>
      </c>
      <c r="E3941">
        <v>25</v>
      </c>
      <c r="F3941" t="s">
        <v>5163</v>
      </c>
      <c r="G3941" t="s">
        <v>1905</v>
      </c>
    </row>
    <row r="3942" spans="1:7" hidden="1">
      <c r="A3942" s="5" t="s">
        <v>4836</v>
      </c>
      <c r="B3942" t="s">
        <v>5161</v>
      </c>
      <c r="C3942" t="s">
        <v>426</v>
      </c>
      <c r="D3942" t="s">
        <v>9154</v>
      </c>
      <c r="E3942">
        <v>19</v>
      </c>
      <c r="F3942" t="s">
        <v>5163</v>
      </c>
      <c r="G3942" t="s">
        <v>1905</v>
      </c>
    </row>
    <row r="3943" spans="1:7" hidden="1">
      <c r="A3943" s="5" t="s">
        <v>3127</v>
      </c>
      <c r="B3943" t="s">
        <v>5161</v>
      </c>
      <c r="C3943" t="s">
        <v>426</v>
      </c>
      <c r="D3943" t="s">
        <v>9155</v>
      </c>
      <c r="E3943">
        <v>44</v>
      </c>
      <c r="F3943" t="s">
        <v>5163</v>
      </c>
      <c r="G3943" t="s">
        <v>1905</v>
      </c>
    </row>
    <row r="3944" spans="1:7" hidden="1">
      <c r="A3944" s="5" t="s">
        <v>4560</v>
      </c>
      <c r="B3944" t="s">
        <v>5161</v>
      </c>
      <c r="C3944" t="s">
        <v>426</v>
      </c>
      <c r="D3944" t="s">
        <v>9156</v>
      </c>
      <c r="E3944">
        <v>22</v>
      </c>
      <c r="F3944" t="s">
        <v>5163</v>
      </c>
      <c r="G3944" t="s">
        <v>1905</v>
      </c>
    </row>
    <row r="3945" spans="1:7" hidden="1">
      <c r="A3945" s="5" t="s">
        <v>4560</v>
      </c>
      <c r="B3945" t="s">
        <v>5161</v>
      </c>
      <c r="C3945" t="s">
        <v>426</v>
      </c>
      <c r="D3945" t="s">
        <v>9157</v>
      </c>
      <c r="E3945">
        <v>22</v>
      </c>
      <c r="F3945" t="s">
        <v>5163</v>
      </c>
      <c r="G3945" t="s">
        <v>1905</v>
      </c>
    </row>
    <row r="3946" spans="1:7" hidden="1">
      <c r="A3946" s="5" t="s">
        <v>4512</v>
      </c>
      <c r="B3946" t="s">
        <v>5161</v>
      </c>
      <c r="C3946" t="s">
        <v>426</v>
      </c>
      <c r="D3946" t="s">
        <v>9158</v>
      </c>
      <c r="E3946">
        <v>34</v>
      </c>
      <c r="F3946" t="s">
        <v>5163</v>
      </c>
      <c r="G3946" t="s">
        <v>5164</v>
      </c>
    </row>
    <row r="3947" spans="1:7" hidden="1">
      <c r="A3947" s="5" t="s">
        <v>3801</v>
      </c>
      <c r="B3947" t="s">
        <v>5161</v>
      </c>
      <c r="C3947" t="s">
        <v>426</v>
      </c>
      <c r="D3947" t="s">
        <v>9159</v>
      </c>
      <c r="E3947">
        <v>34</v>
      </c>
      <c r="F3947" t="s">
        <v>5163</v>
      </c>
      <c r="G3947" t="s">
        <v>1905</v>
      </c>
    </row>
    <row r="3948" spans="1:7" hidden="1">
      <c r="A3948" s="5" t="s">
        <v>4775</v>
      </c>
      <c r="B3948" t="s">
        <v>5161</v>
      </c>
      <c r="C3948" t="s">
        <v>426</v>
      </c>
      <c r="D3948" t="s">
        <v>9160</v>
      </c>
      <c r="E3948">
        <v>23</v>
      </c>
      <c r="F3948" t="s">
        <v>5163</v>
      </c>
      <c r="G3948" t="s">
        <v>1905</v>
      </c>
    </row>
    <row r="3949" spans="1:7" hidden="1">
      <c r="A3949" s="5" t="s">
        <v>3367</v>
      </c>
      <c r="B3949" t="s">
        <v>5161</v>
      </c>
      <c r="C3949" t="s">
        <v>426</v>
      </c>
      <c r="D3949" t="s">
        <v>9161</v>
      </c>
      <c r="E3949">
        <v>24</v>
      </c>
      <c r="F3949" t="s">
        <v>5163</v>
      </c>
      <c r="G3949" t="s">
        <v>1905</v>
      </c>
    </row>
    <row r="3950" spans="1:7" hidden="1">
      <c r="A3950" s="5" t="s">
        <v>425</v>
      </c>
      <c r="B3950" t="s">
        <v>5161</v>
      </c>
      <c r="C3950" t="s">
        <v>426</v>
      </c>
      <c r="D3950" t="s">
        <v>992</v>
      </c>
      <c r="E3950">
        <v>34</v>
      </c>
      <c r="F3950" t="s">
        <v>5163</v>
      </c>
      <c r="G3950" t="s">
        <v>1905</v>
      </c>
    </row>
    <row r="3951" spans="1:7" hidden="1">
      <c r="A3951" s="5" t="s">
        <v>420</v>
      </c>
      <c r="B3951" t="s">
        <v>5161</v>
      </c>
      <c r="C3951" t="s">
        <v>426</v>
      </c>
      <c r="D3951" t="s">
        <v>985</v>
      </c>
      <c r="E3951">
        <v>25</v>
      </c>
      <c r="F3951" t="s">
        <v>5163</v>
      </c>
      <c r="G3951" t="s">
        <v>5164</v>
      </c>
    </row>
    <row r="3952" spans="1:7" hidden="1">
      <c r="A3952" s="5" t="s">
        <v>2977</v>
      </c>
      <c r="B3952" t="s">
        <v>5161</v>
      </c>
      <c r="C3952" t="s">
        <v>433</v>
      </c>
      <c r="D3952" t="s">
        <v>9162</v>
      </c>
      <c r="E3952">
        <v>35</v>
      </c>
      <c r="F3952" t="s">
        <v>5163</v>
      </c>
      <c r="G3952" t="s">
        <v>1905</v>
      </c>
    </row>
    <row r="3953" spans="1:7" hidden="1">
      <c r="A3953" s="5" t="s">
        <v>432</v>
      </c>
      <c r="B3953" t="s">
        <v>5161</v>
      </c>
      <c r="C3953" t="s">
        <v>433</v>
      </c>
      <c r="D3953" t="s">
        <v>1003</v>
      </c>
      <c r="E3953">
        <v>18</v>
      </c>
      <c r="F3953" t="s">
        <v>5163</v>
      </c>
      <c r="G3953" t="s">
        <v>1905</v>
      </c>
    </row>
    <row r="3954" spans="1:7" hidden="1">
      <c r="A3954" s="5" t="s">
        <v>4034</v>
      </c>
      <c r="B3954" t="s">
        <v>5161</v>
      </c>
      <c r="C3954" t="s">
        <v>433</v>
      </c>
      <c r="D3954" t="s">
        <v>9163</v>
      </c>
      <c r="E3954">
        <v>24</v>
      </c>
      <c r="F3954" t="s">
        <v>5163</v>
      </c>
      <c r="G3954" t="s">
        <v>5164</v>
      </c>
    </row>
    <row r="3955" spans="1:7" hidden="1">
      <c r="A3955" s="5" t="s">
        <v>4034</v>
      </c>
      <c r="B3955" t="s">
        <v>5161</v>
      </c>
      <c r="C3955" t="s">
        <v>433</v>
      </c>
      <c r="D3955" t="s">
        <v>9164</v>
      </c>
      <c r="E3955">
        <v>22</v>
      </c>
      <c r="F3955" t="s">
        <v>5163</v>
      </c>
      <c r="G3955" t="s">
        <v>1905</v>
      </c>
    </row>
    <row r="3956" spans="1:7" hidden="1">
      <c r="A3956" s="5" t="s">
        <v>3700</v>
      </c>
      <c r="B3956" t="s">
        <v>5161</v>
      </c>
      <c r="C3956" t="s">
        <v>433</v>
      </c>
      <c r="D3956" t="s">
        <v>7583</v>
      </c>
      <c r="E3956">
        <v>25</v>
      </c>
      <c r="F3956" t="s">
        <v>5163</v>
      </c>
      <c r="G3956" t="s">
        <v>5164</v>
      </c>
    </row>
    <row r="3957" spans="1:7" hidden="1">
      <c r="A3957" s="5" t="s">
        <v>4058</v>
      </c>
      <c r="B3957" t="s">
        <v>5161</v>
      </c>
      <c r="C3957" t="s">
        <v>433</v>
      </c>
      <c r="D3957" t="s">
        <v>9165</v>
      </c>
      <c r="E3957">
        <v>31</v>
      </c>
      <c r="F3957" t="s">
        <v>5163</v>
      </c>
      <c r="G3957" t="s">
        <v>1905</v>
      </c>
    </row>
    <row r="3958" spans="1:7" hidden="1">
      <c r="A3958" s="5" t="s">
        <v>4384</v>
      </c>
      <c r="B3958" t="s">
        <v>5161</v>
      </c>
      <c r="C3958" t="s">
        <v>433</v>
      </c>
      <c r="D3958" t="s">
        <v>9166</v>
      </c>
      <c r="E3958">
        <v>35</v>
      </c>
      <c r="F3958" t="s">
        <v>5163</v>
      </c>
      <c r="G3958" t="s">
        <v>1905</v>
      </c>
    </row>
    <row r="3959" spans="1:7" hidden="1">
      <c r="A3959" s="5" t="s">
        <v>3965</v>
      </c>
      <c r="B3959" t="s">
        <v>5161</v>
      </c>
      <c r="C3959" t="s">
        <v>433</v>
      </c>
      <c r="D3959" t="s">
        <v>9167</v>
      </c>
      <c r="E3959">
        <v>21</v>
      </c>
      <c r="F3959" t="s">
        <v>5163</v>
      </c>
      <c r="G3959" t="s">
        <v>5169</v>
      </c>
    </row>
    <row r="3960" spans="1:7" hidden="1">
      <c r="A3960" s="5" t="s">
        <v>4208</v>
      </c>
      <c r="B3960" t="s">
        <v>5161</v>
      </c>
      <c r="C3960" t="s">
        <v>433</v>
      </c>
      <c r="D3960" t="s">
        <v>9168</v>
      </c>
      <c r="E3960">
        <v>20</v>
      </c>
      <c r="F3960" t="s">
        <v>5163</v>
      </c>
      <c r="G3960" t="s">
        <v>5164</v>
      </c>
    </row>
    <row r="3961" spans="1:7" hidden="1">
      <c r="A3961" s="5" t="s">
        <v>2803</v>
      </c>
      <c r="B3961" t="s">
        <v>5161</v>
      </c>
      <c r="C3961" t="s">
        <v>433</v>
      </c>
      <c r="D3961" t="s">
        <v>9169</v>
      </c>
      <c r="E3961">
        <v>19</v>
      </c>
      <c r="F3961" t="s">
        <v>5163</v>
      </c>
      <c r="G3961" t="s">
        <v>5164</v>
      </c>
    </row>
    <row r="3962" spans="1:7" hidden="1">
      <c r="A3962" s="5" t="s">
        <v>2803</v>
      </c>
      <c r="B3962" t="s">
        <v>5161</v>
      </c>
      <c r="C3962" t="s">
        <v>433</v>
      </c>
      <c r="D3962" t="s">
        <v>9170</v>
      </c>
      <c r="E3962">
        <v>20</v>
      </c>
      <c r="F3962" t="s">
        <v>5163</v>
      </c>
      <c r="G3962" t="s">
        <v>5169</v>
      </c>
    </row>
    <row r="3963" spans="1:7" hidden="1">
      <c r="A3963" s="5" t="s">
        <v>3407</v>
      </c>
      <c r="B3963" t="s">
        <v>5161</v>
      </c>
      <c r="C3963" t="s">
        <v>433</v>
      </c>
      <c r="D3963" t="s">
        <v>9171</v>
      </c>
      <c r="E3963">
        <v>20</v>
      </c>
      <c r="F3963" t="s">
        <v>5163</v>
      </c>
      <c r="G3963" t="s">
        <v>5169</v>
      </c>
    </row>
    <row r="3964" spans="1:7" hidden="1">
      <c r="A3964" s="5" t="s">
        <v>3407</v>
      </c>
      <c r="B3964" t="s">
        <v>5161</v>
      </c>
      <c r="C3964" t="s">
        <v>433</v>
      </c>
      <c r="D3964" t="s">
        <v>9172</v>
      </c>
      <c r="E3964">
        <v>20</v>
      </c>
      <c r="F3964" t="s">
        <v>5163</v>
      </c>
      <c r="G3964" t="s">
        <v>5164</v>
      </c>
    </row>
    <row r="3965" spans="1:7" hidden="1">
      <c r="A3965" s="5" t="s">
        <v>3407</v>
      </c>
      <c r="B3965" t="s">
        <v>5161</v>
      </c>
      <c r="C3965" t="s">
        <v>433</v>
      </c>
      <c r="D3965" t="s">
        <v>9173</v>
      </c>
      <c r="E3965">
        <v>41</v>
      </c>
      <c r="F3965" t="s">
        <v>5163</v>
      </c>
      <c r="G3965" t="s">
        <v>5164</v>
      </c>
    </row>
    <row r="3966" spans="1:7" hidden="1">
      <c r="A3966" s="5" t="s">
        <v>4194</v>
      </c>
      <c r="B3966" t="s">
        <v>5161</v>
      </c>
      <c r="C3966" t="s">
        <v>433</v>
      </c>
      <c r="D3966" t="s">
        <v>6598</v>
      </c>
      <c r="E3966">
        <v>18</v>
      </c>
      <c r="F3966" t="s">
        <v>5163</v>
      </c>
      <c r="G3966" t="s">
        <v>1905</v>
      </c>
    </row>
    <row r="3967" spans="1:7" hidden="1">
      <c r="A3967" s="5" t="s">
        <v>2650</v>
      </c>
      <c r="B3967" t="s">
        <v>5161</v>
      </c>
      <c r="C3967" t="s">
        <v>433</v>
      </c>
      <c r="D3967" t="s">
        <v>9174</v>
      </c>
      <c r="E3967">
        <v>17</v>
      </c>
      <c r="F3967" t="s">
        <v>5163</v>
      </c>
      <c r="G3967" t="s">
        <v>5169</v>
      </c>
    </row>
    <row r="3968" spans="1:7" hidden="1">
      <c r="A3968" s="5" t="s">
        <v>3154</v>
      </c>
      <c r="B3968" t="s">
        <v>5161</v>
      </c>
      <c r="C3968" t="s">
        <v>433</v>
      </c>
      <c r="D3968" t="s">
        <v>9175</v>
      </c>
      <c r="E3968">
        <v>37</v>
      </c>
      <c r="F3968" t="s">
        <v>5163</v>
      </c>
      <c r="G3968" t="s">
        <v>5164</v>
      </c>
    </row>
    <row r="3969" spans="1:7" hidden="1">
      <c r="A3969" s="5" t="s">
        <v>3473</v>
      </c>
      <c r="B3969" t="s">
        <v>5161</v>
      </c>
      <c r="C3969" t="s">
        <v>433</v>
      </c>
      <c r="D3969" t="s">
        <v>6193</v>
      </c>
      <c r="E3969">
        <v>42</v>
      </c>
      <c r="F3969" t="s">
        <v>5163</v>
      </c>
      <c r="G3969" t="s">
        <v>5164</v>
      </c>
    </row>
    <row r="3970" spans="1:7" hidden="1">
      <c r="A3970" s="5" t="s">
        <v>2892</v>
      </c>
      <c r="B3970" t="s">
        <v>5161</v>
      </c>
      <c r="C3970" t="s">
        <v>433</v>
      </c>
      <c r="D3970" t="s">
        <v>9176</v>
      </c>
      <c r="E3970">
        <v>25</v>
      </c>
      <c r="F3970" t="s">
        <v>5163</v>
      </c>
      <c r="G3970" t="s">
        <v>1905</v>
      </c>
    </row>
    <row r="3971" spans="1:7" hidden="1">
      <c r="A3971" s="5" t="s">
        <v>2314</v>
      </c>
      <c r="B3971" t="s">
        <v>5161</v>
      </c>
      <c r="C3971" t="s">
        <v>433</v>
      </c>
      <c r="D3971" t="s">
        <v>9177</v>
      </c>
      <c r="E3971">
        <v>26</v>
      </c>
      <c r="F3971" t="s">
        <v>5163</v>
      </c>
      <c r="G3971" t="s">
        <v>5164</v>
      </c>
    </row>
    <row r="3972" spans="1:7" hidden="1">
      <c r="A3972" s="5" t="s">
        <v>2891</v>
      </c>
      <c r="B3972" t="s">
        <v>5161</v>
      </c>
      <c r="C3972" t="s">
        <v>433</v>
      </c>
      <c r="D3972" t="s">
        <v>9178</v>
      </c>
      <c r="E3972">
        <v>20</v>
      </c>
      <c r="F3972" t="s">
        <v>5163</v>
      </c>
      <c r="G3972" t="s">
        <v>1905</v>
      </c>
    </row>
    <row r="3973" spans="1:7" hidden="1">
      <c r="A3973" s="5" t="s">
        <v>3331</v>
      </c>
      <c r="B3973" t="s">
        <v>5161</v>
      </c>
      <c r="C3973" t="s">
        <v>433</v>
      </c>
      <c r="D3973" t="s">
        <v>9179</v>
      </c>
      <c r="E3973">
        <v>34</v>
      </c>
      <c r="F3973" t="s">
        <v>5163</v>
      </c>
      <c r="G3973" t="s">
        <v>1905</v>
      </c>
    </row>
    <row r="3974" spans="1:7" hidden="1">
      <c r="A3974" s="5" t="s">
        <v>2772</v>
      </c>
      <c r="B3974" t="s">
        <v>5161</v>
      </c>
      <c r="C3974" t="s">
        <v>433</v>
      </c>
      <c r="D3974" t="s">
        <v>9180</v>
      </c>
      <c r="E3974">
        <v>52</v>
      </c>
      <c r="F3974" t="s">
        <v>5163</v>
      </c>
      <c r="G3974" t="s">
        <v>5164</v>
      </c>
    </row>
    <row r="3975" spans="1:7" hidden="1">
      <c r="A3975" s="5" t="s">
        <v>3687</v>
      </c>
      <c r="B3975" t="s">
        <v>5161</v>
      </c>
      <c r="C3975" t="s">
        <v>433</v>
      </c>
      <c r="D3975" t="s">
        <v>9181</v>
      </c>
      <c r="E3975">
        <v>19</v>
      </c>
      <c r="F3975" t="s">
        <v>5163</v>
      </c>
      <c r="G3975" t="s">
        <v>5164</v>
      </c>
    </row>
    <row r="3976" spans="1:7" hidden="1">
      <c r="A3976" s="5" t="s">
        <v>3687</v>
      </c>
      <c r="B3976" t="s">
        <v>5161</v>
      </c>
      <c r="C3976" t="s">
        <v>433</v>
      </c>
      <c r="D3976" t="s">
        <v>9182</v>
      </c>
      <c r="E3976">
        <v>22</v>
      </c>
      <c r="F3976" t="s">
        <v>5163</v>
      </c>
      <c r="G3976" t="s">
        <v>5164</v>
      </c>
    </row>
    <row r="3977" spans="1:7" hidden="1">
      <c r="A3977" s="5" t="s">
        <v>9183</v>
      </c>
      <c r="B3977" t="s">
        <v>5161</v>
      </c>
      <c r="C3977" t="s">
        <v>433</v>
      </c>
      <c r="D3977" t="s">
        <v>9184</v>
      </c>
      <c r="E3977">
        <v>20</v>
      </c>
      <c r="F3977" t="s">
        <v>5163</v>
      </c>
      <c r="G3977" t="s">
        <v>1905</v>
      </c>
    </row>
    <row r="3978" spans="1:7" hidden="1">
      <c r="A3978" s="5" t="s">
        <v>3372</v>
      </c>
      <c r="B3978" t="s">
        <v>5161</v>
      </c>
      <c r="C3978" t="s">
        <v>433</v>
      </c>
      <c r="D3978" t="s">
        <v>9185</v>
      </c>
      <c r="E3978">
        <v>27</v>
      </c>
      <c r="F3978" t="s">
        <v>5163</v>
      </c>
      <c r="G3978" t="s">
        <v>5164</v>
      </c>
    </row>
    <row r="3979" spans="1:7" hidden="1">
      <c r="A3979" s="5" t="s">
        <v>4309</v>
      </c>
      <c r="B3979" t="s">
        <v>5161</v>
      </c>
      <c r="C3979" t="s">
        <v>433</v>
      </c>
      <c r="D3979" t="s">
        <v>9186</v>
      </c>
      <c r="E3979">
        <v>19</v>
      </c>
      <c r="F3979" t="s">
        <v>5163</v>
      </c>
      <c r="G3979" t="s">
        <v>5169</v>
      </c>
    </row>
    <row r="3980" spans="1:7" hidden="1">
      <c r="A3980" s="5" t="s">
        <v>4309</v>
      </c>
      <c r="B3980" t="s">
        <v>5161</v>
      </c>
      <c r="C3980" t="s">
        <v>433</v>
      </c>
      <c r="D3980" t="s">
        <v>9187</v>
      </c>
      <c r="E3980">
        <v>22</v>
      </c>
      <c r="F3980" t="s">
        <v>5163</v>
      </c>
      <c r="G3980" t="s">
        <v>1905</v>
      </c>
    </row>
    <row r="3981" spans="1:7" hidden="1">
      <c r="A3981" s="5" t="s">
        <v>4309</v>
      </c>
      <c r="B3981" t="s">
        <v>5161</v>
      </c>
      <c r="C3981" t="s">
        <v>433</v>
      </c>
      <c r="D3981" t="s">
        <v>9188</v>
      </c>
      <c r="E3981">
        <v>30</v>
      </c>
      <c r="F3981" t="s">
        <v>5163</v>
      </c>
      <c r="G3981" t="s">
        <v>1905</v>
      </c>
    </row>
    <row r="3982" spans="1:7" hidden="1">
      <c r="A3982" s="5" t="s">
        <v>9189</v>
      </c>
      <c r="B3982" t="s">
        <v>5161</v>
      </c>
      <c r="C3982" t="s">
        <v>433</v>
      </c>
      <c r="D3982" t="s">
        <v>9190</v>
      </c>
      <c r="E3982">
        <v>26</v>
      </c>
      <c r="F3982" t="s">
        <v>5163</v>
      </c>
      <c r="G3982" t="s">
        <v>1905</v>
      </c>
    </row>
    <row r="3983" spans="1:7" hidden="1">
      <c r="A3983" s="5" t="s">
        <v>3890</v>
      </c>
      <c r="B3983" t="s">
        <v>5161</v>
      </c>
      <c r="C3983" t="s">
        <v>433</v>
      </c>
      <c r="D3983" t="s">
        <v>9191</v>
      </c>
      <c r="E3983">
        <v>24</v>
      </c>
      <c r="F3983" t="s">
        <v>5163</v>
      </c>
      <c r="G3983" t="s">
        <v>5164</v>
      </c>
    </row>
    <row r="3984" spans="1:7" hidden="1">
      <c r="A3984" s="5" t="s">
        <v>427</v>
      </c>
      <c r="B3984" t="s">
        <v>5161</v>
      </c>
      <c r="C3984" t="s">
        <v>433</v>
      </c>
      <c r="D3984" t="s">
        <v>995</v>
      </c>
      <c r="E3984">
        <v>18</v>
      </c>
      <c r="F3984" t="s">
        <v>5163</v>
      </c>
      <c r="G3984" t="s">
        <v>6496</v>
      </c>
    </row>
    <row r="3985" spans="1:7" hidden="1">
      <c r="A3985" s="5" t="s">
        <v>5003</v>
      </c>
      <c r="B3985" t="s">
        <v>5161</v>
      </c>
      <c r="C3985" t="s">
        <v>433</v>
      </c>
      <c r="D3985" t="s">
        <v>9192</v>
      </c>
      <c r="E3985">
        <v>34</v>
      </c>
      <c r="F3985" t="s">
        <v>5163</v>
      </c>
      <c r="G3985" t="s">
        <v>5169</v>
      </c>
    </row>
    <row r="3986" spans="1:7" hidden="1">
      <c r="A3986" s="5" t="s">
        <v>429</v>
      </c>
      <c r="B3986" t="s">
        <v>5161</v>
      </c>
      <c r="C3986" t="s">
        <v>433</v>
      </c>
      <c r="D3986" t="s">
        <v>9193</v>
      </c>
      <c r="E3986">
        <v>27</v>
      </c>
      <c r="F3986" t="s">
        <v>5163</v>
      </c>
      <c r="G3986" t="s">
        <v>5164</v>
      </c>
    </row>
    <row r="3987" spans="1:7" hidden="1">
      <c r="A3987" s="5" t="s">
        <v>4389</v>
      </c>
      <c r="B3987" t="s">
        <v>5161</v>
      </c>
      <c r="C3987" t="s">
        <v>433</v>
      </c>
      <c r="D3987" t="s">
        <v>9194</v>
      </c>
      <c r="E3987">
        <v>42</v>
      </c>
      <c r="F3987" t="s">
        <v>5163</v>
      </c>
      <c r="G3987" t="s">
        <v>1905</v>
      </c>
    </row>
    <row r="3988" spans="1:7" hidden="1">
      <c r="A3988" s="5" t="s">
        <v>4453</v>
      </c>
      <c r="B3988" t="s">
        <v>5161</v>
      </c>
      <c r="C3988" t="s">
        <v>433</v>
      </c>
      <c r="D3988" t="s">
        <v>9195</v>
      </c>
      <c r="E3988">
        <v>37</v>
      </c>
      <c r="F3988" t="s">
        <v>5163</v>
      </c>
      <c r="G3988" t="s">
        <v>1905</v>
      </c>
    </row>
    <row r="3989" spans="1:7" hidden="1">
      <c r="A3989" s="5" t="s">
        <v>3696</v>
      </c>
      <c r="B3989" t="s">
        <v>5161</v>
      </c>
      <c r="C3989" t="s">
        <v>433</v>
      </c>
      <c r="D3989" t="s">
        <v>9196</v>
      </c>
      <c r="E3989">
        <v>21</v>
      </c>
      <c r="F3989" t="s">
        <v>5163</v>
      </c>
      <c r="G3989" t="s">
        <v>1905</v>
      </c>
    </row>
    <row r="3990" spans="1:7" hidden="1">
      <c r="A3990" s="5" t="s">
        <v>3696</v>
      </c>
      <c r="B3990" t="s">
        <v>5161</v>
      </c>
      <c r="C3990" t="s">
        <v>433</v>
      </c>
      <c r="D3990" t="s">
        <v>9197</v>
      </c>
      <c r="E3990">
        <v>18</v>
      </c>
      <c r="F3990" t="s">
        <v>5163</v>
      </c>
      <c r="G3990" t="s">
        <v>1905</v>
      </c>
    </row>
    <row r="3991" spans="1:7" hidden="1">
      <c r="A3991" s="5" t="s">
        <v>4506</v>
      </c>
      <c r="B3991" t="s">
        <v>5161</v>
      </c>
      <c r="C3991" t="s">
        <v>433</v>
      </c>
      <c r="D3991" t="s">
        <v>9198</v>
      </c>
      <c r="E3991">
        <v>21</v>
      </c>
      <c r="F3991" t="s">
        <v>5163</v>
      </c>
      <c r="G3991" t="s">
        <v>1905</v>
      </c>
    </row>
    <row r="3992" spans="1:7" hidden="1">
      <c r="A3992" s="5" t="s">
        <v>4632</v>
      </c>
      <c r="B3992" t="s">
        <v>5161</v>
      </c>
      <c r="C3992" t="s">
        <v>433</v>
      </c>
      <c r="D3992" t="s">
        <v>9199</v>
      </c>
      <c r="E3992">
        <v>18</v>
      </c>
      <c r="F3992" t="s">
        <v>5163</v>
      </c>
      <c r="G3992" t="s">
        <v>1905</v>
      </c>
    </row>
    <row r="3993" spans="1:7" hidden="1">
      <c r="A3993" s="5" t="s">
        <v>4486</v>
      </c>
      <c r="B3993" t="s">
        <v>5161</v>
      </c>
      <c r="C3993" t="s">
        <v>433</v>
      </c>
      <c r="D3993" t="s">
        <v>9200</v>
      </c>
      <c r="E3993">
        <v>27</v>
      </c>
      <c r="F3993" t="s">
        <v>5163</v>
      </c>
      <c r="G3993" t="s">
        <v>5169</v>
      </c>
    </row>
    <row r="3994" spans="1:7" hidden="1">
      <c r="A3994" s="5" t="s">
        <v>4614</v>
      </c>
      <c r="B3994" t="s">
        <v>5161</v>
      </c>
      <c r="C3994" t="s">
        <v>433</v>
      </c>
      <c r="D3994" t="s">
        <v>5616</v>
      </c>
      <c r="E3994">
        <v>18</v>
      </c>
      <c r="F3994" t="s">
        <v>5163</v>
      </c>
      <c r="G3994" t="s">
        <v>5169</v>
      </c>
    </row>
    <row r="3995" spans="1:7" hidden="1">
      <c r="A3995" s="5" t="s">
        <v>3997</v>
      </c>
      <c r="B3995" t="s">
        <v>5161</v>
      </c>
      <c r="C3995" t="s">
        <v>433</v>
      </c>
      <c r="D3995" t="s">
        <v>9201</v>
      </c>
      <c r="E3995">
        <v>21</v>
      </c>
      <c r="F3995" t="s">
        <v>5163</v>
      </c>
      <c r="G3995" t="s">
        <v>1905</v>
      </c>
    </row>
    <row r="3996" spans="1:7" hidden="1">
      <c r="A3996" s="5" t="s">
        <v>4213</v>
      </c>
      <c r="B3996" t="s">
        <v>5161</v>
      </c>
      <c r="C3996" t="s">
        <v>433</v>
      </c>
      <c r="D3996" t="s">
        <v>9202</v>
      </c>
      <c r="E3996">
        <v>25</v>
      </c>
      <c r="F3996" t="s">
        <v>5163</v>
      </c>
      <c r="G3996" t="s">
        <v>1905</v>
      </c>
    </row>
    <row r="3997" spans="1:7" hidden="1">
      <c r="A3997" s="5" t="s">
        <v>3474</v>
      </c>
      <c r="B3997" t="s">
        <v>5161</v>
      </c>
      <c r="C3997" t="s">
        <v>433</v>
      </c>
      <c r="D3997" t="s">
        <v>9203</v>
      </c>
      <c r="E3997">
        <v>19</v>
      </c>
      <c r="F3997" t="s">
        <v>5163</v>
      </c>
      <c r="G3997" t="s">
        <v>5164</v>
      </c>
    </row>
    <row r="3998" spans="1:7" hidden="1">
      <c r="A3998" s="5" t="s">
        <v>9204</v>
      </c>
      <c r="B3998" t="s">
        <v>5161</v>
      </c>
      <c r="C3998" t="s">
        <v>433</v>
      </c>
      <c r="D3998" t="s">
        <v>9205</v>
      </c>
      <c r="E3998">
        <v>21</v>
      </c>
      <c r="F3998" t="s">
        <v>5163</v>
      </c>
      <c r="G3998" t="s">
        <v>5164</v>
      </c>
    </row>
    <row r="3999" spans="1:7" hidden="1">
      <c r="A3999" s="5" t="s">
        <v>3254</v>
      </c>
      <c r="B3999" t="s">
        <v>5161</v>
      </c>
      <c r="C3999" t="s">
        <v>433</v>
      </c>
      <c r="D3999" t="s">
        <v>9206</v>
      </c>
      <c r="E3999">
        <v>24</v>
      </c>
      <c r="F3999" t="s">
        <v>5163</v>
      </c>
      <c r="G3999" t="s">
        <v>1905</v>
      </c>
    </row>
    <row r="4000" spans="1:7" hidden="1">
      <c r="A4000" s="5" t="s">
        <v>9207</v>
      </c>
      <c r="B4000" t="s">
        <v>5161</v>
      </c>
      <c r="C4000" t="s">
        <v>433</v>
      </c>
      <c r="D4000" t="s">
        <v>9208</v>
      </c>
      <c r="E4000">
        <v>25</v>
      </c>
      <c r="F4000" t="s">
        <v>5163</v>
      </c>
      <c r="G4000" t="s">
        <v>5164</v>
      </c>
    </row>
    <row r="4001" spans="1:7" hidden="1">
      <c r="A4001" s="5" t="s">
        <v>4266</v>
      </c>
      <c r="B4001" t="s">
        <v>5161</v>
      </c>
      <c r="C4001" t="s">
        <v>433</v>
      </c>
      <c r="D4001" t="s">
        <v>9209</v>
      </c>
      <c r="E4001">
        <v>18</v>
      </c>
      <c r="F4001" t="s">
        <v>5163</v>
      </c>
      <c r="G4001" t="s">
        <v>5169</v>
      </c>
    </row>
    <row r="4002" spans="1:7" hidden="1">
      <c r="A4002" s="5" t="s">
        <v>4673</v>
      </c>
      <c r="B4002" t="s">
        <v>5161</v>
      </c>
      <c r="C4002" t="s">
        <v>433</v>
      </c>
      <c r="D4002" t="s">
        <v>9210</v>
      </c>
      <c r="E4002" t="s">
        <v>5182</v>
      </c>
      <c r="F4002" t="s">
        <v>5163</v>
      </c>
      <c r="G4002" t="s">
        <v>5164</v>
      </c>
    </row>
    <row r="4003" spans="1:7" hidden="1">
      <c r="A4003" s="5" t="s">
        <v>4673</v>
      </c>
      <c r="B4003" t="s">
        <v>5161</v>
      </c>
      <c r="C4003" t="s">
        <v>433</v>
      </c>
      <c r="D4003" t="s">
        <v>9211</v>
      </c>
      <c r="E4003">
        <v>27</v>
      </c>
      <c r="F4003" t="s">
        <v>5172</v>
      </c>
      <c r="G4003" t="s">
        <v>1905</v>
      </c>
    </row>
    <row r="4004" spans="1:7" hidden="1">
      <c r="A4004" s="5" t="s">
        <v>4673</v>
      </c>
      <c r="B4004" t="s">
        <v>5161</v>
      </c>
      <c r="C4004" t="s">
        <v>433</v>
      </c>
      <c r="D4004" t="s">
        <v>9212</v>
      </c>
      <c r="E4004">
        <v>29</v>
      </c>
      <c r="F4004" t="s">
        <v>5163</v>
      </c>
      <c r="G4004" t="s">
        <v>5164</v>
      </c>
    </row>
    <row r="4005" spans="1:7" hidden="1">
      <c r="A4005" s="5" t="s">
        <v>3067</v>
      </c>
      <c r="B4005" t="s">
        <v>5161</v>
      </c>
      <c r="C4005" t="s">
        <v>433</v>
      </c>
      <c r="D4005" t="s">
        <v>9213</v>
      </c>
      <c r="E4005">
        <v>20</v>
      </c>
      <c r="F4005" t="s">
        <v>5163</v>
      </c>
      <c r="G4005" t="s">
        <v>1905</v>
      </c>
    </row>
    <row r="4006" spans="1:7" hidden="1">
      <c r="A4006" s="5" t="s">
        <v>4666</v>
      </c>
      <c r="B4006" t="s">
        <v>5161</v>
      </c>
      <c r="C4006" t="s">
        <v>433</v>
      </c>
      <c r="D4006" t="s">
        <v>9214</v>
      </c>
      <c r="E4006">
        <v>31</v>
      </c>
      <c r="F4006" t="s">
        <v>5163</v>
      </c>
      <c r="G4006" t="s">
        <v>5164</v>
      </c>
    </row>
    <row r="4007" spans="1:7" hidden="1">
      <c r="A4007" s="5" t="s">
        <v>3073</v>
      </c>
      <c r="B4007" t="s">
        <v>5161</v>
      </c>
      <c r="C4007" t="s">
        <v>433</v>
      </c>
      <c r="D4007" t="s">
        <v>9215</v>
      </c>
      <c r="E4007">
        <v>21</v>
      </c>
      <c r="F4007" t="s">
        <v>5163</v>
      </c>
      <c r="G4007" t="s">
        <v>5169</v>
      </c>
    </row>
    <row r="4008" spans="1:7" hidden="1">
      <c r="A4008" s="5" t="s">
        <v>3073</v>
      </c>
      <c r="B4008" t="s">
        <v>5161</v>
      </c>
      <c r="C4008" t="s">
        <v>433</v>
      </c>
      <c r="D4008" t="s">
        <v>9216</v>
      </c>
      <c r="E4008">
        <v>19</v>
      </c>
      <c r="F4008" t="s">
        <v>5163</v>
      </c>
      <c r="G4008" t="s">
        <v>5164</v>
      </c>
    </row>
    <row r="4009" spans="1:7" hidden="1">
      <c r="A4009" s="5" t="s">
        <v>2486</v>
      </c>
      <c r="B4009" t="s">
        <v>5161</v>
      </c>
      <c r="C4009" t="s">
        <v>433</v>
      </c>
      <c r="D4009" t="s">
        <v>9217</v>
      </c>
      <c r="E4009">
        <v>27</v>
      </c>
      <c r="F4009" t="s">
        <v>5163</v>
      </c>
      <c r="G4009" t="s">
        <v>1905</v>
      </c>
    </row>
    <row r="4010" spans="1:7" hidden="1">
      <c r="A4010" s="5" t="s">
        <v>9218</v>
      </c>
      <c r="B4010" t="s">
        <v>5161</v>
      </c>
      <c r="C4010" t="s">
        <v>433</v>
      </c>
      <c r="D4010" t="s">
        <v>9219</v>
      </c>
      <c r="E4010">
        <v>21</v>
      </c>
      <c r="F4010" t="s">
        <v>5163</v>
      </c>
      <c r="G4010" t="s">
        <v>5182</v>
      </c>
    </row>
    <row r="4011" spans="1:7" hidden="1">
      <c r="A4011" s="5" t="s">
        <v>3076</v>
      </c>
      <c r="B4011" t="s">
        <v>5161</v>
      </c>
      <c r="C4011" t="s">
        <v>433</v>
      </c>
      <c r="D4011" t="s">
        <v>9220</v>
      </c>
      <c r="E4011">
        <v>18</v>
      </c>
      <c r="F4011" t="s">
        <v>5163</v>
      </c>
      <c r="G4011" t="s">
        <v>5164</v>
      </c>
    </row>
    <row r="4012" spans="1:7" hidden="1">
      <c r="A4012" s="5" t="s">
        <v>4634</v>
      </c>
      <c r="B4012" t="s">
        <v>5161</v>
      </c>
      <c r="C4012" t="s">
        <v>433</v>
      </c>
      <c r="D4012" t="s">
        <v>9221</v>
      </c>
      <c r="E4012">
        <v>20</v>
      </c>
      <c r="F4012" t="s">
        <v>5172</v>
      </c>
      <c r="G4012" t="s">
        <v>1905</v>
      </c>
    </row>
    <row r="4013" spans="1:7" hidden="1">
      <c r="A4013" s="5" t="s">
        <v>4148</v>
      </c>
      <c r="B4013" t="s">
        <v>5161</v>
      </c>
      <c r="C4013" t="s">
        <v>433</v>
      </c>
      <c r="D4013" t="s">
        <v>9222</v>
      </c>
      <c r="E4013">
        <v>40</v>
      </c>
      <c r="F4013" t="s">
        <v>5172</v>
      </c>
      <c r="G4013" t="s">
        <v>1905</v>
      </c>
    </row>
    <row r="4014" spans="1:7" hidden="1">
      <c r="A4014" s="5" t="s">
        <v>4148</v>
      </c>
      <c r="B4014" t="s">
        <v>5161</v>
      </c>
      <c r="C4014" t="s">
        <v>433</v>
      </c>
      <c r="D4014" t="s">
        <v>9223</v>
      </c>
      <c r="E4014" t="s">
        <v>5182</v>
      </c>
      <c r="F4014" t="s">
        <v>5163</v>
      </c>
      <c r="G4014" t="s">
        <v>5164</v>
      </c>
    </row>
    <row r="4015" spans="1:7" hidden="1">
      <c r="A4015" s="5" t="s">
        <v>3524</v>
      </c>
      <c r="B4015" t="s">
        <v>5161</v>
      </c>
      <c r="C4015" t="s">
        <v>433</v>
      </c>
      <c r="D4015" t="s">
        <v>9224</v>
      </c>
      <c r="E4015">
        <v>19</v>
      </c>
      <c r="F4015" t="s">
        <v>5163</v>
      </c>
      <c r="G4015" t="s">
        <v>1905</v>
      </c>
    </row>
    <row r="4016" spans="1:7" hidden="1">
      <c r="A4016" s="5" t="s">
        <v>2689</v>
      </c>
      <c r="B4016" t="s">
        <v>5161</v>
      </c>
      <c r="C4016" t="s">
        <v>433</v>
      </c>
      <c r="D4016" t="s">
        <v>9225</v>
      </c>
      <c r="E4016">
        <v>31</v>
      </c>
      <c r="F4016" t="s">
        <v>5163</v>
      </c>
      <c r="G4016" t="s">
        <v>5164</v>
      </c>
    </row>
    <row r="4017" spans="1:7" hidden="1">
      <c r="A4017" s="5" t="s">
        <v>2689</v>
      </c>
      <c r="B4017" t="s">
        <v>5161</v>
      </c>
      <c r="C4017" t="s">
        <v>433</v>
      </c>
      <c r="D4017" t="s">
        <v>9226</v>
      </c>
      <c r="E4017">
        <v>29</v>
      </c>
      <c r="F4017" t="s">
        <v>5163</v>
      </c>
      <c r="G4017" t="s">
        <v>5164</v>
      </c>
    </row>
    <row r="4018" spans="1:7" hidden="1">
      <c r="A4018" s="5" t="s">
        <v>4518</v>
      </c>
      <c r="B4018" t="s">
        <v>5161</v>
      </c>
      <c r="C4018" t="s">
        <v>433</v>
      </c>
      <c r="D4018" t="s">
        <v>9227</v>
      </c>
      <c r="E4018">
        <v>23</v>
      </c>
      <c r="F4018" t="s">
        <v>5163</v>
      </c>
      <c r="G4018" t="s">
        <v>5169</v>
      </c>
    </row>
    <row r="4019" spans="1:7" hidden="1">
      <c r="A4019" s="5" t="s">
        <v>2821</v>
      </c>
      <c r="B4019" t="s">
        <v>5161</v>
      </c>
      <c r="C4019" t="s">
        <v>433</v>
      </c>
      <c r="D4019" t="s">
        <v>9228</v>
      </c>
      <c r="E4019">
        <v>41</v>
      </c>
      <c r="F4019" t="s">
        <v>5163</v>
      </c>
      <c r="G4019" t="s">
        <v>5164</v>
      </c>
    </row>
    <row r="4020" spans="1:7" hidden="1">
      <c r="A4020" s="5" t="s">
        <v>4269</v>
      </c>
      <c r="B4020" t="s">
        <v>5161</v>
      </c>
      <c r="C4020" t="s">
        <v>433</v>
      </c>
      <c r="D4020" t="s">
        <v>9229</v>
      </c>
      <c r="E4020">
        <v>26</v>
      </c>
      <c r="F4020" t="s">
        <v>5163</v>
      </c>
      <c r="G4020" t="s">
        <v>1905</v>
      </c>
    </row>
    <row r="4021" spans="1:7" hidden="1">
      <c r="A4021" s="5" t="s">
        <v>2732</v>
      </c>
      <c r="B4021" t="s">
        <v>5161</v>
      </c>
      <c r="C4021" t="s">
        <v>433</v>
      </c>
      <c r="D4021" t="s">
        <v>9230</v>
      </c>
      <c r="E4021">
        <v>21</v>
      </c>
      <c r="F4021" t="s">
        <v>5163</v>
      </c>
      <c r="G4021" t="s">
        <v>5164</v>
      </c>
    </row>
    <row r="4022" spans="1:7" hidden="1">
      <c r="A4022" s="5" t="s">
        <v>1002</v>
      </c>
      <c r="B4022" t="s">
        <v>5161</v>
      </c>
      <c r="C4022" t="s">
        <v>433</v>
      </c>
      <c r="D4022" t="s">
        <v>1004</v>
      </c>
      <c r="E4022">
        <v>23</v>
      </c>
      <c r="F4022" t="s">
        <v>5172</v>
      </c>
      <c r="G4022" t="s">
        <v>5164</v>
      </c>
    </row>
    <row r="4023" spans="1:7" hidden="1">
      <c r="A4023" s="5" t="s">
        <v>2123</v>
      </c>
      <c r="B4023" t="s">
        <v>5161</v>
      </c>
      <c r="C4023" t="s">
        <v>433</v>
      </c>
      <c r="D4023" t="s">
        <v>9231</v>
      </c>
      <c r="E4023">
        <v>24</v>
      </c>
      <c r="F4023" t="s">
        <v>5163</v>
      </c>
      <c r="G4023" t="s">
        <v>1905</v>
      </c>
    </row>
    <row r="4024" spans="1:7" hidden="1">
      <c r="A4024" s="5" t="s">
        <v>4856</v>
      </c>
      <c r="B4024" t="s">
        <v>5161</v>
      </c>
      <c r="C4024" t="s">
        <v>433</v>
      </c>
      <c r="D4024" t="s">
        <v>9232</v>
      </c>
      <c r="E4024">
        <v>33</v>
      </c>
      <c r="F4024" t="s">
        <v>5163</v>
      </c>
      <c r="G4024" t="s">
        <v>5164</v>
      </c>
    </row>
    <row r="4025" spans="1:7" hidden="1">
      <c r="A4025" s="5" t="s">
        <v>3574</v>
      </c>
      <c r="B4025" t="s">
        <v>5161</v>
      </c>
      <c r="C4025" t="s">
        <v>433</v>
      </c>
      <c r="D4025" t="s">
        <v>9233</v>
      </c>
      <c r="E4025">
        <v>18</v>
      </c>
      <c r="F4025" t="s">
        <v>5163</v>
      </c>
      <c r="G4025" t="s">
        <v>1905</v>
      </c>
    </row>
    <row r="4026" spans="1:7" hidden="1">
      <c r="A4026" s="5" t="s">
        <v>4763</v>
      </c>
      <c r="B4026" t="s">
        <v>5161</v>
      </c>
      <c r="C4026" t="s">
        <v>433</v>
      </c>
      <c r="D4026" t="s">
        <v>9234</v>
      </c>
      <c r="E4026">
        <v>22</v>
      </c>
      <c r="F4026" t="s">
        <v>5163</v>
      </c>
      <c r="G4026" t="s">
        <v>5164</v>
      </c>
    </row>
    <row r="4027" spans="1:7" hidden="1">
      <c r="A4027" s="5" t="s">
        <v>9235</v>
      </c>
      <c r="B4027" t="s">
        <v>5161</v>
      </c>
      <c r="C4027" t="s">
        <v>433</v>
      </c>
      <c r="D4027" t="s">
        <v>9236</v>
      </c>
      <c r="E4027" t="s">
        <v>5182</v>
      </c>
      <c r="F4027" t="s">
        <v>5163</v>
      </c>
      <c r="G4027" t="s">
        <v>5164</v>
      </c>
    </row>
    <row r="4028" spans="1:7" hidden="1">
      <c r="A4028" s="5" t="s">
        <v>9235</v>
      </c>
      <c r="B4028" t="s">
        <v>5161</v>
      </c>
      <c r="C4028" t="s">
        <v>433</v>
      </c>
      <c r="D4028" t="s">
        <v>9237</v>
      </c>
      <c r="E4028" t="s">
        <v>5182</v>
      </c>
      <c r="F4028" t="s">
        <v>5163</v>
      </c>
      <c r="G4028" t="s">
        <v>5164</v>
      </c>
    </row>
    <row r="4029" spans="1:7" hidden="1">
      <c r="A4029" s="5" t="s">
        <v>9235</v>
      </c>
      <c r="B4029" t="s">
        <v>5161</v>
      </c>
      <c r="C4029" t="s">
        <v>433</v>
      </c>
      <c r="D4029" t="s">
        <v>9238</v>
      </c>
      <c r="E4029" t="s">
        <v>5182</v>
      </c>
      <c r="F4029" t="s">
        <v>5163</v>
      </c>
      <c r="G4029" t="s">
        <v>1905</v>
      </c>
    </row>
    <row r="4030" spans="1:7" hidden="1">
      <c r="A4030" s="5" t="s">
        <v>9235</v>
      </c>
      <c r="B4030" t="s">
        <v>5161</v>
      </c>
      <c r="C4030" t="s">
        <v>433</v>
      </c>
      <c r="D4030" t="s">
        <v>9239</v>
      </c>
      <c r="E4030" t="s">
        <v>5182</v>
      </c>
      <c r="F4030" t="s">
        <v>5163</v>
      </c>
      <c r="G4030" t="s">
        <v>1905</v>
      </c>
    </row>
    <row r="4031" spans="1:7" hidden="1">
      <c r="A4031" s="5" t="s">
        <v>9235</v>
      </c>
      <c r="B4031" t="s">
        <v>5161</v>
      </c>
      <c r="C4031" t="s">
        <v>433</v>
      </c>
      <c r="D4031" t="s">
        <v>9240</v>
      </c>
      <c r="E4031" t="s">
        <v>5182</v>
      </c>
      <c r="F4031" t="s">
        <v>5163</v>
      </c>
      <c r="G4031" t="s">
        <v>5164</v>
      </c>
    </row>
    <row r="4032" spans="1:7" hidden="1">
      <c r="A4032" s="5" t="s">
        <v>9235</v>
      </c>
      <c r="B4032" t="s">
        <v>5161</v>
      </c>
      <c r="C4032" t="s">
        <v>433</v>
      </c>
      <c r="D4032" t="s">
        <v>9241</v>
      </c>
      <c r="E4032" t="s">
        <v>5182</v>
      </c>
      <c r="F4032" t="s">
        <v>5163</v>
      </c>
      <c r="G4032" t="s">
        <v>5164</v>
      </c>
    </row>
    <row r="4033" spans="1:7" hidden="1">
      <c r="A4033" s="5" t="s">
        <v>9235</v>
      </c>
      <c r="B4033" t="s">
        <v>5161</v>
      </c>
      <c r="C4033" t="s">
        <v>433</v>
      </c>
      <c r="D4033" t="s">
        <v>9242</v>
      </c>
      <c r="E4033" t="s">
        <v>5182</v>
      </c>
      <c r="F4033" t="s">
        <v>5163</v>
      </c>
      <c r="G4033" t="s">
        <v>5164</v>
      </c>
    </row>
    <row r="4034" spans="1:7" hidden="1">
      <c r="A4034" s="5" t="s">
        <v>9235</v>
      </c>
      <c r="B4034" t="s">
        <v>5161</v>
      </c>
      <c r="C4034" t="s">
        <v>433</v>
      </c>
      <c r="D4034" t="s">
        <v>9243</v>
      </c>
      <c r="E4034" t="s">
        <v>5182</v>
      </c>
      <c r="F4034" t="s">
        <v>5163</v>
      </c>
      <c r="G4034" t="s">
        <v>1905</v>
      </c>
    </row>
    <row r="4035" spans="1:7" hidden="1">
      <c r="A4035" s="5" t="s">
        <v>9235</v>
      </c>
      <c r="B4035" t="s">
        <v>5161</v>
      </c>
      <c r="C4035" t="s">
        <v>433</v>
      </c>
      <c r="D4035" t="s">
        <v>9244</v>
      </c>
      <c r="E4035" t="s">
        <v>5182</v>
      </c>
      <c r="F4035" t="s">
        <v>5163</v>
      </c>
      <c r="G4035" t="s">
        <v>5164</v>
      </c>
    </row>
    <row r="4036" spans="1:7" hidden="1">
      <c r="A4036" s="5" t="s">
        <v>4047</v>
      </c>
      <c r="B4036" t="s">
        <v>5161</v>
      </c>
      <c r="C4036" t="s">
        <v>433</v>
      </c>
      <c r="D4036" t="s">
        <v>9245</v>
      </c>
      <c r="E4036">
        <v>19</v>
      </c>
      <c r="F4036" t="s">
        <v>5163</v>
      </c>
      <c r="G4036" t="s">
        <v>5164</v>
      </c>
    </row>
    <row r="4037" spans="1:7" hidden="1">
      <c r="A4037" s="5" t="s">
        <v>2260</v>
      </c>
      <c r="B4037" t="s">
        <v>5161</v>
      </c>
      <c r="C4037" t="s">
        <v>433</v>
      </c>
      <c r="D4037" t="s">
        <v>9246</v>
      </c>
      <c r="E4037">
        <v>42</v>
      </c>
      <c r="F4037" t="s">
        <v>5172</v>
      </c>
      <c r="G4037" t="s">
        <v>5169</v>
      </c>
    </row>
    <row r="4038" spans="1:7" hidden="1">
      <c r="A4038" s="5" t="s">
        <v>2730</v>
      </c>
      <c r="B4038" t="s">
        <v>5161</v>
      </c>
      <c r="C4038" t="s">
        <v>433</v>
      </c>
      <c r="D4038" t="s">
        <v>9247</v>
      </c>
      <c r="E4038">
        <v>21</v>
      </c>
      <c r="F4038" t="s">
        <v>5163</v>
      </c>
      <c r="G4038" t="s">
        <v>1905</v>
      </c>
    </row>
    <row r="4039" spans="1:7" hidden="1">
      <c r="A4039" s="5" t="s">
        <v>431</v>
      </c>
      <c r="B4039" t="s">
        <v>5161</v>
      </c>
      <c r="C4039" t="s">
        <v>433</v>
      </c>
      <c r="D4039" t="s">
        <v>9248</v>
      </c>
      <c r="E4039">
        <v>24</v>
      </c>
      <c r="F4039" t="s">
        <v>5163</v>
      </c>
      <c r="G4039" t="s">
        <v>5169</v>
      </c>
    </row>
    <row r="4040" spans="1:7" hidden="1">
      <c r="A4040" s="5" t="s">
        <v>4832</v>
      </c>
      <c r="B4040" t="s">
        <v>5161</v>
      </c>
      <c r="C4040" t="s">
        <v>433</v>
      </c>
      <c r="D4040" t="s">
        <v>9249</v>
      </c>
      <c r="E4040">
        <v>28</v>
      </c>
      <c r="F4040" t="s">
        <v>5163</v>
      </c>
      <c r="G4040" t="s">
        <v>5164</v>
      </c>
    </row>
    <row r="4041" spans="1:7" hidden="1">
      <c r="A4041" s="5" t="s">
        <v>9250</v>
      </c>
      <c r="B4041" t="s">
        <v>5161</v>
      </c>
      <c r="C4041" t="s">
        <v>433</v>
      </c>
      <c r="D4041" t="s">
        <v>9251</v>
      </c>
      <c r="E4041">
        <v>19</v>
      </c>
      <c r="F4041" t="s">
        <v>5163</v>
      </c>
      <c r="G4041" t="s">
        <v>5164</v>
      </c>
    </row>
    <row r="4042" spans="1:7" hidden="1">
      <c r="A4042" s="5" t="s">
        <v>9252</v>
      </c>
      <c r="B4042" t="s">
        <v>5161</v>
      </c>
      <c r="C4042" t="s">
        <v>433</v>
      </c>
      <c r="D4042" t="s">
        <v>9253</v>
      </c>
      <c r="E4042">
        <v>22</v>
      </c>
      <c r="F4042" t="s">
        <v>5163</v>
      </c>
      <c r="G4042" t="s">
        <v>1905</v>
      </c>
    </row>
    <row r="4043" spans="1:7" hidden="1">
      <c r="A4043" s="5" t="s">
        <v>9252</v>
      </c>
      <c r="B4043" t="s">
        <v>5161</v>
      </c>
      <c r="C4043" t="s">
        <v>433</v>
      </c>
      <c r="D4043" t="s">
        <v>9254</v>
      </c>
      <c r="E4043">
        <v>20</v>
      </c>
      <c r="F4043" t="s">
        <v>5163</v>
      </c>
      <c r="G4043" t="s">
        <v>5164</v>
      </c>
    </row>
    <row r="4044" spans="1:7" hidden="1">
      <c r="A4044" s="5" t="s">
        <v>9255</v>
      </c>
      <c r="B4044" t="s">
        <v>5161</v>
      </c>
      <c r="C4044" t="s">
        <v>433</v>
      </c>
      <c r="D4044" t="s">
        <v>9256</v>
      </c>
      <c r="E4044">
        <v>29</v>
      </c>
      <c r="F4044" t="s">
        <v>5163</v>
      </c>
      <c r="G4044" t="s">
        <v>5169</v>
      </c>
    </row>
    <row r="4045" spans="1:7" hidden="1">
      <c r="A4045" s="5" t="s">
        <v>9257</v>
      </c>
      <c r="B4045" t="s">
        <v>5161</v>
      </c>
      <c r="C4045" t="s">
        <v>433</v>
      </c>
      <c r="D4045" t="s">
        <v>9258</v>
      </c>
      <c r="E4045" t="s">
        <v>5182</v>
      </c>
      <c r="F4045" t="s">
        <v>5163</v>
      </c>
      <c r="G4045" t="s">
        <v>1905</v>
      </c>
    </row>
    <row r="4046" spans="1:7" hidden="1">
      <c r="A4046" s="5" t="s">
        <v>9257</v>
      </c>
      <c r="B4046" t="s">
        <v>5161</v>
      </c>
      <c r="C4046" t="s">
        <v>433</v>
      </c>
      <c r="D4046" t="s">
        <v>9259</v>
      </c>
      <c r="E4046" t="s">
        <v>5182</v>
      </c>
      <c r="F4046" t="s">
        <v>5172</v>
      </c>
      <c r="G4046" t="s">
        <v>1905</v>
      </c>
    </row>
    <row r="4047" spans="1:7" hidden="1">
      <c r="A4047" s="5" t="s">
        <v>9257</v>
      </c>
      <c r="B4047" t="s">
        <v>5161</v>
      </c>
      <c r="C4047" t="s">
        <v>433</v>
      </c>
      <c r="D4047" t="s">
        <v>9260</v>
      </c>
      <c r="E4047" t="s">
        <v>5182</v>
      </c>
      <c r="F4047" t="s">
        <v>5163</v>
      </c>
      <c r="G4047" t="s">
        <v>1905</v>
      </c>
    </row>
    <row r="4048" spans="1:7" hidden="1">
      <c r="A4048" s="5" t="s">
        <v>9257</v>
      </c>
      <c r="B4048" t="s">
        <v>5161</v>
      </c>
      <c r="C4048" t="s">
        <v>433</v>
      </c>
      <c r="D4048" t="s">
        <v>9261</v>
      </c>
      <c r="E4048" t="s">
        <v>5182</v>
      </c>
      <c r="F4048" t="s">
        <v>5172</v>
      </c>
      <c r="G4048" t="s">
        <v>1905</v>
      </c>
    </row>
    <row r="4049" spans="1:7" hidden="1">
      <c r="A4049" s="5" t="s">
        <v>4802</v>
      </c>
      <c r="B4049" t="s">
        <v>5161</v>
      </c>
      <c r="C4049" t="s">
        <v>433</v>
      </c>
      <c r="D4049" t="s">
        <v>9262</v>
      </c>
      <c r="E4049">
        <v>30</v>
      </c>
      <c r="F4049" t="s">
        <v>5163</v>
      </c>
      <c r="G4049" t="s">
        <v>1905</v>
      </c>
    </row>
    <row r="4050" spans="1:7" hidden="1">
      <c r="A4050" s="5" t="s">
        <v>9263</v>
      </c>
      <c r="B4050" t="s">
        <v>5161</v>
      </c>
      <c r="C4050" t="s">
        <v>433</v>
      </c>
      <c r="D4050" t="s">
        <v>9264</v>
      </c>
      <c r="E4050">
        <v>18</v>
      </c>
      <c r="F4050" t="s">
        <v>5172</v>
      </c>
      <c r="G4050" t="s">
        <v>5164</v>
      </c>
    </row>
    <row r="4051" spans="1:7" hidden="1">
      <c r="A4051" s="5" t="s">
        <v>4723</v>
      </c>
      <c r="B4051" t="s">
        <v>5161</v>
      </c>
      <c r="C4051" t="s">
        <v>433</v>
      </c>
      <c r="D4051" t="s">
        <v>9265</v>
      </c>
      <c r="E4051">
        <v>19</v>
      </c>
      <c r="F4051" t="s">
        <v>5163</v>
      </c>
      <c r="G4051" t="s">
        <v>5164</v>
      </c>
    </row>
    <row r="4052" spans="1:7" hidden="1">
      <c r="A4052" s="5" t="s">
        <v>4570</v>
      </c>
      <c r="B4052" t="s">
        <v>5161</v>
      </c>
      <c r="C4052" t="s">
        <v>433</v>
      </c>
      <c r="D4052" t="s">
        <v>9266</v>
      </c>
      <c r="E4052">
        <v>21</v>
      </c>
      <c r="F4052" t="s">
        <v>5163</v>
      </c>
      <c r="G4052" t="s">
        <v>5164</v>
      </c>
    </row>
    <row r="4053" spans="1:7" hidden="1">
      <c r="A4053" s="5" t="s">
        <v>4724</v>
      </c>
      <c r="B4053" t="s">
        <v>5161</v>
      </c>
      <c r="C4053" t="s">
        <v>433</v>
      </c>
      <c r="D4053" t="s">
        <v>9267</v>
      </c>
      <c r="E4053">
        <v>20</v>
      </c>
      <c r="F4053" t="s">
        <v>5163</v>
      </c>
      <c r="G4053" t="s">
        <v>5169</v>
      </c>
    </row>
    <row r="4054" spans="1:7" hidden="1">
      <c r="A4054" s="5" t="s">
        <v>4676</v>
      </c>
      <c r="B4054" t="s">
        <v>5161</v>
      </c>
      <c r="C4054" t="s">
        <v>433</v>
      </c>
      <c r="D4054" t="s">
        <v>6980</v>
      </c>
      <c r="E4054">
        <v>40</v>
      </c>
      <c r="F4054" t="s">
        <v>5172</v>
      </c>
      <c r="G4054" t="s">
        <v>5169</v>
      </c>
    </row>
    <row r="4055" spans="1:7" hidden="1">
      <c r="A4055" s="5" t="s">
        <v>4427</v>
      </c>
      <c r="B4055" t="s">
        <v>5161</v>
      </c>
      <c r="C4055" t="s">
        <v>433</v>
      </c>
      <c r="D4055" t="s">
        <v>9268</v>
      </c>
      <c r="E4055">
        <v>25</v>
      </c>
      <c r="F4055" t="s">
        <v>5163</v>
      </c>
      <c r="G4055" t="s">
        <v>5164</v>
      </c>
    </row>
    <row r="4056" spans="1:7" hidden="1">
      <c r="A4056" s="5" t="s">
        <v>4500</v>
      </c>
      <c r="B4056" t="s">
        <v>5161</v>
      </c>
      <c r="C4056" t="s">
        <v>433</v>
      </c>
      <c r="D4056" t="s">
        <v>9269</v>
      </c>
      <c r="E4056">
        <v>20</v>
      </c>
      <c r="F4056" t="s">
        <v>5163</v>
      </c>
      <c r="G4056" t="s">
        <v>1905</v>
      </c>
    </row>
    <row r="4057" spans="1:7" hidden="1">
      <c r="A4057" s="5" t="s">
        <v>4823</v>
      </c>
      <c r="B4057" t="s">
        <v>5161</v>
      </c>
      <c r="C4057" t="s">
        <v>433</v>
      </c>
      <c r="D4057" t="s">
        <v>9270</v>
      </c>
      <c r="E4057">
        <v>19</v>
      </c>
      <c r="F4057" t="s">
        <v>5172</v>
      </c>
      <c r="G4057" t="s">
        <v>1905</v>
      </c>
    </row>
    <row r="4058" spans="1:7" hidden="1">
      <c r="A4058" s="5" t="s">
        <v>4823</v>
      </c>
      <c r="B4058" t="s">
        <v>5161</v>
      </c>
      <c r="C4058" t="s">
        <v>433</v>
      </c>
      <c r="D4058" t="s">
        <v>9271</v>
      </c>
      <c r="E4058">
        <v>21</v>
      </c>
      <c r="F4058" t="s">
        <v>5163</v>
      </c>
      <c r="G4058" t="s">
        <v>1905</v>
      </c>
    </row>
    <row r="4059" spans="1:7" hidden="1">
      <c r="A4059" s="5" t="s">
        <v>430</v>
      </c>
      <c r="B4059" t="s">
        <v>5161</v>
      </c>
      <c r="C4059" t="s">
        <v>433</v>
      </c>
      <c r="D4059" t="s">
        <v>1000</v>
      </c>
      <c r="E4059">
        <v>30</v>
      </c>
      <c r="F4059" t="s">
        <v>5163</v>
      </c>
      <c r="G4059" t="s">
        <v>5164</v>
      </c>
    </row>
    <row r="4060" spans="1:7" hidden="1">
      <c r="A4060" s="5" t="s">
        <v>4670</v>
      </c>
      <c r="B4060" t="s">
        <v>5161</v>
      </c>
      <c r="C4060" t="s">
        <v>433</v>
      </c>
      <c r="D4060" t="s">
        <v>9272</v>
      </c>
      <c r="E4060">
        <v>27</v>
      </c>
      <c r="F4060" t="s">
        <v>5163</v>
      </c>
      <c r="G4060" t="s">
        <v>5164</v>
      </c>
    </row>
    <row r="4061" spans="1:7" hidden="1">
      <c r="A4061" s="5" t="s">
        <v>4467</v>
      </c>
      <c r="B4061" t="s">
        <v>5161</v>
      </c>
      <c r="C4061" t="s">
        <v>433</v>
      </c>
      <c r="D4061" t="s">
        <v>9273</v>
      </c>
      <c r="E4061">
        <v>18</v>
      </c>
      <c r="F4061" t="s">
        <v>5163</v>
      </c>
      <c r="G4061" t="s">
        <v>5164</v>
      </c>
    </row>
    <row r="4062" spans="1:7" hidden="1">
      <c r="A4062" s="5" t="s">
        <v>4818</v>
      </c>
      <c r="B4062" t="s">
        <v>5161</v>
      </c>
      <c r="C4062" t="s">
        <v>433</v>
      </c>
      <c r="D4062" t="s">
        <v>9274</v>
      </c>
      <c r="E4062">
        <v>18</v>
      </c>
      <c r="F4062" t="s">
        <v>5163</v>
      </c>
      <c r="G4062" t="s">
        <v>5164</v>
      </c>
    </row>
    <row r="4063" spans="1:7" hidden="1">
      <c r="A4063" s="5" t="s">
        <v>4179</v>
      </c>
      <c r="B4063" t="s">
        <v>5161</v>
      </c>
      <c r="C4063" t="s">
        <v>433</v>
      </c>
      <c r="D4063" t="s">
        <v>9275</v>
      </c>
      <c r="E4063">
        <v>42</v>
      </c>
      <c r="F4063" t="s">
        <v>5163</v>
      </c>
      <c r="G4063" t="s">
        <v>1905</v>
      </c>
    </row>
    <row r="4064" spans="1:7" hidden="1">
      <c r="A4064" s="5" t="s">
        <v>9276</v>
      </c>
      <c r="B4064" t="s">
        <v>5161</v>
      </c>
      <c r="C4064" t="s">
        <v>433</v>
      </c>
      <c r="D4064" t="s">
        <v>7174</v>
      </c>
      <c r="E4064">
        <v>20</v>
      </c>
      <c r="F4064" t="s">
        <v>5163</v>
      </c>
      <c r="G4064" t="s">
        <v>1905</v>
      </c>
    </row>
    <row r="4065" spans="1:7" hidden="1">
      <c r="A4065" s="5" t="s">
        <v>4468</v>
      </c>
      <c r="B4065" t="s">
        <v>5161</v>
      </c>
      <c r="C4065" t="s">
        <v>433</v>
      </c>
      <c r="D4065" t="s">
        <v>9277</v>
      </c>
      <c r="E4065">
        <v>45</v>
      </c>
      <c r="F4065" t="s">
        <v>5163</v>
      </c>
      <c r="G4065" t="s">
        <v>5164</v>
      </c>
    </row>
    <row r="4066" spans="1:7" hidden="1">
      <c r="A4066" s="5" t="s">
        <v>4648</v>
      </c>
      <c r="B4066" t="s">
        <v>5161</v>
      </c>
      <c r="C4066" t="s">
        <v>433</v>
      </c>
      <c r="D4066" t="s">
        <v>9278</v>
      </c>
      <c r="E4066">
        <v>18</v>
      </c>
      <c r="F4066" t="s">
        <v>5163</v>
      </c>
      <c r="G4066" t="s">
        <v>5164</v>
      </c>
    </row>
    <row r="4067" spans="1:7" hidden="1">
      <c r="A4067" s="5" t="s">
        <v>4530</v>
      </c>
      <c r="B4067" t="s">
        <v>5161</v>
      </c>
      <c r="C4067" t="s">
        <v>433</v>
      </c>
      <c r="D4067" t="s">
        <v>9279</v>
      </c>
      <c r="E4067">
        <v>22</v>
      </c>
      <c r="F4067" t="s">
        <v>5163</v>
      </c>
      <c r="G4067" t="s">
        <v>5164</v>
      </c>
    </row>
    <row r="4068" spans="1:7" hidden="1">
      <c r="A4068" s="5" t="s">
        <v>4483</v>
      </c>
      <c r="B4068" t="s">
        <v>5161</v>
      </c>
      <c r="C4068" t="s">
        <v>433</v>
      </c>
      <c r="D4068" t="s">
        <v>9280</v>
      </c>
      <c r="E4068">
        <v>27</v>
      </c>
      <c r="F4068" t="s">
        <v>5163</v>
      </c>
      <c r="G4068" t="s">
        <v>5169</v>
      </c>
    </row>
    <row r="4069" spans="1:7" hidden="1">
      <c r="A4069" s="5" t="s">
        <v>4483</v>
      </c>
      <c r="B4069" t="s">
        <v>5161</v>
      </c>
      <c r="C4069" t="s">
        <v>433</v>
      </c>
      <c r="D4069" t="s">
        <v>9281</v>
      </c>
      <c r="E4069">
        <v>26</v>
      </c>
      <c r="F4069" t="s">
        <v>5163</v>
      </c>
      <c r="G4069" t="s">
        <v>5164</v>
      </c>
    </row>
    <row r="4070" spans="1:7" hidden="1">
      <c r="A4070" s="5" t="s">
        <v>3786</v>
      </c>
      <c r="B4070" t="s">
        <v>5161</v>
      </c>
      <c r="C4070" t="s">
        <v>433</v>
      </c>
      <c r="D4070" t="s">
        <v>9282</v>
      </c>
      <c r="E4070">
        <v>29</v>
      </c>
      <c r="F4070" t="s">
        <v>5163</v>
      </c>
      <c r="G4070" t="s">
        <v>1905</v>
      </c>
    </row>
    <row r="4071" spans="1:7" hidden="1">
      <c r="A4071" s="5" t="s">
        <v>3786</v>
      </c>
      <c r="B4071" t="s">
        <v>5161</v>
      </c>
      <c r="C4071" t="s">
        <v>433</v>
      </c>
      <c r="D4071" t="s">
        <v>9283</v>
      </c>
      <c r="E4071">
        <v>24</v>
      </c>
      <c r="F4071" t="s">
        <v>5163</v>
      </c>
      <c r="G4071" t="s">
        <v>1905</v>
      </c>
    </row>
    <row r="4072" spans="1:7" hidden="1">
      <c r="A4072" s="5" t="s">
        <v>3539</v>
      </c>
      <c r="B4072" t="s">
        <v>5161</v>
      </c>
      <c r="C4072" t="s">
        <v>443</v>
      </c>
      <c r="D4072" t="s">
        <v>9284</v>
      </c>
      <c r="E4072">
        <v>19</v>
      </c>
      <c r="F4072" t="s">
        <v>5163</v>
      </c>
      <c r="G4072" t="s">
        <v>5164</v>
      </c>
    </row>
    <row r="4073" spans="1:7" hidden="1">
      <c r="A4073" s="5" t="s">
        <v>2639</v>
      </c>
      <c r="B4073" t="s">
        <v>5161</v>
      </c>
      <c r="C4073" t="s">
        <v>443</v>
      </c>
      <c r="D4073" t="s">
        <v>9285</v>
      </c>
      <c r="E4073">
        <v>33</v>
      </c>
      <c r="F4073" t="s">
        <v>5163</v>
      </c>
      <c r="G4073" t="s">
        <v>1905</v>
      </c>
    </row>
    <row r="4074" spans="1:7" hidden="1">
      <c r="A4074" s="5" t="s">
        <v>2463</v>
      </c>
      <c r="B4074" t="s">
        <v>5161</v>
      </c>
      <c r="C4074" t="s">
        <v>443</v>
      </c>
      <c r="D4074" t="s">
        <v>9286</v>
      </c>
      <c r="E4074">
        <v>18</v>
      </c>
      <c r="F4074" t="s">
        <v>5163</v>
      </c>
      <c r="G4074" t="s">
        <v>1905</v>
      </c>
    </row>
    <row r="4075" spans="1:7" hidden="1">
      <c r="A4075" s="5" t="s">
        <v>3461</v>
      </c>
      <c r="B4075" t="s">
        <v>5161</v>
      </c>
      <c r="C4075" t="s">
        <v>443</v>
      </c>
      <c r="D4075" t="s">
        <v>9287</v>
      </c>
      <c r="E4075">
        <v>21</v>
      </c>
      <c r="F4075" t="s">
        <v>5163</v>
      </c>
      <c r="G4075" t="s">
        <v>5164</v>
      </c>
    </row>
    <row r="4076" spans="1:7" hidden="1">
      <c r="A4076" s="5" t="s">
        <v>3210</v>
      </c>
      <c r="B4076" t="s">
        <v>5161</v>
      </c>
      <c r="C4076" t="s">
        <v>443</v>
      </c>
      <c r="D4076" t="s">
        <v>9288</v>
      </c>
      <c r="E4076">
        <v>22</v>
      </c>
      <c r="F4076" t="s">
        <v>5163</v>
      </c>
      <c r="G4076" t="s">
        <v>5169</v>
      </c>
    </row>
    <row r="4077" spans="1:7" hidden="1">
      <c r="A4077" s="5" t="s">
        <v>3040</v>
      </c>
      <c r="B4077" t="s">
        <v>5161</v>
      </c>
      <c r="C4077" t="s">
        <v>443</v>
      </c>
      <c r="D4077" t="s">
        <v>9289</v>
      </c>
      <c r="E4077">
        <v>23</v>
      </c>
      <c r="F4077" t="s">
        <v>5163</v>
      </c>
      <c r="G4077" t="s">
        <v>5164</v>
      </c>
    </row>
    <row r="4078" spans="1:7" hidden="1">
      <c r="A4078" s="5" t="s">
        <v>3040</v>
      </c>
      <c r="B4078" t="s">
        <v>5161</v>
      </c>
      <c r="C4078" t="s">
        <v>443</v>
      </c>
      <c r="D4078" t="s">
        <v>9290</v>
      </c>
      <c r="E4078">
        <v>22</v>
      </c>
      <c r="F4078" t="s">
        <v>5163</v>
      </c>
      <c r="G4078" t="s">
        <v>5164</v>
      </c>
    </row>
    <row r="4079" spans="1:7" hidden="1">
      <c r="A4079" s="5" t="s">
        <v>3632</v>
      </c>
      <c r="B4079" t="s">
        <v>5161</v>
      </c>
      <c r="C4079" t="s">
        <v>443</v>
      </c>
      <c r="D4079" t="s">
        <v>9291</v>
      </c>
      <c r="E4079">
        <v>22</v>
      </c>
      <c r="F4079" t="s">
        <v>5163</v>
      </c>
      <c r="G4079" t="s">
        <v>6496</v>
      </c>
    </row>
    <row r="4080" spans="1:7" hidden="1">
      <c r="A4080" s="5" t="s">
        <v>3176</v>
      </c>
      <c r="B4080" t="s">
        <v>5161</v>
      </c>
      <c r="C4080" t="s">
        <v>443</v>
      </c>
      <c r="D4080" t="s">
        <v>9292</v>
      </c>
      <c r="E4080">
        <v>21</v>
      </c>
      <c r="F4080" t="s">
        <v>5163</v>
      </c>
      <c r="G4080" t="s">
        <v>5164</v>
      </c>
    </row>
    <row r="4081" spans="1:7" hidden="1">
      <c r="A4081" s="5" t="s">
        <v>3109</v>
      </c>
      <c r="B4081" t="s">
        <v>5161</v>
      </c>
      <c r="C4081" t="s">
        <v>443</v>
      </c>
      <c r="D4081" t="s">
        <v>9293</v>
      </c>
      <c r="E4081">
        <v>18</v>
      </c>
      <c r="F4081" t="s">
        <v>5163</v>
      </c>
      <c r="G4081" t="s">
        <v>1905</v>
      </c>
    </row>
    <row r="4082" spans="1:7" hidden="1">
      <c r="A4082" s="5" t="s">
        <v>3109</v>
      </c>
      <c r="B4082" t="s">
        <v>5161</v>
      </c>
      <c r="C4082" t="s">
        <v>443</v>
      </c>
      <c r="D4082" t="s">
        <v>9294</v>
      </c>
      <c r="E4082">
        <v>19</v>
      </c>
      <c r="F4082" t="s">
        <v>5163</v>
      </c>
      <c r="G4082" t="s">
        <v>5169</v>
      </c>
    </row>
    <row r="4083" spans="1:7" hidden="1">
      <c r="A4083" s="5" t="s">
        <v>2514</v>
      </c>
      <c r="B4083" t="s">
        <v>5161</v>
      </c>
      <c r="C4083" t="s">
        <v>443</v>
      </c>
      <c r="D4083" t="s">
        <v>9295</v>
      </c>
      <c r="E4083">
        <v>25</v>
      </c>
      <c r="F4083" t="s">
        <v>5163</v>
      </c>
      <c r="G4083" t="s">
        <v>5164</v>
      </c>
    </row>
    <row r="4084" spans="1:7" hidden="1">
      <c r="A4084" s="5" t="s">
        <v>3455</v>
      </c>
      <c r="B4084" t="s">
        <v>5161</v>
      </c>
      <c r="C4084" t="s">
        <v>443</v>
      </c>
      <c r="D4084" t="s">
        <v>9296</v>
      </c>
      <c r="E4084">
        <v>41</v>
      </c>
      <c r="F4084" t="s">
        <v>5163</v>
      </c>
      <c r="G4084" t="s">
        <v>1905</v>
      </c>
    </row>
    <row r="4085" spans="1:7" hidden="1">
      <c r="A4085" s="5" t="s">
        <v>2619</v>
      </c>
      <c r="B4085" t="s">
        <v>5161</v>
      </c>
      <c r="C4085" t="s">
        <v>443</v>
      </c>
      <c r="D4085" t="s">
        <v>9297</v>
      </c>
      <c r="E4085">
        <v>24</v>
      </c>
      <c r="F4085" t="s">
        <v>5163</v>
      </c>
      <c r="G4085" t="s">
        <v>5164</v>
      </c>
    </row>
    <row r="4086" spans="1:7" hidden="1">
      <c r="A4086" s="5" t="s">
        <v>4754</v>
      </c>
      <c r="B4086" t="s">
        <v>5161</v>
      </c>
      <c r="C4086" t="s">
        <v>443</v>
      </c>
      <c r="D4086" t="s">
        <v>9298</v>
      </c>
      <c r="E4086">
        <v>20</v>
      </c>
      <c r="F4086" t="s">
        <v>5163</v>
      </c>
      <c r="G4086" t="s">
        <v>5164</v>
      </c>
    </row>
    <row r="4087" spans="1:7" hidden="1">
      <c r="A4087" s="5" t="s">
        <v>3593</v>
      </c>
      <c r="B4087" t="s">
        <v>5161</v>
      </c>
      <c r="C4087" t="s">
        <v>443</v>
      </c>
      <c r="D4087" t="s">
        <v>9299</v>
      </c>
      <c r="E4087">
        <v>36</v>
      </c>
      <c r="F4087" t="s">
        <v>5163</v>
      </c>
      <c r="G4087" t="s">
        <v>5169</v>
      </c>
    </row>
    <row r="4088" spans="1:7" hidden="1">
      <c r="A4088" s="5" t="s">
        <v>9300</v>
      </c>
      <c r="B4088" t="s">
        <v>5161</v>
      </c>
      <c r="C4088" t="s">
        <v>443</v>
      </c>
      <c r="D4088" t="s">
        <v>9301</v>
      </c>
      <c r="E4088">
        <v>21</v>
      </c>
      <c r="F4088" t="s">
        <v>5163</v>
      </c>
      <c r="G4088" t="s">
        <v>5164</v>
      </c>
    </row>
    <row r="4089" spans="1:7" hidden="1">
      <c r="A4089" s="5" t="s">
        <v>4924</v>
      </c>
      <c r="B4089" t="s">
        <v>5161</v>
      </c>
      <c r="C4089" t="s">
        <v>443</v>
      </c>
      <c r="D4089" t="s">
        <v>9302</v>
      </c>
      <c r="E4089">
        <v>56</v>
      </c>
      <c r="F4089" t="s">
        <v>5163</v>
      </c>
      <c r="G4089" t="s">
        <v>5164</v>
      </c>
    </row>
    <row r="4090" spans="1:7" hidden="1">
      <c r="A4090" s="5" t="s">
        <v>2171</v>
      </c>
      <c r="B4090" t="s">
        <v>5161</v>
      </c>
      <c r="C4090" t="s">
        <v>443</v>
      </c>
      <c r="D4090" t="s">
        <v>9303</v>
      </c>
      <c r="E4090">
        <v>37</v>
      </c>
      <c r="F4090" t="s">
        <v>5163</v>
      </c>
      <c r="G4090" t="s">
        <v>5169</v>
      </c>
    </row>
    <row r="4091" spans="1:7" hidden="1">
      <c r="A4091" s="5" t="s">
        <v>2420</v>
      </c>
      <c r="B4091" t="s">
        <v>5161</v>
      </c>
      <c r="C4091" t="s">
        <v>443</v>
      </c>
      <c r="D4091" t="s">
        <v>9304</v>
      </c>
      <c r="E4091">
        <v>43</v>
      </c>
      <c r="F4091" t="s">
        <v>5163</v>
      </c>
      <c r="G4091" t="s">
        <v>5169</v>
      </c>
    </row>
    <row r="4092" spans="1:7" hidden="1">
      <c r="A4092" s="5" t="s">
        <v>3764</v>
      </c>
      <c r="B4092" t="s">
        <v>5161</v>
      </c>
      <c r="C4092" t="s">
        <v>443</v>
      </c>
      <c r="D4092" t="s">
        <v>9305</v>
      </c>
      <c r="E4092">
        <v>18</v>
      </c>
      <c r="F4092" t="s">
        <v>5163</v>
      </c>
      <c r="G4092" t="s">
        <v>5164</v>
      </c>
    </row>
    <row r="4093" spans="1:7" hidden="1">
      <c r="A4093" s="5" t="s">
        <v>2930</v>
      </c>
      <c r="B4093" t="s">
        <v>5161</v>
      </c>
      <c r="C4093" t="s">
        <v>443</v>
      </c>
      <c r="D4093" t="s">
        <v>9306</v>
      </c>
      <c r="E4093">
        <v>28</v>
      </c>
      <c r="F4093" t="s">
        <v>5163</v>
      </c>
      <c r="G4093" t="s">
        <v>1905</v>
      </c>
    </row>
    <row r="4094" spans="1:7" hidden="1">
      <c r="A4094" s="5" t="s">
        <v>4325</v>
      </c>
      <c r="B4094" t="s">
        <v>5161</v>
      </c>
      <c r="C4094" t="s">
        <v>443</v>
      </c>
      <c r="D4094" t="s">
        <v>9307</v>
      </c>
      <c r="E4094">
        <v>23</v>
      </c>
      <c r="F4094" t="s">
        <v>5163</v>
      </c>
      <c r="G4094" t="s">
        <v>5164</v>
      </c>
    </row>
    <row r="4095" spans="1:7" hidden="1">
      <c r="A4095" s="5" t="s">
        <v>4858</v>
      </c>
      <c r="B4095" t="s">
        <v>5161</v>
      </c>
      <c r="C4095" t="s">
        <v>443</v>
      </c>
      <c r="D4095" t="s">
        <v>9308</v>
      </c>
      <c r="E4095">
        <v>42</v>
      </c>
      <c r="F4095" t="s">
        <v>5163</v>
      </c>
      <c r="G4095" t="s">
        <v>5164</v>
      </c>
    </row>
    <row r="4096" spans="1:7" hidden="1">
      <c r="A4096" s="5" t="s">
        <v>3038</v>
      </c>
      <c r="B4096" t="s">
        <v>5161</v>
      </c>
      <c r="C4096" t="s">
        <v>443</v>
      </c>
      <c r="D4096" t="s">
        <v>9309</v>
      </c>
      <c r="E4096">
        <v>28</v>
      </c>
      <c r="F4096" t="s">
        <v>5163</v>
      </c>
      <c r="G4096" t="s">
        <v>5169</v>
      </c>
    </row>
    <row r="4097" spans="1:7" hidden="1">
      <c r="A4097" s="5" t="s">
        <v>442</v>
      </c>
      <c r="B4097" t="s">
        <v>5161</v>
      </c>
      <c r="C4097" t="s">
        <v>443</v>
      </c>
      <c r="D4097" t="s">
        <v>1032</v>
      </c>
      <c r="E4097">
        <v>28</v>
      </c>
      <c r="F4097" t="s">
        <v>5163</v>
      </c>
      <c r="G4097" t="s">
        <v>5164</v>
      </c>
    </row>
    <row r="4098" spans="1:7" hidden="1">
      <c r="A4098" s="5" t="s">
        <v>3936</v>
      </c>
      <c r="B4098" t="s">
        <v>5161</v>
      </c>
      <c r="C4098" t="s">
        <v>443</v>
      </c>
      <c r="D4098" t="s">
        <v>9310</v>
      </c>
      <c r="E4098">
        <v>22</v>
      </c>
      <c r="F4098" t="s">
        <v>5163</v>
      </c>
      <c r="G4098" t="s">
        <v>5164</v>
      </c>
    </row>
    <row r="4099" spans="1:7" hidden="1">
      <c r="A4099" s="5" t="s">
        <v>3532</v>
      </c>
      <c r="B4099" t="s">
        <v>5161</v>
      </c>
      <c r="C4099" t="s">
        <v>443</v>
      </c>
      <c r="D4099" t="s">
        <v>9311</v>
      </c>
      <c r="E4099">
        <v>20</v>
      </c>
      <c r="F4099" t="s">
        <v>5163</v>
      </c>
      <c r="G4099" t="s">
        <v>5164</v>
      </c>
    </row>
    <row r="4100" spans="1:7" hidden="1">
      <c r="A4100" s="5" t="s">
        <v>3693</v>
      </c>
      <c r="B4100" t="s">
        <v>5161</v>
      </c>
      <c r="C4100" t="s">
        <v>443</v>
      </c>
      <c r="D4100" t="s">
        <v>9312</v>
      </c>
      <c r="E4100">
        <v>20</v>
      </c>
      <c r="F4100" t="s">
        <v>5163</v>
      </c>
      <c r="G4100" t="s">
        <v>5164</v>
      </c>
    </row>
    <row r="4101" spans="1:7" hidden="1">
      <c r="A4101" s="5" t="s">
        <v>3390</v>
      </c>
      <c r="B4101" t="s">
        <v>5161</v>
      </c>
      <c r="C4101" t="s">
        <v>443</v>
      </c>
      <c r="D4101" t="s">
        <v>9313</v>
      </c>
      <c r="E4101">
        <v>25</v>
      </c>
      <c r="F4101" t="s">
        <v>5163</v>
      </c>
      <c r="G4101" t="s">
        <v>5164</v>
      </c>
    </row>
    <row r="4102" spans="1:7" hidden="1">
      <c r="A4102" s="5" t="s">
        <v>9314</v>
      </c>
      <c r="B4102" t="s">
        <v>5161</v>
      </c>
      <c r="C4102" t="s">
        <v>443</v>
      </c>
      <c r="D4102" t="s">
        <v>8866</v>
      </c>
      <c r="E4102">
        <v>18</v>
      </c>
      <c r="F4102" t="s">
        <v>5163</v>
      </c>
      <c r="G4102" t="s">
        <v>5164</v>
      </c>
    </row>
    <row r="4103" spans="1:7" hidden="1">
      <c r="A4103" s="5" t="s">
        <v>2863</v>
      </c>
      <c r="B4103" t="s">
        <v>5161</v>
      </c>
      <c r="C4103" t="s">
        <v>443</v>
      </c>
      <c r="D4103" t="s">
        <v>9315</v>
      </c>
      <c r="E4103">
        <v>31</v>
      </c>
      <c r="F4103" t="s">
        <v>5163</v>
      </c>
      <c r="G4103" t="s">
        <v>5164</v>
      </c>
    </row>
    <row r="4104" spans="1:7" hidden="1">
      <c r="A4104" s="5" t="s">
        <v>3576</v>
      </c>
      <c r="B4104" t="s">
        <v>5161</v>
      </c>
      <c r="C4104" t="s">
        <v>443</v>
      </c>
      <c r="D4104" t="s">
        <v>9316</v>
      </c>
      <c r="E4104">
        <v>19</v>
      </c>
      <c r="F4104" t="s">
        <v>5163</v>
      </c>
      <c r="G4104" t="s">
        <v>1905</v>
      </c>
    </row>
    <row r="4105" spans="1:7" hidden="1">
      <c r="A4105" s="5" t="s">
        <v>2492</v>
      </c>
      <c r="B4105" t="s">
        <v>5161</v>
      </c>
      <c r="C4105" t="s">
        <v>443</v>
      </c>
      <c r="D4105" t="s">
        <v>9317</v>
      </c>
      <c r="E4105">
        <v>37</v>
      </c>
      <c r="F4105" t="s">
        <v>5163</v>
      </c>
      <c r="G4105" t="s">
        <v>5164</v>
      </c>
    </row>
    <row r="4106" spans="1:7" hidden="1">
      <c r="A4106" s="5" t="s">
        <v>2492</v>
      </c>
      <c r="B4106" t="s">
        <v>5161</v>
      </c>
      <c r="C4106" t="s">
        <v>443</v>
      </c>
      <c r="D4106" t="s">
        <v>9318</v>
      </c>
      <c r="E4106">
        <v>45</v>
      </c>
      <c r="F4106" t="s">
        <v>5163</v>
      </c>
      <c r="G4106" t="s">
        <v>1905</v>
      </c>
    </row>
    <row r="4107" spans="1:7" hidden="1">
      <c r="A4107" s="5" t="s">
        <v>4408</v>
      </c>
      <c r="B4107" t="s">
        <v>5161</v>
      </c>
      <c r="C4107" t="s">
        <v>443</v>
      </c>
      <c r="D4107" t="s">
        <v>9319</v>
      </c>
      <c r="E4107">
        <v>18</v>
      </c>
      <c r="F4107" t="s">
        <v>5163</v>
      </c>
      <c r="G4107" t="s">
        <v>5164</v>
      </c>
    </row>
    <row r="4108" spans="1:7" hidden="1">
      <c r="A4108" s="5" t="s">
        <v>3014</v>
      </c>
      <c r="B4108" t="s">
        <v>5161</v>
      </c>
      <c r="C4108" t="s">
        <v>443</v>
      </c>
      <c r="D4108" t="s">
        <v>9320</v>
      </c>
      <c r="E4108">
        <v>20</v>
      </c>
      <c r="F4108" t="s">
        <v>5163</v>
      </c>
      <c r="G4108" t="s">
        <v>1905</v>
      </c>
    </row>
    <row r="4109" spans="1:7" hidden="1">
      <c r="A4109" s="5" t="s">
        <v>2248</v>
      </c>
      <c r="B4109" t="s">
        <v>5161</v>
      </c>
      <c r="C4109" t="s">
        <v>443</v>
      </c>
      <c r="D4109" t="s">
        <v>9321</v>
      </c>
      <c r="E4109">
        <v>47</v>
      </c>
      <c r="F4109" t="s">
        <v>5172</v>
      </c>
      <c r="G4109" t="s">
        <v>1905</v>
      </c>
    </row>
    <row r="4110" spans="1:7" hidden="1">
      <c r="A4110" s="5" t="s">
        <v>2248</v>
      </c>
      <c r="B4110" t="s">
        <v>5161</v>
      </c>
      <c r="C4110" t="s">
        <v>443</v>
      </c>
      <c r="D4110" t="s">
        <v>9322</v>
      </c>
      <c r="E4110">
        <v>21</v>
      </c>
      <c r="F4110" t="s">
        <v>5163</v>
      </c>
      <c r="G4110" t="s">
        <v>5164</v>
      </c>
    </row>
    <row r="4111" spans="1:7" hidden="1">
      <c r="A4111" s="5" t="s">
        <v>2249</v>
      </c>
      <c r="B4111" t="s">
        <v>5161</v>
      </c>
      <c r="C4111" t="s">
        <v>443</v>
      </c>
      <c r="D4111" t="s">
        <v>9323</v>
      </c>
      <c r="E4111">
        <v>27</v>
      </c>
      <c r="F4111" t="s">
        <v>5163</v>
      </c>
      <c r="G4111" t="s">
        <v>5164</v>
      </c>
    </row>
    <row r="4112" spans="1:7" hidden="1">
      <c r="A4112" s="5" t="s">
        <v>439</v>
      </c>
      <c r="B4112" t="s">
        <v>5161</v>
      </c>
      <c r="C4112" t="s">
        <v>443</v>
      </c>
      <c r="D4112" t="s">
        <v>1027</v>
      </c>
      <c r="E4112">
        <v>59</v>
      </c>
      <c r="F4112" t="s">
        <v>5172</v>
      </c>
      <c r="G4112" t="s">
        <v>1905</v>
      </c>
    </row>
    <row r="4113" spans="1:7" hidden="1">
      <c r="A4113" s="5" t="s">
        <v>9324</v>
      </c>
      <c r="B4113" t="s">
        <v>5161</v>
      </c>
      <c r="C4113" t="s">
        <v>443</v>
      </c>
      <c r="D4113" t="s">
        <v>9325</v>
      </c>
      <c r="E4113">
        <v>35</v>
      </c>
      <c r="F4113" t="s">
        <v>5163</v>
      </c>
      <c r="G4113" t="s">
        <v>1905</v>
      </c>
    </row>
    <row r="4114" spans="1:7" hidden="1">
      <c r="A4114" s="5" t="s">
        <v>2165</v>
      </c>
      <c r="B4114" t="s">
        <v>5161</v>
      </c>
      <c r="C4114" t="s">
        <v>443</v>
      </c>
      <c r="D4114" t="s">
        <v>5620</v>
      </c>
      <c r="E4114">
        <v>23</v>
      </c>
      <c r="F4114" t="s">
        <v>5163</v>
      </c>
      <c r="G4114" t="s">
        <v>5164</v>
      </c>
    </row>
    <row r="4115" spans="1:7" hidden="1">
      <c r="A4115" s="5" t="s">
        <v>4653</v>
      </c>
      <c r="B4115" t="s">
        <v>5161</v>
      </c>
      <c r="C4115" t="s">
        <v>443</v>
      </c>
      <c r="D4115" t="s">
        <v>9326</v>
      </c>
      <c r="E4115">
        <v>30</v>
      </c>
      <c r="F4115" t="s">
        <v>5163</v>
      </c>
      <c r="G4115" t="s">
        <v>5164</v>
      </c>
    </row>
    <row r="4116" spans="1:7" hidden="1">
      <c r="A4116" s="5" t="s">
        <v>4653</v>
      </c>
      <c r="B4116" t="s">
        <v>5161</v>
      </c>
      <c r="C4116" t="s">
        <v>443</v>
      </c>
      <c r="D4116" t="s">
        <v>9327</v>
      </c>
      <c r="E4116">
        <v>30</v>
      </c>
      <c r="F4116" t="s">
        <v>5163</v>
      </c>
      <c r="G4116" t="s">
        <v>1905</v>
      </c>
    </row>
    <row r="4117" spans="1:7" hidden="1">
      <c r="A4117" s="5" t="s">
        <v>4653</v>
      </c>
      <c r="B4117" t="s">
        <v>5161</v>
      </c>
      <c r="C4117" t="s">
        <v>443</v>
      </c>
      <c r="D4117" t="s">
        <v>9328</v>
      </c>
      <c r="E4117">
        <v>26</v>
      </c>
      <c r="F4117" t="s">
        <v>5163</v>
      </c>
      <c r="G4117" t="s">
        <v>1905</v>
      </c>
    </row>
    <row r="4118" spans="1:7" hidden="1">
      <c r="A4118" s="5" t="s">
        <v>2306</v>
      </c>
      <c r="B4118" t="s">
        <v>5161</v>
      </c>
      <c r="C4118" t="s">
        <v>443</v>
      </c>
      <c r="D4118" t="s">
        <v>9329</v>
      </c>
      <c r="E4118">
        <v>21</v>
      </c>
      <c r="F4118" t="s">
        <v>5163</v>
      </c>
      <c r="G4118" t="s">
        <v>1905</v>
      </c>
    </row>
    <row r="4119" spans="1:7" hidden="1">
      <c r="A4119" s="5" t="s">
        <v>2218</v>
      </c>
      <c r="B4119" t="s">
        <v>5161</v>
      </c>
      <c r="C4119" t="s">
        <v>443</v>
      </c>
      <c r="D4119" t="s">
        <v>9330</v>
      </c>
      <c r="E4119">
        <v>40</v>
      </c>
      <c r="F4119" t="s">
        <v>5172</v>
      </c>
      <c r="G4119" t="s">
        <v>1905</v>
      </c>
    </row>
    <row r="4120" spans="1:7" hidden="1">
      <c r="A4120" s="5" t="s">
        <v>3684</v>
      </c>
      <c r="B4120" t="s">
        <v>5161</v>
      </c>
      <c r="C4120" t="s">
        <v>443</v>
      </c>
      <c r="D4120" t="s">
        <v>9331</v>
      </c>
      <c r="E4120">
        <v>27</v>
      </c>
      <c r="F4120" t="s">
        <v>5163</v>
      </c>
      <c r="G4120" t="s">
        <v>5169</v>
      </c>
    </row>
    <row r="4121" spans="1:7" hidden="1">
      <c r="A4121" s="5" t="s">
        <v>3684</v>
      </c>
      <c r="B4121" t="s">
        <v>5161</v>
      </c>
      <c r="C4121" t="s">
        <v>443</v>
      </c>
      <c r="D4121" t="s">
        <v>9332</v>
      </c>
      <c r="E4121">
        <v>42</v>
      </c>
      <c r="F4121" t="s">
        <v>5163</v>
      </c>
      <c r="G4121" t="s">
        <v>5169</v>
      </c>
    </row>
    <row r="4122" spans="1:7" hidden="1">
      <c r="A4122" s="5" t="s">
        <v>3684</v>
      </c>
      <c r="B4122" t="s">
        <v>5161</v>
      </c>
      <c r="C4122" t="s">
        <v>443</v>
      </c>
      <c r="D4122" t="s">
        <v>9333</v>
      </c>
      <c r="E4122">
        <v>26</v>
      </c>
      <c r="F4122" t="s">
        <v>5163</v>
      </c>
      <c r="G4122" t="s">
        <v>5164</v>
      </c>
    </row>
    <row r="4123" spans="1:7" hidden="1">
      <c r="A4123" s="5" t="s">
        <v>3684</v>
      </c>
      <c r="B4123" t="s">
        <v>5161</v>
      </c>
      <c r="C4123" t="s">
        <v>443</v>
      </c>
      <c r="D4123" t="s">
        <v>9334</v>
      </c>
      <c r="E4123">
        <v>34</v>
      </c>
      <c r="F4123" t="s">
        <v>5163</v>
      </c>
      <c r="G4123" t="s">
        <v>5164</v>
      </c>
    </row>
    <row r="4124" spans="1:7" hidden="1">
      <c r="A4124" s="5" t="s">
        <v>2916</v>
      </c>
      <c r="B4124" t="s">
        <v>5161</v>
      </c>
      <c r="C4124" t="s">
        <v>443</v>
      </c>
      <c r="D4124" t="s">
        <v>9335</v>
      </c>
      <c r="E4124">
        <v>30</v>
      </c>
      <c r="F4124" t="s">
        <v>5163</v>
      </c>
      <c r="G4124" t="s">
        <v>5164</v>
      </c>
    </row>
    <row r="4125" spans="1:7" hidden="1">
      <c r="A4125" s="5" t="s">
        <v>4789</v>
      </c>
      <c r="B4125" t="s">
        <v>5161</v>
      </c>
      <c r="C4125" t="s">
        <v>443</v>
      </c>
      <c r="D4125" t="s">
        <v>9336</v>
      </c>
      <c r="E4125">
        <v>21</v>
      </c>
      <c r="F4125" t="s">
        <v>5163</v>
      </c>
      <c r="G4125" t="s">
        <v>1905</v>
      </c>
    </row>
    <row r="4126" spans="1:7" hidden="1">
      <c r="A4126" s="5" t="s">
        <v>2862</v>
      </c>
      <c r="B4126" t="s">
        <v>5161</v>
      </c>
      <c r="C4126" t="s">
        <v>443</v>
      </c>
      <c r="D4126" t="s">
        <v>9337</v>
      </c>
      <c r="E4126">
        <v>23</v>
      </c>
      <c r="F4126" t="s">
        <v>5163</v>
      </c>
      <c r="G4126" t="s">
        <v>5164</v>
      </c>
    </row>
    <row r="4127" spans="1:7" hidden="1">
      <c r="A4127" s="5" t="s">
        <v>2862</v>
      </c>
      <c r="B4127" t="s">
        <v>5161</v>
      </c>
      <c r="C4127" t="s">
        <v>443</v>
      </c>
      <c r="D4127" t="s">
        <v>9338</v>
      </c>
      <c r="E4127">
        <v>22</v>
      </c>
      <c r="F4127" t="s">
        <v>5163</v>
      </c>
      <c r="G4127" t="s">
        <v>1905</v>
      </c>
    </row>
    <row r="4128" spans="1:7" hidden="1">
      <c r="A4128" s="5" t="s">
        <v>438</v>
      </c>
      <c r="B4128" t="s">
        <v>5161</v>
      </c>
      <c r="C4128" t="s">
        <v>443</v>
      </c>
      <c r="D4128" t="s">
        <v>1025</v>
      </c>
      <c r="E4128">
        <v>19</v>
      </c>
      <c r="F4128" t="s">
        <v>5163</v>
      </c>
      <c r="G4128" t="s">
        <v>5164</v>
      </c>
    </row>
    <row r="4129" spans="1:7" hidden="1">
      <c r="A4129" s="5" t="s">
        <v>438</v>
      </c>
      <c r="B4129" t="s">
        <v>5161</v>
      </c>
      <c r="C4129" t="s">
        <v>443</v>
      </c>
      <c r="D4129" t="s">
        <v>1026</v>
      </c>
      <c r="E4129">
        <v>22</v>
      </c>
      <c r="F4129" t="s">
        <v>5172</v>
      </c>
      <c r="G4129" t="s">
        <v>1905</v>
      </c>
    </row>
    <row r="4130" spans="1:7" hidden="1">
      <c r="A4130" s="5" t="s">
        <v>2536</v>
      </c>
      <c r="B4130" t="s">
        <v>5161</v>
      </c>
      <c r="C4130" t="s">
        <v>443</v>
      </c>
      <c r="D4130" t="s">
        <v>9339</v>
      </c>
      <c r="E4130">
        <v>22</v>
      </c>
      <c r="F4130" t="s">
        <v>5163</v>
      </c>
      <c r="G4130" t="s">
        <v>5164</v>
      </c>
    </row>
    <row r="4131" spans="1:7" hidden="1">
      <c r="A4131" s="5" t="s">
        <v>4318</v>
      </c>
      <c r="B4131" t="s">
        <v>5161</v>
      </c>
      <c r="C4131" t="s">
        <v>443</v>
      </c>
      <c r="D4131" t="s">
        <v>9340</v>
      </c>
      <c r="E4131">
        <v>40</v>
      </c>
      <c r="F4131" t="s">
        <v>5163</v>
      </c>
      <c r="G4131" t="s">
        <v>1905</v>
      </c>
    </row>
    <row r="4132" spans="1:7" hidden="1">
      <c r="A4132" s="5" t="s">
        <v>2366</v>
      </c>
      <c r="B4132" t="s">
        <v>5161</v>
      </c>
      <c r="C4132" t="s">
        <v>443</v>
      </c>
      <c r="D4132" t="s">
        <v>9341</v>
      </c>
      <c r="E4132">
        <v>18</v>
      </c>
      <c r="F4132" t="s">
        <v>5163</v>
      </c>
      <c r="G4132" t="s">
        <v>5164</v>
      </c>
    </row>
    <row r="4133" spans="1:7" hidden="1">
      <c r="A4133" s="5" t="s">
        <v>2594</v>
      </c>
      <c r="B4133" t="s">
        <v>5161</v>
      </c>
      <c r="C4133" t="s">
        <v>443</v>
      </c>
      <c r="D4133" t="s">
        <v>9342</v>
      </c>
      <c r="E4133">
        <v>29</v>
      </c>
      <c r="F4133" t="s">
        <v>5163</v>
      </c>
      <c r="G4133" t="s">
        <v>5164</v>
      </c>
    </row>
    <row r="4134" spans="1:7" hidden="1">
      <c r="A4134" s="5" t="s">
        <v>3466</v>
      </c>
      <c r="B4134" t="s">
        <v>5161</v>
      </c>
      <c r="C4134" t="s">
        <v>443</v>
      </c>
      <c r="D4134" t="s">
        <v>9343</v>
      </c>
      <c r="E4134">
        <v>20</v>
      </c>
      <c r="F4134" t="s">
        <v>5163</v>
      </c>
      <c r="G4134" t="s">
        <v>1905</v>
      </c>
    </row>
    <row r="4135" spans="1:7" hidden="1">
      <c r="A4135" s="5" t="s">
        <v>2786</v>
      </c>
      <c r="B4135" t="s">
        <v>5161</v>
      </c>
      <c r="C4135" t="s">
        <v>443</v>
      </c>
      <c r="D4135" t="s">
        <v>9344</v>
      </c>
      <c r="E4135">
        <v>22</v>
      </c>
      <c r="F4135" t="s">
        <v>5172</v>
      </c>
      <c r="G4135" t="s">
        <v>1905</v>
      </c>
    </row>
    <row r="4136" spans="1:7" hidden="1">
      <c r="A4136" s="5" t="s">
        <v>2786</v>
      </c>
      <c r="B4136" t="s">
        <v>5161</v>
      </c>
      <c r="C4136" t="s">
        <v>443</v>
      </c>
      <c r="D4136" t="s">
        <v>5705</v>
      </c>
      <c r="E4136">
        <v>24</v>
      </c>
      <c r="F4136" t="s">
        <v>5163</v>
      </c>
      <c r="G4136" t="s">
        <v>1905</v>
      </c>
    </row>
    <row r="4137" spans="1:7" hidden="1">
      <c r="A4137" s="5" t="s">
        <v>2235</v>
      </c>
      <c r="B4137" t="s">
        <v>5161</v>
      </c>
      <c r="C4137" t="s">
        <v>443</v>
      </c>
      <c r="D4137" t="s">
        <v>9345</v>
      </c>
      <c r="E4137">
        <v>26</v>
      </c>
      <c r="F4137" t="s">
        <v>5163</v>
      </c>
      <c r="G4137" t="s">
        <v>5164</v>
      </c>
    </row>
    <row r="4138" spans="1:7" hidden="1">
      <c r="A4138" s="5" t="s">
        <v>4928</v>
      </c>
      <c r="B4138" t="s">
        <v>5161</v>
      </c>
      <c r="C4138" t="s">
        <v>443</v>
      </c>
      <c r="D4138" t="s">
        <v>9346</v>
      </c>
      <c r="E4138">
        <v>24</v>
      </c>
      <c r="F4138" t="s">
        <v>5163</v>
      </c>
      <c r="G4138" t="s">
        <v>5164</v>
      </c>
    </row>
    <row r="4139" spans="1:7" hidden="1">
      <c r="A4139" s="5" t="s">
        <v>4928</v>
      </c>
      <c r="B4139" t="s">
        <v>5161</v>
      </c>
      <c r="C4139" t="s">
        <v>443</v>
      </c>
      <c r="D4139" t="s">
        <v>9347</v>
      </c>
      <c r="E4139">
        <v>26</v>
      </c>
      <c r="F4139" t="s">
        <v>5163</v>
      </c>
      <c r="G4139" t="s">
        <v>5164</v>
      </c>
    </row>
    <row r="4140" spans="1:7" hidden="1">
      <c r="A4140" s="5" t="s">
        <v>434</v>
      </c>
      <c r="B4140" t="s">
        <v>5161</v>
      </c>
      <c r="C4140" t="s">
        <v>443</v>
      </c>
      <c r="D4140" t="s">
        <v>1019</v>
      </c>
      <c r="E4140">
        <v>21</v>
      </c>
      <c r="F4140" t="s">
        <v>5163</v>
      </c>
      <c r="G4140" t="s">
        <v>1905</v>
      </c>
    </row>
    <row r="4141" spans="1:7" hidden="1">
      <c r="A4141" s="5" t="s">
        <v>2127</v>
      </c>
      <c r="B4141" t="s">
        <v>5161</v>
      </c>
      <c r="C4141" t="s">
        <v>443</v>
      </c>
      <c r="D4141" t="s">
        <v>9348</v>
      </c>
      <c r="E4141">
        <v>34</v>
      </c>
      <c r="F4141" t="s">
        <v>5163</v>
      </c>
      <c r="G4141" t="s">
        <v>5164</v>
      </c>
    </row>
    <row r="4142" spans="1:7" hidden="1">
      <c r="A4142" s="5" t="s">
        <v>4716</v>
      </c>
      <c r="B4142" t="s">
        <v>5161</v>
      </c>
      <c r="C4142" t="s">
        <v>443</v>
      </c>
      <c r="D4142" t="s">
        <v>9349</v>
      </c>
      <c r="E4142">
        <v>47</v>
      </c>
      <c r="F4142" t="s">
        <v>5163</v>
      </c>
      <c r="G4142" t="s">
        <v>5164</v>
      </c>
    </row>
    <row r="4143" spans="1:7" hidden="1">
      <c r="A4143" s="5" t="s">
        <v>3848</v>
      </c>
      <c r="B4143" t="s">
        <v>5161</v>
      </c>
      <c r="C4143" t="s">
        <v>443</v>
      </c>
      <c r="D4143" t="s">
        <v>9350</v>
      </c>
      <c r="E4143">
        <v>20</v>
      </c>
      <c r="F4143" t="s">
        <v>5163</v>
      </c>
      <c r="G4143" t="s">
        <v>5164</v>
      </c>
    </row>
    <row r="4144" spans="1:7" hidden="1">
      <c r="A4144" s="5" t="s">
        <v>4688</v>
      </c>
      <c r="B4144" t="s">
        <v>5161</v>
      </c>
      <c r="C4144" t="s">
        <v>443</v>
      </c>
      <c r="D4144" t="s">
        <v>9351</v>
      </c>
      <c r="E4144">
        <v>18</v>
      </c>
      <c r="F4144" t="s">
        <v>5163</v>
      </c>
      <c r="G4144" t="s">
        <v>5164</v>
      </c>
    </row>
    <row r="4145" spans="1:7" hidden="1">
      <c r="A4145" s="5" t="s">
        <v>2928</v>
      </c>
      <c r="B4145" t="s">
        <v>5161</v>
      </c>
      <c r="C4145" t="s">
        <v>443</v>
      </c>
      <c r="D4145" t="s">
        <v>9352</v>
      </c>
      <c r="E4145">
        <v>30</v>
      </c>
      <c r="F4145" t="s">
        <v>5172</v>
      </c>
      <c r="G4145" t="s">
        <v>5169</v>
      </c>
    </row>
    <row r="4146" spans="1:7" hidden="1">
      <c r="A4146" s="5" t="s">
        <v>3605</v>
      </c>
      <c r="B4146" t="s">
        <v>5161</v>
      </c>
      <c r="C4146" t="s">
        <v>443</v>
      </c>
      <c r="D4146" t="s">
        <v>9353</v>
      </c>
      <c r="E4146">
        <v>32</v>
      </c>
      <c r="F4146" t="s">
        <v>5163</v>
      </c>
      <c r="G4146" t="s">
        <v>5164</v>
      </c>
    </row>
    <row r="4147" spans="1:7" hidden="1">
      <c r="A4147" s="5" t="s">
        <v>2158</v>
      </c>
      <c r="B4147" t="s">
        <v>5161</v>
      </c>
      <c r="C4147" t="s">
        <v>443</v>
      </c>
      <c r="D4147" t="s">
        <v>9354</v>
      </c>
      <c r="E4147">
        <v>22</v>
      </c>
      <c r="F4147" t="s">
        <v>5163</v>
      </c>
      <c r="G4147" t="s">
        <v>5164</v>
      </c>
    </row>
    <row r="4148" spans="1:7" hidden="1">
      <c r="A4148" s="5" t="s">
        <v>4064</v>
      </c>
      <c r="B4148" t="s">
        <v>5161</v>
      </c>
      <c r="C4148" t="s">
        <v>443</v>
      </c>
      <c r="D4148" t="s">
        <v>9355</v>
      </c>
      <c r="E4148">
        <v>23</v>
      </c>
      <c r="F4148" t="s">
        <v>5163</v>
      </c>
      <c r="G4148" t="s">
        <v>1905</v>
      </c>
    </row>
    <row r="4149" spans="1:7" hidden="1">
      <c r="A4149" s="5" t="s">
        <v>2923</v>
      </c>
      <c r="B4149" t="s">
        <v>5161</v>
      </c>
      <c r="C4149" t="s">
        <v>443</v>
      </c>
      <c r="D4149" t="s">
        <v>9356</v>
      </c>
      <c r="E4149">
        <v>31</v>
      </c>
      <c r="F4149" t="s">
        <v>5163</v>
      </c>
      <c r="G4149" t="s">
        <v>1905</v>
      </c>
    </row>
    <row r="4150" spans="1:7" hidden="1">
      <c r="A4150" s="5" t="s">
        <v>3081</v>
      </c>
      <c r="B4150" t="s">
        <v>5161</v>
      </c>
      <c r="C4150" t="s">
        <v>443</v>
      </c>
      <c r="D4150" t="s">
        <v>9357</v>
      </c>
      <c r="E4150">
        <v>29</v>
      </c>
      <c r="F4150" t="s">
        <v>5163</v>
      </c>
      <c r="G4150" t="s">
        <v>1905</v>
      </c>
    </row>
    <row r="4151" spans="1:7" hidden="1">
      <c r="A4151" s="5" t="s">
        <v>3561</v>
      </c>
      <c r="B4151" t="s">
        <v>5161</v>
      </c>
      <c r="C4151" t="s">
        <v>443</v>
      </c>
      <c r="D4151" t="s">
        <v>7108</v>
      </c>
      <c r="E4151">
        <v>19</v>
      </c>
      <c r="F4151" t="s">
        <v>5163</v>
      </c>
      <c r="G4151" t="s">
        <v>5169</v>
      </c>
    </row>
    <row r="4152" spans="1:7" hidden="1">
      <c r="A4152" s="5" t="s">
        <v>2451</v>
      </c>
      <c r="B4152" t="s">
        <v>5161</v>
      </c>
      <c r="C4152" t="s">
        <v>443</v>
      </c>
      <c r="D4152" t="s">
        <v>9358</v>
      </c>
      <c r="E4152">
        <v>22</v>
      </c>
      <c r="F4152" t="s">
        <v>5163</v>
      </c>
      <c r="G4152" t="s">
        <v>5164</v>
      </c>
    </row>
    <row r="4153" spans="1:7" hidden="1">
      <c r="A4153" s="5" t="s">
        <v>4650</v>
      </c>
      <c r="B4153" t="s">
        <v>5161</v>
      </c>
      <c r="C4153" t="s">
        <v>443</v>
      </c>
      <c r="D4153" t="s">
        <v>9359</v>
      </c>
      <c r="E4153">
        <v>29</v>
      </c>
      <c r="F4153" t="s">
        <v>5163</v>
      </c>
      <c r="G4153" t="s">
        <v>1905</v>
      </c>
    </row>
    <row r="4154" spans="1:7" hidden="1">
      <c r="A4154" s="5" t="s">
        <v>3462</v>
      </c>
      <c r="B4154" t="s">
        <v>5161</v>
      </c>
      <c r="C4154" t="s">
        <v>443</v>
      </c>
      <c r="D4154" t="s">
        <v>9360</v>
      </c>
      <c r="E4154">
        <v>26</v>
      </c>
      <c r="F4154" t="s">
        <v>5163</v>
      </c>
      <c r="G4154" t="s">
        <v>5164</v>
      </c>
    </row>
    <row r="4155" spans="1:7" hidden="1">
      <c r="A4155" s="5" t="s">
        <v>4130</v>
      </c>
      <c r="B4155" t="s">
        <v>5161</v>
      </c>
      <c r="C4155" t="s">
        <v>443</v>
      </c>
      <c r="D4155" t="s">
        <v>9361</v>
      </c>
      <c r="E4155">
        <v>17</v>
      </c>
      <c r="F4155" t="s">
        <v>5163</v>
      </c>
      <c r="G4155" t="s">
        <v>1905</v>
      </c>
    </row>
    <row r="4156" spans="1:7" hidden="1">
      <c r="A4156" s="5" t="s">
        <v>2421</v>
      </c>
      <c r="B4156" t="s">
        <v>5161</v>
      </c>
      <c r="C4156" t="s">
        <v>443</v>
      </c>
      <c r="D4156" t="s">
        <v>9362</v>
      </c>
      <c r="E4156">
        <v>20</v>
      </c>
      <c r="F4156" t="s">
        <v>5163</v>
      </c>
      <c r="G4156" t="s">
        <v>5169</v>
      </c>
    </row>
    <row r="4157" spans="1:7" hidden="1">
      <c r="A4157" s="5" t="s">
        <v>4952</v>
      </c>
      <c r="B4157" t="s">
        <v>5161</v>
      </c>
      <c r="C4157" t="s">
        <v>443</v>
      </c>
      <c r="D4157" t="s">
        <v>9363</v>
      </c>
      <c r="E4157">
        <v>23</v>
      </c>
      <c r="F4157" t="s">
        <v>5172</v>
      </c>
      <c r="G4157" t="s">
        <v>1905</v>
      </c>
    </row>
    <row r="4158" spans="1:7" hidden="1">
      <c r="A4158" s="5" t="s">
        <v>3187</v>
      </c>
      <c r="B4158" t="s">
        <v>5161</v>
      </c>
      <c r="C4158" t="s">
        <v>443</v>
      </c>
      <c r="D4158" t="s">
        <v>9364</v>
      </c>
      <c r="E4158">
        <v>22</v>
      </c>
      <c r="F4158" t="s">
        <v>5163</v>
      </c>
      <c r="G4158" t="s">
        <v>5164</v>
      </c>
    </row>
    <row r="4159" spans="1:7" hidden="1">
      <c r="A4159" s="5" t="s">
        <v>2950</v>
      </c>
      <c r="B4159" t="s">
        <v>5161</v>
      </c>
      <c r="C4159" t="s">
        <v>443</v>
      </c>
      <c r="D4159" t="s">
        <v>9365</v>
      </c>
      <c r="E4159">
        <v>20</v>
      </c>
      <c r="F4159" t="s">
        <v>5163</v>
      </c>
      <c r="G4159" t="s">
        <v>5164</v>
      </c>
    </row>
    <row r="4160" spans="1:7" hidden="1">
      <c r="A4160" s="5" t="s">
        <v>435</v>
      </c>
      <c r="B4160" t="s">
        <v>5161</v>
      </c>
      <c r="C4160" t="s">
        <v>443</v>
      </c>
      <c r="D4160" t="s">
        <v>1021</v>
      </c>
      <c r="E4160">
        <v>30</v>
      </c>
      <c r="F4160" t="s">
        <v>5163</v>
      </c>
      <c r="G4160" t="s">
        <v>5164</v>
      </c>
    </row>
    <row r="4161" spans="1:7" hidden="1">
      <c r="A4161" s="5" t="s">
        <v>2990</v>
      </c>
      <c r="B4161" t="s">
        <v>5161</v>
      </c>
      <c r="C4161" t="s">
        <v>443</v>
      </c>
      <c r="D4161" t="s">
        <v>9366</v>
      </c>
      <c r="E4161">
        <v>27</v>
      </c>
      <c r="F4161" t="s">
        <v>5163</v>
      </c>
      <c r="G4161" t="s">
        <v>5164</v>
      </c>
    </row>
    <row r="4162" spans="1:7" hidden="1">
      <c r="A4162" s="5" t="s">
        <v>441</v>
      </c>
      <c r="B4162" t="s">
        <v>5161</v>
      </c>
      <c r="C4162" t="s">
        <v>443</v>
      </c>
      <c r="D4162" t="s">
        <v>1031</v>
      </c>
      <c r="E4162">
        <v>25</v>
      </c>
      <c r="F4162" t="s">
        <v>5163</v>
      </c>
      <c r="G4162" t="s">
        <v>5164</v>
      </c>
    </row>
    <row r="4163" spans="1:7" hidden="1">
      <c r="A4163" s="5" t="s">
        <v>3134</v>
      </c>
      <c r="B4163" t="s">
        <v>5161</v>
      </c>
      <c r="C4163" t="s">
        <v>443</v>
      </c>
      <c r="D4163" t="s">
        <v>9367</v>
      </c>
      <c r="E4163">
        <v>42</v>
      </c>
      <c r="F4163" t="s">
        <v>5163</v>
      </c>
      <c r="G4163" t="s">
        <v>5164</v>
      </c>
    </row>
    <row r="4164" spans="1:7" hidden="1">
      <c r="A4164" s="5" t="s">
        <v>2644</v>
      </c>
      <c r="B4164" t="s">
        <v>5161</v>
      </c>
      <c r="C4164" t="s">
        <v>443</v>
      </c>
      <c r="D4164" t="s">
        <v>9368</v>
      </c>
      <c r="E4164">
        <v>32</v>
      </c>
      <c r="F4164" t="s">
        <v>5163</v>
      </c>
      <c r="G4164" t="s">
        <v>1905</v>
      </c>
    </row>
    <row r="4165" spans="1:7" hidden="1">
      <c r="A4165" s="5" t="s">
        <v>3946</v>
      </c>
      <c r="B4165" t="s">
        <v>5161</v>
      </c>
      <c r="C4165" t="s">
        <v>443</v>
      </c>
      <c r="D4165" t="s">
        <v>9369</v>
      </c>
      <c r="E4165">
        <v>31</v>
      </c>
      <c r="F4165" t="s">
        <v>5163</v>
      </c>
      <c r="G4165" t="s">
        <v>5164</v>
      </c>
    </row>
    <row r="4166" spans="1:7" hidden="1">
      <c r="A4166" s="5" t="s">
        <v>4137</v>
      </c>
      <c r="B4166" t="s">
        <v>5161</v>
      </c>
      <c r="C4166" t="s">
        <v>443</v>
      </c>
      <c r="D4166" t="s">
        <v>9370</v>
      </c>
      <c r="E4166">
        <v>28</v>
      </c>
      <c r="F4166" t="s">
        <v>5163</v>
      </c>
      <c r="G4166" t="s">
        <v>1905</v>
      </c>
    </row>
    <row r="4167" spans="1:7" hidden="1">
      <c r="A4167" s="5" t="s">
        <v>9371</v>
      </c>
      <c r="B4167" t="s">
        <v>5161</v>
      </c>
      <c r="C4167" t="s">
        <v>443</v>
      </c>
      <c r="D4167" t="s">
        <v>9372</v>
      </c>
      <c r="E4167">
        <v>20</v>
      </c>
      <c r="F4167" t="s">
        <v>5172</v>
      </c>
      <c r="G4167" t="s">
        <v>5169</v>
      </c>
    </row>
    <row r="4168" spans="1:7" hidden="1">
      <c r="A4168" s="5" t="s">
        <v>4103</v>
      </c>
      <c r="B4168" t="s">
        <v>5161</v>
      </c>
      <c r="C4168" t="s">
        <v>443</v>
      </c>
      <c r="D4168" t="s">
        <v>9373</v>
      </c>
      <c r="E4168">
        <v>19</v>
      </c>
      <c r="F4168" t="s">
        <v>5163</v>
      </c>
      <c r="G4168" t="s">
        <v>5164</v>
      </c>
    </row>
    <row r="4169" spans="1:7" hidden="1">
      <c r="A4169" s="5" t="s">
        <v>2428</v>
      </c>
      <c r="B4169" t="s">
        <v>5161</v>
      </c>
      <c r="C4169" t="s">
        <v>443</v>
      </c>
      <c r="D4169" t="s">
        <v>9374</v>
      </c>
      <c r="E4169">
        <v>25</v>
      </c>
      <c r="F4169" t="s">
        <v>5163</v>
      </c>
      <c r="G4169" t="s">
        <v>5164</v>
      </c>
    </row>
    <row r="4170" spans="1:7" hidden="1">
      <c r="A4170" s="5" t="s">
        <v>2810</v>
      </c>
      <c r="B4170" t="s">
        <v>5161</v>
      </c>
      <c r="C4170" t="s">
        <v>443</v>
      </c>
      <c r="D4170" t="s">
        <v>9375</v>
      </c>
      <c r="E4170">
        <v>22</v>
      </c>
      <c r="F4170" t="s">
        <v>5163</v>
      </c>
      <c r="G4170" t="s">
        <v>5164</v>
      </c>
    </row>
    <row r="4171" spans="1:7" hidden="1">
      <c r="A4171" s="5" t="s">
        <v>437</v>
      </c>
      <c r="B4171" t="s">
        <v>5161</v>
      </c>
      <c r="C4171" t="s">
        <v>443</v>
      </c>
      <c r="D4171" t="s">
        <v>1023</v>
      </c>
      <c r="E4171">
        <v>25</v>
      </c>
      <c r="F4171" t="s">
        <v>5163</v>
      </c>
      <c r="G4171" t="s">
        <v>5484</v>
      </c>
    </row>
    <row r="4172" spans="1:7" hidden="1">
      <c r="A4172" s="5" t="s">
        <v>4490</v>
      </c>
      <c r="B4172" t="s">
        <v>5161</v>
      </c>
      <c r="C4172" t="s">
        <v>443</v>
      </c>
      <c r="D4172" t="s">
        <v>9376</v>
      </c>
      <c r="E4172">
        <v>42</v>
      </c>
      <c r="F4172" t="s">
        <v>5163</v>
      </c>
      <c r="G4172" t="s">
        <v>5164</v>
      </c>
    </row>
    <row r="4173" spans="1:7" hidden="1">
      <c r="A4173" s="5" t="s">
        <v>4490</v>
      </c>
      <c r="B4173" t="s">
        <v>5161</v>
      </c>
      <c r="C4173" t="s">
        <v>443</v>
      </c>
      <c r="D4173" t="s">
        <v>9377</v>
      </c>
      <c r="E4173">
        <v>33</v>
      </c>
      <c r="F4173" t="s">
        <v>5163</v>
      </c>
      <c r="G4173" t="s">
        <v>1905</v>
      </c>
    </row>
    <row r="4174" spans="1:7" hidden="1">
      <c r="A4174" s="5" t="s">
        <v>3563</v>
      </c>
      <c r="B4174" t="s">
        <v>5161</v>
      </c>
      <c r="C4174" t="s">
        <v>443</v>
      </c>
      <c r="D4174" t="s">
        <v>9378</v>
      </c>
      <c r="E4174">
        <v>23</v>
      </c>
      <c r="F4174" t="s">
        <v>5172</v>
      </c>
      <c r="G4174" t="s">
        <v>5169</v>
      </c>
    </row>
    <row r="4175" spans="1:7" hidden="1">
      <c r="A4175" s="5" t="s">
        <v>436</v>
      </c>
      <c r="B4175" t="s">
        <v>5161</v>
      </c>
      <c r="C4175" t="s">
        <v>443</v>
      </c>
      <c r="D4175" t="s">
        <v>1022</v>
      </c>
      <c r="E4175">
        <v>32</v>
      </c>
      <c r="F4175" t="s">
        <v>5163</v>
      </c>
      <c r="G4175" t="s">
        <v>5164</v>
      </c>
    </row>
    <row r="4176" spans="1:7" hidden="1">
      <c r="A4176" s="5" t="s">
        <v>9379</v>
      </c>
      <c r="B4176" t="s">
        <v>5161</v>
      </c>
      <c r="C4176" t="s">
        <v>443</v>
      </c>
      <c r="D4176" t="s">
        <v>8798</v>
      </c>
      <c r="E4176">
        <v>-76</v>
      </c>
      <c r="F4176" t="s">
        <v>5163</v>
      </c>
      <c r="G4176" t="s">
        <v>5182</v>
      </c>
    </row>
    <row r="4177" spans="1:7" hidden="1">
      <c r="A4177" s="5" t="s">
        <v>9379</v>
      </c>
      <c r="B4177" t="s">
        <v>5161</v>
      </c>
      <c r="C4177" t="s">
        <v>443</v>
      </c>
      <c r="D4177" t="s">
        <v>9380</v>
      </c>
      <c r="E4177">
        <v>42</v>
      </c>
      <c r="F4177" t="s">
        <v>5163</v>
      </c>
      <c r="G4177" t="s">
        <v>1905</v>
      </c>
    </row>
    <row r="4178" spans="1:7" hidden="1">
      <c r="A4178" s="5" t="s">
        <v>9379</v>
      </c>
      <c r="B4178" t="s">
        <v>5161</v>
      </c>
      <c r="C4178" t="s">
        <v>443</v>
      </c>
      <c r="D4178" t="s">
        <v>9381</v>
      </c>
      <c r="E4178" t="s">
        <v>5182</v>
      </c>
      <c r="F4178" t="s">
        <v>5163</v>
      </c>
      <c r="G4178" t="s">
        <v>1905</v>
      </c>
    </row>
    <row r="4179" spans="1:7" hidden="1">
      <c r="A4179" s="5" t="s">
        <v>9379</v>
      </c>
      <c r="B4179" t="s">
        <v>5161</v>
      </c>
      <c r="C4179" t="s">
        <v>443</v>
      </c>
      <c r="D4179" t="s">
        <v>9382</v>
      </c>
      <c r="E4179">
        <v>29</v>
      </c>
      <c r="F4179" t="s">
        <v>5163</v>
      </c>
      <c r="G4179" t="s">
        <v>1905</v>
      </c>
    </row>
    <row r="4180" spans="1:7" hidden="1">
      <c r="A4180" s="5" t="s">
        <v>9379</v>
      </c>
      <c r="B4180" t="s">
        <v>5161</v>
      </c>
      <c r="C4180" t="s">
        <v>443</v>
      </c>
      <c r="D4180" t="s">
        <v>9383</v>
      </c>
      <c r="E4180">
        <v>32</v>
      </c>
      <c r="F4180" t="s">
        <v>5163</v>
      </c>
      <c r="G4180" t="s">
        <v>5182</v>
      </c>
    </row>
    <row r="4181" spans="1:7" hidden="1">
      <c r="A4181" s="5" t="s">
        <v>9379</v>
      </c>
      <c r="B4181" t="s">
        <v>5161</v>
      </c>
      <c r="C4181" t="s">
        <v>443</v>
      </c>
      <c r="D4181" t="s">
        <v>9384</v>
      </c>
      <c r="E4181">
        <v>43</v>
      </c>
      <c r="F4181" t="s">
        <v>5163</v>
      </c>
      <c r="G4181" t="s">
        <v>5182</v>
      </c>
    </row>
    <row r="4182" spans="1:7" hidden="1">
      <c r="A4182" s="5" t="s">
        <v>3701</v>
      </c>
      <c r="B4182" t="s">
        <v>5161</v>
      </c>
      <c r="C4182" t="s">
        <v>443</v>
      </c>
      <c r="D4182" t="s">
        <v>9385</v>
      </c>
      <c r="E4182">
        <v>23</v>
      </c>
      <c r="F4182" t="s">
        <v>5163</v>
      </c>
      <c r="G4182" t="s">
        <v>5164</v>
      </c>
    </row>
    <row r="4183" spans="1:7" hidden="1">
      <c r="A4183" s="5" t="s">
        <v>3349</v>
      </c>
      <c r="B4183" t="s">
        <v>5161</v>
      </c>
      <c r="C4183" t="s">
        <v>443</v>
      </c>
      <c r="D4183" t="s">
        <v>9386</v>
      </c>
      <c r="E4183">
        <v>21</v>
      </c>
      <c r="F4183" t="s">
        <v>5163</v>
      </c>
      <c r="G4183" t="s">
        <v>5169</v>
      </c>
    </row>
    <row r="4184" spans="1:7" hidden="1">
      <c r="A4184" s="5" t="s">
        <v>1345</v>
      </c>
      <c r="B4184" t="s">
        <v>5161</v>
      </c>
      <c r="C4184" t="s">
        <v>443</v>
      </c>
      <c r="D4184" t="s">
        <v>1436</v>
      </c>
      <c r="E4184">
        <v>26</v>
      </c>
      <c r="F4184" t="s">
        <v>5163</v>
      </c>
      <c r="G4184" t="s">
        <v>5164</v>
      </c>
    </row>
    <row r="4185" spans="1:7" hidden="1">
      <c r="A4185" s="5" t="s">
        <v>3369</v>
      </c>
      <c r="B4185" t="s">
        <v>5161</v>
      </c>
      <c r="C4185" t="s">
        <v>450</v>
      </c>
      <c r="D4185" t="s">
        <v>9387</v>
      </c>
      <c r="E4185">
        <v>18</v>
      </c>
      <c r="F4185" t="s">
        <v>5163</v>
      </c>
      <c r="G4185" t="s">
        <v>5164</v>
      </c>
    </row>
    <row r="4186" spans="1:7" hidden="1">
      <c r="A4186" s="5" t="s">
        <v>3569</v>
      </c>
      <c r="B4186" t="s">
        <v>5161</v>
      </c>
      <c r="C4186" t="s">
        <v>450</v>
      </c>
      <c r="D4186" t="s">
        <v>9388</v>
      </c>
      <c r="E4186">
        <v>21</v>
      </c>
      <c r="F4186" t="s">
        <v>5163</v>
      </c>
      <c r="G4186" t="s">
        <v>5164</v>
      </c>
    </row>
    <row r="4187" spans="1:7" hidden="1">
      <c r="A4187" s="5" t="s">
        <v>5065</v>
      </c>
      <c r="B4187" t="s">
        <v>5161</v>
      </c>
      <c r="C4187" t="s">
        <v>450</v>
      </c>
      <c r="D4187" t="s">
        <v>9389</v>
      </c>
      <c r="E4187">
        <v>20</v>
      </c>
      <c r="F4187" t="s">
        <v>5163</v>
      </c>
      <c r="G4187" t="s">
        <v>1905</v>
      </c>
    </row>
    <row r="4188" spans="1:7" hidden="1">
      <c r="A4188" s="5" t="s">
        <v>2827</v>
      </c>
      <c r="B4188" t="s">
        <v>5161</v>
      </c>
      <c r="C4188" t="s">
        <v>450</v>
      </c>
      <c r="D4188" t="s">
        <v>9390</v>
      </c>
      <c r="E4188">
        <v>26</v>
      </c>
      <c r="F4188" t="s">
        <v>5163</v>
      </c>
      <c r="G4188" t="s">
        <v>5164</v>
      </c>
    </row>
    <row r="4189" spans="1:7" hidden="1">
      <c r="A4189" s="5" t="s">
        <v>2854</v>
      </c>
      <c r="B4189" t="s">
        <v>5161</v>
      </c>
      <c r="C4189" t="s">
        <v>450</v>
      </c>
      <c r="D4189" t="s">
        <v>9391</v>
      </c>
      <c r="E4189">
        <v>24</v>
      </c>
      <c r="F4189" t="s">
        <v>5163</v>
      </c>
      <c r="G4189" t="s">
        <v>5164</v>
      </c>
    </row>
    <row r="4190" spans="1:7" hidden="1">
      <c r="A4190" s="5" t="s">
        <v>2755</v>
      </c>
      <c r="B4190" t="s">
        <v>5161</v>
      </c>
      <c r="C4190" t="s">
        <v>450</v>
      </c>
      <c r="D4190" t="s">
        <v>9392</v>
      </c>
      <c r="E4190">
        <v>26</v>
      </c>
      <c r="F4190" t="s">
        <v>5163</v>
      </c>
      <c r="G4190" t="s">
        <v>5169</v>
      </c>
    </row>
    <row r="4191" spans="1:7" hidden="1">
      <c r="A4191" s="5" t="s">
        <v>2532</v>
      </c>
      <c r="B4191" t="s">
        <v>5161</v>
      </c>
      <c r="C4191" t="s">
        <v>450</v>
      </c>
      <c r="D4191" t="s">
        <v>9393</v>
      </c>
      <c r="E4191">
        <v>43</v>
      </c>
      <c r="F4191" t="s">
        <v>5163</v>
      </c>
      <c r="G4191" t="s">
        <v>1905</v>
      </c>
    </row>
    <row r="4192" spans="1:7" hidden="1">
      <c r="A4192" s="5" t="s">
        <v>4883</v>
      </c>
      <c r="B4192" t="s">
        <v>5161</v>
      </c>
      <c r="C4192" t="s">
        <v>450</v>
      </c>
      <c r="D4192" t="s">
        <v>9394</v>
      </c>
      <c r="E4192">
        <v>35</v>
      </c>
      <c r="F4192" t="s">
        <v>5163</v>
      </c>
      <c r="G4192" t="s">
        <v>1905</v>
      </c>
    </row>
    <row r="4193" spans="1:7" hidden="1">
      <c r="A4193" s="5" t="s">
        <v>5025</v>
      </c>
      <c r="B4193" t="s">
        <v>5161</v>
      </c>
      <c r="C4193" t="s">
        <v>450</v>
      </c>
      <c r="D4193" t="s">
        <v>9395</v>
      </c>
      <c r="E4193">
        <v>21</v>
      </c>
      <c r="F4193" t="s">
        <v>5163</v>
      </c>
      <c r="G4193" t="s">
        <v>5164</v>
      </c>
    </row>
    <row r="4194" spans="1:7" hidden="1">
      <c r="A4194" s="5" t="s">
        <v>5025</v>
      </c>
      <c r="B4194" t="s">
        <v>5161</v>
      </c>
      <c r="C4194" t="s">
        <v>450</v>
      </c>
      <c r="D4194" t="s">
        <v>9396</v>
      </c>
      <c r="E4194">
        <v>40</v>
      </c>
      <c r="F4194" t="s">
        <v>5163</v>
      </c>
      <c r="G4194" t="s">
        <v>5169</v>
      </c>
    </row>
    <row r="4195" spans="1:7" hidden="1">
      <c r="A4195" s="5" t="s">
        <v>2132</v>
      </c>
      <c r="B4195" t="s">
        <v>5161</v>
      </c>
      <c r="C4195" t="s">
        <v>450</v>
      </c>
      <c r="D4195" t="s">
        <v>9397</v>
      </c>
      <c r="E4195">
        <v>21</v>
      </c>
      <c r="F4195" t="s">
        <v>5163</v>
      </c>
      <c r="G4195" t="s">
        <v>5169</v>
      </c>
    </row>
    <row r="4196" spans="1:7" hidden="1">
      <c r="A4196" s="5" t="s">
        <v>2132</v>
      </c>
      <c r="B4196" t="s">
        <v>5161</v>
      </c>
      <c r="C4196" t="s">
        <v>450</v>
      </c>
      <c r="D4196" t="s">
        <v>9398</v>
      </c>
      <c r="E4196">
        <v>19</v>
      </c>
      <c r="F4196" t="s">
        <v>5163</v>
      </c>
      <c r="G4196" t="s">
        <v>5169</v>
      </c>
    </row>
    <row r="4197" spans="1:7" hidden="1">
      <c r="A4197" s="5" t="s">
        <v>4404</v>
      </c>
      <c r="B4197" t="s">
        <v>5161</v>
      </c>
      <c r="C4197" t="s">
        <v>450</v>
      </c>
      <c r="D4197" t="s">
        <v>9399</v>
      </c>
      <c r="E4197">
        <v>26</v>
      </c>
      <c r="F4197" t="s">
        <v>5163</v>
      </c>
      <c r="G4197" t="s">
        <v>5169</v>
      </c>
    </row>
    <row r="4198" spans="1:7" hidden="1">
      <c r="A4198" s="5" t="s">
        <v>4025</v>
      </c>
      <c r="B4198" t="s">
        <v>5161</v>
      </c>
      <c r="C4198" t="s">
        <v>450</v>
      </c>
      <c r="D4198" t="s">
        <v>9400</v>
      </c>
      <c r="E4198">
        <v>19</v>
      </c>
      <c r="F4198" t="s">
        <v>5163</v>
      </c>
      <c r="G4198" t="s">
        <v>5164</v>
      </c>
    </row>
    <row r="4199" spans="1:7" hidden="1">
      <c r="A4199" s="5" t="s">
        <v>2978</v>
      </c>
      <c r="B4199" t="s">
        <v>5161</v>
      </c>
      <c r="C4199" t="s">
        <v>450</v>
      </c>
      <c r="D4199" t="s">
        <v>9401</v>
      </c>
      <c r="E4199">
        <v>25</v>
      </c>
      <c r="F4199" t="s">
        <v>5163</v>
      </c>
      <c r="G4199" t="s">
        <v>1905</v>
      </c>
    </row>
    <row r="4200" spans="1:7" hidden="1">
      <c r="A4200" s="5" t="s">
        <v>4682</v>
      </c>
      <c r="B4200" t="s">
        <v>5161</v>
      </c>
      <c r="C4200" t="s">
        <v>450</v>
      </c>
      <c r="D4200" t="s">
        <v>9402</v>
      </c>
      <c r="E4200">
        <v>21</v>
      </c>
      <c r="F4200" t="s">
        <v>5163</v>
      </c>
      <c r="G4200" t="s">
        <v>5164</v>
      </c>
    </row>
    <row r="4201" spans="1:7" hidden="1">
      <c r="A4201" s="5" t="s">
        <v>3163</v>
      </c>
      <c r="B4201" t="s">
        <v>5161</v>
      </c>
      <c r="C4201" t="s">
        <v>450</v>
      </c>
      <c r="D4201" t="s">
        <v>9403</v>
      </c>
      <c r="E4201">
        <v>19</v>
      </c>
      <c r="F4201" t="s">
        <v>5163</v>
      </c>
      <c r="G4201" t="s">
        <v>5164</v>
      </c>
    </row>
    <row r="4202" spans="1:7" hidden="1">
      <c r="A4202" s="5" t="s">
        <v>448</v>
      </c>
      <c r="B4202" t="s">
        <v>5161</v>
      </c>
      <c r="C4202" t="s">
        <v>450</v>
      </c>
      <c r="D4202" t="s">
        <v>1015</v>
      </c>
      <c r="E4202">
        <v>19</v>
      </c>
      <c r="F4202" t="s">
        <v>5163</v>
      </c>
      <c r="G4202" t="s">
        <v>5169</v>
      </c>
    </row>
    <row r="4203" spans="1:7" hidden="1">
      <c r="A4203" s="5" t="s">
        <v>448</v>
      </c>
      <c r="B4203" t="s">
        <v>5161</v>
      </c>
      <c r="C4203" t="s">
        <v>450</v>
      </c>
      <c r="D4203" t="s">
        <v>1014</v>
      </c>
      <c r="E4203">
        <v>20</v>
      </c>
      <c r="F4203" t="s">
        <v>5163</v>
      </c>
      <c r="G4203" t="s">
        <v>5164</v>
      </c>
    </row>
    <row r="4204" spans="1:7" hidden="1">
      <c r="A4204" s="5" t="s">
        <v>4352</v>
      </c>
      <c r="B4204" t="s">
        <v>5161</v>
      </c>
      <c r="C4204" t="s">
        <v>450</v>
      </c>
      <c r="D4204" t="s">
        <v>9404</v>
      </c>
      <c r="E4204">
        <v>33</v>
      </c>
      <c r="F4204" t="s">
        <v>5163</v>
      </c>
      <c r="G4204" t="s">
        <v>5164</v>
      </c>
    </row>
    <row r="4205" spans="1:7" hidden="1">
      <c r="A4205" s="5" t="s">
        <v>4510</v>
      </c>
      <c r="B4205" t="s">
        <v>5161</v>
      </c>
      <c r="C4205" t="s">
        <v>450</v>
      </c>
      <c r="D4205" t="s">
        <v>9405</v>
      </c>
      <c r="E4205">
        <v>19</v>
      </c>
      <c r="F4205" t="s">
        <v>5163</v>
      </c>
      <c r="G4205" t="s">
        <v>1905</v>
      </c>
    </row>
    <row r="4206" spans="1:7" hidden="1">
      <c r="A4206" s="5" t="s">
        <v>3498</v>
      </c>
      <c r="B4206" t="s">
        <v>5161</v>
      </c>
      <c r="C4206" t="s">
        <v>450</v>
      </c>
      <c r="D4206" t="s">
        <v>9406</v>
      </c>
      <c r="E4206">
        <v>38</v>
      </c>
      <c r="F4206" t="s">
        <v>5163</v>
      </c>
      <c r="G4206" t="s">
        <v>5164</v>
      </c>
    </row>
    <row r="4207" spans="1:7" hidden="1">
      <c r="A4207" s="5" t="s">
        <v>3429</v>
      </c>
      <c r="B4207" t="s">
        <v>5161</v>
      </c>
      <c r="C4207" t="s">
        <v>450</v>
      </c>
      <c r="D4207" t="s">
        <v>9407</v>
      </c>
      <c r="E4207">
        <v>59</v>
      </c>
      <c r="F4207" t="s">
        <v>5163</v>
      </c>
      <c r="G4207" t="s">
        <v>5164</v>
      </c>
    </row>
    <row r="4208" spans="1:7" hidden="1">
      <c r="A4208" s="5" t="s">
        <v>2130</v>
      </c>
      <c r="B4208" t="s">
        <v>5161</v>
      </c>
      <c r="C4208" t="s">
        <v>450</v>
      </c>
      <c r="D4208" t="s">
        <v>9408</v>
      </c>
      <c r="E4208">
        <v>21</v>
      </c>
      <c r="F4208" t="s">
        <v>5163</v>
      </c>
      <c r="G4208" t="s">
        <v>1905</v>
      </c>
    </row>
    <row r="4209" spans="1:7" hidden="1">
      <c r="A4209" s="5" t="s">
        <v>2607</v>
      </c>
      <c r="B4209" t="s">
        <v>5161</v>
      </c>
      <c r="C4209" t="s">
        <v>450</v>
      </c>
      <c r="D4209" t="s">
        <v>9409</v>
      </c>
      <c r="E4209">
        <v>18</v>
      </c>
      <c r="F4209" t="s">
        <v>5163</v>
      </c>
      <c r="G4209" t="s">
        <v>5164</v>
      </c>
    </row>
    <row r="4210" spans="1:7" hidden="1">
      <c r="A4210" s="5" t="s">
        <v>3434</v>
      </c>
      <c r="B4210" t="s">
        <v>5161</v>
      </c>
      <c r="C4210" t="s">
        <v>450</v>
      </c>
      <c r="D4210" t="s">
        <v>7353</v>
      </c>
      <c r="E4210">
        <v>30</v>
      </c>
      <c r="F4210" t="s">
        <v>5163</v>
      </c>
      <c r="G4210" t="s">
        <v>1905</v>
      </c>
    </row>
    <row r="4211" spans="1:7" hidden="1">
      <c r="A4211" s="5" t="s">
        <v>2164</v>
      </c>
      <c r="B4211" t="s">
        <v>5161</v>
      </c>
      <c r="C4211" t="s">
        <v>450</v>
      </c>
      <c r="D4211" t="s">
        <v>9410</v>
      </c>
      <c r="E4211">
        <v>26</v>
      </c>
      <c r="F4211" t="s">
        <v>5163</v>
      </c>
      <c r="G4211" t="s">
        <v>5164</v>
      </c>
    </row>
    <row r="4212" spans="1:7" hidden="1">
      <c r="A4212" s="5" t="s">
        <v>3310</v>
      </c>
      <c r="B4212" t="s">
        <v>5161</v>
      </c>
      <c r="C4212" t="s">
        <v>450</v>
      </c>
      <c r="D4212" t="s">
        <v>9411</v>
      </c>
      <c r="E4212">
        <v>40</v>
      </c>
      <c r="F4212" t="s">
        <v>5163</v>
      </c>
      <c r="G4212" t="s">
        <v>5164</v>
      </c>
    </row>
    <row r="4213" spans="1:7" hidden="1">
      <c r="A4213" s="5" t="s">
        <v>4322</v>
      </c>
      <c r="B4213" t="s">
        <v>5161</v>
      </c>
      <c r="C4213" t="s">
        <v>450</v>
      </c>
      <c r="D4213" t="s">
        <v>5854</v>
      </c>
      <c r="E4213">
        <v>47</v>
      </c>
      <c r="F4213" t="s">
        <v>5172</v>
      </c>
      <c r="G4213" t="s">
        <v>5164</v>
      </c>
    </row>
    <row r="4214" spans="1:7" hidden="1">
      <c r="A4214" s="5" t="s">
        <v>9412</v>
      </c>
      <c r="B4214" t="s">
        <v>5161</v>
      </c>
      <c r="C4214" t="s">
        <v>450</v>
      </c>
      <c r="D4214" t="s">
        <v>9413</v>
      </c>
      <c r="E4214">
        <v>18</v>
      </c>
      <c r="F4214" t="s">
        <v>5163</v>
      </c>
      <c r="G4214" t="s">
        <v>5164</v>
      </c>
    </row>
    <row r="4215" spans="1:7" hidden="1">
      <c r="A4215" s="5" t="s">
        <v>2792</v>
      </c>
      <c r="B4215" t="s">
        <v>5161</v>
      </c>
      <c r="C4215" t="s">
        <v>450</v>
      </c>
      <c r="D4215" t="s">
        <v>9414</v>
      </c>
      <c r="E4215">
        <v>20</v>
      </c>
      <c r="F4215" t="s">
        <v>5163</v>
      </c>
      <c r="G4215" t="s">
        <v>5164</v>
      </c>
    </row>
    <row r="4216" spans="1:7" hidden="1">
      <c r="A4216" s="5" t="s">
        <v>2396</v>
      </c>
      <c r="B4216" t="s">
        <v>5161</v>
      </c>
      <c r="C4216" t="s">
        <v>450</v>
      </c>
      <c r="D4216" t="s">
        <v>9415</v>
      </c>
      <c r="E4216">
        <v>45</v>
      </c>
      <c r="F4216" t="s">
        <v>5163</v>
      </c>
      <c r="G4216" t="s">
        <v>5169</v>
      </c>
    </row>
    <row r="4217" spans="1:7" hidden="1">
      <c r="A4217" s="5" t="s">
        <v>2809</v>
      </c>
      <c r="B4217" t="s">
        <v>5161</v>
      </c>
      <c r="C4217" t="s">
        <v>450</v>
      </c>
      <c r="D4217" t="s">
        <v>9416</v>
      </c>
      <c r="E4217">
        <v>27</v>
      </c>
      <c r="F4217" t="s">
        <v>5163</v>
      </c>
      <c r="G4217" t="s">
        <v>1905</v>
      </c>
    </row>
    <row r="4218" spans="1:7" hidden="1">
      <c r="A4218" s="5" t="s">
        <v>2452</v>
      </c>
      <c r="B4218" t="s">
        <v>5161</v>
      </c>
      <c r="C4218" t="s">
        <v>450</v>
      </c>
      <c r="D4218" t="s">
        <v>9417</v>
      </c>
      <c r="E4218">
        <v>19</v>
      </c>
      <c r="F4218" t="s">
        <v>5163</v>
      </c>
      <c r="G4218" t="s">
        <v>5164</v>
      </c>
    </row>
    <row r="4219" spans="1:7" hidden="1">
      <c r="A4219" s="5" t="s">
        <v>3160</v>
      </c>
      <c r="B4219" t="s">
        <v>5161</v>
      </c>
      <c r="C4219" t="s">
        <v>450</v>
      </c>
      <c r="D4219" t="s">
        <v>9418</v>
      </c>
      <c r="E4219">
        <v>28</v>
      </c>
      <c r="F4219" t="s">
        <v>5163</v>
      </c>
      <c r="G4219" t="s">
        <v>1905</v>
      </c>
    </row>
    <row r="4220" spans="1:7" hidden="1">
      <c r="A4220" s="5" t="s">
        <v>2665</v>
      </c>
      <c r="B4220" t="s">
        <v>5161</v>
      </c>
      <c r="C4220" t="s">
        <v>450</v>
      </c>
      <c r="D4220" t="s">
        <v>9419</v>
      </c>
      <c r="E4220">
        <v>20</v>
      </c>
      <c r="F4220" t="s">
        <v>5163</v>
      </c>
      <c r="G4220" t="s">
        <v>5164</v>
      </c>
    </row>
    <row r="4221" spans="1:7" hidden="1">
      <c r="A4221" s="5" t="s">
        <v>4950</v>
      </c>
      <c r="B4221" t="s">
        <v>5161</v>
      </c>
      <c r="C4221" t="s">
        <v>450</v>
      </c>
      <c r="D4221" t="s">
        <v>9420</v>
      </c>
      <c r="E4221">
        <v>22</v>
      </c>
      <c r="F4221" t="s">
        <v>5163</v>
      </c>
      <c r="G4221" t="s">
        <v>5164</v>
      </c>
    </row>
    <row r="4222" spans="1:7" hidden="1">
      <c r="A4222" s="5" t="s">
        <v>2583</v>
      </c>
      <c r="B4222" t="s">
        <v>5161</v>
      </c>
      <c r="C4222" t="s">
        <v>450</v>
      </c>
      <c r="D4222" t="s">
        <v>9421</v>
      </c>
      <c r="E4222">
        <v>22</v>
      </c>
      <c r="F4222" t="s">
        <v>5163</v>
      </c>
      <c r="G4222" t="s">
        <v>5164</v>
      </c>
    </row>
    <row r="4223" spans="1:7" hidden="1">
      <c r="A4223" s="5" t="s">
        <v>5030</v>
      </c>
      <c r="B4223" t="s">
        <v>5161</v>
      </c>
      <c r="C4223" t="s">
        <v>450</v>
      </c>
      <c r="D4223" t="s">
        <v>9422</v>
      </c>
      <c r="E4223">
        <v>31</v>
      </c>
      <c r="F4223" t="s">
        <v>5163</v>
      </c>
      <c r="G4223" t="s">
        <v>5164</v>
      </c>
    </row>
    <row r="4224" spans="1:7" hidden="1">
      <c r="A4224" s="5" t="s">
        <v>446</v>
      </c>
      <c r="B4224" t="s">
        <v>5161</v>
      </c>
      <c r="C4224" t="s">
        <v>450</v>
      </c>
      <c r="D4224" t="s">
        <v>1011</v>
      </c>
      <c r="E4224">
        <v>22</v>
      </c>
      <c r="F4224" t="s">
        <v>5163</v>
      </c>
      <c r="G4224" t="s">
        <v>5164</v>
      </c>
    </row>
    <row r="4225" spans="1:7" hidden="1">
      <c r="A4225" s="5" t="s">
        <v>446</v>
      </c>
      <c r="B4225" t="s">
        <v>5161</v>
      </c>
      <c r="C4225" t="s">
        <v>450</v>
      </c>
      <c r="D4225" t="s">
        <v>1012</v>
      </c>
      <c r="E4225">
        <v>19</v>
      </c>
      <c r="F4225" t="s">
        <v>5172</v>
      </c>
      <c r="G4225" t="s">
        <v>5164</v>
      </c>
    </row>
    <row r="4226" spans="1:7" hidden="1">
      <c r="A4226" s="5" t="s">
        <v>4867</v>
      </c>
      <c r="B4226" t="s">
        <v>5161</v>
      </c>
      <c r="C4226" t="s">
        <v>450</v>
      </c>
      <c r="D4226" t="s">
        <v>5750</v>
      </c>
      <c r="E4226">
        <v>19</v>
      </c>
      <c r="F4226" t="s">
        <v>5163</v>
      </c>
      <c r="G4226" t="s">
        <v>1905</v>
      </c>
    </row>
    <row r="4227" spans="1:7" hidden="1">
      <c r="A4227" s="5" t="s">
        <v>2437</v>
      </c>
      <c r="B4227" t="s">
        <v>5161</v>
      </c>
      <c r="C4227" t="s">
        <v>450</v>
      </c>
      <c r="D4227" t="s">
        <v>9423</v>
      </c>
      <c r="E4227">
        <v>19</v>
      </c>
      <c r="F4227" t="s">
        <v>5163</v>
      </c>
      <c r="G4227" t="s">
        <v>5164</v>
      </c>
    </row>
    <row r="4228" spans="1:7" hidden="1">
      <c r="A4228" s="5" t="s">
        <v>2437</v>
      </c>
      <c r="B4228" t="s">
        <v>5161</v>
      </c>
      <c r="C4228" t="s">
        <v>450</v>
      </c>
      <c r="D4228" t="s">
        <v>9424</v>
      </c>
      <c r="E4228">
        <v>18</v>
      </c>
      <c r="F4228" t="s">
        <v>5163</v>
      </c>
      <c r="G4228" t="s">
        <v>1905</v>
      </c>
    </row>
    <row r="4229" spans="1:7" hidden="1">
      <c r="A4229" s="5" t="s">
        <v>2437</v>
      </c>
      <c r="B4229" t="s">
        <v>5161</v>
      </c>
      <c r="C4229" t="s">
        <v>450</v>
      </c>
      <c r="D4229" t="s">
        <v>9425</v>
      </c>
      <c r="E4229">
        <v>22</v>
      </c>
      <c r="F4229" t="s">
        <v>5163</v>
      </c>
      <c r="G4229" t="s">
        <v>1905</v>
      </c>
    </row>
    <row r="4230" spans="1:7" hidden="1">
      <c r="A4230" s="5" t="s">
        <v>4997</v>
      </c>
      <c r="B4230" t="s">
        <v>5161</v>
      </c>
      <c r="C4230" t="s">
        <v>450</v>
      </c>
      <c r="D4230" t="s">
        <v>9426</v>
      </c>
      <c r="E4230">
        <v>29</v>
      </c>
      <c r="F4230" t="s">
        <v>5172</v>
      </c>
      <c r="G4230" t="s">
        <v>5164</v>
      </c>
    </row>
    <row r="4231" spans="1:7" hidden="1">
      <c r="A4231" s="5" t="s">
        <v>4431</v>
      </c>
      <c r="B4231" t="s">
        <v>5161</v>
      </c>
      <c r="C4231" t="s">
        <v>450</v>
      </c>
      <c r="D4231" t="s">
        <v>9427</v>
      </c>
      <c r="E4231">
        <v>20</v>
      </c>
      <c r="F4231" t="s">
        <v>5163</v>
      </c>
      <c r="G4231" t="s">
        <v>1905</v>
      </c>
    </row>
    <row r="4232" spans="1:7" hidden="1">
      <c r="A4232" s="5" t="s">
        <v>4378</v>
      </c>
      <c r="B4232" t="s">
        <v>5161</v>
      </c>
      <c r="C4232" t="s">
        <v>450</v>
      </c>
      <c r="D4232" t="s">
        <v>9428</v>
      </c>
      <c r="E4232">
        <v>18</v>
      </c>
      <c r="F4232" t="s">
        <v>5163</v>
      </c>
      <c r="G4232" t="s">
        <v>5164</v>
      </c>
    </row>
    <row r="4233" spans="1:7" hidden="1">
      <c r="A4233" s="5" t="s">
        <v>4979</v>
      </c>
      <c r="B4233" t="s">
        <v>5161</v>
      </c>
      <c r="C4233" t="s">
        <v>450</v>
      </c>
      <c r="D4233" t="s">
        <v>9429</v>
      </c>
      <c r="E4233">
        <v>29</v>
      </c>
      <c r="F4233" t="s">
        <v>5163</v>
      </c>
      <c r="G4233" t="s">
        <v>5164</v>
      </c>
    </row>
    <row r="4234" spans="1:7" hidden="1">
      <c r="A4234" s="5" t="s">
        <v>2592</v>
      </c>
      <c r="B4234" t="s">
        <v>5161</v>
      </c>
      <c r="C4234" t="s">
        <v>450</v>
      </c>
      <c r="D4234" t="s">
        <v>9430</v>
      </c>
      <c r="E4234">
        <v>23</v>
      </c>
      <c r="F4234" t="s">
        <v>5163</v>
      </c>
      <c r="G4234" t="s">
        <v>5164</v>
      </c>
    </row>
    <row r="4235" spans="1:7" hidden="1">
      <c r="A4235" s="5" t="s">
        <v>4961</v>
      </c>
      <c r="B4235" t="s">
        <v>5161</v>
      </c>
      <c r="C4235" t="s">
        <v>450</v>
      </c>
      <c r="D4235" t="s">
        <v>9431</v>
      </c>
      <c r="E4235">
        <v>31</v>
      </c>
      <c r="F4235" t="s">
        <v>5163</v>
      </c>
      <c r="G4235" t="s">
        <v>1905</v>
      </c>
    </row>
    <row r="4236" spans="1:7" hidden="1">
      <c r="A4236" s="5" t="s">
        <v>4917</v>
      </c>
      <c r="B4236" t="s">
        <v>5161</v>
      </c>
      <c r="C4236" t="s">
        <v>450</v>
      </c>
      <c r="D4236" t="s">
        <v>9432</v>
      </c>
      <c r="E4236">
        <v>28</v>
      </c>
      <c r="F4236" t="s">
        <v>5172</v>
      </c>
      <c r="G4236" t="s">
        <v>5164</v>
      </c>
    </row>
    <row r="4237" spans="1:7" hidden="1">
      <c r="A4237" s="5" t="s">
        <v>9433</v>
      </c>
      <c r="B4237" t="s">
        <v>5161</v>
      </c>
      <c r="C4237" t="s">
        <v>450</v>
      </c>
      <c r="D4237" t="s">
        <v>9434</v>
      </c>
      <c r="E4237">
        <v>37</v>
      </c>
      <c r="F4237" t="s">
        <v>5163</v>
      </c>
      <c r="G4237" t="s">
        <v>5169</v>
      </c>
    </row>
    <row r="4238" spans="1:7" hidden="1">
      <c r="A4238" s="5" t="s">
        <v>4740</v>
      </c>
      <c r="B4238" t="s">
        <v>5161</v>
      </c>
      <c r="C4238" t="s">
        <v>450</v>
      </c>
      <c r="D4238" t="s">
        <v>9435</v>
      </c>
      <c r="E4238">
        <v>39</v>
      </c>
      <c r="F4238" t="s">
        <v>5172</v>
      </c>
      <c r="G4238" t="s">
        <v>5169</v>
      </c>
    </row>
    <row r="4239" spans="1:7" hidden="1">
      <c r="A4239" s="5" t="s">
        <v>4740</v>
      </c>
      <c r="B4239" t="s">
        <v>5161</v>
      </c>
      <c r="C4239" t="s">
        <v>450</v>
      </c>
      <c r="D4239" t="s">
        <v>9436</v>
      </c>
      <c r="E4239">
        <v>33</v>
      </c>
      <c r="F4239" t="s">
        <v>5163</v>
      </c>
      <c r="G4239" t="s">
        <v>1905</v>
      </c>
    </row>
    <row r="4240" spans="1:7" hidden="1">
      <c r="A4240" s="5" t="s">
        <v>4652</v>
      </c>
      <c r="B4240" t="s">
        <v>5161</v>
      </c>
      <c r="C4240" t="s">
        <v>450</v>
      </c>
      <c r="D4240" t="s">
        <v>9437</v>
      </c>
      <c r="E4240">
        <v>23</v>
      </c>
      <c r="F4240" t="s">
        <v>5163</v>
      </c>
      <c r="G4240" t="s">
        <v>5164</v>
      </c>
    </row>
    <row r="4241" spans="1:7" hidden="1">
      <c r="A4241" s="5" t="s">
        <v>3616</v>
      </c>
      <c r="B4241" t="s">
        <v>5161</v>
      </c>
      <c r="C4241" t="s">
        <v>450</v>
      </c>
      <c r="D4241" t="s">
        <v>9438</v>
      </c>
      <c r="E4241">
        <v>27</v>
      </c>
      <c r="F4241" t="s">
        <v>5163</v>
      </c>
      <c r="G4241" t="s">
        <v>5164</v>
      </c>
    </row>
    <row r="4242" spans="1:7" hidden="1">
      <c r="A4242" s="5" t="s">
        <v>2342</v>
      </c>
      <c r="B4242" t="s">
        <v>5161</v>
      </c>
      <c r="C4242" t="s">
        <v>450</v>
      </c>
      <c r="D4242" t="s">
        <v>9439</v>
      </c>
      <c r="E4242">
        <v>33</v>
      </c>
      <c r="F4242" t="s">
        <v>5163</v>
      </c>
      <c r="G4242" t="s">
        <v>5169</v>
      </c>
    </row>
    <row r="4243" spans="1:7" hidden="1">
      <c r="A4243" s="5" t="s">
        <v>4393</v>
      </c>
      <c r="B4243" t="s">
        <v>5161</v>
      </c>
      <c r="C4243" t="s">
        <v>450</v>
      </c>
      <c r="D4243" t="s">
        <v>8546</v>
      </c>
      <c r="E4243">
        <v>817</v>
      </c>
      <c r="F4243" t="s">
        <v>5163</v>
      </c>
      <c r="G4243" t="s">
        <v>5164</v>
      </c>
    </row>
    <row r="4244" spans="1:7" hidden="1">
      <c r="A4244" s="5" t="s">
        <v>5134</v>
      </c>
      <c r="B4244" t="s">
        <v>5161</v>
      </c>
      <c r="C4244" t="s">
        <v>450</v>
      </c>
      <c r="D4244" t="s">
        <v>6559</v>
      </c>
      <c r="E4244">
        <v>18</v>
      </c>
      <c r="F4244" t="s">
        <v>5163</v>
      </c>
      <c r="G4244" t="s">
        <v>5169</v>
      </c>
    </row>
    <row r="4245" spans="1:7" hidden="1">
      <c r="A4245" s="5" t="s">
        <v>447</v>
      </c>
      <c r="B4245" t="s">
        <v>5161</v>
      </c>
      <c r="C4245" t="s">
        <v>450</v>
      </c>
      <c r="D4245" t="s">
        <v>1013</v>
      </c>
      <c r="E4245">
        <v>33</v>
      </c>
      <c r="F4245" t="s">
        <v>5163</v>
      </c>
      <c r="G4245" t="s">
        <v>5164</v>
      </c>
    </row>
    <row r="4246" spans="1:7" hidden="1">
      <c r="A4246" s="5" t="s">
        <v>4840</v>
      </c>
      <c r="B4246" t="s">
        <v>5161</v>
      </c>
      <c r="C4246" t="s">
        <v>450</v>
      </c>
      <c r="D4246" t="s">
        <v>9440</v>
      </c>
      <c r="E4246">
        <v>21</v>
      </c>
      <c r="F4246" t="s">
        <v>5163</v>
      </c>
      <c r="G4246" t="s">
        <v>5164</v>
      </c>
    </row>
    <row r="4247" spans="1:7" hidden="1">
      <c r="A4247" s="5" t="s">
        <v>4077</v>
      </c>
      <c r="B4247" t="s">
        <v>5161</v>
      </c>
      <c r="C4247" t="s">
        <v>450</v>
      </c>
      <c r="D4247" t="s">
        <v>9441</v>
      </c>
      <c r="E4247">
        <v>27</v>
      </c>
      <c r="F4247" t="s">
        <v>5163</v>
      </c>
      <c r="G4247" t="s">
        <v>5164</v>
      </c>
    </row>
    <row r="4248" spans="1:7" hidden="1">
      <c r="A4248" s="5" t="s">
        <v>445</v>
      </c>
      <c r="B4248" t="s">
        <v>5161</v>
      </c>
      <c r="C4248" t="s">
        <v>450</v>
      </c>
      <c r="D4248" t="s">
        <v>1010</v>
      </c>
      <c r="E4248">
        <v>51</v>
      </c>
      <c r="F4248" t="s">
        <v>5163</v>
      </c>
      <c r="G4248" t="s">
        <v>5169</v>
      </c>
    </row>
    <row r="4249" spans="1:7" hidden="1">
      <c r="A4249" s="5" t="s">
        <v>445</v>
      </c>
      <c r="B4249" t="s">
        <v>5161</v>
      </c>
      <c r="C4249" t="s">
        <v>450</v>
      </c>
      <c r="D4249" t="s">
        <v>9442</v>
      </c>
      <c r="E4249">
        <v>18</v>
      </c>
      <c r="F4249" t="s">
        <v>5172</v>
      </c>
      <c r="G4249" t="s">
        <v>1905</v>
      </c>
    </row>
    <row r="4250" spans="1:7" hidden="1">
      <c r="A4250" s="5" t="s">
        <v>444</v>
      </c>
      <c r="B4250" t="s">
        <v>5161</v>
      </c>
      <c r="C4250" t="s">
        <v>450</v>
      </c>
      <c r="D4250" t="s">
        <v>9443</v>
      </c>
      <c r="E4250">
        <v>25</v>
      </c>
      <c r="F4250" t="s">
        <v>5163</v>
      </c>
      <c r="G4250" t="s">
        <v>5164</v>
      </c>
    </row>
    <row r="4251" spans="1:7" hidden="1">
      <c r="A4251" s="5" t="s">
        <v>9444</v>
      </c>
      <c r="B4251" t="s">
        <v>5161</v>
      </c>
      <c r="C4251" t="s">
        <v>450</v>
      </c>
      <c r="D4251" t="s">
        <v>9445</v>
      </c>
      <c r="E4251">
        <v>40</v>
      </c>
      <c r="F4251" t="s">
        <v>5163</v>
      </c>
      <c r="G4251" t="s">
        <v>5164</v>
      </c>
    </row>
    <row r="4252" spans="1:7" hidden="1">
      <c r="A4252" s="5" t="s">
        <v>9444</v>
      </c>
      <c r="B4252" t="s">
        <v>5161</v>
      </c>
      <c r="C4252" t="s">
        <v>450</v>
      </c>
      <c r="D4252" t="s">
        <v>9446</v>
      </c>
      <c r="E4252">
        <v>30</v>
      </c>
      <c r="F4252" t="s">
        <v>5163</v>
      </c>
      <c r="G4252" t="s">
        <v>1905</v>
      </c>
    </row>
    <row r="4253" spans="1:7" hidden="1">
      <c r="A4253" s="5" t="s">
        <v>9444</v>
      </c>
      <c r="B4253" t="s">
        <v>5161</v>
      </c>
      <c r="C4253" t="s">
        <v>450</v>
      </c>
      <c r="D4253" t="s">
        <v>9447</v>
      </c>
      <c r="E4253">
        <v>35</v>
      </c>
      <c r="F4253" t="s">
        <v>5163</v>
      </c>
      <c r="G4253" t="s">
        <v>1905</v>
      </c>
    </row>
    <row r="4254" spans="1:7" hidden="1">
      <c r="A4254" s="5" t="s">
        <v>4107</v>
      </c>
      <c r="B4254" t="s">
        <v>5161</v>
      </c>
      <c r="C4254" t="s">
        <v>450</v>
      </c>
      <c r="D4254" t="s">
        <v>9448</v>
      </c>
      <c r="E4254">
        <v>29</v>
      </c>
      <c r="F4254" t="s">
        <v>5163</v>
      </c>
      <c r="G4254" t="s">
        <v>5169</v>
      </c>
    </row>
    <row r="4255" spans="1:7" hidden="1">
      <c r="A4255" s="5" t="s">
        <v>4276</v>
      </c>
      <c r="B4255" t="s">
        <v>5161</v>
      </c>
      <c r="C4255" t="s">
        <v>450</v>
      </c>
      <c r="D4255" t="s">
        <v>9449</v>
      </c>
      <c r="E4255">
        <v>29</v>
      </c>
      <c r="F4255" t="s">
        <v>5172</v>
      </c>
      <c r="G4255" t="s">
        <v>1905</v>
      </c>
    </row>
    <row r="4256" spans="1:7" hidden="1">
      <c r="A4256" s="5" t="s">
        <v>3998</v>
      </c>
      <c r="B4256" t="s">
        <v>5161</v>
      </c>
      <c r="C4256" t="s">
        <v>450</v>
      </c>
      <c r="D4256" t="s">
        <v>9450</v>
      </c>
      <c r="E4256">
        <v>20</v>
      </c>
      <c r="F4256" t="s">
        <v>5163</v>
      </c>
      <c r="G4256" t="s">
        <v>1905</v>
      </c>
    </row>
    <row r="4257" spans="1:7" hidden="1">
      <c r="A4257" s="5" t="s">
        <v>9451</v>
      </c>
      <c r="B4257" t="s">
        <v>5161</v>
      </c>
      <c r="C4257" t="s">
        <v>450</v>
      </c>
      <c r="D4257" t="s">
        <v>9452</v>
      </c>
      <c r="E4257">
        <v>19</v>
      </c>
      <c r="F4257" t="s">
        <v>5163</v>
      </c>
      <c r="G4257" t="s">
        <v>1905</v>
      </c>
    </row>
    <row r="4258" spans="1:7" hidden="1">
      <c r="A4258" s="5" t="s">
        <v>9453</v>
      </c>
      <c r="B4258" t="s">
        <v>5161</v>
      </c>
      <c r="C4258" t="s">
        <v>450</v>
      </c>
      <c r="D4258" t="s">
        <v>9454</v>
      </c>
      <c r="E4258">
        <v>18</v>
      </c>
      <c r="F4258" t="s">
        <v>5163</v>
      </c>
      <c r="G4258" t="s">
        <v>5164</v>
      </c>
    </row>
    <row r="4259" spans="1:7" hidden="1">
      <c r="A4259" s="5" t="s">
        <v>3432</v>
      </c>
      <c r="B4259" t="s">
        <v>5161</v>
      </c>
      <c r="C4259" t="s">
        <v>461</v>
      </c>
      <c r="D4259" t="s">
        <v>9455</v>
      </c>
      <c r="E4259">
        <v>18</v>
      </c>
      <c r="F4259" t="s">
        <v>5163</v>
      </c>
      <c r="G4259" t="s">
        <v>1905</v>
      </c>
    </row>
    <row r="4260" spans="1:7" hidden="1">
      <c r="A4260" s="5" t="s">
        <v>3329</v>
      </c>
      <c r="B4260" t="s">
        <v>5161</v>
      </c>
      <c r="C4260" t="s">
        <v>461</v>
      </c>
      <c r="D4260" t="s">
        <v>9456</v>
      </c>
      <c r="E4260">
        <v>32</v>
      </c>
      <c r="F4260" t="s">
        <v>5163</v>
      </c>
      <c r="G4260" t="s">
        <v>5169</v>
      </c>
    </row>
    <row r="4261" spans="1:7" hidden="1">
      <c r="A4261" s="5" t="s">
        <v>4007</v>
      </c>
      <c r="B4261" t="s">
        <v>5161</v>
      </c>
      <c r="C4261" t="s">
        <v>461</v>
      </c>
      <c r="D4261" t="s">
        <v>9457</v>
      </c>
      <c r="E4261">
        <v>21</v>
      </c>
      <c r="F4261" t="s">
        <v>5163</v>
      </c>
      <c r="G4261" t="s">
        <v>5164</v>
      </c>
    </row>
    <row r="4262" spans="1:7" hidden="1">
      <c r="A4262" s="5" t="s">
        <v>3043</v>
      </c>
      <c r="B4262" t="s">
        <v>5161</v>
      </c>
      <c r="C4262" t="s">
        <v>461</v>
      </c>
      <c r="D4262" t="s">
        <v>9458</v>
      </c>
      <c r="E4262">
        <v>25</v>
      </c>
      <c r="F4262" t="s">
        <v>5163</v>
      </c>
      <c r="G4262" t="s">
        <v>5169</v>
      </c>
    </row>
    <row r="4263" spans="1:7" hidden="1">
      <c r="A4263" s="5" t="s">
        <v>3043</v>
      </c>
      <c r="B4263" t="s">
        <v>5161</v>
      </c>
      <c r="C4263" t="s">
        <v>461</v>
      </c>
      <c r="D4263" t="s">
        <v>6461</v>
      </c>
      <c r="E4263">
        <v>25</v>
      </c>
      <c r="F4263" t="s">
        <v>5163</v>
      </c>
      <c r="G4263" t="s">
        <v>5169</v>
      </c>
    </row>
    <row r="4264" spans="1:7" hidden="1">
      <c r="A4264" s="5" t="s">
        <v>455</v>
      </c>
      <c r="B4264" t="s">
        <v>5161</v>
      </c>
      <c r="C4264" t="s">
        <v>461</v>
      </c>
      <c r="D4264" t="s">
        <v>1040</v>
      </c>
      <c r="E4264">
        <v>38</v>
      </c>
      <c r="F4264" t="s">
        <v>5163</v>
      </c>
      <c r="G4264" t="s">
        <v>1905</v>
      </c>
    </row>
    <row r="4265" spans="1:7" hidden="1">
      <c r="A4265" s="5" t="s">
        <v>451</v>
      </c>
      <c r="B4265" t="s">
        <v>5161</v>
      </c>
      <c r="C4265" t="s">
        <v>461</v>
      </c>
      <c r="D4265" t="s">
        <v>1035</v>
      </c>
      <c r="E4265">
        <v>41</v>
      </c>
      <c r="F4265" t="s">
        <v>5163</v>
      </c>
      <c r="G4265" t="s">
        <v>1905</v>
      </c>
    </row>
    <row r="4266" spans="1:7" hidden="1">
      <c r="A4266" s="5" t="s">
        <v>3075</v>
      </c>
      <c r="B4266" t="s">
        <v>5161</v>
      </c>
      <c r="C4266" t="s">
        <v>461</v>
      </c>
      <c r="D4266" t="s">
        <v>9459</v>
      </c>
      <c r="E4266">
        <v>20</v>
      </c>
      <c r="F4266" t="s">
        <v>5163</v>
      </c>
      <c r="G4266" t="s">
        <v>5164</v>
      </c>
    </row>
    <row r="4267" spans="1:7" hidden="1">
      <c r="A4267" s="5" t="s">
        <v>4045</v>
      </c>
      <c r="B4267" t="s">
        <v>5161</v>
      </c>
      <c r="C4267" t="s">
        <v>461</v>
      </c>
      <c r="D4267" t="s">
        <v>9460</v>
      </c>
      <c r="E4267">
        <v>29</v>
      </c>
      <c r="F4267" t="s">
        <v>5163</v>
      </c>
      <c r="G4267" t="s">
        <v>1905</v>
      </c>
    </row>
    <row r="4268" spans="1:7" hidden="1">
      <c r="A4268" s="5" t="s">
        <v>3501</v>
      </c>
      <c r="B4268" t="s">
        <v>5161</v>
      </c>
      <c r="C4268" t="s">
        <v>461</v>
      </c>
      <c r="D4268" t="s">
        <v>9461</v>
      </c>
      <c r="E4268">
        <v>25</v>
      </c>
      <c r="F4268" t="s">
        <v>5163</v>
      </c>
      <c r="G4268" t="s">
        <v>5164</v>
      </c>
    </row>
    <row r="4269" spans="1:7" hidden="1">
      <c r="A4269" s="5" t="s">
        <v>3873</v>
      </c>
      <c r="B4269" t="s">
        <v>5161</v>
      </c>
      <c r="C4269" t="s">
        <v>461</v>
      </c>
      <c r="D4269" t="s">
        <v>9462</v>
      </c>
      <c r="E4269">
        <v>23</v>
      </c>
      <c r="F4269" t="s">
        <v>5163</v>
      </c>
      <c r="G4269" t="s">
        <v>5169</v>
      </c>
    </row>
    <row r="4270" spans="1:7" hidden="1">
      <c r="A4270" s="5" t="s">
        <v>3238</v>
      </c>
      <c r="B4270" t="s">
        <v>5161</v>
      </c>
      <c r="C4270" t="s">
        <v>461</v>
      </c>
      <c r="D4270" t="s">
        <v>9463</v>
      </c>
      <c r="E4270">
        <v>27</v>
      </c>
      <c r="F4270" t="s">
        <v>5163</v>
      </c>
      <c r="G4270" t="s">
        <v>5164</v>
      </c>
    </row>
    <row r="4271" spans="1:7" hidden="1">
      <c r="A4271" s="5" t="s">
        <v>3171</v>
      </c>
      <c r="B4271" t="s">
        <v>5161</v>
      </c>
      <c r="C4271" t="s">
        <v>461</v>
      </c>
      <c r="D4271" t="s">
        <v>9464</v>
      </c>
      <c r="E4271">
        <v>40</v>
      </c>
      <c r="F4271" t="s">
        <v>5163</v>
      </c>
      <c r="G4271" t="s">
        <v>5164</v>
      </c>
    </row>
    <row r="4272" spans="1:7" hidden="1">
      <c r="A4272" s="5" t="s">
        <v>460</v>
      </c>
      <c r="B4272" t="s">
        <v>5161</v>
      </c>
      <c r="C4272" t="s">
        <v>461</v>
      </c>
      <c r="D4272" t="s">
        <v>1046</v>
      </c>
      <c r="E4272">
        <v>28</v>
      </c>
      <c r="F4272" t="s">
        <v>5163</v>
      </c>
      <c r="G4272" t="s">
        <v>1905</v>
      </c>
    </row>
    <row r="4273" spans="1:7" hidden="1">
      <c r="A4273" s="5" t="s">
        <v>3724</v>
      </c>
      <c r="B4273" t="s">
        <v>5161</v>
      </c>
      <c r="C4273" t="s">
        <v>461</v>
      </c>
      <c r="D4273" t="s">
        <v>946</v>
      </c>
      <c r="E4273">
        <v>27</v>
      </c>
      <c r="F4273" t="s">
        <v>5163</v>
      </c>
      <c r="G4273" t="s">
        <v>5164</v>
      </c>
    </row>
    <row r="4274" spans="1:7" hidden="1">
      <c r="A4274" s="5" t="s">
        <v>4275</v>
      </c>
      <c r="B4274" t="s">
        <v>5161</v>
      </c>
      <c r="C4274" t="s">
        <v>461</v>
      </c>
      <c r="D4274" t="s">
        <v>9465</v>
      </c>
      <c r="E4274">
        <v>53</v>
      </c>
      <c r="F4274" t="s">
        <v>5163</v>
      </c>
      <c r="G4274" t="s">
        <v>5164</v>
      </c>
    </row>
    <row r="4275" spans="1:7" hidden="1">
      <c r="A4275" s="5" t="s">
        <v>459</v>
      </c>
      <c r="B4275" t="s">
        <v>5161</v>
      </c>
      <c r="C4275" t="s">
        <v>461</v>
      </c>
      <c r="D4275" t="s">
        <v>1045</v>
      </c>
      <c r="E4275">
        <v>28</v>
      </c>
      <c r="F4275" t="s">
        <v>5163</v>
      </c>
      <c r="G4275" t="s">
        <v>5164</v>
      </c>
    </row>
    <row r="4276" spans="1:7" hidden="1">
      <c r="A4276" s="5" t="s">
        <v>3302</v>
      </c>
      <c r="B4276" t="s">
        <v>5161</v>
      </c>
      <c r="C4276" t="s">
        <v>461</v>
      </c>
      <c r="D4276" t="s">
        <v>9466</v>
      </c>
      <c r="E4276">
        <v>36</v>
      </c>
      <c r="F4276" t="s">
        <v>5163</v>
      </c>
      <c r="G4276" t="s">
        <v>1905</v>
      </c>
    </row>
    <row r="4277" spans="1:7" hidden="1">
      <c r="A4277" s="5" t="s">
        <v>3296</v>
      </c>
      <c r="B4277" t="s">
        <v>5161</v>
      </c>
      <c r="C4277" t="s">
        <v>461</v>
      </c>
      <c r="D4277" t="s">
        <v>9467</v>
      </c>
      <c r="E4277">
        <v>28</v>
      </c>
      <c r="F4277" t="s">
        <v>5163</v>
      </c>
      <c r="G4277" t="s">
        <v>5164</v>
      </c>
    </row>
    <row r="4278" spans="1:7" hidden="1">
      <c r="A4278" s="5" t="s">
        <v>2858</v>
      </c>
      <c r="B4278" t="s">
        <v>5161</v>
      </c>
      <c r="C4278" t="s">
        <v>461</v>
      </c>
      <c r="D4278" t="s">
        <v>9468</v>
      </c>
      <c r="E4278">
        <v>18</v>
      </c>
      <c r="F4278" t="s">
        <v>5163</v>
      </c>
      <c r="G4278" t="s">
        <v>5169</v>
      </c>
    </row>
    <row r="4279" spans="1:7" hidden="1">
      <c r="A4279" s="5" t="s">
        <v>2878</v>
      </c>
      <c r="B4279" t="s">
        <v>5161</v>
      </c>
      <c r="C4279" t="s">
        <v>461</v>
      </c>
      <c r="D4279" t="s">
        <v>9469</v>
      </c>
      <c r="E4279">
        <v>18</v>
      </c>
      <c r="F4279" t="s">
        <v>5163</v>
      </c>
      <c r="G4279" t="s">
        <v>5164</v>
      </c>
    </row>
    <row r="4280" spans="1:7" hidden="1">
      <c r="A4280" s="5" t="s">
        <v>2800</v>
      </c>
      <c r="B4280" t="s">
        <v>5161</v>
      </c>
      <c r="C4280" t="s">
        <v>461</v>
      </c>
      <c r="D4280" t="s">
        <v>9470</v>
      </c>
      <c r="E4280">
        <v>33</v>
      </c>
      <c r="F4280" t="s">
        <v>5163</v>
      </c>
      <c r="G4280" t="s">
        <v>1905</v>
      </c>
    </row>
    <row r="4281" spans="1:7" hidden="1">
      <c r="A4281" s="5" t="s">
        <v>2766</v>
      </c>
      <c r="B4281" t="s">
        <v>5161</v>
      </c>
      <c r="C4281" t="s">
        <v>461</v>
      </c>
      <c r="D4281" t="s">
        <v>9471</v>
      </c>
      <c r="E4281">
        <v>23</v>
      </c>
      <c r="F4281" t="s">
        <v>5163</v>
      </c>
      <c r="G4281" t="s">
        <v>5164</v>
      </c>
    </row>
    <row r="4282" spans="1:7" hidden="1">
      <c r="A4282" s="5" t="s">
        <v>2766</v>
      </c>
      <c r="B4282" t="s">
        <v>5161</v>
      </c>
      <c r="C4282" t="s">
        <v>461</v>
      </c>
      <c r="D4282" t="s">
        <v>9472</v>
      </c>
      <c r="E4282">
        <v>28</v>
      </c>
      <c r="F4282" t="s">
        <v>5163</v>
      </c>
      <c r="G4282" t="s">
        <v>5164</v>
      </c>
    </row>
    <row r="4283" spans="1:7" hidden="1">
      <c r="A4283" s="5" t="s">
        <v>3151</v>
      </c>
      <c r="B4283" t="s">
        <v>5161</v>
      </c>
      <c r="C4283" t="s">
        <v>461</v>
      </c>
      <c r="D4283" t="s">
        <v>9473</v>
      </c>
      <c r="E4283">
        <v>26</v>
      </c>
      <c r="F4283" t="s">
        <v>5163</v>
      </c>
      <c r="G4283" t="s">
        <v>5164</v>
      </c>
    </row>
    <row r="4284" spans="1:7" hidden="1">
      <c r="A4284" s="5" t="s">
        <v>2540</v>
      </c>
      <c r="B4284" t="s">
        <v>5161</v>
      </c>
      <c r="C4284" t="s">
        <v>461</v>
      </c>
      <c r="D4284" t="s">
        <v>9474</v>
      </c>
      <c r="E4284">
        <v>19</v>
      </c>
      <c r="F4284" t="s">
        <v>5163</v>
      </c>
      <c r="G4284" t="s">
        <v>5164</v>
      </c>
    </row>
    <row r="4285" spans="1:7" hidden="1">
      <c r="A4285" s="5" t="s">
        <v>9475</v>
      </c>
      <c r="B4285" t="s">
        <v>5161</v>
      </c>
      <c r="C4285" t="s">
        <v>461</v>
      </c>
      <c r="D4285" t="s">
        <v>9476</v>
      </c>
      <c r="E4285">
        <v>27</v>
      </c>
      <c r="F4285" t="s">
        <v>5163</v>
      </c>
      <c r="G4285" t="s">
        <v>5164</v>
      </c>
    </row>
    <row r="4286" spans="1:7" hidden="1">
      <c r="A4286" s="5" t="s">
        <v>457</v>
      </c>
      <c r="B4286" t="s">
        <v>5161</v>
      </c>
      <c r="C4286" t="s">
        <v>461</v>
      </c>
      <c r="D4286" t="s">
        <v>1043</v>
      </c>
      <c r="E4286">
        <v>23</v>
      </c>
      <c r="F4286" t="s">
        <v>5163</v>
      </c>
      <c r="G4286" t="s">
        <v>5164</v>
      </c>
    </row>
    <row r="4287" spans="1:7" hidden="1">
      <c r="A4287" s="5" t="s">
        <v>2103</v>
      </c>
      <c r="B4287" t="s">
        <v>5161</v>
      </c>
      <c r="C4287" t="s">
        <v>461</v>
      </c>
      <c r="D4287" t="s">
        <v>9477</v>
      </c>
      <c r="E4287">
        <v>33</v>
      </c>
      <c r="F4287" t="s">
        <v>5163</v>
      </c>
      <c r="G4287" t="s">
        <v>5164</v>
      </c>
    </row>
    <row r="4288" spans="1:7" hidden="1">
      <c r="A4288" s="5" t="s">
        <v>2103</v>
      </c>
      <c r="B4288" t="s">
        <v>5161</v>
      </c>
      <c r="C4288" t="s">
        <v>461</v>
      </c>
      <c r="D4288" t="s">
        <v>9478</v>
      </c>
      <c r="E4288">
        <v>20</v>
      </c>
      <c r="F4288" t="s">
        <v>5163</v>
      </c>
      <c r="G4288" t="s">
        <v>5164</v>
      </c>
    </row>
    <row r="4289" spans="1:7" hidden="1">
      <c r="A4289" s="5" t="s">
        <v>2252</v>
      </c>
      <c r="B4289" t="s">
        <v>5161</v>
      </c>
      <c r="C4289" t="s">
        <v>461</v>
      </c>
      <c r="D4289" t="s">
        <v>9479</v>
      </c>
      <c r="E4289">
        <v>33</v>
      </c>
      <c r="F4289" t="s">
        <v>5163</v>
      </c>
      <c r="G4289" t="s">
        <v>1905</v>
      </c>
    </row>
    <row r="4290" spans="1:7" hidden="1">
      <c r="A4290" s="5" t="s">
        <v>4558</v>
      </c>
      <c r="B4290" t="s">
        <v>5161</v>
      </c>
      <c r="C4290" t="s">
        <v>461</v>
      </c>
      <c r="D4290" t="s">
        <v>9480</v>
      </c>
      <c r="E4290">
        <v>38</v>
      </c>
      <c r="F4290" t="s">
        <v>5163</v>
      </c>
      <c r="G4290" t="s">
        <v>5169</v>
      </c>
    </row>
    <row r="4291" spans="1:7" hidden="1">
      <c r="A4291" s="5" t="s">
        <v>4558</v>
      </c>
      <c r="B4291" t="s">
        <v>5161</v>
      </c>
      <c r="C4291" t="s">
        <v>461</v>
      </c>
      <c r="D4291" t="s">
        <v>9481</v>
      </c>
      <c r="E4291">
        <v>45</v>
      </c>
      <c r="F4291" t="s">
        <v>5163</v>
      </c>
      <c r="G4291" t="s">
        <v>1905</v>
      </c>
    </row>
    <row r="4292" spans="1:7" hidden="1">
      <c r="A4292" s="5" t="s">
        <v>2121</v>
      </c>
      <c r="B4292" t="s">
        <v>5161</v>
      </c>
      <c r="C4292" t="s">
        <v>461</v>
      </c>
      <c r="D4292" t="s">
        <v>9482</v>
      </c>
      <c r="E4292">
        <v>23</v>
      </c>
      <c r="F4292" t="s">
        <v>5163</v>
      </c>
      <c r="G4292" t="s">
        <v>5164</v>
      </c>
    </row>
    <row r="4293" spans="1:7" hidden="1">
      <c r="A4293" s="5" t="s">
        <v>3449</v>
      </c>
      <c r="B4293" t="s">
        <v>5161</v>
      </c>
      <c r="C4293" t="s">
        <v>461</v>
      </c>
      <c r="D4293" t="s">
        <v>9483</v>
      </c>
      <c r="E4293">
        <v>28</v>
      </c>
      <c r="F4293" t="s">
        <v>5163</v>
      </c>
      <c r="G4293" t="s">
        <v>5164</v>
      </c>
    </row>
    <row r="4294" spans="1:7" hidden="1">
      <c r="A4294" s="5" t="s">
        <v>3671</v>
      </c>
      <c r="B4294" t="s">
        <v>5161</v>
      </c>
      <c r="C4294" t="s">
        <v>461</v>
      </c>
      <c r="D4294" t="s">
        <v>9484</v>
      </c>
      <c r="E4294">
        <v>26</v>
      </c>
      <c r="F4294" t="s">
        <v>5163</v>
      </c>
      <c r="G4294" t="s">
        <v>1905</v>
      </c>
    </row>
    <row r="4295" spans="1:7" hidden="1">
      <c r="A4295" s="5" t="s">
        <v>3671</v>
      </c>
      <c r="B4295" t="s">
        <v>5161</v>
      </c>
      <c r="C4295" t="s">
        <v>461</v>
      </c>
      <c r="D4295" t="s">
        <v>9485</v>
      </c>
      <c r="E4295">
        <v>18</v>
      </c>
      <c r="F4295" t="s">
        <v>5163</v>
      </c>
      <c r="G4295" t="s">
        <v>5164</v>
      </c>
    </row>
    <row r="4296" spans="1:7" hidden="1">
      <c r="A4296" s="5" t="s">
        <v>3219</v>
      </c>
      <c r="B4296" t="s">
        <v>5161</v>
      </c>
      <c r="C4296" t="s">
        <v>461</v>
      </c>
      <c r="D4296" t="s">
        <v>9486</v>
      </c>
      <c r="E4296">
        <v>23</v>
      </c>
      <c r="F4296" t="s">
        <v>5163</v>
      </c>
      <c r="G4296" t="s">
        <v>5164</v>
      </c>
    </row>
    <row r="4297" spans="1:7" hidden="1">
      <c r="A4297" s="5" t="s">
        <v>3219</v>
      </c>
      <c r="B4297" t="s">
        <v>5161</v>
      </c>
      <c r="C4297" t="s">
        <v>461</v>
      </c>
      <c r="D4297" t="s">
        <v>9487</v>
      </c>
      <c r="E4297">
        <v>27</v>
      </c>
      <c r="F4297" t="s">
        <v>5163</v>
      </c>
      <c r="G4297" t="s">
        <v>5169</v>
      </c>
    </row>
    <row r="4298" spans="1:7" hidden="1">
      <c r="A4298" s="5" t="s">
        <v>2178</v>
      </c>
      <c r="B4298" t="s">
        <v>5161</v>
      </c>
      <c r="C4298" t="s">
        <v>461</v>
      </c>
      <c r="D4298" t="s">
        <v>9488</v>
      </c>
      <c r="E4298">
        <v>21</v>
      </c>
      <c r="F4298" t="s">
        <v>5163</v>
      </c>
      <c r="G4298" t="s">
        <v>5164</v>
      </c>
    </row>
    <row r="4299" spans="1:7" hidden="1">
      <c r="A4299" s="5" t="s">
        <v>4164</v>
      </c>
      <c r="B4299" t="s">
        <v>5161</v>
      </c>
      <c r="C4299" t="s">
        <v>461</v>
      </c>
      <c r="D4299" t="s">
        <v>9147</v>
      </c>
      <c r="E4299">
        <v>21</v>
      </c>
      <c r="F4299" t="s">
        <v>5163</v>
      </c>
      <c r="G4299" t="s">
        <v>5164</v>
      </c>
    </row>
    <row r="4300" spans="1:7" hidden="1">
      <c r="A4300" s="5" t="s">
        <v>3726</v>
      </c>
      <c r="B4300" t="s">
        <v>5161</v>
      </c>
      <c r="C4300" t="s">
        <v>461</v>
      </c>
      <c r="D4300" t="s">
        <v>9489</v>
      </c>
      <c r="E4300">
        <v>25</v>
      </c>
      <c r="F4300" t="s">
        <v>5163</v>
      </c>
      <c r="G4300" t="s">
        <v>5164</v>
      </c>
    </row>
    <row r="4301" spans="1:7" hidden="1">
      <c r="A4301" s="5" t="s">
        <v>4307</v>
      </c>
      <c r="B4301" t="s">
        <v>5161</v>
      </c>
      <c r="C4301" t="s">
        <v>461</v>
      </c>
      <c r="D4301" t="s">
        <v>9490</v>
      </c>
      <c r="E4301">
        <v>26</v>
      </c>
      <c r="F4301" t="s">
        <v>5163</v>
      </c>
      <c r="G4301" t="s">
        <v>5164</v>
      </c>
    </row>
    <row r="4302" spans="1:7" hidden="1">
      <c r="A4302" s="5" t="s">
        <v>4307</v>
      </c>
      <c r="B4302" t="s">
        <v>5161</v>
      </c>
      <c r="C4302" t="s">
        <v>461</v>
      </c>
      <c r="D4302" t="s">
        <v>9491</v>
      </c>
      <c r="E4302">
        <v>26</v>
      </c>
      <c r="F4302" t="s">
        <v>5163</v>
      </c>
      <c r="G4302" t="s">
        <v>5164</v>
      </c>
    </row>
    <row r="4303" spans="1:7" hidden="1">
      <c r="A4303" s="5" t="s">
        <v>4096</v>
      </c>
      <c r="B4303" t="s">
        <v>5161</v>
      </c>
      <c r="C4303" t="s">
        <v>461</v>
      </c>
      <c r="D4303" t="s">
        <v>9492</v>
      </c>
      <c r="E4303">
        <v>17</v>
      </c>
      <c r="F4303" t="s">
        <v>5163</v>
      </c>
      <c r="G4303" t="s">
        <v>5164</v>
      </c>
    </row>
    <row r="4304" spans="1:7" hidden="1">
      <c r="A4304" s="5" t="s">
        <v>3894</v>
      </c>
      <c r="B4304" t="s">
        <v>5161</v>
      </c>
      <c r="C4304" t="s">
        <v>461</v>
      </c>
      <c r="D4304" t="s">
        <v>8503</v>
      </c>
      <c r="E4304">
        <v>34</v>
      </c>
      <c r="F4304" t="s">
        <v>5163</v>
      </c>
      <c r="G4304" t="s">
        <v>5164</v>
      </c>
    </row>
    <row r="4305" spans="1:7" hidden="1">
      <c r="A4305" s="5" t="s">
        <v>3894</v>
      </c>
      <c r="B4305" t="s">
        <v>5161</v>
      </c>
      <c r="C4305" t="s">
        <v>461</v>
      </c>
      <c r="D4305" t="s">
        <v>9493</v>
      </c>
      <c r="E4305">
        <v>24</v>
      </c>
      <c r="F4305" t="s">
        <v>5172</v>
      </c>
      <c r="G4305" t="s">
        <v>1905</v>
      </c>
    </row>
    <row r="4306" spans="1:7" hidden="1">
      <c r="A4306" s="5" t="s">
        <v>3303</v>
      </c>
      <c r="B4306" t="s">
        <v>5161</v>
      </c>
      <c r="C4306" t="s">
        <v>461</v>
      </c>
      <c r="D4306" t="s">
        <v>9494</v>
      </c>
      <c r="E4306">
        <v>27</v>
      </c>
      <c r="F4306" t="s">
        <v>5163</v>
      </c>
      <c r="G4306" t="s">
        <v>1905</v>
      </c>
    </row>
    <row r="4307" spans="1:7" hidden="1">
      <c r="A4307" s="5" t="s">
        <v>3366</v>
      </c>
      <c r="B4307" t="s">
        <v>5161</v>
      </c>
      <c r="C4307" t="s">
        <v>461</v>
      </c>
      <c r="D4307" t="s">
        <v>9495</v>
      </c>
      <c r="E4307">
        <v>22</v>
      </c>
      <c r="F4307" t="s">
        <v>5172</v>
      </c>
      <c r="G4307" t="s">
        <v>5164</v>
      </c>
    </row>
    <row r="4308" spans="1:7" hidden="1">
      <c r="A4308" s="5" t="s">
        <v>3909</v>
      </c>
      <c r="B4308" t="s">
        <v>5161</v>
      </c>
      <c r="C4308" t="s">
        <v>461</v>
      </c>
      <c r="D4308" t="s">
        <v>7021</v>
      </c>
      <c r="E4308">
        <v>22</v>
      </c>
      <c r="F4308" t="s">
        <v>5163</v>
      </c>
      <c r="G4308" t="s">
        <v>1905</v>
      </c>
    </row>
    <row r="4309" spans="1:7" hidden="1">
      <c r="A4309" s="5" t="s">
        <v>3448</v>
      </c>
      <c r="B4309" t="s">
        <v>5161</v>
      </c>
      <c r="C4309" t="s">
        <v>461</v>
      </c>
      <c r="D4309" t="s">
        <v>9496</v>
      </c>
      <c r="E4309">
        <v>20</v>
      </c>
      <c r="F4309" t="s">
        <v>5163</v>
      </c>
      <c r="G4309" t="s">
        <v>1905</v>
      </c>
    </row>
    <row r="4310" spans="1:7" hidden="1">
      <c r="A4310" s="5" t="s">
        <v>2875</v>
      </c>
      <c r="B4310" t="s">
        <v>5161</v>
      </c>
      <c r="C4310" t="s">
        <v>461</v>
      </c>
      <c r="D4310" t="s">
        <v>9497</v>
      </c>
      <c r="E4310">
        <v>33</v>
      </c>
      <c r="F4310" t="s">
        <v>5163</v>
      </c>
      <c r="G4310" t="s">
        <v>1905</v>
      </c>
    </row>
    <row r="4311" spans="1:7" hidden="1">
      <c r="A4311" s="5" t="s">
        <v>3397</v>
      </c>
      <c r="B4311" t="s">
        <v>5161</v>
      </c>
      <c r="C4311" t="s">
        <v>461</v>
      </c>
      <c r="D4311" t="s">
        <v>9498</v>
      </c>
      <c r="E4311">
        <v>26</v>
      </c>
      <c r="F4311" t="s">
        <v>5163</v>
      </c>
      <c r="G4311" t="s">
        <v>1905</v>
      </c>
    </row>
    <row r="4312" spans="1:7" hidden="1">
      <c r="A4312" s="5" t="s">
        <v>3155</v>
      </c>
      <c r="B4312" t="s">
        <v>5161</v>
      </c>
      <c r="C4312" t="s">
        <v>461</v>
      </c>
      <c r="D4312" t="s">
        <v>9499</v>
      </c>
      <c r="E4312">
        <v>37</v>
      </c>
      <c r="F4312" t="s">
        <v>5163</v>
      </c>
      <c r="G4312" t="s">
        <v>5164</v>
      </c>
    </row>
    <row r="4313" spans="1:7" hidden="1">
      <c r="A4313" s="5" t="s">
        <v>3045</v>
      </c>
      <c r="B4313" t="s">
        <v>5161</v>
      </c>
      <c r="C4313" t="s">
        <v>461</v>
      </c>
      <c r="D4313" t="s">
        <v>9500</v>
      </c>
      <c r="E4313">
        <v>24</v>
      </c>
      <c r="F4313" t="s">
        <v>5163</v>
      </c>
      <c r="G4313" t="s">
        <v>5164</v>
      </c>
    </row>
    <row r="4314" spans="1:7" hidden="1">
      <c r="A4314" s="5" t="s">
        <v>3337</v>
      </c>
      <c r="B4314" t="s">
        <v>5161</v>
      </c>
      <c r="C4314" t="s">
        <v>461</v>
      </c>
      <c r="D4314" t="s">
        <v>9501</v>
      </c>
      <c r="E4314">
        <v>38</v>
      </c>
      <c r="F4314" t="s">
        <v>5163</v>
      </c>
      <c r="G4314" t="s">
        <v>5164</v>
      </c>
    </row>
    <row r="4315" spans="1:7" hidden="1">
      <c r="A4315" s="5" t="s">
        <v>3906</v>
      </c>
      <c r="B4315" t="s">
        <v>5161</v>
      </c>
      <c r="C4315" t="s">
        <v>461</v>
      </c>
      <c r="D4315" t="s">
        <v>9502</v>
      </c>
      <c r="E4315">
        <v>21</v>
      </c>
      <c r="F4315" t="s">
        <v>5163</v>
      </c>
      <c r="G4315" t="s">
        <v>1905</v>
      </c>
    </row>
    <row r="4316" spans="1:7" hidden="1">
      <c r="A4316" s="5" t="s">
        <v>3400</v>
      </c>
      <c r="B4316" t="s">
        <v>5161</v>
      </c>
      <c r="C4316" t="s">
        <v>461</v>
      </c>
      <c r="D4316" t="s">
        <v>9503</v>
      </c>
      <c r="E4316">
        <v>23</v>
      </c>
      <c r="F4316" t="s">
        <v>5163</v>
      </c>
      <c r="G4316" t="s">
        <v>1905</v>
      </c>
    </row>
    <row r="4317" spans="1:7" hidden="1">
      <c r="A4317" s="5" t="s">
        <v>3084</v>
      </c>
      <c r="B4317" t="s">
        <v>5161</v>
      </c>
      <c r="C4317" t="s">
        <v>461</v>
      </c>
      <c r="D4317" t="s">
        <v>9504</v>
      </c>
      <c r="E4317">
        <v>36</v>
      </c>
      <c r="F4317" t="s">
        <v>5163</v>
      </c>
      <c r="G4317" t="s">
        <v>5169</v>
      </c>
    </row>
    <row r="4318" spans="1:7" hidden="1">
      <c r="A4318" s="5" t="s">
        <v>2961</v>
      </c>
      <c r="B4318" t="s">
        <v>5161</v>
      </c>
      <c r="C4318" t="s">
        <v>461</v>
      </c>
      <c r="D4318" t="s">
        <v>9505</v>
      </c>
      <c r="E4318">
        <v>24</v>
      </c>
      <c r="F4318" t="s">
        <v>5163</v>
      </c>
      <c r="G4318" t="s">
        <v>5164</v>
      </c>
    </row>
    <row r="4319" spans="1:7" hidden="1">
      <c r="A4319" s="5" t="s">
        <v>2961</v>
      </c>
      <c r="B4319" t="s">
        <v>5161</v>
      </c>
      <c r="C4319" t="s">
        <v>461</v>
      </c>
      <c r="D4319" t="s">
        <v>9506</v>
      </c>
      <c r="E4319">
        <v>23</v>
      </c>
      <c r="F4319" t="s">
        <v>5163</v>
      </c>
      <c r="G4319" t="s">
        <v>5169</v>
      </c>
    </row>
    <row r="4320" spans="1:7" hidden="1">
      <c r="A4320" s="5" t="s">
        <v>2961</v>
      </c>
      <c r="B4320" t="s">
        <v>5161</v>
      </c>
      <c r="C4320" t="s">
        <v>461</v>
      </c>
      <c r="D4320" t="s">
        <v>9507</v>
      </c>
      <c r="E4320">
        <v>21</v>
      </c>
      <c r="F4320" t="s">
        <v>5163</v>
      </c>
      <c r="G4320" t="s">
        <v>5169</v>
      </c>
    </row>
    <row r="4321" spans="1:7" hidden="1">
      <c r="A4321" s="5" t="s">
        <v>2961</v>
      </c>
      <c r="B4321" t="s">
        <v>5161</v>
      </c>
      <c r="C4321" t="s">
        <v>461</v>
      </c>
      <c r="D4321" t="s">
        <v>9508</v>
      </c>
      <c r="E4321">
        <v>28</v>
      </c>
      <c r="F4321" t="s">
        <v>5163</v>
      </c>
      <c r="G4321" t="s">
        <v>1905</v>
      </c>
    </row>
    <row r="4322" spans="1:7" hidden="1">
      <c r="A4322" s="5" t="s">
        <v>3114</v>
      </c>
      <c r="B4322" t="s">
        <v>5161</v>
      </c>
      <c r="C4322" t="s">
        <v>461</v>
      </c>
      <c r="D4322" t="s">
        <v>9509</v>
      </c>
      <c r="E4322">
        <v>18</v>
      </c>
      <c r="F4322" t="s">
        <v>5163</v>
      </c>
      <c r="G4322" t="s">
        <v>5169</v>
      </c>
    </row>
    <row r="4323" spans="1:7" hidden="1">
      <c r="A4323" s="5" t="s">
        <v>3195</v>
      </c>
      <c r="B4323" t="s">
        <v>5161</v>
      </c>
      <c r="C4323" t="s">
        <v>461</v>
      </c>
      <c r="D4323" t="s">
        <v>9510</v>
      </c>
      <c r="E4323">
        <v>26</v>
      </c>
      <c r="F4323" t="s">
        <v>5163</v>
      </c>
      <c r="G4323" t="s">
        <v>5164</v>
      </c>
    </row>
    <row r="4324" spans="1:7" hidden="1">
      <c r="A4324" s="5" t="s">
        <v>2877</v>
      </c>
      <c r="B4324" t="s">
        <v>5161</v>
      </c>
      <c r="C4324" t="s">
        <v>461</v>
      </c>
      <c r="D4324" t="s">
        <v>9511</v>
      </c>
      <c r="E4324">
        <v>23</v>
      </c>
      <c r="F4324" t="s">
        <v>5163</v>
      </c>
      <c r="G4324" t="s">
        <v>5169</v>
      </c>
    </row>
    <row r="4325" spans="1:7" hidden="1">
      <c r="A4325" s="5" t="s">
        <v>4706</v>
      </c>
      <c r="B4325" t="s">
        <v>5161</v>
      </c>
      <c r="C4325" t="s">
        <v>461</v>
      </c>
      <c r="D4325" t="s">
        <v>9512</v>
      </c>
      <c r="E4325">
        <v>23</v>
      </c>
      <c r="F4325" t="s">
        <v>5163</v>
      </c>
      <c r="G4325" t="s">
        <v>1905</v>
      </c>
    </row>
    <row r="4326" spans="1:7" hidden="1">
      <c r="A4326" s="5" t="s">
        <v>9513</v>
      </c>
      <c r="B4326" t="s">
        <v>5161</v>
      </c>
      <c r="C4326" t="s">
        <v>461</v>
      </c>
      <c r="D4326" t="s">
        <v>9514</v>
      </c>
      <c r="E4326">
        <v>31</v>
      </c>
      <c r="F4326" t="s">
        <v>5163</v>
      </c>
      <c r="G4326" t="s">
        <v>1905</v>
      </c>
    </row>
    <row r="4327" spans="1:7" hidden="1">
      <c r="A4327" s="5" t="s">
        <v>3340</v>
      </c>
      <c r="B4327" t="s">
        <v>5161</v>
      </c>
      <c r="C4327" t="s">
        <v>461</v>
      </c>
      <c r="D4327" t="s">
        <v>9515</v>
      </c>
      <c r="E4327">
        <v>19</v>
      </c>
      <c r="F4327" t="s">
        <v>5163</v>
      </c>
      <c r="G4327" t="s">
        <v>5164</v>
      </c>
    </row>
    <row r="4328" spans="1:7" hidden="1">
      <c r="A4328" s="5" t="s">
        <v>3785</v>
      </c>
      <c r="B4328" t="s">
        <v>5161</v>
      </c>
      <c r="C4328" t="s">
        <v>461</v>
      </c>
      <c r="D4328" t="s">
        <v>9516</v>
      </c>
      <c r="E4328">
        <v>24</v>
      </c>
      <c r="F4328" t="s">
        <v>5163</v>
      </c>
      <c r="G4328" t="s">
        <v>5164</v>
      </c>
    </row>
    <row r="4329" spans="1:7" hidden="1">
      <c r="A4329" s="5" t="s">
        <v>2559</v>
      </c>
      <c r="B4329" t="s">
        <v>5161</v>
      </c>
      <c r="C4329" t="s">
        <v>461</v>
      </c>
      <c r="D4329" t="s">
        <v>9517</v>
      </c>
      <c r="E4329">
        <v>37</v>
      </c>
      <c r="F4329" t="s">
        <v>5163</v>
      </c>
      <c r="G4329" t="s">
        <v>5164</v>
      </c>
    </row>
    <row r="4330" spans="1:7" hidden="1">
      <c r="A4330" s="5" t="s">
        <v>3638</v>
      </c>
      <c r="B4330" t="s">
        <v>5161</v>
      </c>
      <c r="C4330" t="s">
        <v>461</v>
      </c>
      <c r="D4330" t="s">
        <v>9518</v>
      </c>
      <c r="E4330">
        <v>21</v>
      </c>
      <c r="F4330" t="s">
        <v>5163</v>
      </c>
      <c r="G4330" t="s">
        <v>5164</v>
      </c>
    </row>
    <row r="4331" spans="1:7" hidden="1">
      <c r="A4331" s="5" t="s">
        <v>3447</v>
      </c>
      <c r="B4331" t="s">
        <v>5161</v>
      </c>
      <c r="C4331" t="s">
        <v>461</v>
      </c>
      <c r="D4331" t="s">
        <v>6242</v>
      </c>
      <c r="E4331">
        <v>27</v>
      </c>
      <c r="F4331" t="s">
        <v>5163</v>
      </c>
      <c r="G4331" t="s">
        <v>5169</v>
      </c>
    </row>
    <row r="4332" spans="1:7" hidden="1">
      <c r="A4332" s="5" t="s">
        <v>3526</v>
      </c>
      <c r="B4332" t="s">
        <v>5161</v>
      </c>
      <c r="C4332" t="s">
        <v>461</v>
      </c>
      <c r="D4332" t="s">
        <v>9519</v>
      </c>
      <c r="E4332">
        <v>23</v>
      </c>
      <c r="F4332" t="s">
        <v>5163</v>
      </c>
      <c r="G4332" t="s">
        <v>1905</v>
      </c>
    </row>
    <row r="4333" spans="1:7" hidden="1">
      <c r="A4333" s="5" t="s">
        <v>3252</v>
      </c>
      <c r="B4333" t="s">
        <v>5161</v>
      </c>
      <c r="C4333" t="s">
        <v>461</v>
      </c>
      <c r="D4333" t="s">
        <v>9520</v>
      </c>
      <c r="E4333">
        <v>33</v>
      </c>
      <c r="F4333" t="s">
        <v>5163</v>
      </c>
      <c r="G4333" t="s">
        <v>5164</v>
      </c>
    </row>
    <row r="4334" spans="1:7" hidden="1">
      <c r="A4334" s="5" t="s">
        <v>9521</v>
      </c>
      <c r="B4334" t="s">
        <v>5161</v>
      </c>
      <c r="C4334" t="s">
        <v>461</v>
      </c>
      <c r="D4334" t="s">
        <v>9522</v>
      </c>
      <c r="E4334">
        <v>25</v>
      </c>
      <c r="F4334" t="s">
        <v>5163</v>
      </c>
      <c r="G4334" t="s">
        <v>5164</v>
      </c>
    </row>
    <row r="4335" spans="1:7" hidden="1">
      <c r="A4335" s="5" t="s">
        <v>2843</v>
      </c>
      <c r="B4335" t="s">
        <v>5161</v>
      </c>
      <c r="C4335" t="s">
        <v>461</v>
      </c>
      <c r="D4335" t="s">
        <v>9523</v>
      </c>
      <c r="E4335">
        <v>24</v>
      </c>
      <c r="F4335" t="s">
        <v>5163</v>
      </c>
      <c r="G4335" t="s">
        <v>5164</v>
      </c>
    </row>
    <row r="4336" spans="1:7" hidden="1">
      <c r="A4336" s="5" t="s">
        <v>3251</v>
      </c>
      <c r="B4336" t="s">
        <v>5161</v>
      </c>
      <c r="C4336" t="s">
        <v>461</v>
      </c>
      <c r="D4336" t="s">
        <v>9524</v>
      </c>
      <c r="E4336">
        <v>35</v>
      </c>
      <c r="F4336" t="s">
        <v>5163</v>
      </c>
      <c r="G4336" t="s">
        <v>1905</v>
      </c>
    </row>
    <row r="4337" spans="1:7" hidden="1">
      <c r="A4337" s="5" t="s">
        <v>3251</v>
      </c>
      <c r="B4337" t="s">
        <v>5161</v>
      </c>
      <c r="C4337" t="s">
        <v>461</v>
      </c>
      <c r="D4337" t="s">
        <v>9525</v>
      </c>
      <c r="E4337">
        <v>34</v>
      </c>
      <c r="F4337" t="s">
        <v>5163</v>
      </c>
      <c r="G4337" t="s">
        <v>5164</v>
      </c>
    </row>
    <row r="4338" spans="1:7" hidden="1">
      <c r="A4338" s="5" t="s">
        <v>3218</v>
      </c>
      <c r="B4338" t="s">
        <v>5161</v>
      </c>
      <c r="C4338" t="s">
        <v>461</v>
      </c>
      <c r="D4338" t="s">
        <v>9526</v>
      </c>
      <c r="E4338">
        <v>25</v>
      </c>
      <c r="F4338" t="s">
        <v>5163</v>
      </c>
      <c r="G4338" t="s">
        <v>5169</v>
      </c>
    </row>
    <row r="4339" spans="1:7" hidden="1">
      <c r="A4339" s="5" t="s">
        <v>4182</v>
      </c>
      <c r="B4339" t="s">
        <v>5161</v>
      </c>
      <c r="C4339" t="s">
        <v>461</v>
      </c>
      <c r="D4339" t="s">
        <v>9527</v>
      </c>
      <c r="E4339">
        <v>19</v>
      </c>
      <c r="F4339" t="s">
        <v>5163</v>
      </c>
      <c r="G4339" t="s">
        <v>5164</v>
      </c>
    </row>
    <row r="4340" spans="1:7" hidden="1">
      <c r="A4340" s="5" t="s">
        <v>2624</v>
      </c>
      <c r="B4340" t="s">
        <v>5161</v>
      </c>
      <c r="C4340" t="s">
        <v>461</v>
      </c>
      <c r="D4340" t="s">
        <v>9528</v>
      </c>
      <c r="E4340">
        <v>25</v>
      </c>
      <c r="F4340" t="s">
        <v>5163</v>
      </c>
      <c r="G4340" t="s">
        <v>5164</v>
      </c>
    </row>
    <row r="4341" spans="1:7" hidden="1">
      <c r="A4341" s="5" t="s">
        <v>2170</v>
      </c>
      <c r="B4341" t="s">
        <v>5161</v>
      </c>
      <c r="C4341" t="s">
        <v>461</v>
      </c>
      <c r="D4341" t="s">
        <v>9529</v>
      </c>
      <c r="E4341">
        <v>21</v>
      </c>
      <c r="F4341" t="s">
        <v>5163</v>
      </c>
      <c r="G4341" t="s">
        <v>1905</v>
      </c>
    </row>
    <row r="4342" spans="1:7" hidden="1">
      <c r="A4342" s="5" t="s">
        <v>2170</v>
      </c>
      <c r="B4342" t="s">
        <v>5161</v>
      </c>
      <c r="C4342" t="s">
        <v>461</v>
      </c>
      <c r="D4342" t="s">
        <v>9530</v>
      </c>
      <c r="E4342">
        <v>18</v>
      </c>
      <c r="F4342" t="s">
        <v>5163</v>
      </c>
      <c r="G4342" t="s">
        <v>5164</v>
      </c>
    </row>
    <row r="4343" spans="1:7" hidden="1">
      <c r="A4343" s="5" t="s">
        <v>2114</v>
      </c>
      <c r="B4343" t="s">
        <v>5161</v>
      </c>
      <c r="C4343" t="s">
        <v>461</v>
      </c>
      <c r="D4343" t="s">
        <v>9531</v>
      </c>
      <c r="E4343">
        <v>34</v>
      </c>
      <c r="F4343" t="s">
        <v>5163</v>
      </c>
      <c r="G4343" t="s">
        <v>1905</v>
      </c>
    </row>
    <row r="4344" spans="1:7" hidden="1">
      <c r="A4344" s="5" t="s">
        <v>2114</v>
      </c>
      <c r="B4344" t="s">
        <v>5161</v>
      </c>
      <c r="C4344" t="s">
        <v>461</v>
      </c>
      <c r="D4344" t="s">
        <v>9532</v>
      </c>
      <c r="E4344">
        <v>25</v>
      </c>
      <c r="F4344" t="s">
        <v>5163</v>
      </c>
      <c r="G4344" t="s">
        <v>1905</v>
      </c>
    </row>
    <row r="4345" spans="1:7" hidden="1">
      <c r="A4345" s="5" t="s">
        <v>2114</v>
      </c>
      <c r="B4345" t="s">
        <v>5161</v>
      </c>
      <c r="C4345" t="s">
        <v>461</v>
      </c>
      <c r="D4345" t="s">
        <v>9533</v>
      </c>
      <c r="E4345">
        <v>31</v>
      </c>
      <c r="F4345" t="s">
        <v>5163</v>
      </c>
      <c r="G4345" t="s">
        <v>1905</v>
      </c>
    </row>
    <row r="4346" spans="1:7" hidden="1">
      <c r="A4346" s="5" t="s">
        <v>2114</v>
      </c>
      <c r="B4346" t="s">
        <v>5161</v>
      </c>
      <c r="C4346" t="s">
        <v>461</v>
      </c>
      <c r="D4346" t="s">
        <v>9534</v>
      </c>
      <c r="E4346">
        <v>40</v>
      </c>
      <c r="F4346" t="s">
        <v>5163</v>
      </c>
      <c r="G4346" t="s">
        <v>1905</v>
      </c>
    </row>
    <row r="4347" spans="1:7" hidden="1">
      <c r="A4347" s="5" t="s">
        <v>2699</v>
      </c>
      <c r="B4347" t="s">
        <v>5161</v>
      </c>
      <c r="C4347" t="s">
        <v>461</v>
      </c>
      <c r="D4347" t="s">
        <v>9535</v>
      </c>
      <c r="E4347">
        <v>27</v>
      </c>
      <c r="F4347" t="s">
        <v>5163</v>
      </c>
      <c r="G4347" t="s">
        <v>1905</v>
      </c>
    </row>
    <row r="4348" spans="1:7" hidden="1">
      <c r="A4348" s="5" t="s">
        <v>2815</v>
      </c>
      <c r="B4348" t="s">
        <v>5161</v>
      </c>
      <c r="C4348" t="s">
        <v>461</v>
      </c>
      <c r="D4348" t="s">
        <v>9536</v>
      </c>
      <c r="E4348">
        <v>23</v>
      </c>
      <c r="F4348" t="s">
        <v>5163</v>
      </c>
      <c r="G4348" t="s">
        <v>6496</v>
      </c>
    </row>
    <row r="4349" spans="1:7" hidden="1">
      <c r="A4349" s="5" t="s">
        <v>2815</v>
      </c>
      <c r="B4349" t="s">
        <v>5161</v>
      </c>
      <c r="C4349" t="s">
        <v>461</v>
      </c>
      <c r="D4349" t="s">
        <v>9537</v>
      </c>
      <c r="E4349">
        <v>20</v>
      </c>
      <c r="F4349" t="s">
        <v>5163</v>
      </c>
      <c r="G4349" t="s">
        <v>5164</v>
      </c>
    </row>
    <row r="4350" spans="1:7" hidden="1">
      <c r="A4350" s="5" t="s">
        <v>3301</v>
      </c>
      <c r="B4350" t="s">
        <v>5161</v>
      </c>
      <c r="C4350" t="s">
        <v>461</v>
      </c>
      <c r="D4350" t="s">
        <v>9538</v>
      </c>
      <c r="E4350">
        <v>22</v>
      </c>
      <c r="F4350" t="s">
        <v>5172</v>
      </c>
      <c r="G4350" t="s">
        <v>5169</v>
      </c>
    </row>
    <row r="4351" spans="1:7" hidden="1">
      <c r="A4351" s="5" t="s">
        <v>456</v>
      </c>
      <c r="B4351" t="s">
        <v>5161</v>
      </c>
      <c r="C4351" t="s">
        <v>461</v>
      </c>
      <c r="D4351" t="s">
        <v>1041</v>
      </c>
      <c r="E4351">
        <v>19</v>
      </c>
      <c r="F4351" t="s">
        <v>5163</v>
      </c>
      <c r="G4351" t="s">
        <v>5169</v>
      </c>
    </row>
    <row r="4352" spans="1:7" hidden="1">
      <c r="A4352" s="5" t="s">
        <v>1380</v>
      </c>
      <c r="B4352" t="s">
        <v>5161</v>
      </c>
      <c r="C4352" t="s">
        <v>461</v>
      </c>
      <c r="D4352" t="s">
        <v>1468</v>
      </c>
      <c r="E4352">
        <v>46</v>
      </c>
      <c r="F4352" t="s">
        <v>5163</v>
      </c>
      <c r="G4352" t="s">
        <v>5164</v>
      </c>
    </row>
    <row r="4353" spans="1:7" hidden="1">
      <c r="A4353" s="5" t="s">
        <v>3099</v>
      </c>
      <c r="B4353" t="s">
        <v>5161</v>
      </c>
      <c r="C4353" t="s">
        <v>461</v>
      </c>
      <c r="D4353" t="s">
        <v>9539</v>
      </c>
      <c r="E4353">
        <v>37</v>
      </c>
      <c r="F4353" t="s">
        <v>5163</v>
      </c>
      <c r="G4353" t="s">
        <v>1905</v>
      </c>
    </row>
    <row r="4354" spans="1:7" hidden="1">
      <c r="A4354" s="5" t="s">
        <v>454</v>
      </c>
      <c r="B4354" t="s">
        <v>5161</v>
      </c>
      <c r="C4354" t="s">
        <v>461</v>
      </c>
      <c r="D4354" t="s">
        <v>9540</v>
      </c>
      <c r="E4354">
        <v>32</v>
      </c>
      <c r="F4354" t="s">
        <v>5163</v>
      </c>
      <c r="G4354" t="s">
        <v>5169</v>
      </c>
    </row>
    <row r="4355" spans="1:7" hidden="1">
      <c r="A4355" s="5" t="s">
        <v>3856</v>
      </c>
      <c r="B4355" t="s">
        <v>5161</v>
      </c>
      <c r="C4355" t="s">
        <v>461</v>
      </c>
      <c r="D4355" t="s">
        <v>9541</v>
      </c>
      <c r="E4355">
        <v>23</v>
      </c>
      <c r="F4355" t="s">
        <v>5163</v>
      </c>
      <c r="G4355" t="s">
        <v>5164</v>
      </c>
    </row>
    <row r="4356" spans="1:7" hidden="1">
      <c r="A4356" s="5" t="s">
        <v>4947</v>
      </c>
      <c r="B4356" t="s">
        <v>5161</v>
      </c>
      <c r="C4356" t="s">
        <v>461</v>
      </c>
      <c r="D4356" t="s">
        <v>9542</v>
      </c>
      <c r="E4356" t="s">
        <v>5182</v>
      </c>
      <c r="F4356" t="s">
        <v>5163</v>
      </c>
      <c r="G4356" t="s">
        <v>5182</v>
      </c>
    </row>
    <row r="4357" spans="1:7" hidden="1">
      <c r="A4357" s="5" t="s">
        <v>4947</v>
      </c>
      <c r="B4357" t="s">
        <v>5161</v>
      </c>
      <c r="C4357" t="s">
        <v>461</v>
      </c>
      <c r="D4357" t="s">
        <v>9543</v>
      </c>
      <c r="E4357" t="s">
        <v>5182</v>
      </c>
      <c r="F4357" t="s">
        <v>5172</v>
      </c>
      <c r="G4357" t="s">
        <v>1905</v>
      </c>
    </row>
    <row r="4358" spans="1:7" hidden="1">
      <c r="A4358" s="5" t="s">
        <v>4947</v>
      </c>
      <c r="B4358" t="s">
        <v>5161</v>
      </c>
      <c r="C4358" t="s">
        <v>461</v>
      </c>
      <c r="D4358" t="s">
        <v>9544</v>
      </c>
      <c r="E4358" t="s">
        <v>5182</v>
      </c>
      <c r="F4358" t="s">
        <v>5163</v>
      </c>
      <c r="G4358" t="s">
        <v>1905</v>
      </c>
    </row>
    <row r="4359" spans="1:7" hidden="1">
      <c r="A4359" s="5" t="s">
        <v>4947</v>
      </c>
      <c r="B4359" t="s">
        <v>5161</v>
      </c>
      <c r="C4359" t="s">
        <v>461</v>
      </c>
      <c r="D4359" t="s">
        <v>9545</v>
      </c>
      <c r="E4359" t="s">
        <v>5182</v>
      </c>
      <c r="F4359" t="s">
        <v>5163</v>
      </c>
      <c r="G4359" t="s">
        <v>1905</v>
      </c>
    </row>
    <row r="4360" spans="1:7" hidden="1">
      <c r="A4360" s="5" t="s">
        <v>4947</v>
      </c>
      <c r="B4360" t="s">
        <v>5161</v>
      </c>
      <c r="C4360" t="s">
        <v>461</v>
      </c>
      <c r="D4360" t="s">
        <v>9546</v>
      </c>
      <c r="E4360" t="s">
        <v>5182</v>
      </c>
      <c r="F4360" t="s">
        <v>5163</v>
      </c>
      <c r="G4360" t="s">
        <v>5182</v>
      </c>
    </row>
    <row r="4361" spans="1:7" hidden="1">
      <c r="A4361" s="5" t="s">
        <v>4947</v>
      </c>
      <c r="B4361" t="s">
        <v>5161</v>
      </c>
      <c r="C4361" t="s">
        <v>461</v>
      </c>
      <c r="D4361" t="s">
        <v>9547</v>
      </c>
      <c r="E4361" t="s">
        <v>5182</v>
      </c>
      <c r="F4361" t="s">
        <v>5163</v>
      </c>
      <c r="G4361" t="s">
        <v>1905</v>
      </c>
    </row>
    <row r="4362" spans="1:7" hidden="1">
      <c r="A4362" s="5" t="s">
        <v>4947</v>
      </c>
      <c r="B4362" t="s">
        <v>5161</v>
      </c>
      <c r="C4362" t="s">
        <v>461</v>
      </c>
      <c r="D4362" t="s">
        <v>9548</v>
      </c>
      <c r="E4362" t="s">
        <v>5182</v>
      </c>
      <c r="F4362" t="s">
        <v>5172</v>
      </c>
      <c r="G4362" t="s">
        <v>1905</v>
      </c>
    </row>
    <row r="4363" spans="1:7" hidden="1">
      <c r="A4363" s="5" t="s">
        <v>2148</v>
      </c>
      <c r="B4363" t="s">
        <v>5161</v>
      </c>
      <c r="C4363" t="s">
        <v>461</v>
      </c>
      <c r="D4363" t="s">
        <v>9549</v>
      </c>
      <c r="E4363">
        <v>44</v>
      </c>
      <c r="F4363" t="s">
        <v>5172</v>
      </c>
      <c r="G4363" t="s">
        <v>1905</v>
      </c>
    </row>
    <row r="4364" spans="1:7" hidden="1">
      <c r="A4364" s="5" t="s">
        <v>2148</v>
      </c>
      <c r="B4364" t="s">
        <v>5161</v>
      </c>
      <c r="C4364" t="s">
        <v>461</v>
      </c>
      <c r="D4364" t="s">
        <v>9550</v>
      </c>
      <c r="E4364">
        <v>42</v>
      </c>
      <c r="F4364" t="s">
        <v>5163</v>
      </c>
      <c r="G4364" t="s">
        <v>5164</v>
      </c>
    </row>
    <row r="4365" spans="1:7" hidden="1">
      <c r="A4365" s="5" t="s">
        <v>2148</v>
      </c>
      <c r="B4365" t="s">
        <v>5161</v>
      </c>
      <c r="C4365" t="s">
        <v>461</v>
      </c>
      <c r="D4365" t="s">
        <v>9551</v>
      </c>
      <c r="E4365">
        <v>58</v>
      </c>
      <c r="F4365" t="s">
        <v>5163</v>
      </c>
      <c r="G4365" t="s">
        <v>1905</v>
      </c>
    </row>
    <row r="4366" spans="1:7" hidden="1">
      <c r="A4366" s="5" t="s">
        <v>2446</v>
      </c>
      <c r="B4366" t="s">
        <v>5161</v>
      </c>
      <c r="C4366" t="s">
        <v>461</v>
      </c>
      <c r="D4366" t="s">
        <v>9552</v>
      </c>
      <c r="E4366">
        <v>29</v>
      </c>
      <c r="F4366" t="s">
        <v>5172</v>
      </c>
      <c r="G4366" t="s">
        <v>1905</v>
      </c>
    </row>
    <row r="4367" spans="1:7" hidden="1">
      <c r="A4367" s="5" t="s">
        <v>2446</v>
      </c>
      <c r="B4367" t="s">
        <v>5161</v>
      </c>
      <c r="C4367" t="s">
        <v>461</v>
      </c>
      <c r="D4367" t="s">
        <v>9553</v>
      </c>
      <c r="E4367">
        <v>36</v>
      </c>
      <c r="F4367" t="s">
        <v>5163</v>
      </c>
      <c r="G4367" t="s">
        <v>5164</v>
      </c>
    </row>
    <row r="4368" spans="1:7" hidden="1">
      <c r="A4368" s="5" t="s">
        <v>4693</v>
      </c>
      <c r="B4368" t="s">
        <v>5161</v>
      </c>
      <c r="C4368" t="s">
        <v>461</v>
      </c>
      <c r="D4368" t="s">
        <v>9554</v>
      </c>
      <c r="E4368">
        <v>20</v>
      </c>
      <c r="F4368" t="s">
        <v>5163</v>
      </c>
      <c r="G4368" t="s">
        <v>5164</v>
      </c>
    </row>
    <row r="4369" spans="1:7" hidden="1">
      <c r="A4369" s="5" t="s">
        <v>3156</v>
      </c>
      <c r="B4369" t="s">
        <v>5161</v>
      </c>
      <c r="C4369" t="s">
        <v>461</v>
      </c>
      <c r="D4369" t="s">
        <v>9555</v>
      </c>
      <c r="E4369">
        <v>26</v>
      </c>
      <c r="F4369" t="s">
        <v>5163</v>
      </c>
      <c r="G4369" t="s">
        <v>5164</v>
      </c>
    </row>
    <row r="4370" spans="1:7" hidden="1">
      <c r="A4370" s="5" t="s">
        <v>2705</v>
      </c>
      <c r="B4370" t="s">
        <v>5161</v>
      </c>
      <c r="C4370" t="s">
        <v>461</v>
      </c>
      <c r="D4370" t="s">
        <v>9556</v>
      </c>
      <c r="E4370">
        <v>18</v>
      </c>
      <c r="F4370" t="s">
        <v>5163</v>
      </c>
      <c r="G4370" t="s">
        <v>5164</v>
      </c>
    </row>
    <row r="4371" spans="1:7" hidden="1">
      <c r="A4371" s="5" t="s">
        <v>452</v>
      </c>
      <c r="B4371" t="s">
        <v>5161</v>
      </c>
      <c r="C4371" t="s">
        <v>461</v>
      </c>
      <c r="D4371" t="s">
        <v>1037</v>
      </c>
      <c r="E4371">
        <v>29</v>
      </c>
      <c r="F4371" t="s">
        <v>5163</v>
      </c>
      <c r="G4371" t="s">
        <v>5164</v>
      </c>
    </row>
    <row r="4372" spans="1:7" hidden="1">
      <c r="A4372" s="5" t="s">
        <v>2799</v>
      </c>
      <c r="B4372" t="s">
        <v>5161</v>
      </c>
      <c r="C4372" t="s">
        <v>461</v>
      </c>
      <c r="D4372" t="s">
        <v>9557</v>
      </c>
      <c r="E4372">
        <v>37</v>
      </c>
      <c r="F4372" t="s">
        <v>5163</v>
      </c>
      <c r="G4372" t="s">
        <v>1905</v>
      </c>
    </row>
    <row r="4373" spans="1:7" hidden="1">
      <c r="A4373" s="5" t="s">
        <v>2415</v>
      </c>
      <c r="B4373" t="s">
        <v>5161</v>
      </c>
      <c r="C4373" t="s">
        <v>461</v>
      </c>
      <c r="D4373" t="s">
        <v>9558</v>
      </c>
      <c r="E4373">
        <v>24</v>
      </c>
      <c r="F4373" t="s">
        <v>5163</v>
      </c>
      <c r="G4373" t="s">
        <v>5164</v>
      </c>
    </row>
    <row r="4374" spans="1:7" hidden="1">
      <c r="A4374" s="5" t="s">
        <v>4795</v>
      </c>
      <c r="B4374" t="s">
        <v>5161</v>
      </c>
      <c r="C4374" t="s">
        <v>461</v>
      </c>
      <c r="D4374" t="s">
        <v>9559</v>
      </c>
      <c r="E4374">
        <v>18</v>
      </c>
      <c r="F4374" t="s">
        <v>5163</v>
      </c>
      <c r="G4374" t="s">
        <v>5164</v>
      </c>
    </row>
    <row r="4375" spans="1:7" hidden="1">
      <c r="A4375" s="5" t="s">
        <v>4795</v>
      </c>
      <c r="B4375" t="s">
        <v>5161</v>
      </c>
      <c r="C4375" t="s">
        <v>461</v>
      </c>
      <c r="D4375" t="s">
        <v>9560</v>
      </c>
      <c r="E4375">
        <v>31</v>
      </c>
      <c r="F4375" t="s">
        <v>5163</v>
      </c>
      <c r="G4375" t="s">
        <v>5169</v>
      </c>
    </row>
    <row r="4376" spans="1:7" hidden="1">
      <c r="A4376" s="5" t="s">
        <v>2933</v>
      </c>
      <c r="B4376" t="s">
        <v>5161</v>
      </c>
      <c r="C4376" t="s">
        <v>461</v>
      </c>
      <c r="D4376" t="s">
        <v>9561</v>
      </c>
      <c r="E4376">
        <v>20</v>
      </c>
      <c r="F4376" t="s">
        <v>5163</v>
      </c>
      <c r="G4376" t="s">
        <v>5164</v>
      </c>
    </row>
    <row r="4377" spans="1:7" hidden="1">
      <c r="A4377" s="5" t="s">
        <v>9562</v>
      </c>
      <c r="B4377" t="s">
        <v>5161</v>
      </c>
      <c r="C4377" t="s">
        <v>461</v>
      </c>
      <c r="D4377" t="s">
        <v>9563</v>
      </c>
      <c r="E4377">
        <v>23</v>
      </c>
      <c r="F4377" t="s">
        <v>5163</v>
      </c>
      <c r="G4377" t="s">
        <v>5164</v>
      </c>
    </row>
    <row r="4378" spans="1:7" hidden="1">
      <c r="A4378" s="5" t="s">
        <v>9564</v>
      </c>
      <c r="B4378" t="s">
        <v>5161</v>
      </c>
      <c r="C4378" t="s">
        <v>461</v>
      </c>
      <c r="D4378" t="s">
        <v>9565</v>
      </c>
      <c r="E4378">
        <v>18</v>
      </c>
      <c r="F4378" t="s">
        <v>5163</v>
      </c>
      <c r="G4378" t="s">
        <v>1905</v>
      </c>
    </row>
    <row r="4379" spans="1:7" hidden="1">
      <c r="A4379" s="5" t="s">
        <v>2128</v>
      </c>
      <c r="B4379" t="s">
        <v>5161</v>
      </c>
      <c r="C4379" t="s">
        <v>461</v>
      </c>
      <c r="D4379" t="s">
        <v>9566</v>
      </c>
      <c r="E4379">
        <v>35</v>
      </c>
      <c r="F4379" t="s">
        <v>5163</v>
      </c>
      <c r="G4379" t="s">
        <v>1905</v>
      </c>
    </row>
    <row r="4380" spans="1:7" hidden="1">
      <c r="A4380" s="5" t="s">
        <v>2134</v>
      </c>
      <c r="B4380" t="s">
        <v>5161</v>
      </c>
      <c r="C4380" t="s">
        <v>461</v>
      </c>
      <c r="D4380" t="s">
        <v>7020</v>
      </c>
      <c r="E4380">
        <v>18</v>
      </c>
      <c r="F4380" t="s">
        <v>5163</v>
      </c>
      <c r="G4380" t="s">
        <v>1905</v>
      </c>
    </row>
    <row r="4381" spans="1:7" hidden="1">
      <c r="A4381" s="5" t="s">
        <v>2110</v>
      </c>
      <c r="B4381" t="s">
        <v>5161</v>
      </c>
      <c r="C4381" t="s">
        <v>461</v>
      </c>
      <c r="D4381" t="s">
        <v>9567</v>
      </c>
      <c r="E4381">
        <v>25</v>
      </c>
      <c r="F4381" t="s">
        <v>5163</v>
      </c>
      <c r="G4381" t="s">
        <v>5164</v>
      </c>
    </row>
    <row r="4382" spans="1:7" hidden="1">
      <c r="A4382" s="5" t="s">
        <v>4796</v>
      </c>
      <c r="B4382" t="s">
        <v>5161</v>
      </c>
      <c r="C4382" t="s">
        <v>461</v>
      </c>
      <c r="D4382" t="s">
        <v>9568</v>
      </c>
      <c r="E4382">
        <v>24</v>
      </c>
      <c r="F4382" t="s">
        <v>5163</v>
      </c>
      <c r="G4382" t="s">
        <v>1905</v>
      </c>
    </row>
    <row r="4383" spans="1:7" hidden="1">
      <c r="A4383" s="5" t="s">
        <v>4707</v>
      </c>
      <c r="B4383" t="s">
        <v>5161</v>
      </c>
      <c r="C4383" t="s">
        <v>461</v>
      </c>
      <c r="D4383" t="s">
        <v>9569</v>
      </c>
      <c r="E4383">
        <v>34</v>
      </c>
      <c r="F4383" t="s">
        <v>5163</v>
      </c>
      <c r="G4383" t="s">
        <v>1905</v>
      </c>
    </row>
    <row r="4384" spans="1:7" hidden="1">
      <c r="A4384" s="5" t="s">
        <v>2389</v>
      </c>
      <c r="B4384" t="s">
        <v>5161</v>
      </c>
      <c r="C4384" t="s">
        <v>461</v>
      </c>
      <c r="D4384" t="s">
        <v>9570</v>
      </c>
      <c r="E4384">
        <v>30</v>
      </c>
      <c r="F4384" t="s">
        <v>5163</v>
      </c>
      <c r="G4384" t="s">
        <v>5169</v>
      </c>
    </row>
    <row r="4385" spans="1:7" hidden="1">
      <c r="A4385" s="5" t="s">
        <v>4794</v>
      </c>
      <c r="B4385" t="s">
        <v>5161</v>
      </c>
      <c r="C4385" t="s">
        <v>461</v>
      </c>
      <c r="D4385" t="s">
        <v>9571</v>
      </c>
      <c r="E4385">
        <v>43</v>
      </c>
      <c r="F4385" t="s">
        <v>5163</v>
      </c>
      <c r="G4385" t="s">
        <v>5169</v>
      </c>
    </row>
    <row r="4386" spans="1:7" hidden="1">
      <c r="A4386" s="5" t="s">
        <v>1379</v>
      </c>
      <c r="B4386" t="s">
        <v>5161</v>
      </c>
      <c r="C4386" t="s">
        <v>461</v>
      </c>
      <c r="D4386" t="s">
        <v>9572</v>
      </c>
      <c r="E4386">
        <v>29</v>
      </c>
      <c r="F4386" t="s">
        <v>5163</v>
      </c>
      <c r="G4386" t="s">
        <v>5164</v>
      </c>
    </row>
    <row r="4387" spans="1:7" hidden="1">
      <c r="A4387" s="5" t="s">
        <v>2698</v>
      </c>
      <c r="B4387" t="s">
        <v>5161</v>
      </c>
      <c r="C4387" t="s">
        <v>461</v>
      </c>
      <c r="D4387" t="s">
        <v>9573</v>
      </c>
      <c r="E4387">
        <v>37</v>
      </c>
      <c r="F4387" t="s">
        <v>5163</v>
      </c>
      <c r="G4387" t="s">
        <v>5164</v>
      </c>
    </row>
    <row r="4388" spans="1:7" hidden="1">
      <c r="A4388" s="5" t="s">
        <v>2344</v>
      </c>
      <c r="B4388" t="s">
        <v>5161</v>
      </c>
      <c r="C4388" t="s">
        <v>461</v>
      </c>
      <c r="D4388" t="s">
        <v>9574</v>
      </c>
      <c r="E4388">
        <v>27</v>
      </c>
      <c r="F4388" t="s">
        <v>5163</v>
      </c>
      <c r="G4388" t="s">
        <v>1905</v>
      </c>
    </row>
    <row r="4389" spans="1:7" hidden="1">
      <c r="A4389" s="5" t="s">
        <v>4945</v>
      </c>
      <c r="B4389" t="s">
        <v>5161</v>
      </c>
      <c r="C4389" t="s">
        <v>461</v>
      </c>
      <c r="D4389" t="s">
        <v>9575</v>
      </c>
      <c r="E4389">
        <v>35</v>
      </c>
      <c r="F4389" t="s">
        <v>5163</v>
      </c>
      <c r="G4389" t="s">
        <v>5164</v>
      </c>
    </row>
    <row r="4390" spans="1:7" hidden="1">
      <c r="A4390" s="5" t="s">
        <v>4504</v>
      </c>
      <c r="B4390" t="s">
        <v>5161</v>
      </c>
      <c r="C4390" t="s">
        <v>461</v>
      </c>
      <c r="D4390" t="s">
        <v>9576</v>
      </c>
      <c r="E4390">
        <v>19</v>
      </c>
      <c r="F4390" t="s">
        <v>5163</v>
      </c>
      <c r="G4390" t="s">
        <v>5164</v>
      </c>
    </row>
    <row r="4391" spans="1:7" hidden="1">
      <c r="A4391" s="5" t="s">
        <v>4568</v>
      </c>
      <c r="B4391" t="s">
        <v>5161</v>
      </c>
      <c r="C4391" t="s">
        <v>461</v>
      </c>
      <c r="D4391" t="s">
        <v>9577</v>
      </c>
      <c r="E4391">
        <v>35</v>
      </c>
      <c r="F4391" t="s">
        <v>5163</v>
      </c>
      <c r="G4391" t="s">
        <v>5164</v>
      </c>
    </row>
    <row r="4392" spans="1:7" hidden="1">
      <c r="A4392" s="5" t="s">
        <v>2163</v>
      </c>
      <c r="B4392" t="s">
        <v>5161</v>
      </c>
      <c r="C4392" t="s">
        <v>461</v>
      </c>
      <c r="D4392" t="s">
        <v>9578</v>
      </c>
      <c r="E4392">
        <v>40</v>
      </c>
      <c r="F4392" t="s">
        <v>5163</v>
      </c>
      <c r="G4392" t="s">
        <v>5164</v>
      </c>
    </row>
    <row r="4393" spans="1:7" hidden="1">
      <c r="A4393" s="5" t="s">
        <v>3074</v>
      </c>
      <c r="B4393" t="s">
        <v>5161</v>
      </c>
      <c r="C4393" t="s">
        <v>461</v>
      </c>
      <c r="D4393" t="s">
        <v>9579</v>
      </c>
      <c r="E4393">
        <v>29</v>
      </c>
      <c r="F4393" t="s">
        <v>5163</v>
      </c>
      <c r="G4393" t="s">
        <v>5169</v>
      </c>
    </row>
    <row r="4394" spans="1:7" hidden="1">
      <c r="A4394" s="5" t="s">
        <v>3039</v>
      </c>
      <c r="B4394" t="s">
        <v>5161</v>
      </c>
      <c r="C4394" t="s">
        <v>461</v>
      </c>
      <c r="D4394" t="s">
        <v>9580</v>
      </c>
      <c r="E4394">
        <v>20</v>
      </c>
      <c r="F4394" t="s">
        <v>5163</v>
      </c>
      <c r="G4394" t="s">
        <v>5164</v>
      </c>
    </row>
    <row r="4395" spans="1:7" hidden="1">
      <c r="A4395" s="5" t="s">
        <v>3039</v>
      </c>
      <c r="B4395" t="s">
        <v>5161</v>
      </c>
      <c r="C4395" t="s">
        <v>461</v>
      </c>
      <c r="D4395" t="s">
        <v>9581</v>
      </c>
      <c r="E4395">
        <v>18</v>
      </c>
      <c r="F4395" t="s">
        <v>5163</v>
      </c>
      <c r="G4395" t="s">
        <v>5164</v>
      </c>
    </row>
    <row r="4396" spans="1:7" hidden="1">
      <c r="A4396" s="5" t="s">
        <v>2157</v>
      </c>
      <c r="B4396" t="s">
        <v>5161</v>
      </c>
      <c r="C4396" t="s">
        <v>461</v>
      </c>
      <c r="D4396" t="s">
        <v>9582</v>
      </c>
      <c r="E4396">
        <v>23</v>
      </c>
      <c r="F4396" t="s">
        <v>5163</v>
      </c>
      <c r="G4396" t="s">
        <v>1905</v>
      </c>
    </row>
    <row r="4397" spans="1:7" hidden="1">
      <c r="A4397" s="5" t="s">
        <v>458</v>
      </c>
      <c r="B4397" t="s">
        <v>5161</v>
      </c>
      <c r="C4397" t="s">
        <v>461</v>
      </c>
      <c r="D4397" t="s">
        <v>1044</v>
      </c>
      <c r="E4397">
        <v>20</v>
      </c>
      <c r="F4397" t="s">
        <v>5163</v>
      </c>
      <c r="G4397" t="s">
        <v>5164</v>
      </c>
    </row>
    <row r="4398" spans="1:7" hidden="1">
      <c r="A4398" s="5" t="s">
        <v>9583</v>
      </c>
      <c r="B4398" t="s">
        <v>5161</v>
      </c>
      <c r="C4398" t="s">
        <v>461</v>
      </c>
      <c r="D4398" t="s">
        <v>8972</v>
      </c>
      <c r="E4398">
        <v>19</v>
      </c>
      <c r="F4398" t="s">
        <v>5163</v>
      </c>
      <c r="G4398" t="s">
        <v>5164</v>
      </c>
    </row>
    <row r="4399" spans="1:7" hidden="1">
      <c r="A4399" s="5" t="s">
        <v>4709</v>
      </c>
      <c r="B4399" t="s">
        <v>5161</v>
      </c>
      <c r="C4399" t="s">
        <v>461</v>
      </c>
      <c r="D4399" t="s">
        <v>557</v>
      </c>
      <c r="E4399">
        <v>28</v>
      </c>
      <c r="F4399" t="s">
        <v>5163</v>
      </c>
      <c r="G4399" t="s">
        <v>5164</v>
      </c>
    </row>
    <row r="4400" spans="1:7" hidden="1">
      <c r="A4400" s="5" t="s">
        <v>3275</v>
      </c>
      <c r="B4400" t="s">
        <v>5161</v>
      </c>
      <c r="C4400" t="s">
        <v>461</v>
      </c>
      <c r="D4400" t="s">
        <v>9584</v>
      </c>
      <c r="E4400">
        <v>18</v>
      </c>
      <c r="F4400" t="s">
        <v>5172</v>
      </c>
      <c r="G4400" t="s">
        <v>1905</v>
      </c>
    </row>
    <row r="4401" spans="1:7" hidden="1">
      <c r="A4401" s="5" t="s">
        <v>3275</v>
      </c>
      <c r="B4401" t="s">
        <v>5161</v>
      </c>
      <c r="C4401" t="s">
        <v>461</v>
      </c>
      <c r="D4401" t="s">
        <v>9585</v>
      </c>
      <c r="E4401">
        <v>31</v>
      </c>
      <c r="F4401" t="s">
        <v>5163</v>
      </c>
      <c r="G4401" t="s">
        <v>1905</v>
      </c>
    </row>
    <row r="4402" spans="1:7" hidden="1">
      <c r="A4402" s="5" t="s">
        <v>3275</v>
      </c>
      <c r="B4402" t="s">
        <v>5161</v>
      </c>
      <c r="C4402" t="s">
        <v>461</v>
      </c>
      <c r="D4402" t="s">
        <v>9586</v>
      </c>
      <c r="E4402">
        <v>23</v>
      </c>
      <c r="F4402" t="s">
        <v>5163</v>
      </c>
      <c r="G4402" t="s">
        <v>1905</v>
      </c>
    </row>
    <row r="4403" spans="1:7" hidden="1">
      <c r="A4403" s="5" t="s">
        <v>2550</v>
      </c>
      <c r="B4403" t="s">
        <v>5161</v>
      </c>
      <c r="C4403" t="s">
        <v>461</v>
      </c>
      <c r="D4403" t="s">
        <v>9587</v>
      </c>
      <c r="E4403">
        <v>29</v>
      </c>
      <c r="F4403" t="s">
        <v>5163</v>
      </c>
      <c r="G4403" t="s">
        <v>5169</v>
      </c>
    </row>
    <row r="4404" spans="1:7" hidden="1">
      <c r="A4404" s="5" t="s">
        <v>4708</v>
      </c>
      <c r="B4404" t="s">
        <v>5161</v>
      </c>
      <c r="C4404" t="s">
        <v>461</v>
      </c>
      <c r="D4404" t="s">
        <v>9588</v>
      </c>
      <c r="E4404">
        <v>22</v>
      </c>
      <c r="F4404" t="s">
        <v>5163</v>
      </c>
      <c r="G4404" t="s">
        <v>5164</v>
      </c>
    </row>
    <row r="4405" spans="1:7" hidden="1">
      <c r="A4405" s="5" t="s">
        <v>3763</v>
      </c>
      <c r="B4405" t="s">
        <v>5161</v>
      </c>
      <c r="C4405" t="s">
        <v>461</v>
      </c>
      <c r="D4405" t="s">
        <v>9589</v>
      </c>
      <c r="E4405">
        <v>41</v>
      </c>
      <c r="F4405" t="s">
        <v>5163</v>
      </c>
      <c r="G4405" t="s">
        <v>1905</v>
      </c>
    </row>
    <row r="4406" spans="1:7" hidden="1">
      <c r="A4406" s="5" t="s">
        <v>3763</v>
      </c>
      <c r="B4406" t="s">
        <v>5161</v>
      </c>
      <c r="C4406" t="s">
        <v>461</v>
      </c>
      <c r="D4406" t="s">
        <v>9590</v>
      </c>
      <c r="E4406">
        <v>25</v>
      </c>
      <c r="F4406" t="s">
        <v>5163</v>
      </c>
      <c r="G4406" t="s">
        <v>1905</v>
      </c>
    </row>
    <row r="4407" spans="1:7" hidden="1">
      <c r="A4407" s="5" t="s">
        <v>2995</v>
      </c>
      <c r="B4407" t="s">
        <v>5161</v>
      </c>
      <c r="C4407" t="s">
        <v>461</v>
      </c>
      <c r="D4407" t="s">
        <v>9591</v>
      </c>
      <c r="E4407">
        <v>29</v>
      </c>
      <c r="F4407" t="s">
        <v>5163</v>
      </c>
      <c r="G4407" t="s">
        <v>1905</v>
      </c>
    </row>
    <row r="4408" spans="1:7" hidden="1">
      <c r="A4408" s="5" t="s">
        <v>2771</v>
      </c>
      <c r="B4408" t="s">
        <v>5161</v>
      </c>
      <c r="C4408" t="s">
        <v>461</v>
      </c>
      <c r="D4408" t="s">
        <v>9592</v>
      </c>
      <c r="E4408">
        <v>27</v>
      </c>
      <c r="F4408" t="s">
        <v>5163</v>
      </c>
      <c r="G4408" t="s">
        <v>5164</v>
      </c>
    </row>
    <row r="4409" spans="1:7" hidden="1">
      <c r="A4409" s="5" t="s">
        <v>3341</v>
      </c>
      <c r="B4409" t="s">
        <v>5161</v>
      </c>
      <c r="C4409" t="s">
        <v>461</v>
      </c>
      <c r="D4409" t="s">
        <v>9593</v>
      </c>
      <c r="E4409">
        <v>19</v>
      </c>
      <c r="F4409" t="s">
        <v>5163</v>
      </c>
      <c r="G4409" t="s">
        <v>5164</v>
      </c>
    </row>
    <row r="4410" spans="1:7" hidden="1">
      <c r="A4410" s="5" t="s">
        <v>4946</v>
      </c>
      <c r="B4410" t="s">
        <v>5161</v>
      </c>
      <c r="C4410" t="s">
        <v>461</v>
      </c>
      <c r="D4410" t="s">
        <v>9594</v>
      </c>
      <c r="E4410">
        <v>20</v>
      </c>
      <c r="F4410" t="s">
        <v>5163</v>
      </c>
      <c r="G4410" t="s">
        <v>1905</v>
      </c>
    </row>
    <row r="4411" spans="1:7" hidden="1">
      <c r="A4411" s="5" t="s">
        <v>453</v>
      </c>
      <c r="B4411" t="s">
        <v>5161</v>
      </c>
      <c r="C4411" t="s">
        <v>461</v>
      </c>
      <c r="D4411" t="s">
        <v>1038</v>
      </c>
      <c r="E4411">
        <v>22</v>
      </c>
      <c r="F4411" t="s">
        <v>5163</v>
      </c>
      <c r="G4411" t="s">
        <v>5169</v>
      </c>
    </row>
    <row r="4412" spans="1:7" hidden="1">
      <c r="A4412" s="5" t="s">
        <v>3339</v>
      </c>
      <c r="B4412" t="s">
        <v>5161</v>
      </c>
      <c r="C4412" t="s">
        <v>461</v>
      </c>
      <c r="D4412" t="s">
        <v>9595</v>
      </c>
      <c r="E4412">
        <v>50</v>
      </c>
      <c r="F4412" t="s">
        <v>5163</v>
      </c>
      <c r="G4412" t="s">
        <v>5164</v>
      </c>
    </row>
    <row r="4413" spans="1:7" hidden="1">
      <c r="A4413" s="5" t="s">
        <v>3339</v>
      </c>
      <c r="B4413" t="s">
        <v>5161</v>
      </c>
      <c r="C4413" t="s">
        <v>461</v>
      </c>
      <c r="D4413" t="s">
        <v>9596</v>
      </c>
      <c r="E4413">
        <v>36</v>
      </c>
      <c r="F4413" t="s">
        <v>5163</v>
      </c>
      <c r="G4413" t="s">
        <v>5164</v>
      </c>
    </row>
    <row r="4414" spans="1:7" hidden="1">
      <c r="A4414" s="5" t="s">
        <v>3046</v>
      </c>
      <c r="B4414" t="s">
        <v>5161</v>
      </c>
      <c r="C4414" t="s">
        <v>461</v>
      </c>
      <c r="D4414" t="s">
        <v>9597</v>
      </c>
      <c r="E4414">
        <v>20</v>
      </c>
      <c r="F4414" t="s">
        <v>5163</v>
      </c>
      <c r="G4414" t="s">
        <v>5164</v>
      </c>
    </row>
    <row r="4415" spans="1:7" hidden="1">
      <c r="A4415" s="5" t="s">
        <v>3082</v>
      </c>
      <c r="B4415" t="s">
        <v>5161</v>
      </c>
      <c r="C4415" t="s">
        <v>461</v>
      </c>
      <c r="D4415" t="s">
        <v>9598</v>
      </c>
      <c r="E4415">
        <v>22</v>
      </c>
      <c r="F4415" t="s">
        <v>5163</v>
      </c>
      <c r="G4415" t="s">
        <v>5164</v>
      </c>
    </row>
    <row r="4416" spans="1:7" hidden="1">
      <c r="A4416" s="5" t="s">
        <v>3041</v>
      </c>
      <c r="B4416" t="s">
        <v>5161</v>
      </c>
      <c r="C4416" t="s">
        <v>461</v>
      </c>
      <c r="D4416" t="s">
        <v>9599</v>
      </c>
      <c r="E4416">
        <v>32</v>
      </c>
      <c r="F4416" t="s">
        <v>5163</v>
      </c>
      <c r="G4416" t="s">
        <v>1905</v>
      </c>
    </row>
    <row r="4417" spans="1:7" hidden="1">
      <c r="A4417" s="5" t="s">
        <v>3041</v>
      </c>
      <c r="B4417" t="s">
        <v>5161</v>
      </c>
      <c r="C4417" t="s">
        <v>461</v>
      </c>
      <c r="D4417" t="s">
        <v>9600</v>
      </c>
      <c r="E4417">
        <v>22</v>
      </c>
      <c r="F4417" t="s">
        <v>5163</v>
      </c>
      <c r="G4417" t="s">
        <v>5164</v>
      </c>
    </row>
    <row r="4418" spans="1:7" hidden="1">
      <c r="A4418" s="5" t="s">
        <v>2747</v>
      </c>
      <c r="B4418" t="s">
        <v>5161</v>
      </c>
      <c r="C4418" t="s">
        <v>461</v>
      </c>
      <c r="D4418" t="s">
        <v>9601</v>
      </c>
      <c r="E4418">
        <v>19</v>
      </c>
      <c r="F4418" t="s">
        <v>5163</v>
      </c>
      <c r="G4418" t="s">
        <v>5164</v>
      </c>
    </row>
    <row r="4419" spans="1:7" hidden="1">
      <c r="A4419" s="5" t="s">
        <v>2685</v>
      </c>
      <c r="B4419" t="s">
        <v>5161</v>
      </c>
      <c r="C4419" t="s">
        <v>461</v>
      </c>
      <c r="D4419" t="s">
        <v>9602</v>
      </c>
      <c r="E4419">
        <v>23</v>
      </c>
      <c r="F4419" t="s">
        <v>5163</v>
      </c>
      <c r="G4419" t="s">
        <v>5164</v>
      </c>
    </row>
    <row r="4420" spans="1:7" hidden="1">
      <c r="A4420" s="5" t="s">
        <v>3823</v>
      </c>
      <c r="B4420" t="s">
        <v>5161</v>
      </c>
      <c r="C4420" t="s">
        <v>461</v>
      </c>
      <c r="D4420" t="s">
        <v>9603</v>
      </c>
      <c r="E4420">
        <v>18</v>
      </c>
      <c r="F4420" t="s">
        <v>5163</v>
      </c>
      <c r="G4420" t="s">
        <v>5164</v>
      </c>
    </row>
    <row r="4421" spans="1:7" hidden="1">
      <c r="A4421" s="5" t="s">
        <v>1378</v>
      </c>
      <c r="B4421" t="s">
        <v>5161</v>
      </c>
      <c r="C4421" t="s">
        <v>461</v>
      </c>
      <c r="D4421" t="s">
        <v>9604</v>
      </c>
      <c r="E4421" t="s">
        <v>5182</v>
      </c>
      <c r="F4421" t="s">
        <v>5163</v>
      </c>
      <c r="G4421" t="s">
        <v>5164</v>
      </c>
    </row>
    <row r="4422" spans="1:7" hidden="1">
      <c r="A4422" s="5" t="s">
        <v>4112</v>
      </c>
      <c r="B4422" t="s">
        <v>5161</v>
      </c>
      <c r="C4422" t="s">
        <v>473</v>
      </c>
      <c r="D4422" t="s">
        <v>9605</v>
      </c>
      <c r="E4422">
        <v>28</v>
      </c>
      <c r="F4422" t="s">
        <v>5163</v>
      </c>
      <c r="G4422" t="s">
        <v>5182</v>
      </c>
    </row>
    <row r="4423" spans="1:7" hidden="1">
      <c r="A4423" s="5" t="s">
        <v>4189</v>
      </c>
      <c r="B4423" t="s">
        <v>5161</v>
      </c>
      <c r="C4423" t="s">
        <v>473</v>
      </c>
      <c r="D4423" t="s">
        <v>9606</v>
      </c>
      <c r="E4423">
        <v>22</v>
      </c>
      <c r="F4423" t="s">
        <v>5163</v>
      </c>
      <c r="G4423" t="s">
        <v>5164</v>
      </c>
    </row>
    <row r="4424" spans="1:7" hidden="1">
      <c r="A4424" s="5" t="s">
        <v>4188</v>
      </c>
      <c r="B4424" t="s">
        <v>5161</v>
      </c>
      <c r="C4424" t="s">
        <v>473</v>
      </c>
      <c r="D4424" t="s">
        <v>9607</v>
      </c>
      <c r="E4424">
        <v>37</v>
      </c>
      <c r="F4424" t="s">
        <v>5163</v>
      </c>
      <c r="G4424" t="s">
        <v>1905</v>
      </c>
    </row>
    <row r="4425" spans="1:7" hidden="1">
      <c r="A4425" s="5" t="s">
        <v>4323</v>
      </c>
      <c r="B4425" t="s">
        <v>5161</v>
      </c>
      <c r="C4425" t="s">
        <v>473</v>
      </c>
      <c r="D4425" t="s">
        <v>5894</v>
      </c>
      <c r="E4425">
        <v>22</v>
      </c>
      <c r="F4425" t="s">
        <v>5163</v>
      </c>
      <c r="G4425" t="s">
        <v>1905</v>
      </c>
    </row>
    <row r="4426" spans="1:7" hidden="1">
      <c r="A4426" s="5" t="s">
        <v>3250</v>
      </c>
      <c r="B4426" t="s">
        <v>5161</v>
      </c>
      <c r="C4426" t="s">
        <v>473</v>
      </c>
      <c r="D4426" t="s">
        <v>9608</v>
      </c>
      <c r="E4426">
        <v>28</v>
      </c>
      <c r="F4426" t="s">
        <v>5163</v>
      </c>
      <c r="G4426" t="s">
        <v>1905</v>
      </c>
    </row>
    <row r="4427" spans="1:7" hidden="1">
      <c r="A4427" s="5" t="s">
        <v>4191</v>
      </c>
      <c r="B4427" t="s">
        <v>5161</v>
      </c>
      <c r="C4427" t="s">
        <v>473</v>
      </c>
      <c r="D4427" t="s">
        <v>9609</v>
      </c>
      <c r="E4427">
        <v>23</v>
      </c>
      <c r="F4427" t="s">
        <v>5163</v>
      </c>
      <c r="G4427" t="s">
        <v>5164</v>
      </c>
    </row>
    <row r="4428" spans="1:7" hidden="1">
      <c r="A4428" s="5" t="s">
        <v>4414</v>
      </c>
      <c r="B4428" t="s">
        <v>5161</v>
      </c>
      <c r="C4428" t="s">
        <v>473</v>
      </c>
      <c r="D4428" t="s">
        <v>9610</v>
      </c>
      <c r="E4428">
        <v>18</v>
      </c>
      <c r="F4428" t="s">
        <v>5163</v>
      </c>
      <c r="G4428" t="s">
        <v>5169</v>
      </c>
    </row>
    <row r="4429" spans="1:7" hidden="1">
      <c r="A4429" s="5" t="s">
        <v>462</v>
      </c>
      <c r="B4429" t="s">
        <v>5161</v>
      </c>
      <c r="C4429" t="s">
        <v>473</v>
      </c>
      <c r="D4429" t="s">
        <v>1048</v>
      </c>
      <c r="E4429">
        <v>31</v>
      </c>
      <c r="F4429" t="s">
        <v>5163</v>
      </c>
      <c r="G4429" t="s">
        <v>5164</v>
      </c>
    </row>
    <row r="4430" spans="1:7" hidden="1">
      <c r="A4430" s="5" t="s">
        <v>3868</v>
      </c>
      <c r="B4430" t="s">
        <v>5161</v>
      </c>
      <c r="C4430" t="s">
        <v>473</v>
      </c>
      <c r="D4430" t="s">
        <v>9611</v>
      </c>
      <c r="E4430">
        <v>46</v>
      </c>
      <c r="F4430" t="s">
        <v>5163</v>
      </c>
      <c r="G4430" t="s">
        <v>5164</v>
      </c>
    </row>
    <row r="4431" spans="1:7" hidden="1">
      <c r="A4431" s="5" t="s">
        <v>4421</v>
      </c>
      <c r="B4431" t="s">
        <v>5161</v>
      </c>
      <c r="C4431" t="s">
        <v>473</v>
      </c>
      <c r="D4431" t="s">
        <v>9612</v>
      </c>
      <c r="E4431">
        <v>19</v>
      </c>
      <c r="F4431" t="s">
        <v>5163</v>
      </c>
      <c r="G4431" t="s">
        <v>1905</v>
      </c>
    </row>
    <row r="4432" spans="1:7" hidden="1">
      <c r="A4432" s="5" t="s">
        <v>2391</v>
      </c>
      <c r="B4432" t="s">
        <v>5161</v>
      </c>
      <c r="C4432" t="s">
        <v>473</v>
      </c>
      <c r="D4432" t="s">
        <v>9613</v>
      </c>
      <c r="E4432">
        <v>21</v>
      </c>
      <c r="F4432" t="s">
        <v>5163</v>
      </c>
      <c r="G4432" t="s">
        <v>1905</v>
      </c>
    </row>
    <row r="4433" spans="1:7" hidden="1">
      <c r="A4433" s="5" t="s">
        <v>2851</v>
      </c>
      <c r="B4433" t="s">
        <v>5161</v>
      </c>
      <c r="C4433" t="s">
        <v>473</v>
      </c>
      <c r="D4433" t="s">
        <v>9614</v>
      </c>
      <c r="E4433">
        <v>32</v>
      </c>
      <c r="F4433" t="s">
        <v>5163</v>
      </c>
      <c r="G4433" t="s">
        <v>5169</v>
      </c>
    </row>
    <row r="4434" spans="1:7" hidden="1">
      <c r="A4434" s="5" t="s">
        <v>2844</v>
      </c>
      <c r="B4434" t="s">
        <v>5161</v>
      </c>
      <c r="C4434" t="s">
        <v>473</v>
      </c>
      <c r="D4434" t="s">
        <v>9615</v>
      </c>
      <c r="E4434">
        <v>29</v>
      </c>
      <c r="F4434" t="s">
        <v>5163</v>
      </c>
      <c r="G4434" t="s">
        <v>5169</v>
      </c>
    </row>
    <row r="4435" spans="1:7" hidden="1">
      <c r="A4435" s="5" t="s">
        <v>3266</v>
      </c>
      <c r="B4435" t="s">
        <v>5161</v>
      </c>
      <c r="C4435" t="s">
        <v>473</v>
      </c>
      <c r="D4435" t="s">
        <v>9616</v>
      </c>
      <c r="E4435">
        <v>18</v>
      </c>
      <c r="F4435" t="s">
        <v>5163</v>
      </c>
      <c r="G4435" t="s">
        <v>1905</v>
      </c>
    </row>
    <row r="4436" spans="1:7" hidden="1">
      <c r="A4436" s="5" t="s">
        <v>9617</v>
      </c>
      <c r="B4436" t="s">
        <v>5161</v>
      </c>
      <c r="C4436" t="s">
        <v>473</v>
      </c>
      <c r="D4436" t="s">
        <v>9618</v>
      </c>
      <c r="E4436">
        <v>18</v>
      </c>
      <c r="F4436" t="s">
        <v>5163</v>
      </c>
      <c r="G4436" t="s">
        <v>5164</v>
      </c>
    </row>
    <row r="4437" spans="1:7" hidden="1">
      <c r="A4437" s="5" t="s">
        <v>3056</v>
      </c>
      <c r="B4437" t="s">
        <v>5161</v>
      </c>
      <c r="C4437" t="s">
        <v>473</v>
      </c>
      <c r="D4437" t="s">
        <v>9619</v>
      </c>
      <c r="E4437">
        <v>29</v>
      </c>
      <c r="F4437" t="s">
        <v>5163</v>
      </c>
      <c r="G4437" t="s">
        <v>1905</v>
      </c>
    </row>
    <row r="4438" spans="1:7" hidden="1">
      <c r="A4438" s="5" t="s">
        <v>4329</v>
      </c>
      <c r="B4438" t="s">
        <v>5161</v>
      </c>
      <c r="C4438" t="s">
        <v>473</v>
      </c>
      <c r="D4438" t="s">
        <v>9620</v>
      </c>
      <c r="E4438">
        <v>27</v>
      </c>
      <c r="F4438" t="s">
        <v>5163</v>
      </c>
      <c r="G4438" t="s">
        <v>5164</v>
      </c>
    </row>
    <row r="4439" spans="1:7" hidden="1">
      <c r="A4439" s="5" t="s">
        <v>4329</v>
      </c>
      <c r="B4439" t="s">
        <v>5161</v>
      </c>
      <c r="C4439" t="s">
        <v>473</v>
      </c>
      <c r="D4439" t="s">
        <v>9621</v>
      </c>
      <c r="E4439" t="s">
        <v>5182</v>
      </c>
      <c r="F4439" t="s">
        <v>5163</v>
      </c>
      <c r="G4439" t="s">
        <v>5182</v>
      </c>
    </row>
    <row r="4440" spans="1:7" hidden="1">
      <c r="A4440" s="5" t="s">
        <v>4329</v>
      </c>
      <c r="B4440" t="s">
        <v>5161</v>
      </c>
      <c r="C4440" t="s">
        <v>473</v>
      </c>
      <c r="D4440" t="s">
        <v>9622</v>
      </c>
      <c r="E4440">
        <v>32</v>
      </c>
      <c r="F4440" t="s">
        <v>5163</v>
      </c>
      <c r="G4440" t="s">
        <v>5169</v>
      </c>
    </row>
    <row r="4441" spans="1:7" hidden="1">
      <c r="A4441" s="5" t="s">
        <v>4329</v>
      </c>
      <c r="B4441" t="s">
        <v>5161</v>
      </c>
      <c r="C4441" t="s">
        <v>473</v>
      </c>
      <c r="D4441" t="s">
        <v>9623</v>
      </c>
      <c r="E4441" t="s">
        <v>5182</v>
      </c>
      <c r="F4441" t="s">
        <v>5163</v>
      </c>
      <c r="G4441" t="s">
        <v>5182</v>
      </c>
    </row>
    <row r="4442" spans="1:7" hidden="1">
      <c r="A4442" s="5" t="s">
        <v>4329</v>
      </c>
      <c r="B4442" t="s">
        <v>5161</v>
      </c>
      <c r="C4442" t="s">
        <v>473</v>
      </c>
      <c r="D4442" t="s">
        <v>9624</v>
      </c>
      <c r="E4442">
        <v>36</v>
      </c>
      <c r="F4442" t="s">
        <v>5163</v>
      </c>
      <c r="G4442" t="s">
        <v>1905</v>
      </c>
    </row>
    <row r="4443" spans="1:7" hidden="1">
      <c r="A4443" s="5" t="s">
        <v>4329</v>
      </c>
      <c r="B4443" t="s">
        <v>5161</v>
      </c>
      <c r="C4443" t="s">
        <v>473</v>
      </c>
      <c r="D4443" t="s">
        <v>9625</v>
      </c>
      <c r="E4443">
        <v>25</v>
      </c>
      <c r="F4443" t="s">
        <v>5163</v>
      </c>
      <c r="G4443" t="s">
        <v>1905</v>
      </c>
    </row>
    <row r="4444" spans="1:7" hidden="1">
      <c r="A4444" s="5" t="s">
        <v>4329</v>
      </c>
      <c r="B4444" t="s">
        <v>5161</v>
      </c>
      <c r="C4444" t="s">
        <v>473</v>
      </c>
      <c r="D4444" t="s">
        <v>9626</v>
      </c>
      <c r="E4444">
        <v>36</v>
      </c>
      <c r="F4444" t="s">
        <v>5163</v>
      </c>
      <c r="G4444" t="s">
        <v>1905</v>
      </c>
    </row>
    <row r="4445" spans="1:7" hidden="1">
      <c r="A4445" s="5" t="s">
        <v>4329</v>
      </c>
      <c r="B4445" t="s">
        <v>5161</v>
      </c>
      <c r="C4445" t="s">
        <v>473</v>
      </c>
      <c r="D4445" t="s">
        <v>9627</v>
      </c>
      <c r="E4445">
        <v>41</v>
      </c>
      <c r="F4445" t="s">
        <v>5163</v>
      </c>
      <c r="G4445" t="s">
        <v>5164</v>
      </c>
    </row>
    <row r="4446" spans="1:7" hidden="1">
      <c r="A4446" s="5" t="s">
        <v>3775</v>
      </c>
      <c r="B4446" t="s">
        <v>5161</v>
      </c>
      <c r="C4446" t="s">
        <v>473</v>
      </c>
      <c r="D4446" t="s">
        <v>9628</v>
      </c>
      <c r="E4446">
        <v>20</v>
      </c>
      <c r="F4446" t="s">
        <v>5163</v>
      </c>
      <c r="G4446" t="s">
        <v>5169</v>
      </c>
    </row>
    <row r="4447" spans="1:7" hidden="1">
      <c r="A4447" s="5" t="s">
        <v>4304</v>
      </c>
      <c r="B4447" t="s">
        <v>5161</v>
      </c>
      <c r="C4447" t="s">
        <v>473</v>
      </c>
      <c r="D4447" t="s">
        <v>9629</v>
      </c>
      <c r="E4447">
        <v>21</v>
      </c>
      <c r="F4447" t="s">
        <v>5163</v>
      </c>
      <c r="G4447" t="s">
        <v>5164</v>
      </c>
    </row>
    <row r="4448" spans="1:7" hidden="1">
      <c r="A4448" s="5" t="s">
        <v>4304</v>
      </c>
      <c r="B4448" t="s">
        <v>5161</v>
      </c>
      <c r="C4448" t="s">
        <v>473</v>
      </c>
      <c r="D4448" t="s">
        <v>9630</v>
      </c>
      <c r="E4448">
        <v>24</v>
      </c>
      <c r="F4448" t="s">
        <v>5163</v>
      </c>
      <c r="G4448" t="s">
        <v>5164</v>
      </c>
    </row>
    <row r="4449" spans="1:7" hidden="1">
      <c r="A4449" s="5" t="s">
        <v>3019</v>
      </c>
      <c r="B4449" t="s">
        <v>5161</v>
      </c>
      <c r="C4449" t="s">
        <v>473</v>
      </c>
      <c r="D4449" t="s">
        <v>9631</v>
      </c>
      <c r="E4449">
        <v>19</v>
      </c>
      <c r="F4449" t="s">
        <v>5163</v>
      </c>
      <c r="G4449" t="s">
        <v>5164</v>
      </c>
    </row>
    <row r="4450" spans="1:7" hidden="1">
      <c r="A4450" s="5" t="s">
        <v>472</v>
      </c>
      <c r="B4450" t="s">
        <v>5161</v>
      </c>
      <c r="C4450" t="s">
        <v>473</v>
      </c>
      <c r="D4450" t="s">
        <v>9632</v>
      </c>
      <c r="E4450">
        <v>29</v>
      </c>
      <c r="F4450" t="s">
        <v>5163</v>
      </c>
      <c r="G4450" t="s">
        <v>5164</v>
      </c>
    </row>
    <row r="4451" spans="1:7" hidden="1">
      <c r="A4451" s="5" t="s">
        <v>4430</v>
      </c>
      <c r="B4451" t="s">
        <v>5161</v>
      </c>
      <c r="C4451" t="s">
        <v>473</v>
      </c>
      <c r="D4451" t="s">
        <v>9633</v>
      </c>
      <c r="E4451">
        <v>43</v>
      </c>
      <c r="F4451" t="s">
        <v>5163</v>
      </c>
      <c r="G4451" t="s">
        <v>5164</v>
      </c>
    </row>
    <row r="4452" spans="1:7" hidden="1">
      <c r="A4452" s="5" t="s">
        <v>2710</v>
      </c>
      <c r="B4452" t="s">
        <v>5161</v>
      </c>
      <c r="C4452" t="s">
        <v>473</v>
      </c>
      <c r="D4452" t="s">
        <v>9634</v>
      </c>
      <c r="E4452">
        <v>20</v>
      </c>
      <c r="F4452" t="s">
        <v>5163</v>
      </c>
      <c r="G4452" t="s">
        <v>5164</v>
      </c>
    </row>
    <row r="4453" spans="1:7" hidden="1">
      <c r="A4453" s="5" t="s">
        <v>4439</v>
      </c>
      <c r="B4453" t="s">
        <v>5161</v>
      </c>
      <c r="C4453" t="s">
        <v>473</v>
      </c>
      <c r="D4453" t="s">
        <v>9635</v>
      </c>
      <c r="E4453">
        <v>25</v>
      </c>
      <c r="F4453" t="s">
        <v>5163</v>
      </c>
      <c r="G4453" t="s">
        <v>5164</v>
      </c>
    </row>
    <row r="4454" spans="1:7" hidden="1">
      <c r="A4454" s="5" t="s">
        <v>2352</v>
      </c>
      <c r="B4454" t="s">
        <v>5161</v>
      </c>
      <c r="C4454" t="s">
        <v>473</v>
      </c>
      <c r="D4454" t="s">
        <v>9636</v>
      </c>
      <c r="E4454">
        <v>20</v>
      </c>
      <c r="F4454" t="s">
        <v>5163</v>
      </c>
      <c r="G4454" t="s">
        <v>5164</v>
      </c>
    </row>
    <row r="4455" spans="1:7" hidden="1">
      <c r="A4455" s="5" t="s">
        <v>4957</v>
      </c>
      <c r="B4455" t="s">
        <v>5161</v>
      </c>
      <c r="C4455" t="s">
        <v>473</v>
      </c>
      <c r="D4455" t="s">
        <v>9637</v>
      </c>
      <c r="E4455">
        <v>20</v>
      </c>
      <c r="F4455" t="s">
        <v>5163</v>
      </c>
      <c r="G4455" t="s">
        <v>5164</v>
      </c>
    </row>
    <row r="4456" spans="1:7" hidden="1">
      <c r="A4456" s="5" t="s">
        <v>4957</v>
      </c>
      <c r="B4456" t="s">
        <v>5161</v>
      </c>
      <c r="C4456" t="s">
        <v>473</v>
      </c>
      <c r="D4456" t="s">
        <v>9638</v>
      </c>
      <c r="E4456">
        <v>25</v>
      </c>
      <c r="F4456" t="s">
        <v>5163</v>
      </c>
      <c r="G4456" t="s">
        <v>5164</v>
      </c>
    </row>
    <row r="4457" spans="1:7" hidden="1">
      <c r="A4457" s="5" t="s">
        <v>466</v>
      </c>
      <c r="B4457" t="s">
        <v>5161</v>
      </c>
      <c r="C4457" t="s">
        <v>473</v>
      </c>
      <c r="D4457" t="s">
        <v>1056</v>
      </c>
      <c r="E4457">
        <v>28</v>
      </c>
      <c r="F4457" t="s">
        <v>5163</v>
      </c>
      <c r="G4457" t="s">
        <v>5164</v>
      </c>
    </row>
    <row r="4458" spans="1:7" hidden="1">
      <c r="A4458" s="5" t="s">
        <v>2788</v>
      </c>
      <c r="B4458" t="s">
        <v>5161</v>
      </c>
      <c r="C4458" t="s">
        <v>473</v>
      </c>
      <c r="D4458" t="s">
        <v>9639</v>
      </c>
      <c r="E4458">
        <v>23</v>
      </c>
      <c r="F4458" t="s">
        <v>5163</v>
      </c>
      <c r="G4458" t="s">
        <v>5164</v>
      </c>
    </row>
    <row r="4459" spans="1:7" hidden="1">
      <c r="A4459" s="5" t="s">
        <v>4617</v>
      </c>
      <c r="B4459" t="s">
        <v>5161</v>
      </c>
      <c r="C4459" t="s">
        <v>473</v>
      </c>
      <c r="D4459" t="s">
        <v>9640</v>
      </c>
      <c r="E4459">
        <v>27</v>
      </c>
      <c r="F4459" t="s">
        <v>5163</v>
      </c>
      <c r="G4459" t="s">
        <v>5169</v>
      </c>
    </row>
    <row r="4460" spans="1:7" hidden="1">
      <c r="A4460" s="5" t="s">
        <v>2528</v>
      </c>
      <c r="B4460" t="s">
        <v>5161</v>
      </c>
      <c r="C4460" t="s">
        <v>473</v>
      </c>
      <c r="D4460" t="s">
        <v>9641</v>
      </c>
      <c r="E4460">
        <v>19</v>
      </c>
      <c r="F4460" t="s">
        <v>5163</v>
      </c>
      <c r="G4460" t="s">
        <v>5164</v>
      </c>
    </row>
    <row r="4461" spans="1:7" hidden="1">
      <c r="A4461" s="5" t="s">
        <v>4793</v>
      </c>
      <c r="B4461" t="s">
        <v>5161</v>
      </c>
      <c r="C4461" t="s">
        <v>473</v>
      </c>
      <c r="D4461" t="s">
        <v>9642</v>
      </c>
      <c r="E4461">
        <v>25</v>
      </c>
      <c r="F4461" t="s">
        <v>5163</v>
      </c>
      <c r="G4461" t="s">
        <v>5164</v>
      </c>
    </row>
    <row r="4462" spans="1:7" hidden="1">
      <c r="A4462" s="5" t="s">
        <v>2241</v>
      </c>
      <c r="B4462" t="s">
        <v>5161</v>
      </c>
      <c r="C4462" t="s">
        <v>473</v>
      </c>
      <c r="D4462" t="s">
        <v>9643</v>
      </c>
      <c r="E4462">
        <v>31</v>
      </c>
      <c r="F4462" t="s">
        <v>5163</v>
      </c>
      <c r="G4462" t="s">
        <v>5164</v>
      </c>
    </row>
    <row r="4463" spans="1:7" hidden="1">
      <c r="A4463" s="5" t="s">
        <v>4742</v>
      </c>
      <c r="B4463" t="s">
        <v>5161</v>
      </c>
      <c r="C4463" t="s">
        <v>473</v>
      </c>
      <c r="D4463" t="s">
        <v>9644</v>
      </c>
      <c r="E4463">
        <v>22</v>
      </c>
      <c r="F4463" t="s">
        <v>5163</v>
      </c>
      <c r="G4463" t="s">
        <v>5169</v>
      </c>
    </row>
    <row r="4464" spans="1:7" hidden="1">
      <c r="A4464" s="5" t="s">
        <v>4920</v>
      </c>
      <c r="B4464" t="s">
        <v>5161</v>
      </c>
      <c r="C4464" t="s">
        <v>473</v>
      </c>
      <c r="D4464" t="s">
        <v>9645</v>
      </c>
      <c r="E4464">
        <v>18</v>
      </c>
      <c r="F4464" t="s">
        <v>5163</v>
      </c>
      <c r="G4464" t="s">
        <v>5164</v>
      </c>
    </row>
    <row r="4465" spans="1:7" hidden="1">
      <c r="A4465" s="5" t="s">
        <v>4190</v>
      </c>
      <c r="B4465" t="s">
        <v>5161</v>
      </c>
      <c r="C4465" t="s">
        <v>473</v>
      </c>
      <c r="D4465" t="s">
        <v>9646</v>
      </c>
      <c r="E4465">
        <v>24</v>
      </c>
      <c r="F4465" t="s">
        <v>5163</v>
      </c>
      <c r="G4465" t="s">
        <v>1905</v>
      </c>
    </row>
    <row r="4466" spans="1:7" hidden="1">
      <c r="A4466" s="5" t="s">
        <v>2603</v>
      </c>
      <c r="B4466" t="s">
        <v>5161</v>
      </c>
      <c r="C4466" t="s">
        <v>473</v>
      </c>
      <c r="D4466" t="s">
        <v>9647</v>
      </c>
      <c r="E4466">
        <v>18</v>
      </c>
      <c r="F4466" t="s">
        <v>5163</v>
      </c>
      <c r="G4466" t="s">
        <v>5164</v>
      </c>
    </row>
    <row r="4467" spans="1:7" hidden="1">
      <c r="A4467" s="5" t="s">
        <v>463</v>
      </c>
      <c r="B4467" t="s">
        <v>5161</v>
      </c>
      <c r="C4467" t="s">
        <v>473</v>
      </c>
      <c r="D4467" t="s">
        <v>1051</v>
      </c>
      <c r="E4467">
        <v>18</v>
      </c>
      <c r="F4467" t="s">
        <v>5163</v>
      </c>
      <c r="G4467" t="s">
        <v>5164</v>
      </c>
    </row>
    <row r="4468" spans="1:7" hidden="1">
      <c r="A4468" s="5" t="s">
        <v>9648</v>
      </c>
      <c r="B4468" t="s">
        <v>5161</v>
      </c>
      <c r="C4468" t="s">
        <v>473</v>
      </c>
      <c r="D4468" t="s">
        <v>9649</v>
      </c>
      <c r="E4468">
        <v>38</v>
      </c>
      <c r="F4468" t="s">
        <v>5163</v>
      </c>
      <c r="G4468" t="s">
        <v>1905</v>
      </c>
    </row>
    <row r="4469" spans="1:7" hidden="1">
      <c r="A4469" s="5" t="s">
        <v>2864</v>
      </c>
      <c r="B4469" t="s">
        <v>5161</v>
      </c>
      <c r="C4469" t="s">
        <v>473</v>
      </c>
      <c r="D4469" t="s">
        <v>9650</v>
      </c>
      <c r="E4469">
        <v>21</v>
      </c>
      <c r="F4469" t="s">
        <v>5163</v>
      </c>
      <c r="G4469" t="s">
        <v>5164</v>
      </c>
    </row>
    <row r="4470" spans="1:7" hidden="1">
      <c r="A4470" s="5" t="s">
        <v>4087</v>
      </c>
      <c r="B4470" t="s">
        <v>5161</v>
      </c>
      <c r="C4470" t="s">
        <v>473</v>
      </c>
      <c r="D4470" t="s">
        <v>9651</v>
      </c>
      <c r="E4470">
        <v>21</v>
      </c>
      <c r="F4470" t="s">
        <v>5163</v>
      </c>
      <c r="G4470" t="s">
        <v>5169</v>
      </c>
    </row>
    <row r="4471" spans="1:7" hidden="1">
      <c r="A4471" s="5" t="s">
        <v>3235</v>
      </c>
      <c r="B4471" t="s">
        <v>5161</v>
      </c>
      <c r="C4471" t="s">
        <v>473</v>
      </c>
      <c r="D4471" t="s">
        <v>9652</v>
      </c>
      <c r="E4471">
        <v>35</v>
      </c>
      <c r="F4471" t="s">
        <v>5163</v>
      </c>
      <c r="G4471" t="s">
        <v>5164</v>
      </c>
    </row>
    <row r="4472" spans="1:7" hidden="1">
      <c r="A4472" s="5" t="s">
        <v>4225</v>
      </c>
      <c r="B4472" t="s">
        <v>5161</v>
      </c>
      <c r="C4472" t="s">
        <v>473</v>
      </c>
      <c r="D4472" t="s">
        <v>9653</v>
      </c>
      <c r="E4472">
        <v>25</v>
      </c>
      <c r="F4472" t="s">
        <v>5163</v>
      </c>
      <c r="G4472" t="s">
        <v>5164</v>
      </c>
    </row>
    <row r="4473" spans="1:7" hidden="1">
      <c r="A4473" s="5" t="s">
        <v>4351</v>
      </c>
      <c r="B4473" t="s">
        <v>5161</v>
      </c>
      <c r="C4473" t="s">
        <v>473</v>
      </c>
      <c r="D4473" t="s">
        <v>9654</v>
      </c>
      <c r="E4473">
        <v>33</v>
      </c>
      <c r="F4473" t="s">
        <v>5163</v>
      </c>
      <c r="G4473" t="s">
        <v>1905</v>
      </c>
    </row>
    <row r="4474" spans="1:7" hidden="1">
      <c r="A4474" s="5" t="s">
        <v>4497</v>
      </c>
      <c r="B4474" t="s">
        <v>5161</v>
      </c>
      <c r="C4474" t="s">
        <v>473</v>
      </c>
      <c r="D4474" t="s">
        <v>9655</v>
      </c>
      <c r="E4474">
        <v>27</v>
      </c>
      <c r="F4474" t="s">
        <v>5163</v>
      </c>
      <c r="G4474" t="s">
        <v>1905</v>
      </c>
    </row>
    <row r="4475" spans="1:7" hidden="1">
      <c r="A4475" s="5" t="s">
        <v>4497</v>
      </c>
      <c r="B4475" t="s">
        <v>5161</v>
      </c>
      <c r="C4475" t="s">
        <v>473</v>
      </c>
      <c r="D4475" t="s">
        <v>9656</v>
      </c>
      <c r="E4475">
        <v>36</v>
      </c>
      <c r="F4475" t="s">
        <v>5163</v>
      </c>
      <c r="G4475" t="s">
        <v>1905</v>
      </c>
    </row>
    <row r="4476" spans="1:7" hidden="1">
      <c r="A4476" s="5" t="s">
        <v>471</v>
      </c>
      <c r="B4476" t="s">
        <v>5161</v>
      </c>
      <c r="C4476" t="s">
        <v>473</v>
      </c>
      <c r="D4476" t="s">
        <v>1035</v>
      </c>
      <c r="E4476">
        <v>41</v>
      </c>
      <c r="F4476" t="s">
        <v>5163</v>
      </c>
      <c r="G4476" t="s">
        <v>1905</v>
      </c>
    </row>
    <row r="4477" spans="1:7" hidden="1">
      <c r="A4477" s="5" t="s">
        <v>3352</v>
      </c>
      <c r="B4477" t="s">
        <v>5161</v>
      </c>
      <c r="C4477" t="s">
        <v>473</v>
      </c>
      <c r="D4477" t="s">
        <v>9657</v>
      </c>
      <c r="E4477">
        <v>29</v>
      </c>
      <c r="F4477" t="s">
        <v>5163</v>
      </c>
      <c r="G4477" t="s">
        <v>5164</v>
      </c>
    </row>
    <row r="4478" spans="1:7" hidden="1">
      <c r="A4478" s="5" t="s">
        <v>4553</v>
      </c>
      <c r="B4478" t="s">
        <v>5161</v>
      </c>
      <c r="C4478" t="s">
        <v>473</v>
      </c>
      <c r="D4478" t="s">
        <v>9658</v>
      </c>
      <c r="E4478">
        <v>21</v>
      </c>
      <c r="F4478" t="s">
        <v>5163</v>
      </c>
      <c r="G4478" t="s">
        <v>1905</v>
      </c>
    </row>
    <row r="4479" spans="1:7" hidden="1">
      <c r="A4479" s="5" t="s">
        <v>4458</v>
      </c>
      <c r="B4479" t="s">
        <v>5161</v>
      </c>
      <c r="C4479" t="s">
        <v>473</v>
      </c>
      <c r="D4479" t="s">
        <v>9659</v>
      </c>
      <c r="E4479">
        <v>23</v>
      </c>
      <c r="F4479" t="s">
        <v>5163</v>
      </c>
      <c r="G4479" t="s">
        <v>5164</v>
      </c>
    </row>
    <row r="4480" spans="1:7" hidden="1">
      <c r="A4480" s="5" t="s">
        <v>4458</v>
      </c>
      <c r="B4480" t="s">
        <v>5161</v>
      </c>
      <c r="C4480" t="s">
        <v>473</v>
      </c>
      <c r="D4480" t="s">
        <v>9660</v>
      </c>
      <c r="E4480">
        <v>19</v>
      </c>
      <c r="F4480" t="s">
        <v>5163</v>
      </c>
      <c r="G4480" t="s">
        <v>5164</v>
      </c>
    </row>
    <row r="4481" spans="1:7" hidden="1">
      <c r="A4481" s="5" t="s">
        <v>4317</v>
      </c>
      <c r="B4481" t="s">
        <v>5161</v>
      </c>
      <c r="C4481" t="s">
        <v>473</v>
      </c>
      <c r="D4481" t="s">
        <v>9661</v>
      </c>
      <c r="E4481">
        <v>38</v>
      </c>
      <c r="F4481" t="s">
        <v>5163</v>
      </c>
      <c r="G4481" t="s">
        <v>5182</v>
      </c>
    </row>
    <row r="4482" spans="1:7" hidden="1">
      <c r="A4482" s="5" t="s">
        <v>4349</v>
      </c>
      <c r="B4482" t="s">
        <v>5161</v>
      </c>
      <c r="C4482" t="s">
        <v>473</v>
      </c>
      <c r="D4482" t="s">
        <v>9662</v>
      </c>
      <c r="E4482">
        <v>33</v>
      </c>
      <c r="F4482" t="s">
        <v>5163</v>
      </c>
      <c r="G4482" t="s">
        <v>1905</v>
      </c>
    </row>
    <row r="4483" spans="1:7" hidden="1">
      <c r="A4483" s="5" t="s">
        <v>4349</v>
      </c>
      <c r="B4483" t="s">
        <v>5161</v>
      </c>
      <c r="C4483" t="s">
        <v>473</v>
      </c>
      <c r="D4483" t="s">
        <v>7392</v>
      </c>
      <c r="E4483">
        <v>22</v>
      </c>
      <c r="F4483" t="s">
        <v>5163</v>
      </c>
      <c r="G4483" t="s">
        <v>5164</v>
      </c>
    </row>
    <row r="4484" spans="1:7" hidden="1">
      <c r="A4484" s="5" t="s">
        <v>4412</v>
      </c>
      <c r="B4484" t="s">
        <v>5161</v>
      </c>
      <c r="C4484" t="s">
        <v>473</v>
      </c>
      <c r="D4484" t="s">
        <v>9663</v>
      </c>
      <c r="E4484">
        <v>20</v>
      </c>
      <c r="F4484" t="s">
        <v>5163</v>
      </c>
      <c r="G4484" t="s">
        <v>5164</v>
      </c>
    </row>
    <row r="4485" spans="1:7" hidden="1">
      <c r="A4485" s="5" t="s">
        <v>4068</v>
      </c>
      <c r="B4485" t="s">
        <v>5161</v>
      </c>
      <c r="C4485" t="s">
        <v>473</v>
      </c>
      <c r="D4485" t="s">
        <v>9664</v>
      </c>
      <c r="E4485">
        <v>41</v>
      </c>
      <c r="F4485" t="s">
        <v>5163</v>
      </c>
      <c r="G4485" t="s">
        <v>5164</v>
      </c>
    </row>
    <row r="4486" spans="1:7" hidden="1">
      <c r="A4486" s="5" t="s">
        <v>9665</v>
      </c>
      <c r="B4486" t="s">
        <v>5161</v>
      </c>
      <c r="C4486" t="s">
        <v>473</v>
      </c>
      <c r="D4486" t="s">
        <v>9666</v>
      </c>
      <c r="E4486">
        <v>26</v>
      </c>
      <c r="F4486" t="s">
        <v>5163</v>
      </c>
      <c r="G4486" t="s">
        <v>5169</v>
      </c>
    </row>
    <row r="4487" spans="1:7" hidden="1">
      <c r="A4487" s="5" t="s">
        <v>9665</v>
      </c>
      <c r="B4487" t="s">
        <v>5161</v>
      </c>
      <c r="C4487" t="s">
        <v>473</v>
      </c>
      <c r="D4487" t="s">
        <v>9667</v>
      </c>
      <c r="E4487">
        <v>18</v>
      </c>
      <c r="F4487" t="s">
        <v>5163</v>
      </c>
      <c r="G4487" t="s">
        <v>1905</v>
      </c>
    </row>
    <row r="4488" spans="1:7" hidden="1">
      <c r="A4488" s="5" t="s">
        <v>4508</v>
      </c>
      <c r="B4488" t="s">
        <v>5161</v>
      </c>
      <c r="C4488" t="s">
        <v>473</v>
      </c>
      <c r="D4488" t="s">
        <v>9668</v>
      </c>
      <c r="E4488">
        <v>19</v>
      </c>
      <c r="F4488" t="s">
        <v>5163</v>
      </c>
      <c r="G4488" t="s">
        <v>5164</v>
      </c>
    </row>
    <row r="4489" spans="1:7" hidden="1">
      <c r="A4489" s="5" t="s">
        <v>2416</v>
      </c>
      <c r="B4489" t="s">
        <v>5161</v>
      </c>
      <c r="C4489" t="s">
        <v>473</v>
      </c>
      <c r="D4489" t="s">
        <v>9669</v>
      </c>
      <c r="E4489">
        <v>41</v>
      </c>
      <c r="F4489" t="s">
        <v>5163</v>
      </c>
      <c r="G4489" t="s">
        <v>1905</v>
      </c>
    </row>
    <row r="4490" spans="1:7" hidden="1">
      <c r="A4490" s="5" t="s">
        <v>2416</v>
      </c>
      <c r="B4490" t="s">
        <v>5161</v>
      </c>
      <c r="C4490" t="s">
        <v>473</v>
      </c>
      <c r="D4490" t="s">
        <v>9670</v>
      </c>
      <c r="E4490" t="s">
        <v>5182</v>
      </c>
      <c r="F4490" t="s">
        <v>5163</v>
      </c>
      <c r="G4490" t="s">
        <v>1905</v>
      </c>
    </row>
    <row r="4491" spans="1:7" hidden="1">
      <c r="A4491" s="5" t="s">
        <v>2416</v>
      </c>
      <c r="B4491" t="s">
        <v>5161</v>
      </c>
      <c r="C4491" t="s">
        <v>473</v>
      </c>
      <c r="D4491" t="s">
        <v>9671</v>
      </c>
      <c r="E4491">
        <v>39</v>
      </c>
      <c r="F4491" t="s">
        <v>5163</v>
      </c>
      <c r="G4491" t="s">
        <v>5169</v>
      </c>
    </row>
    <row r="4492" spans="1:7" hidden="1">
      <c r="A4492" s="5" t="s">
        <v>4475</v>
      </c>
      <c r="B4492" t="s">
        <v>5161</v>
      </c>
      <c r="C4492" t="s">
        <v>473</v>
      </c>
      <c r="D4492" t="s">
        <v>6163</v>
      </c>
      <c r="E4492">
        <v>18</v>
      </c>
      <c r="F4492" t="s">
        <v>5163</v>
      </c>
      <c r="G4492" t="s">
        <v>5164</v>
      </c>
    </row>
    <row r="4493" spans="1:7" hidden="1">
      <c r="A4493" s="5" t="s">
        <v>3734</v>
      </c>
      <c r="B4493" t="s">
        <v>5161</v>
      </c>
      <c r="C4493" t="s">
        <v>473</v>
      </c>
      <c r="D4493" t="s">
        <v>9672</v>
      </c>
      <c r="E4493">
        <v>36</v>
      </c>
      <c r="F4493" t="s">
        <v>5163</v>
      </c>
      <c r="G4493" t="s">
        <v>1905</v>
      </c>
    </row>
    <row r="4494" spans="1:7" hidden="1">
      <c r="A4494" s="5" t="s">
        <v>3116</v>
      </c>
      <c r="B4494" t="s">
        <v>5161</v>
      </c>
      <c r="C4494" t="s">
        <v>473</v>
      </c>
      <c r="D4494" t="s">
        <v>9673</v>
      </c>
      <c r="E4494">
        <v>25</v>
      </c>
      <c r="F4494" t="s">
        <v>5163</v>
      </c>
      <c r="G4494" t="s">
        <v>5164</v>
      </c>
    </row>
    <row r="4495" spans="1:7" hidden="1">
      <c r="A4495" s="5" t="s">
        <v>2906</v>
      </c>
      <c r="B4495" t="s">
        <v>5161</v>
      </c>
      <c r="C4495" t="s">
        <v>473</v>
      </c>
      <c r="D4495" t="s">
        <v>9674</v>
      </c>
      <c r="E4495">
        <v>40</v>
      </c>
      <c r="F4495" t="s">
        <v>5163</v>
      </c>
      <c r="G4495" t="s">
        <v>5169</v>
      </c>
    </row>
    <row r="4496" spans="1:7" hidden="1">
      <c r="A4496" s="5" t="s">
        <v>3115</v>
      </c>
      <c r="B4496" t="s">
        <v>5161</v>
      </c>
      <c r="C4496" t="s">
        <v>473</v>
      </c>
      <c r="D4496" t="s">
        <v>9675</v>
      </c>
      <c r="E4496">
        <v>40</v>
      </c>
      <c r="F4496" t="s">
        <v>5163</v>
      </c>
      <c r="G4496" t="s">
        <v>1905</v>
      </c>
    </row>
    <row r="4497" spans="1:7" hidden="1">
      <c r="A4497" s="5" t="s">
        <v>3660</v>
      </c>
      <c r="B4497" t="s">
        <v>5161</v>
      </c>
      <c r="C4497" t="s">
        <v>473</v>
      </c>
      <c r="D4497" t="s">
        <v>9676</v>
      </c>
      <c r="E4497">
        <v>24</v>
      </c>
      <c r="F4497" t="s">
        <v>5163</v>
      </c>
      <c r="G4497" t="s">
        <v>5164</v>
      </c>
    </row>
    <row r="4498" spans="1:7" hidden="1">
      <c r="A4498" s="5" t="s">
        <v>4750</v>
      </c>
      <c r="B4498" t="s">
        <v>5161</v>
      </c>
      <c r="C4498" t="s">
        <v>473</v>
      </c>
      <c r="D4498" t="s">
        <v>9677</v>
      </c>
      <c r="E4498">
        <v>35</v>
      </c>
      <c r="F4498" t="s">
        <v>5163</v>
      </c>
      <c r="G4498" t="s">
        <v>1905</v>
      </c>
    </row>
    <row r="4499" spans="1:7" hidden="1">
      <c r="A4499" s="5" t="s">
        <v>3507</v>
      </c>
      <c r="B4499" t="s">
        <v>5161</v>
      </c>
      <c r="C4499" t="s">
        <v>473</v>
      </c>
      <c r="D4499" t="s">
        <v>9678</v>
      </c>
      <c r="E4499">
        <v>29</v>
      </c>
      <c r="F4499" t="s">
        <v>5163</v>
      </c>
      <c r="G4499" t="s">
        <v>5164</v>
      </c>
    </row>
    <row r="4500" spans="1:7" hidden="1">
      <c r="A4500" s="5" t="s">
        <v>3656</v>
      </c>
      <c r="B4500" t="s">
        <v>5161</v>
      </c>
      <c r="C4500" t="s">
        <v>473</v>
      </c>
      <c r="D4500" t="s">
        <v>9679</v>
      </c>
      <c r="E4500">
        <v>20</v>
      </c>
      <c r="F4500" t="s">
        <v>5163</v>
      </c>
      <c r="G4500" t="s">
        <v>1905</v>
      </c>
    </row>
    <row r="4501" spans="1:7" hidden="1">
      <c r="A4501" s="5" t="s">
        <v>2255</v>
      </c>
      <c r="B4501" t="s">
        <v>5161</v>
      </c>
      <c r="C4501" t="s">
        <v>473</v>
      </c>
      <c r="D4501" t="s">
        <v>9680</v>
      </c>
      <c r="E4501">
        <v>18</v>
      </c>
      <c r="F4501" t="s">
        <v>5163</v>
      </c>
      <c r="G4501" t="s">
        <v>5164</v>
      </c>
    </row>
    <row r="4502" spans="1:7" hidden="1">
      <c r="A4502" s="5" t="s">
        <v>2198</v>
      </c>
      <c r="B4502" t="s">
        <v>5161</v>
      </c>
      <c r="C4502" t="s">
        <v>473</v>
      </c>
      <c r="D4502" t="s">
        <v>9681</v>
      </c>
      <c r="E4502">
        <v>24</v>
      </c>
      <c r="F4502" t="s">
        <v>5163</v>
      </c>
      <c r="G4502" t="s">
        <v>5169</v>
      </c>
    </row>
    <row r="4503" spans="1:7" hidden="1">
      <c r="A4503" s="5" t="s">
        <v>2379</v>
      </c>
      <c r="B4503" t="s">
        <v>5161</v>
      </c>
      <c r="C4503" t="s">
        <v>473</v>
      </c>
      <c r="D4503" t="s">
        <v>9682</v>
      </c>
      <c r="E4503">
        <v>21</v>
      </c>
      <c r="F4503" t="s">
        <v>5163</v>
      </c>
      <c r="G4503" t="s">
        <v>5169</v>
      </c>
    </row>
    <row r="4504" spans="1:7" hidden="1">
      <c r="A4504" s="5" t="s">
        <v>3025</v>
      </c>
      <c r="B4504" t="s">
        <v>5161</v>
      </c>
      <c r="C4504" t="s">
        <v>473</v>
      </c>
      <c r="D4504" t="s">
        <v>9683</v>
      </c>
      <c r="E4504">
        <v>27</v>
      </c>
      <c r="F4504" t="s">
        <v>5163</v>
      </c>
      <c r="G4504" t="s">
        <v>1905</v>
      </c>
    </row>
    <row r="4505" spans="1:7" hidden="1">
      <c r="A4505" s="5" t="s">
        <v>9684</v>
      </c>
      <c r="B4505" t="s">
        <v>5161</v>
      </c>
      <c r="C4505" t="s">
        <v>473</v>
      </c>
      <c r="D4505" t="s">
        <v>9685</v>
      </c>
      <c r="E4505">
        <v>19</v>
      </c>
      <c r="F4505" t="s">
        <v>5163</v>
      </c>
      <c r="G4505" t="s">
        <v>1905</v>
      </c>
    </row>
    <row r="4506" spans="1:7" hidden="1">
      <c r="A4506" s="5" t="s">
        <v>4380</v>
      </c>
      <c r="B4506" t="s">
        <v>5161</v>
      </c>
      <c r="C4506" t="s">
        <v>473</v>
      </c>
      <c r="D4506" t="s">
        <v>9686</v>
      </c>
      <c r="E4506">
        <v>29</v>
      </c>
      <c r="F4506" t="s">
        <v>5172</v>
      </c>
      <c r="G4506" t="s">
        <v>1905</v>
      </c>
    </row>
    <row r="4507" spans="1:7" hidden="1">
      <c r="A4507" s="5" t="s">
        <v>2458</v>
      </c>
      <c r="B4507" t="s">
        <v>5161</v>
      </c>
      <c r="C4507" t="s">
        <v>473</v>
      </c>
      <c r="D4507" t="s">
        <v>5586</v>
      </c>
      <c r="E4507">
        <v>20</v>
      </c>
      <c r="F4507" t="s">
        <v>5163</v>
      </c>
      <c r="G4507" t="s">
        <v>1905</v>
      </c>
    </row>
    <row r="4508" spans="1:7" hidden="1">
      <c r="A4508" s="5" t="s">
        <v>469</v>
      </c>
      <c r="B4508" t="s">
        <v>5161</v>
      </c>
      <c r="C4508" t="s">
        <v>473</v>
      </c>
      <c r="D4508" t="s">
        <v>1061</v>
      </c>
      <c r="E4508">
        <v>26</v>
      </c>
      <c r="F4508" t="s">
        <v>5163</v>
      </c>
      <c r="G4508" t="s">
        <v>1905</v>
      </c>
    </row>
    <row r="4509" spans="1:7" hidden="1">
      <c r="A4509" s="5" t="s">
        <v>9687</v>
      </c>
      <c r="B4509" t="s">
        <v>5161</v>
      </c>
      <c r="C4509" t="s">
        <v>473</v>
      </c>
      <c r="D4509" t="s">
        <v>9688</v>
      </c>
      <c r="E4509">
        <v>18</v>
      </c>
      <c r="F4509" t="s">
        <v>5163</v>
      </c>
      <c r="G4509" t="s">
        <v>5164</v>
      </c>
    </row>
    <row r="4510" spans="1:7" hidden="1">
      <c r="A4510" s="5" t="s">
        <v>9689</v>
      </c>
      <c r="B4510" t="s">
        <v>5161</v>
      </c>
      <c r="C4510" t="s">
        <v>473</v>
      </c>
      <c r="D4510" t="s">
        <v>9638</v>
      </c>
      <c r="E4510">
        <v>25</v>
      </c>
      <c r="F4510" t="s">
        <v>5163</v>
      </c>
      <c r="G4510" t="s">
        <v>5164</v>
      </c>
    </row>
    <row r="4511" spans="1:7" hidden="1">
      <c r="A4511" s="5" t="s">
        <v>9689</v>
      </c>
      <c r="B4511" t="s">
        <v>5161</v>
      </c>
      <c r="C4511" t="s">
        <v>473</v>
      </c>
      <c r="D4511" t="s">
        <v>9637</v>
      </c>
      <c r="E4511">
        <v>20</v>
      </c>
      <c r="F4511" t="s">
        <v>5163</v>
      </c>
      <c r="G4511" t="s">
        <v>5164</v>
      </c>
    </row>
    <row r="4512" spans="1:7" hidden="1">
      <c r="A4512" s="5" t="s">
        <v>2312</v>
      </c>
      <c r="B4512" t="s">
        <v>5161</v>
      </c>
      <c r="C4512" t="s">
        <v>473</v>
      </c>
      <c r="D4512" t="s">
        <v>9690</v>
      </c>
      <c r="E4512">
        <v>28</v>
      </c>
      <c r="F4512" t="s">
        <v>5163</v>
      </c>
      <c r="G4512" t="s">
        <v>5164</v>
      </c>
    </row>
    <row r="4513" spans="1:7" hidden="1">
      <c r="A4513" s="5" t="s">
        <v>9691</v>
      </c>
      <c r="B4513" t="s">
        <v>5161</v>
      </c>
      <c r="C4513" t="s">
        <v>473</v>
      </c>
      <c r="D4513" t="s">
        <v>9692</v>
      </c>
      <c r="E4513">
        <v>18</v>
      </c>
      <c r="F4513" t="s">
        <v>5163</v>
      </c>
      <c r="G4513" t="s">
        <v>5164</v>
      </c>
    </row>
    <row r="4514" spans="1:7" hidden="1">
      <c r="A4514" s="5" t="s">
        <v>9691</v>
      </c>
      <c r="B4514" t="s">
        <v>5161</v>
      </c>
      <c r="C4514" t="s">
        <v>473</v>
      </c>
      <c r="D4514" t="s">
        <v>9693</v>
      </c>
      <c r="E4514">
        <v>18</v>
      </c>
      <c r="F4514" t="s">
        <v>5163</v>
      </c>
      <c r="G4514" t="s">
        <v>1905</v>
      </c>
    </row>
    <row r="4515" spans="1:7" hidden="1">
      <c r="A4515" s="5" t="s">
        <v>2777</v>
      </c>
      <c r="B4515" t="s">
        <v>5161</v>
      </c>
      <c r="C4515" t="s">
        <v>473</v>
      </c>
      <c r="D4515" t="s">
        <v>9694</v>
      </c>
      <c r="E4515">
        <v>20</v>
      </c>
      <c r="F4515" t="s">
        <v>5163</v>
      </c>
      <c r="G4515" t="s">
        <v>5164</v>
      </c>
    </row>
    <row r="4516" spans="1:7" hidden="1">
      <c r="A4516" s="5" t="s">
        <v>3286</v>
      </c>
      <c r="B4516" t="s">
        <v>5161</v>
      </c>
      <c r="C4516" t="s">
        <v>473</v>
      </c>
      <c r="D4516" t="s">
        <v>9695</v>
      </c>
      <c r="E4516">
        <v>23</v>
      </c>
      <c r="F4516" t="s">
        <v>5163</v>
      </c>
      <c r="G4516" t="s">
        <v>1905</v>
      </c>
    </row>
    <row r="4517" spans="1:7" hidden="1">
      <c r="A4517" s="5" t="s">
        <v>4142</v>
      </c>
      <c r="B4517" t="s">
        <v>5161</v>
      </c>
      <c r="C4517" t="s">
        <v>473</v>
      </c>
      <c r="D4517" t="s">
        <v>9696</v>
      </c>
      <c r="E4517">
        <v>35</v>
      </c>
      <c r="F4517" t="s">
        <v>5163</v>
      </c>
      <c r="G4517" t="s">
        <v>5169</v>
      </c>
    </row>
    <row r="4518" spans="1:7" hidden="1">
      <c r="A4518" s="5" t="s">
        <v>3580</v>
      </c>
      <c r="B4518" t="s">
        <v>5161</v>
      </c>
      <c r="C4518" t="s">
        <v>473</v>
      </c>
      <c r="D4518" t="s">
        <v>9697</v>
      </c>
      <c r="E4518">
        <v>22</v>
      </c>
      <c r="F4518" t="s">
        <v>5163</v>
      </c>
      <c r="G4518" t="s">
        <v>5164</v>
      </c>
    </row>
    <row r="4519" spans="1:7" hidden="1">
      <c r="A4519" s="5" t="s">
        <v>2433</v>
      </c>
      <c r="B4519" t="s">
        <v>5161</v>
      </c>
      <c r="C4519" t="s">
        <v>473</v>
      </c>
      <c r="D4519" t="s">
        <v>9698</v>
      </c>
      <c r="E4519">
        <v>22</v>
      </c>
      <c r="F4519" t="s">
        <v>5163</v>
      </c>
      <c r="G4519" t="s">
        <v>5169</v>
      </c>
    </row>
    <row r="4520" spans="1:7" hidden="1">
      <c r="A4520" s="5" t="s">
        <v>2433</v>
      </c>
      <c r="B4520" t="s">
        <v>5161</v>
      </c>
      <c r="C4520" t="s">
        <v>473</v>
      </c>
      <c r="D4520" t="s">
        <v>9699</v>
      </c>
      <c r="E4520">
        <v>21</v>
      </c>
      <c r="F4520" t="s">
        <v>5163</v>
      </c>
      <c r="G4520" t="s">
        <v>1905</v>
      </c>
    </row>
    <row r="4521" spans="1:7" hidden="1">
      <c r="A4521" s="5" t="s">
        <v>2577</v>
      </c>
      <c r="B4521" t="s">
        <v>5161</v>
      </c>
      <c r="C4521" t="s">
        <v>473</v>
      </c>
      <c r="D4521" t="s">
        <v>9700</v>
      </c>
      <c r="E4521">
        <v>21</v>
      </c>
      <c r="F4521" t="s">
        <v>5163</v>
      </c>
      <c r="G4521" t="s">
        <v>5164</v>
      </c>
    </row>
    <row r="4522" spans="1:7" hidden="1">
      <c r="A4522" s="5" t="s">
        <v>4220</v>
      </c>
      <c r="B4522" t="s">
        <v>5161</v>
      </c>
      <c r="C4522" t="s">
        <v>473</v>
      </c>
      <c r="D4522" t="s">
        <v>9701</v>
      </c>
      <c r="E4522">
        <v>23</v>
      </c>
      <c r="F4522" t="s">
        <v>5163</v>
      </c>
      <c r="G4522" t="s">
        <v>5164</v>
      </c>
    </row>
    <row r="4523" spans="1:7" hidden="1">
      <c r="A4523" s="5" t="s">
        <v>4220</v>
      </c>
      <c r="B4523" t="s">
        <v>5161</v>
      </c>
      <c r="C4523" t="s">
        <v>473</v>
      </c>
      <c r="D4523" t="s">
        <v>8180</v>
      </c>
      <c r="E4523">
        <v>16</v>
      </c>
      <c r="F4523" t="s">
        <v>5163</v>
      </c>
      <c r="G4523" t="s">
        <v>5169</v>
      </c>
    </row>
    <row r="4524" spans="1:7" hidden="1">
      <c r="A4524" s="5" t="s">
        <v>2748</v>
      </c>
      <c r="B4524" t="s">
        <v>5161</v>
      </c>
      <c r="C4524" t="s">
        <v>473</v>
      </c>
      <c r="D4524" t="s">
        <v>9702</v>
      </c>
      <c r="E4524">
        <v>21</v>
      </c>
      <c r="F4524" t="s">
        <v>5163</v>
      </c>
      <c r="G4524" t="s">
        <v>1905</v>
      </c>
    </row>
    <row r="4525" spans="1:7" hidden="1">
      <c r="A4525" s="5" t="s">
        <v>2279</v>
      </c>
      <c r="B4525" t="s">
        <v>5161</v>
      </c>
      <c r="C4525" t="s">
        <v>473</v>
      </c>
      <c r="D4525" t="s">
        <v>9703</v>
      </c>
      <c r="E4525">
        <v>55</v>
      </c>
      <c r="F4525" t="s">
        <v>5163</v>
      </c>
      <c r="G4525" t="s">
        <v>1905</v>
      </c>
    </row>
    <row r="4526" spans="1:7" hidden="1">
      <c r="A4526" s="5" t="s">
        <v>9704</v>
      </c>
      <c r="B4526" t="s">
        <v>5161</v>
      </c>
      <c r="C4526" t="s">
        <v>473</v>
      </c>
      <c r="D4526" t="s">
        <v>9705</v>
      </c>
      <c r="E4526">
        <v>26</v>
      </c>
      <c r="F4526" t="s">
        <v>5163</v>
      </c>
      <c r="G4526" t="s">
        <v>1905</v>
      </c>
    </row>
    <row r="4527" spans="1:7" hidden="1">
      <c r="A4527" s="5" t="s">
        <v>2984</v>
      </c>
      <c r="B4527" t="s">
        <v>5161</v>
      </c>
      <c r="C4527" t="s">
        <v>473</v>
      </c>
      <c r="D4527" t="s">
        <v>9706</v>
      </c>
      <c r="E4527">
        <v>21</v>
      </c>
      <c r="F4527" t="s">
        <v>5163</v>
      </c>
      <c r="G4527" t="s">
        <v>1905</v>
      </c>
    </row>
    <row r="4528" spans="1:7" hidden="1">
      <c r="A4528" s="5" t="s">
        <v>9707</v>
      </c>
      <c r="B4528" t="s">
        <v>5161</v>
      </c>
      <c r="C4528" t="s">
        <v>473</v>
      </c>
      <c r="D4528" t="s">
        <v>9708</v>
      </c>
      <c r="E4528">
        <v>19</v>
      </c>
      <c r="F4528" t="s">
        <v>5163</v>
      </c>
      <c r="G4528" t="s">
        <v>1905</v>
      </c>
    </row>
    <row r="4529" spans="1:7" hidden="1">
      <c r="A4529" s="5" t="s">
        <v>9707</v>
      </c>
      <c r="B4529" t="s">
        <v>5161</v>
      </c>
      <c r="C4529" t="s">
        <v>473</v>
      </c>
      <c r="D4529" t="s">
        <v>9709</v>
      </c>
      <c r="E4529">
        <v>22</v>
      </c>
      <c r="F4529" t="s">
        <v>5163</v>
      </c>
      <c r="G4529" t="s">
        <v>5164</v>
      </c>
    </row>
    <row r="4530" spans="1:7" hidden="1">
      <c r="A4530" s="5" t="s">
        <v>4539</v>
      </c>
      <c r="B4530" t="s">
        <v>5161</v>
      </c>
      <c r="C4530" t="s">
        <v>473</v>
      </c>
      <c r="D4530" t="s">
        <v>9710</v>
      </c>
      <c r="E4530">
        <v>25</v>
      </c>
      <c r="F4530" t="s">
        <v>5163</v>
      </c>
      <c r="G4530" t="s">
        <v>5164</v>
      </c>
    </row>
    <row r="4531" spans="1:7" hidden="1">
      <c r="A4531" s="5" t="s">
        <v>2529</v>
      </c>
      <c r="B4531" t="s">
        <v>5161</v>
      </c>
      <c r="C4531" t="s">
        <v>473</v>
      </c>
      <c r="D4531" t="s">
        <v>9711</v>
      </c>
      <c r="E4531">
        <v>28</v>
      </c>
      <c r="F4531" t="s">
        <v>5163</v>
      </c>
      <c r="G4531" t="s">
        <v>5164</v>
      </c>
    </row>
    <row r="4532" spans="1:7" hidden="1">
      <c r="A4532" s="5" t="s">
        <v>467</v>
      </c>
      <c r="B4532" t="s">
        <v>5161</v>
      </c>
      <c r="C4532" t="s">
        <v>473</v>
      </c>
      <c r="D4532" t="s">
        <v>1058</v>
      </c>
      <c r="E4532">
        <v>22</v>
      </c>
      <c r="F4532" t="s">
        <v>5163</v>
      </c>
      <c r="G4532" t="s">
        <v>5164</v>
      </c>
    </row>
    <row r="4533" spans="1:7" hidden="1">
      <c r="A4533" s="5" t="s">
        <v>3034</v>
      </c>
      <c r="B4533" t="s">
        <v>5161</v>
      </c>
      <c r="C4533" t="s">
        <v>473</v>
      </c>
      <c r="D4533" t="s">
        <v>9712</v>
      </c>
      <c r="E4533">
        <v>21</v>
      </c>
      <c r="F4533" t="s">
        <v>5163</v>
      </c>
      <c r="G4533" t="s">
        <v>6496</v>
      </c>
    </row>
    <row r="4534" spans="1:7" hidden="1">
      <c r="A4534" s="5" t="s">
        <v>470</v>
      </c>
      <c r="B4534" t="s">
        <v>5161</v>
      </c>
      <c r="C4534" t="s">
        <v>473</v>
      </c>
      <c r="D4534" t="s">
        <v>1062</v>
      </c>
      <c r="E4534">
        <v>27</v>
      </c>
      <c r="F4534" t="s">
        <v>5163</v>
      </c>
      <c r="G4534" t="s">
        <v>5164</v>
      </c>
    </row>
    <row r="4535" spans="1:7" hidden="1">
      <c r="A4535" s="5" t="s">
        <v>3169</v>
      </c>
      <c r="B4535" t="s">
        <v>5161</v>
      </c>
      <c r="C4535" t="s">
        <v>473</v>
      </c>
      <c r="D4535" t="s">
        <v>9713</v>
      </c>
      <c r="E4535">
        <v>65</v>
      </c>
      <c r="F4535" t="s">
        <v>5163</v>
      </c>
      <c r="G4535" t="s">
        <v>1905</v>
      </c>
    </row>
    <row r="4536" spans="1:7" hidden="1">
      <c r="A4536" s="5" t="s">
        <v>4944</v>
      </c>
      <c r="B4536" t="s">
        <v>5161</v>
      </c>
      <c r="C4536" t="s">
        <v>473</v>
      </c>
      <c r="D4536" t="s">
        <v>9714</v>
      </c>
      <c r="E4536">
        <v>26</v>
      </c>
      <c r="F4536" t="s">
        <v>5163</v>
      </c>
      <c r="G4536" t="s">
        <v>5164</v>
      </c>
    </row>
    <row r="4537" spans="1:7" hidden="1">
      <c r="A4537" s="5" t="s">
        <v>4808</v>
      </c>
      <c r="B4537" t="s">
        <v>5161</v>
      </c>
      <c r="C4537" t="s">
        <v>473</v>
      </c>
      <c r="D4537" t="s">
        <v>9715</v>
      </c>
      <c r="E4537">
        <v>25</v>
      </c>
      <c r="F4537" t="s">
        <v>5163</v>
      </c>
      <c r="G4537" t="s">
        <v>5164</v>
      </c>
    </row>
    <row r="4538" spans="1:7" hidden="1">
      <c r="A4538" s="5" t="s">
        <v>4353</v>
      </c>
      <c r="B4538" t="s">
        <v>5161</v>
      </c>
      <c r="C4538" t="s">
        <v>473</v>
      </c>
      <c r="D4538" t="s">
        <v>9716</v>
      </c>
      <c r="E4538">
        <v>29</v>
      </c>
      <c r="F4538" t="s">
        <v>5163</v>
      </c>
      <c r="G4538" t="s">
        <v>5164</v>
      </c>
    </row>
    <row r="4539" spans="1:7" hidden="1">
      <c r="A4539" s="5" t="s">
        <v>4616</v>
      </c>
      <c r="B4539" t="s">
        <v>5161</v>
      </c>
      <c r="C4539" t="s">
        <v>473</v>
      </c>
      <c r="D4539" t="s">
        <v>9717</v>
      </c>
      <c r="E4539">
        <v>22</v>
      </c>
      <c r="F4539" t="s">
        <v>5172</v>
      </c>
      <c r="G4539" t="s">
        <v>5169</v>
      </c>
    </row>
    <row r="4540" spans="1:7" hidden="1">
      <c r="A4540" s="5" t="s">
        <v>2960</v>
      </c>
      <c r="B4540" t="s">
        <v>5161</v>
      </c>
      <c r="C4540" t="s">
        <v>473</v>
      </c>
      <c r="D4540" t="s">
        <v>9718</v>
      </c>
      <c r="E4540">
        <v>20</v>
      </c>
      <c r="F4540" t="s">
        <v>5163</v>
      </c>
      <c r="G4540" t="s">
        <v>5164</v>
      </c>
    </row>
    <row r="4541" spans="1:7" hidden="1">
      <c r="A4541" s="5" t="s">
        <v>4727</v>
      </c>
      <c r="B4541" t="s">
        <v>5161</v>
      </c>
      <c r="C4541" t="s">
        <v>473</v>
      </c>
      <c r="D4541" t="s">
        <v>9719</v>
      </c>
      <c r="E4541">
        <v>47</v>
      </c>
      <c r="F4541" t="s">
        <v>5163</v>
      </c>
      <c r="G4541" t="s">
        <v>5169</v>
      </c>
    </row>
    <row r="4542" spans="1:7" hidden="1">
      <c r="A4542" s="5" t="s">
        <v>2256</v>
      </c>
      <c r="B4542" t="s">
        <v>5161</v>
      </c>
      <c r="C4542" t="s">
        <v>473</v>
      </c>
      <c r="D4542" t="s">
        <v>9720</v>
      </c>
      <c r="E4542">
        <v>19</v>
      </c>
      <c r="F4542" t="s">
        <v>5163</v>
      </c>
      <c r="G4542" t="s">
        <v>5164</v>
      </c>
    </row>
    <row r="4543" spans="1:7" hidden="1">
      <c r="A4543" s="5" t="s">
        <v>2266</v>
      </c>
      <c r="B4543" t="s">
        <v>5161</v>
      </c>
      <c r="C4543" t="s">
        <v>473</v>
      </c>
      <c r="D4543" t="s">
        <v>9721</v>
      </c>
      <c r="E4543">
        <v>34</v>
      </c>
      <c r="F4543" t="s">
        <v>5163</v>
      </c>
      <c r="G4543" t="s">
        <v>5164</v>
      </c>
    </row>
    <row r="4544" spans="1:7" hidden="1">
      <c r="A4544" s="5" t="s">
        <v>4003</v>
      </c>
      <c r="B4544" t="s">
        <v>5161</v>
      </c>
      <c r="C4544" t="s">
        <v>473</v>
      </c>
      <c r="D4544" t="s">
        <v>9722</v>
      </c>
      <c r="E4544">
        <v>36</v>
      </c>
      <c r="F4544" t="s">
        <v>5163</v>
      </c>
      <c r="G4544" t="s">
        <v>5164</v>
      </c>
    </row>
    <row r="4545" spans="1:7" hidden="1">
      <c r="A4545" s="5" t="s">
        <v>4804</v>
      </c>
      <c r="B4545" t="s">
        <v>5161</v>
      </c>
      <c r="C4545" t="s">
        <v>473</v>
      </c>
      <c r="D4545" t="s">
        <v>666</v>
      </c>
      <c r="E4545">
        <v>35</v>
      </c>
      <c r="F4545" t="s">
        <v>5163</v>
      </c>
      <c r="G4545" t="s">
        <v>5164</v>
      </c>
    </row>
    <row r="4546" spans="1:7" hidden="1">
      <c r="A4546" s="5" t="s">
        <v>9723</v>
      </c>
      <c r="B4546" t="s">
        <v>5161</v>
      </c>
      <c r="C4546" t="s">
        <v>473</v>
      </c>
      <c r="D4546" t="s">
        <v>9724</v>
      </c>
      <c r="E4546">
        <v>26</v>
      </c>
      <c r="F4546" t="s">
        <v>5163</v>
      </c>
      <c r="G4546" t="s">
        <v>1905</v>
      </c>
    </row>
    <row r="4547" spans="1:7" hidden="1">
      <c r="A4547" s="5" t="s">
        <v>9723</v>
      </c>
      <c r="B4547" t="s">
        <v>5161</v>
      </c>
      <c r="C4547" t="s">
        <v>473</v>
      </c>
      <c r="D4547" t="s">
        <v>9725</v>
      </c>
      <c r="E4547">
        <v>47</v>
      </c>
      <c r="F4547" t="s">
        <v>5163</v>
      </c>
      <c r="G4547" t="s">
        <v>1905</v>
      </c>
    </row>
    <row r="4548" spans="1:7" hidden="1">
      <c r="A4548" s="5" t="s">
        <v>3575</v>
      </c>
      <c r="B4548" t="s">
        <v>5161</v>
      </c>
      <c r="C4548" t="s">
        <v>473</v>
      </c>
      <c r="D4548" t="s">
        <v>9726</v>
      </c>
      <c r="E4548">
        <v>18</v>
      </c>
      <c r="F4548" t="s">
        <v>5163</v>
      </c>
      <c r="G4548" t="s">
        <v>1905</v>
      </c>
    </row>
    <row r="4549" spans="1:7" hidden="1">
      <c r="A4549" s="5" t="s">
        <v>2108</v>
      </c>
      <c r="B4549" t="s">
        <v>5161</v>
      </c>
      <c r="C4549" t="s">
        <v>473</v>
      </c>
      <c r="D4549" t="s">
        <v>9727</v>
      </c>
      <c r="E4549">
        <v>36</v>
      </c>
      <c r="F4549" t="s">
        <v>5163</v>
      </c>
      <c r="G4549" t="s">
        <v>5164</v>
      </c>
    </row>
    <row r="4550" spans="1:7" hidden="1">
      <c r="A4550" s="5" t="s">
        <v>4541</v>
      </c>
      <c r="B4550" t="s">
        <v>5161</v>
      </c>
      <c r="C4550" t="s">
        <v>473</v>
      </c>
      <c r="D4550" t="s">
        <v>9728</v>
      </c>
      <c r="E4550">
        <v>28</v>
      </c>
      <c r="F4550" t="s">
        <v>5163</v>
      </c>
      <c r="G4550" t="s">
        <v>1905</v>
      </c>
    </row>
    <row r="4551" spans="1:7" hidden="1">
      <c r="A4551" s="5" t="s">
        <v>5049</v>
      </c>
      <c r="B4551" t="s">
        <v>5161</v>
      </c>
      <c r="C4551" t="s">
        <v>473</v>
      </c>
      <c r="D4551" t="s">
        <v>7784</v>
      </c>
      <c r="E4551">
        <v>18</v>
      </c>
      <c r="F4551" t="s">
        <v>5163</v>
      </c>
      <c r="G4551" t="s">
        <v>5164</v>
      </c>
    </row>
    <row r="4552" spans="1:7" hidden="1">
      <c r="A4552" s="5" t="s">
        <v>4767</v>
      </c>
      <c r="B4552" t="s">
        <v>5161</v>
      </c>
      <c r="C4552" t="s">
        <v>473</v>
      </c>
      <c r="D4552" t="s">
        <v>9729</v>
      </c>
      <c r="E4552">
        <v>18</v>
      </c>
      <c r="F4552" t="s">
        <v>5163</v>
      </c>
      <c r="G4552" t="s">
        <v>5164</v>
      </c>
    </row>
    <row r="4553" spans="1:7" hidden="1">
      <c r="A4553" s="5" t="s">
        <v>5036</v>
      </c>
      <c r="B4553" t="s">
        <v>5161</v>
      </c>
      <c r="C4553" t="s">
        <v>473</v>
      </c>
      <c r="D4553" t="s">
        <v>9730</v>
      </c>
      <c r="E4553">
        <v>19</v>
      </c>
      <c r="F4553" t="s">
        <v>5163</v>
      </c>
      <c r="G4553" t="s">
        <v>5169</v>
      </c>
    </row>
    <row r="4554" spans="1:7" hidden="1">
      <c r="A4554" s="5" t="s">
        <v>464</v>
      </c>
      <c r="B4554" t="s">
        <v>5161</v>
      </c>
      <c r="C4554" t="s">
        <v>473</v>
      </c>
      <c r="D4554" t="s">
        <v>1053</v>
      </c>
      <c r="E4554">
        <v>20</v>
      </c>
      <c r="F4554" t="s">
        <v>5163</v>
      </c>
      <c r="G4554" t="s">
        <v>5164</v>
      </c>
    </row>
    <row r="4555" spans="1:7" hidden="1">
      <c r="A4555" s="5" t="s">
        <v>4838</v>
      </c>
      <c r="B4555" t="s">
        <v>5161</v>
      </c>
      <c r="C4555" t="s">
        <v>473</v>
      </c>
      <c r="D4555" t="s">
        <v>9731</v>
      </c>
      <c r="E4555">
        <v>35</v>
      </c>
      <c r="F4555" t="s">
        <v>5163</v>
      </c>
      <c r="G4555" t="s">
        <v>5164</v>
      </c>
    </row>
    <row r="4556" spans="1:7" hidden="1">
      <c r="A4556" s="5" t="s">
        <v>3581</v>
      </c>
      <c r="B4556" t="s">
        <v>5161</v>
      </c>
      <c r="C4556" t="s">
        <v>473</v>
      </c>
      <c r="D4556" t="s">
        <v>9732</v>
      </c>
      <c r="E4556">
        <v>42</v>
      </c>
      <c r="F4556" t="s">
        <v>5163</v>
      </c>
      <c r="G4556" t="s">
        <v>1905</v>
      </c>
    </row>
    <row r="4557" spans="1:7" hidden="1">
      <c r="A4557" s="5" t="s">
        <v>3581</v>
      </c>
      <c r="B4557" t="s">
        <v>5161</v>
      </c>
      <c r="C4557" t="s">
        <v>473</v>
      </c>
      <c r="D4557" t="s">
        <v>9733</v>
      </c>
      <c r="E4557">
        <v>29</v>
      </c>
      <c r="F4557" t="s">
        <v>5172</v>
      </c>
      <c r="G4557" t="s">
        <v>1905</v>
      </c>
    </row>
    <row r="4558" spans="1:7" hidden="1">
      <c r="A4558" s="5" t="s">
        <v>4685</v>
      </c>
      <c r="B4558" t="s">
        <v>5161</v>
      </c>
      <c r="C4558" t="s">
        <v>473</v>
      </c>
      <c r="D4558" t="s">
        <v>9734</v>
      </c>
      <c r="E4558">
        <v>25</v>
      </c>
      <c r="F4558" t="s">
        <v>5163</v>
      </c>
      <c r="G4558" t="s">
        <v>5164</v>
      </c>
    </row>
    <row r="4559" spans="1:7" hidden="1">
      <c r="A4559" s="5" t="s">
        <v>3809</v>
      </c>
      <c r="B4559" t="s">
        <v>5161</v>
      </c>
      <c r="C4559" t="s">
        <v>473</v>
      </c>
      <c r="D4559" t="s">
        <v>9735</v>
      </c>
      <c r="E4559">
        <v>29</v>
      </c>
      <c r="F4559" t="s">
        <v>5172</v>
      </c>
      <c r="G4559" t="s">
        <v>1905</v>
      </c>
    </row>
    <row r="4560" spans="1:7" hidden="1">
      <c r="A4560" s="5" t="s">
        <v>468</v>
      </c>
      <c r="B4560" t="s">
        <v>5161</v>
      </c>
      <c r="C4560" t="s">
        <v>473</v>
      </c>
      <c r="D4560" t="s">
        <v>1060</v>
      </c>
      <c r="E4560">
        <v>27</v>
      </c>
      <c r="F4560" t="s">
        <v>5163</v>
      </c>
      <c r="G4560" t="s">
        <v>1905</v>
      </c>
    </row>
    <row r="4561" spans="1:7" hidden="1">
      <c r="A4561" s="5" t="s">
        <v>3239</v>
      </c>
      <c r="B4561" t="s">
        <v>5161</v>
      </c>
      <c r="C4561" t="s">
        <v>473</v>
      </c>
      <c r="D4561" t="s">
        <v>9736</v>
      </c>
      <c r="E4561">
        <v>26</v>
      </c>
      <c r="F4561" t="s">
        <v>5163</v>
      </c>
      <c r="G4561" t="s">
        <v>5169</v>
      </c>
    </row>
    <row r="4562" spans="1:7" hidden="1">
      <c r="A4562" s="5" t="s">
        <v>9737</v>
      </c>
      <c r="B4562" t="s">
        <v>5161</v>
      </c>
      <c r="C4562" t="s">
        <v>473</v>
      </c>
      <c r="D4562" t="s">
        <v>9738</v>
      </c>
      <c r="E4562">
        <v>19</v>
      </c>
      <c r="F4562" t="s">
        <v>5163</v>
      </c>
      <c r="G4562" t="s">
        <v>5169</v>
      </c>
    </row>
    <row r="4563" spans="1:7" hidden="1">
      <c r="A4563" s="5" t="s">
        <v>3206</v>
      </c>
      <c r="B4563" t="s">
        <v>5161</v>
      </c>
      <c r="C4563" t="s">
        <v>473</v>
      </c>
      <c r="D4563" t="s">
        <v>557</v>
      </c>
      <c r="E4563">
        <v>19</v>
      </c>
      <c r="F4563" t="s">
        <v>5163</v>
      </c>
      <c r="G4563" t="s">
        <v>5169</v>
      </c>
    </row>
    <row r="4564" spans="1:7" hidden="1">
      <c r="A4564" s="5" t="s">
        <v>9739</v>
      </c>
      <c r="B4564" t="s">
        <v>5161</v>
      </c>
      <c r="C4564" t="s">
        <v>473</v>
      </c>
      <c r="D4564" t="s">
        <v>9740</v>
      </c>
      <c r="E4564">
        <v>18</v>
      </c>
      <c r="F4564" t="s">
        <v>5163</v>
      </c>
      <c r="G4564" t="s">
        <v>1905</v>
      </c>
    </row>
    <row r="4565" spans="1:7" hidden="1">
      <c r="A4565" s="5" t="s">
        <v>4031</v>
      </c>
      <c r="B4565" t="s">
        <v>5161</v>
      </c>
      <c r="C4565" t="s">
        <v>473</v>
      </c>
      <c r="D4565" t="s">
        <v>9741</v>
      </c>
      <c r="E4565">
        <v>24</v>
      </c>
      <c r="F4565" t="s">
        <v>5163</v>
      </c>
      <c r="G4565" t="s">
        <v>5164</v>
      </c>
    </row>
    <row r="4566" spans="1:7" hidden="1">
      <c r="A4566" s="5" t="s">
        <v>4031</v>
      </c>
      <c r="B4566" t="s">
        <v>5161</v>
      </c>
      <c r="C4566" t="s">
        <v>473</v>
      </c>
      <c r="D4566" t="s">
        <v>9742</v>
      </c>
      <c r="E4566">
        <v>23</v>
      </c>
      <c r="F4566" t="s">
        <v>5163</v>
      </c>
      <c r="G4566" t="s">
        <v>5164</v>
      </c>
    </row>
    <row r="4567" spans="1:7" hidden="1">
      <c r="A4567" s="5" t="s">
        <v>4596</v>
      </c>
      <c r="B4567" t="s">
        <v>5161</v>
      </c>
      <c r="C4567" t="s">
        <v>473</v>
      </c>
      <c r="D4567" t="s">
        <v>9743</v>
      </c>
      <c r="E4567">
        <v>22</v>
      </c>
      <c r="F4567" t="s">
        <v>5163</v>
      </c>
      <c r="G4567" t="s">
        <v>1905</v>
      </c>
    </row>
    <row r="4568" spans="1:7" hidden="1">
      <c r="A4568" s="5" t="s">
        <v>2471</v>
      </c>
      <c r="B4568" t="s">
        <v>5161</v>
      </c>
      <c r="C4568" t="s">
        <v>473</v>
      </c>
      <c r="D4568" t="s">
        <v>9744</v>
      </c>
      <c r="E4568">
        <v>65</v>
      </c>
      <c r="F4568" t="s">
        <v>5163</v>
      </c>
      <c r="G4568" t="s">
        <v>5164</v>
      </c>
    </row>
    <row r="4569" spans="1:7" hidden="1">
      <c r="A4569" s="5" t="s">
        <v>3258</v>
      </c>
      <c r="B4569" t="s">
        <v>5161</v>
      </c>
      <c r="C4569" t="s">
        <v>473</v>
      </c>
      <c r="D4569" t="s">
        <v>9745</v>
      </c>
      <c r="E4569">
        <v>29</v>
      </c>
      <c r="F4569" t="s">
        <v>5163</v>
      </c>
      <c r="G4569" t="s">
        <v>1905</v>
      </c>
    </row>
    <row r="4570" spans="1:7" hidden="1">
      <c r="A4570" s="5" t="s">
        <v>3258</v>
      </c>
      <c r="B4570" t="s">
        <v>5161</v>
      </c>
      <c r="C4570" t="s">
        <v>473</v>
      </c>
      <c r="D4570" t="s">
        <v>5315</v>
      </c>
      <c r="E4570">
        <v>26</v>
      </c>
      <c r="F4570" t="s">
        <v>5163</v>
      </c>
      <c r="G4570" t="s">
        <v>1905</v>
      </c>
    </row>
    <row r="4571" spans="1:7" hidden="1">
      <c r="A4571" s="5" t="s">
        <v>3979</v>
      </c>
      <c r="B4571" t="s">
        <v>5161</v>
      </c>
      <c r="C4571" t="s">
        <v>473</v>
      </c>
      <c r="D4571" t="s">
        <v>9746</v>
      </c>
      <c r="E4571">
        <v>20</v>
      </c>
      <c r="F4571" t="s">
        <v>5163</v>
      </c>
      <c r="G4571" t="s">
        <v>1905</v>
      </c>
    </row>
    <row r="4572" spans="1:7" hidden="1">
      <c r="A4572" s="5" t="s">
        <v>2506</v>
      </c>
      <c r="B4572" t="s">
        <v>5161</v>
      </c>
      <c r="C4572" t="s">
        <v>473</v>
      </c>
      <c r="D4572" t="s">
        <v>9747</v>
      </c>
      <c r="E4572">
        <v>29</v>
      </c>
      <c r="F4572" t="s">
        <v>5163</v>
      </c>
      <c r="G4572" t="s">
        <v>1905</v>
      </c>
    </row>
    <row r="4573" spans="1:7" hidden="1">
      <c r="A4573" s="5" t="s">
        <v>4642</v>
      </c>
      <c r="B4573" t="s">
        <v>5161</v>
      </c>
      <c r="C4573" t="s">
        <v>473</v>
      </c>
      <c r="D4573" t="s">
        <v>9748</v>
      </c>
      <c r="E4573">
        <v>19</v>
      </c>
      <c r="F4573" t="s">
        <v>5163</v>
      </c>
      <c r="G4573" t="s">
        <v>5164</v>
      </c>
    </row>
    <row r="4574" spans="1:7" hidden="1">
      <c r="A4574" s="5" t="s">
        <v>4543</v>
      </c>
      <c r="B4574" t="s">
        <v>5161</v>
      </c>
      <c r="C4574" t="s">
        <v>473</v>
      </c>
      <c r="D4574" t="s">
        <v>9749</v>
      </c>
      <c r="E4574">
        <v>19</v>
      </c>
      <c r="F4574" t="s">
        <v>5163</v>
      </c>
      <c r="G4574" t="s">
        <v>5169</v>
      </c>
    </row>
    <row r="4575" spans="1:7" hidden="1">
      <c r="A4575" s="5" t="s">
        <v>2789</v>
      </c>
      <c r="B4575" t="s">
        <v>5161</v>
      </c>
      <c r="C4575" t="s">
        <v>473</v>
      </c>
      <c r="D4575" t="s">
        <v>9405</v>
      </c>
      <c r="E4575">
        <v>20</v>
      </c>
      <c r="F4575" t="s">
        <v>5163</v>
      </c>
      <c r="G4575" t="s">
        <v>5164</v>
      </c>
    </row>
    <row r="4576" spans="1:7" hidden="1">
      <c r="A4576" s="5" t="s">
        <v>3335</v>
      </c>
      <c r="B4576" t="s">
        <v>5161</v>
      </c>
      <c r="C4576" t="s">
        <v>473</v>
      </c>
      <c r="D4576" t="s">
        <v>9750</v>
      </c>
      <c r="E4576">
        <v>37</v>
      </c>
      <c r="F4576" t="s">
        <v>5163</v>
      </c>
      <c r="G4576" t="s">
        <v>1905</v>
      </c>
    </row>
    <row r="4577" spans="1:7" hidden="1">
      <c r="A4577" s="5" t="s">
        <v>3335</v>
      </c>
      <c r="B4577" t="s">
        <v>5161</v>
      </c>
      <c r="C4577" t="s">
        <v>473</v>
      </c>
      <c r="D4577" t="s">
        <v>9751</v>
      </c>
      <c r="E4577">
        <v>44</v>
      </c>
      <c r="F4577" t="s">
        <v>5163</v>
      </c>
      <c r="G4577" t="s">
        <v>1905</v>
      </c>
    </row>
    <row r="4578" spans="1:7" hidden="1">
      <c r="A4578" s="5" t="s">
        <v>4732</v>
      </c>
      <c r="B4578" t="s">
        <v>5161</v>
      </c>
      <c r="C4578" t="s">
        <v>473</v>
      </c>
      <c r="D4578" t="s">
        <v>9752</v>
      </c>
      <c r="E4578">
        <v>21</v>
      </c>
      <c r="F4578" t="s">
        <v>5163</v>
      </c>
      <c r="G4578" t="s">
        <v>5164</v>
      </c>
    </row>
    <row r="4579" spans="1:7" hidden="1">
      <c r="A4579" s="5" t="s">
        <v>4557</v>
      </c>
      <c r="B4579" t="s">
        <v>5161</v>
      </c>
      <c r="C4579" t="s">
        <v>473</v>
      </c>
      <c r="D4579" t="s">
        <v>9753</v>
      </c>
      <c r="E4579">
        <v>37</v>
      </c>
      <c r="F4579" t="s">
        <v>5163</v>
      </c>
      <c r="G4579" t="s">
        <v>5164</v>
      </c>
    </row>
    <row r="4580" spans="1:7" hidden="1">
      <c r="A4580" s="5" t="s">
        <v>4557</v>
      </c>
      <c r="B4580" t="s">
        <v>5161</v>
      </c>
      <c r="C4580" t="s">
        <v>473</v>
      </c>
      <c r="D4580" t="s">
        <v>9754</v>
      </c>
      <c r="E4580">
        <v>38</v>
      </c>
      <c r="F4580" t="s">
        <v>5163</v>
      </c>
      <c r="G4580" t="s">
        <v>5169</v>
      </c>
    </row>
    <row r="4581" spans="1:7" hidden="1">
      <c r="A4581" s="5" t="s">
        <v>9755</v>
      </c>
      <c r="B4581" t="s">
        <v>5161</v>
      </c>
      <c r="C4581" t="s">
        <v>473</v>
      </c>
      <c r="D4581" t="s">
        <v>9756</v>
      </c>
      <c r="E4581">
        <v>21</v>
      </c>
      <c r="F4581" t="s">
        <v>5163</v>
      </c>
      <c r="G4581" t="s">
        <v>1905</v>
      </c>
    </row>
    <row r="4582" spans="1:7" hidden="1">
      <c r="A4582" s="5" t="s">
        <v>3969</v>
      </c>
      <c r="B4582" t="s">
        <v>5161</v>
      </c>
      <c r="C4582" t="s">
        <v>473</v>
      </c>
      <c r="D4582" t="s">
        <v>9757</v>
      </c>
      <c r="E4582">
        <v>23</v>
      </c>
      <c r="F4582" t="s">
        <v>5163</v>
      </c>
      <c r="G4582" t="s">
        <v>5164</v>
      </c>
    </row>
    <row r="4583" spans="1:7" hidden="1">
      <c r="A4583" s="5" t="s">
        <v>4496</v>
      </c>
      <c r="B4583" t="s">
        <v>5161</v>
      </c>
      <c r="C4583" t="s">
        <v>473</v>
      </c>
      <c r="D4583" t="s">
        <v>9758</v>
      </c>
      <c r="E4583">
        <v>33</v>
      </c>
      <c r="F4583" t="s">
        <v>5172</v>
      </c>
      <c r="G4583" t="s">
        <v>1905</v>
      </c>
    </row>
    <row r="4584" spans="1:7" hidden="1">
      <c r="A4584" s="5" t="s">
        <v>465</v>
      </c>
      <c r="B4584" t="s">
        <v>5161</v>
      </c>
      <c r="C4584" t="s">
        <v>473</v>
      </c>
      <c r="D4584" t="s">
        <v>9759</v>
      </c>
      <c r="E4584">
        <v>30</v>
      </c>
      <c r="F4584" t="s">
        <v>5163</v>
      </c>
      <c r="G4584" t="s">
        <v>5164</v>
      </c>
    </row>
    <row r="4585" spans="1:7" hidden="1">
      <c r="A4585" s="5" t="s">
        <v>4364</v>
      </c>
      <c r="B4585" t="s">
        <v>5161</v>
      </c>
      <c r="C4585" t="s">
        <v>473</v>
      </c>
      <c r="D4585" t="s">
        <v>9760</v>
      </c>
      <c r="E4585">
        <v>36</v>
      </c>
      <c r="F4585" t="s">
        <v>5163</v>
      </c>
      <c r="G4585" t="s">
        <v>5164</v>
      </c>
    </row>
    <row r="4586" spans="1:7" hidden="1">
      <c r="A4586" s="5" t="s">
        <v>9761</v>
      </c>
      <c r="B4586" t="s">
        <v>5161</v>
      </c>
      <c r="C4586" t="s">
        <v>9762</v>
      </c>
      <c r="D4586" t="s">
        <v>9763</v>
      </c>
      <c r="E4586" t="s">
        <v>5182</v>
      </c>
      <c r="F4586" t="s">
        <v>5163</v>
      </c>
      <c r="G4586" t="s">
        <v>5182</v>
      </c>
    </row>
    <row r="4587" spans="1:7" hidden="1">
      <c r="A4587" s="5" t="s">
        <v>9764</v>
      </c>
      <c r="B4587" t="s">
        <v>5161</v>
      </c>
      <c r="C4587" t="s">
        <v>9765</v>
      </c>
      <c r="D4587" t="s">
        <v>9766</v>
      </c>
      <c r="E4587" t="s">
        <v>5182</v>
      </c>
      <c r="F4587" t="s">
        <v>5163</v>
      </c>
      <c r="G4587" t="s">
        <v>5182</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BS421"/>
  <sheetViews>
    <sheetView showGridLines="0" tabSelected="1" zoomScaleNormal="100" workbookViewId="0">
      <pane ySplit="1" topLeftCell="A2" activePane="bottomLeft" state="frozen"/>
      <selection pane="bottomLeft" activeCell="BL2" sqref="BL2"/>
    </sheetView>
  </sheetViews>
  <sheetFormatPr defaultRowHeight="15"/>
  <cols>
    <col min="1" max="1" width="9.140625" style="162"/>
    <col min="2" max="2" width="26.5703125" bestFit="1" customWidth="1"/>
    <col min="3" max="3" width="17.7109375" style="162" bestFit="1" customWidth="1"/>
    <col min="4" max="4" width="11.5703125" bestFit="1" customWidth="1"/>
    <col min="5" max="5" width="53" bestFit="1" customWidth="1"/>
    <col min="6" max="6" width="11.28515625" bestFit="1" customWidth="1"/>
    <col min="7" max="7" width="18.140625" bestFit="1" customWidth="1"/>
    <col min="8" max="8" width="48" bestFit="1" customWidth="1"/>
    <col min="9" max="9" width="17.7109375" style="162" bestFit="1" customWidth="1"/>
    <col min="10" max="10" width="20.85546875" bestFit="1" customWidth="1"/>
    <col min="11" max="11" width="12" bestFit="1" customWidth="1"/>
    <col min="12" max="12" width="25.85546875" style="165" bestFit="1" customWidth="1"/>
    <col min="13" max="13" width="8.42578125" style="165" bestFit="1" customWidth="1"/>
    <col min="14" max="14" width="9.42578125" bestFit="1" customWidth="1"/>
    <col min="15" max="15" width="14.5703125" bestFit="1" customWidth="1"/>
    <col min="16" max="16" width="16" bestFit="1" customWidth="1"/>
    <col min="17" max="17" width="77.28515625" customWidth="1"/>
    <col min="18" max="18" width="38.7109375" bestFit="1" customWidth="1"/>
    <col min="19" max="19" width="14.5703125" style="162" bestFit="1" customWidth="1"/>
    <col min="20" max="20" width="37" bestFit="1" customWidth="1"/>
    <col min="21" max="21" width="13.140625" style="162" bestFit="1" customWidth="1"/>
    <col min="22" max="22" width="37.85546875" bestFit="1" customWidth="1"/>
    <col min="23" max="23" width="13.140625" style="162" bestFit="1" customWidth="1"/>
    <col min="24" max="24" width="25.7109375" bestFit="1" customWidth="1"/>
    <col min="25" max="25" width="13.140625" style="162" bestFit="1" customWidth="1"/>
    <col min="26" max="26" width="18.140625" bestFit="1" customWidth="1"/>
    <col min="27" max="27" width="13.140625" style="162" bestFit="1" customWidth="1"/>
    <col min="28" max="28" width="61" bestFit="1" customWidth="1"/>
    <col min="29" max="29" width="15.42578125" style="162" bestFit="1" customWidth="1"/>
    <col min="30" max="34" width="15.42578125" style="162" customWidth="1"/>
    <col min="38" max="38" width="23.85546875" bestFit="1" customWidth="1"/>
    <col min="39" max="39" width="18.42578125" style="162" bestFit="1" customWidth="1"/>
    <col min="44" max="44" width="15.140625" bestFit="1" customWidth="1"/>
    <col min="45" max="45" width="15.140625" style="162" customWidth="1"/>
    <col min="46" max="46" width="15.140625" style="117" customWidth="1"/>
    <col min="47" max="51" width="15.140625" style="162" customWidth="1"/>
    <col min="52" max="52" width="25.5703125" bestFit="1" customWidth="1"/>
    <col min="53" max="53" width="14.42578125" style="162" bestFit="1" customWidth="1"/>
    <col min="54" max="55" width="15.140625" style="162" bestFit="1" customWidth="1"/>
    <col min="56" max="59" width="17.85546875" style="162" customWidth="1"/>
    <col min="60" max="60" width="15.140625" style="162" customWidth="1"/>
    <col min="61" max="61" width="14.7109375" bestFit="1" customWidth="1"/>
    <col min="62" max="62" width="14.7109375" style="162" customWidth="1"/>
    <col min="63" max="63" width="11.28515625" bestFit="1" customWidth="1"/>
    <col min="64" max="64" width="17.28515625" style="162" bestFit="1" customWidth="1"/>
    <col min="67" max="67" width="11.7109375" bestFit="1" customWidth="1"/>
    <col min="68" max="68" width="17.28515625" style="162" bestFit="1" customWidth="1"/>
    <col min="69" max="69" width="21.85546875" bestFit="1" customWidth="1"/>
    <col min="70" max="70" width="15.85546875" bestFit="1" customWidth="1"/>
    <col min="71" max="71" width="26.28515625" style="162" bestFit="1" customWidth="1"/>
  </cols>
  <sheetData>
    <row r="1" spans="1:71" s="158" customFormat="1">
      <c r="A1" s="161" t="s">
        <v>10129</v>
      </c>
      <c r="B1" s="158" t="s">
        <v>53</v>
      </c>
      <c r="C1" s="161" t="s">
        <v>10088</v>
      </c>
      <c r="D1" s="158" t="s">
        <v>54</v>
      </c>
      <c r="E1" s="158" t="s">
        <v>2</v>
      </c>
      <c r="F1" s="158" t="s">
        <v>10250</v>
      </c>
      <c r="G1" s="158" t="s">
        <v>11</v>
      </c>
      <c r="H1" s="158" t="s">
        <v>55</v>
      </c>
      <c r="I1" s="161" t="s">
        <v>10095</v>
      </c>
      <c r="J1" s="158" t="s">
        <v>56</v>
      </c>
      <c r="K1" s="158" t="s">
        <v>0</v>
      </c>
      <c r="L1" s="164" t="s">
        <v>12</v>
      </c>
      <c r="M1" s="164" t="s">
        <v>10122</v>
      </c>
      <c r="N1" s="158" t="s">
        <v>1</v>
      </c>
      <c r="O1" s="158" t="s">
        <v>10130</v>
      </c>
      <c r="P1" s="158" t="s">
        <v>57</v>
      </c>
      <c r="Q1" s="158" t="s">
        <v>58</v>
      </c>
      <c r="R1" s="158" t="s">
        <v>13</v>
      </c>
      <c r="S1" s="161" t="s">
        <v>10123</v>
      </c>
      <c r="T1" s="158" t="s">
        <v>14</v>
      </c>
      <c r="U1" s="161" t="s">
        <v>10124</v>
      </c>
      <c r="V1" s="158" t="s">
        <v>15</v>
      </c>
      <c r="W1" s="161" t="s">
        <v>10125</v>
      </c>
      <c r="X1" s="158" t="s">
        <v>16</v>
      </c>
      <c r="Y1" s="161" t="s">
        <v>10126</v>
      </c>
      <c r="Z1" s="158" t="s">
        <v>17</v>
      </c>
      <c r="AA1" s="161" t="s">
        <v>10127</v>
      </c>
      <c r="AB1" s="158" t="s">
        <v>63</v>
      </c>
      <c r="AC1" s="161" t="s">
        <v>10217</v>
      </c>
      <c r="AD1" s="161" t="s">
        <v>10219</v>
      </c>
      <c r="AE1" s="161" t="s">
        <v>10218</v>
      </c>
      <c r="AF1" s="161" t="s">
        <v>10220</v>
      </c>
      <c r="AG1" s="161" t="s">
        <v>10221</v>
      </c>
      <c r="AH1" s="161" t="s">
        <v>10222</v>
      </c>
      <c r="AI1" s="158" t="s">
        <v>1065</v>
      </c>
      <c r="AJ1" s="158" t="s">
        <v>1066</v>
      </c>
      <c r="AK1" s="158" t="s">
        <v>19</v>
      </c>
      <c r="AL1" s="158" t="s">
        <v>20</v>
      </c>
      <c r="AM1" s="161" t="s">
        <v>10136</v>
      </c>
      <c r="AN1" s="158" t="s">
        <v>1067</v>
      </c>
      <c r="AO1" s="158" t="s">
        <v>1068</v>
      </c>
      <c r="AP1" s="158" t="s">
        <v>64</v>
      </c>
      <c r="AQ1" s="158" t="s">
        <v>59</v>
      </c>
      <c r="AR1" s="158" t="s">
        <v>67</v>
      </c>
      <c r="AS1" s="161" t="s">
        <v>10224</v>
      </c>
      <c r="AT1" s="186" t="s">
        <v>68</v>
      </c>
      <c r="AU1" s="161" t="s">
        <v>1111</v>
      </c>
      <c r="AV1" s="161" t="s">
        <v>1244</v>
      </c>
      <c r="AW1" s="161" t="s">
        <v>10230</v>
      </c>
      <c r="AX1" s="161" t="s">
        <v>35</v>
      </c>
      <c r="AY1" s="161" t="s">
        <v>10225</v>
      </c>
      <c r="AZ1" s="158" t="s">
        <v>66</v>
      </c>
      <c r="BA1" s="161" t="s">
        <v>1937</v>
      </c>
      <c r="BB1" s="161" t="s">
        <v>10234</v>
      </c>
      <c r="BC1" s="161" t="s">
        <v>9869</v>
      </c>
      <c r="BD1" s="161" t="s">
        <v>10235</v>
      </c>
      <c r="BE1" s="161" t="s">
        <v>9868</v>
      </c>
      <c r="BF1" s="161" t="s">
        <v>10230</v>
      </c>
      <c r="BG1" s="161" t="s">
        <v>35</v>
      </c>
      <c r="BH1" s="161" t="s">
        <v>10226</v>
      </c>
      <c r="BI1" s="158" t="s">
        <v>65</v>
      </c>
      <c r="BJ1" s="161" t="s">
        <v>10163</v>
      </c>
      <c r="BK1" s="158" t="s">
        <v>60</v>
      </c>
      <c r="BL1" s="161" t="s">
        <v>10128</v>
      </c>
      <c r="BM1" s="158" t="s">
        <v>61</v>
      </c>
      <c r="BN1" s="158" t="s">
        <v>62</v>
      </c>
      <c r="BO1" s="158" t="s">
        <v>9852</v>
      </c>
      <c r="BP1" s="161" t="s">
        <v>10104</v>
      </c>
      <c r="BQ1" s="158" t="s">
        <v>22</v>
      </c>
      <c r="BR1" s="158" t="s">
        <v>21</v>
      </c>
      <c r="BS1" s="161" t="s">
        <v>10169</v>
      </c>
    </row>
    <row r="2" spans="1:71">
      <c r="A2" s="162">
        <v>1</v>
      </c>
      <c r="B2" t="s">
        <v>360</v>
      </c>
      <c r="C2" s="162">
        <v>1</v>
      </c>
      <c r="D2" s="122" t="s">
        <v>765</v>
      </c>
      <c r="E2" t="s">
        <v>949</v>
      </c>
      <c r="F2" t="s">
        <v>3</v>
      </c>
      <c r="G2" t="s">
        <v>364</v>
      </c>
      <c r="H2" t="s">
        <v>967</v>
      </c>
      <c r="I2" s="162">
        <v>1</v>
      </c>
      <c r="J2" t="s">
        <v>1115</v>
      </c>
      <c r="K2" t="s">
        <v>3</v>
      </c>
      <c r="L2" s="165">
        <v>27624</v>
      </c>
      <c r="M2" s="166">
        <v>41</v>
      </c>
      <c r="N2" t="s">
        <v>1093</v>
      </c>
      <c r="O2" t="s">
        <v>10135</v>
      </c>
      <c r="P2" t="s">
        <v>1101</v>
      </c>
      <c r="Q2" t="s">
        <v>1220</v>
      </c>
      <c r="R2">
        <v>0</v>
      </c>
      <c r="S2" s="162">
        <v>0</v>
      </c>
      <c r="T2" t="s">
        <v>1221</v>
      </c>
      <c r="U2" s="162">
        <v>1971.3</v>
      </c>
      <c r="V2">
        <v>0</v>
      </c>
      <c r="W2" s="162">
        <v>0</v>
      </c>
      <c r="X2">
        <v>0</v>
      </c>
      <c r="Y2" s="162">
        <v>0</v>
      </c>
      <c r="Z2">
        <v>0</v>
      </c>
      <c r="AA2" s="162">
        <v>0</v>
      </c>
      <c r="AB2">
        <v>0</v>
      </c>
      <c r="AC2" s="162" t="s">
        <v>7</v>
      </c>
      <c r="AD2" s="162" t="s">
        <v>7</v>
      </c>
      <c r="AE2" s="162" t="s">
        <v>7</v>
      </c>
      <c r="AF2" s="162" t="s">
        <v>7</v>
      </c>
      <c r="AG2" s="162" t="s">
        <v>7</v>
      </c>
      <c r="AH2" s="162" t="s">
        <v>7</v>
      </c>
      <c r="AI2" t="s">
        <v>9843</v>
      </c>
      <c r="AJ2" t="s">
        <v>7</v>
      </c>
      <c r="AK2" t="s">
        <v>80</v>
      </c>
      <c r="AL2" t="s">
        <v>36</v>
      </c>
      <c r="AM2" s="162" t="s">
        <v>10138</v>
      </c>
      <c r="AN2" t="s">
        <v>9843</v>
      </c>
      <c r="AO2" t="s">
        <v>35</v>
      </c>
      <c r="AP2" t="s">
        <v>1652</v>
      </c>
      <c r="AQ2" t="s">
        <v>1166</v>
      </c>
      <c r="AR2" t="s">
        <v>1097</v>
      </c>
      <c r="AS2" s="162" t="s">
        <v>9851</v>
      </c>
      <c r="AT2" s="117" t="s">
        <v>7</v>
      </c>
      <c r="AU2" s="162" t="s">
        <v>7</v>
      </c>
      <c r="AV2" s="162" t="s">
        <v>7</v>
      </c>
      <c r="AW2" s="162" t="s">
        <v>9851</v>
      </c>
      <c r="AX2" s="162" t="s">
        <v>7</v>
      </c>
      <c r="AY2" s="162" t="s">
        <v>7</v>
      </c>
      <c r="AZ2" t="s">
        <v>7</v>
      </c>
      <c r="BA2" s="162" t="s">
        <v>7</v>
      </c>
      <c r="BB2" s="162" t="s">
        <v>7</v>
      </c>
      <c r="BC2" s="162" t="s">
        <v>7</v>
      </c>
      <c r="BD2" s="162" t="s">
        <v>7</v>
      </c>
      <c r="BE2" s="162" t="s">
        <v>7</v>
      </c>
      <c r="BF2" s="162" t="str">
        <f t="shared" ref="BF2:BF65" si="0">IF(AZ2="Não","Sim","Não")</f>
        <v>Sim</v>
      </c>
      <c r="BG2" s="162" t="str">
        <f t="shared" ref="BG2:BG65" si="1">IF(AZ2="NA","Sim","Não")</f>
        <v>Não</v>
      </c>
      <c r="BH2" s="162" t="s">
        <v>7</v>
      </c>
      <c r="BI2" t="s">
        <v>9872</v>
      </c>
      <c r="BJ2" s="162" t="s">
        <v>10165</v>
      </c>
      <c r="BK2" t="s">
        <v>1222</v>
      </c>
      <c r="BL2" s="162">
        <v>120</v>
      </c>
      <c r="BM2" t="s">
        <v>35</v>
      </c>
      <c r="BN2" t="s">
        <v>35</v>
      </c>
      <c r="BO2" t="s">
        <v>1222</v>
      </c>
      <c r="BP2" s="162">
        <v>120</v>
      </c>
      <c r="BQ2" t="s">
        <v>35</v>
      </c>
      <c r="BR2" t="s">
        <v>1849</v>
      </c>
      <c r="BS2" s="162" t="s">
        <v>10253</v>
      </c>
    </row>
    <row r="3" spans="1:71">
      <c r="A3" s="162">
        <v>2</v>
      </c>
      <c r="B3" t="s">
        <v>351</v>
      </c>
      <c r="C3" s="162">
        <v>0</v>
      </c>
      <c r="D3" s="122" t="s">
        <v>98</v>
      </c>
      <c r="E3" t="s">
        <v>949</v>
      </c>
      <c r="F3" t="s">
        <v>3</v>
      </c>
      <c r="G3" t="s">
        <v>364</v>
      </c>
      <c r="H3" t="s">
        <v>954</v>
      </c>
      <c r="I3" s="162">
        <v>1</v>
      </c>
      <c r="J3" t="s">
        <v>1855</v>
      </c>
      <c r="K3" t="s">
        <v>3</v>
      </c>
      <c r="L3" s="165">
        <v>34466</v>
      </c>
      <c r="M3" s="166">
        <v>22</v>
      </c>
      <c r="N3" t="s">
        <v>1093</v>
      </c>
      <c r="O3" t="s">
        <v>10135</v>
      </c>
      <c r="P3" t="s">
        <v>48</v>
      </c>
      <c r="Q3" t="s">
        <v>1186</v>
      </c>
      <c r="R3" t="s">
        <v>10070</v>
      </c>
      <c r="S3" s="162">
        <v>148.5</v>
      </c>
      <c r="T3" t="s">
        <v>10072</v>
      </c>
      <c r="U3" s="162">
        <v>36.6</v>
      </c>
      <c r="V3" t="s">
        <v>10073</v>
      </c>
      <c r="W3" s="162">
        <v>1.1000000000000001</v>
      </c>
      <c r="X3">
        <v>0</v>
      </c>
      <c r="Y3" s="162">
        <v>0</v>
      </c>
      <c r="Z3">
        <v>0</v>
      </c>
      <c r="AA3" s="162">
        <v>0</v>
      </c>
      <c r="AB3" t="s">
        <v>10071</v>
      </c>
      <c r="AC3" s="162" t="s">
        <v>7</v>
      </c>
      <c r="AD3" s="162" t="s">
        <v>7</v>
      </c>
      <c r="AE3" s="162" t="s">
        <v>9851</v>
      </c>
      <c r="AF3" s="162" t="s">
        <v>9851</v>
      </c>
      <c r="AG3" s="162" t="s">
        <v>7</v>
      </c>
      <c r="AH3" s="162" t="s">
        <v>7</v>
      </c>
      <c r="AI3" t="s">
        <v>9846</v>
      </c>
      <c r="AJ3" t="s">
        <v>1271</v>
      </c>
      <c r="AK3" t="s">
        <v>1173</v>
      </c>
      <c r="AL3" t="s">
        <v>78</v>
      </c>
      <c r="AM3" s="162" t="s">
        <v>10138</v>
      </c>
      <c r="AN3" t="s">
        <v>9843</v>
      </c>
      <c r="AO3" t="s">
        <v>7</v>
      </c>
      <c r="AP3" t="s">
        <v>1350</v>
      </c>
      <c r="AQ3" t="s">
        <v>1163</v>
      </c>
      <c r="AR3" t="s">
        <v>1097</v>
      </c>
      <c r="AS3" s="162" t="s">
        <v>9851</v>
      </c>
      <c r="AT3" s="117" t="s">
        <v>7</v>
      </c>
      <c r="AU3" s="162" t="s">
        <v>7</v>
      </c>
      <c r="AV3" s="162" t="s">
        <v>7</v>
      </c>
      <c r="AW3" s="162" t="s">
        <v>9851</v>
      </c>
      <c r="AX3" s="162" t="s">
        <v>7</v>
      </c>
      <c r="AY3" s="162" t="s">
        <v>7</v>
      </c>
      <c r="AZ3" t="s">
        <v>1937</v>
      </c>
      <c r="BA3" s="162" t="s">
        <v>9851</v>
      </c>
      <c r="BB3" s="162" t="s">
        <v>7</v>
      </c>
      <c r="BC3" s="162" t="s">
        <v>7</v>
      </c>
      <c r="BD3" s="162" t="s">
        <v>7</v>
      </c>
      <c r="BE3" s="162" t="s">
        <v>7</v>
      </c>
      <c r="BF3" s="162" t="str">
        <f t="shared" si="0"/>
        <v>Não</v>
      </c>
      <c r="BG3" s="162" t="str">
        <f t="shared" si="1"/>
        <v>Não</v>
      </c>
      <c r="BH3" s="162" t="s">
        <v>9851</v>
      </c>
      <c r="BI3" t="s">
        <v>9872</v>
      </c>
      <c r="BJ3" s="162" t="s">
        <v>10165</v>
      </c>
      <c r="BK3" t="s">
        <v>1200</v>
      </c>
      <c r="BL3" s="162">
        <v>122.5</v>
      </c>
      <c r="BM3" t="s">
        <v>35</v>
      </c>
      <c r="BN3" t="s">
        <v>35</v>
      </c>
      <c r="BO3" t="s">
        <v>1200</v>
      </c>
      <c r="BP3" s="162">
        <v>122.5</v>
      </c>
      <c r="BQ3" t="s">
        <v>35</v>
      </c>
      <c r="BR3" t="s">
        <v>1849</v>
      </c>
      <c r="BS3" s="162" t="s">
        <v>10253</v>
      </c>
    </row>
    <row r="4" spans="1:71">
      <c r="A4" s="162">
        <v>3</v>
      </c>
      <c r="B4" t="s">
        <v>249</v>
      </c>
      <c r="C4" s="162">
        <v>1</v>
      </c>
      <c r="D4" s="122" t="s">
        <v>82</v>
      </c>
      <c r="E4" t="s">
        <v>709</v>
      </c>
      <c r="F4" t="s">
        <v>515</v>
      </c>
      <c r="G4" t="s">
        <v>251</v>
      </c>
      <c r="H4" t="s">
        <v>720</v>
      </c>
      <c r="I4" s="162">
        <v>1</v>
      </c>
      <c r="J4" t="s">
        <v>1855</v>
      </c>
      <c r="K4" t="s">
        <v>3</v>
      </c>
      <c r="L4" s="165">
        <v>33108</v>
      </c>
      <c r="M4" s="166">
        <v>26</v>
      </c>
      <c r="N4" t="s">
        <v>5</v>
      </c>
      <c r="O4" t="s">
        <v>10135</v>
      </c>
      <c r="P4" t="s">
        <v>48</v>
      </c>
      <c r="Q4" t="s">
        <v>1340</v>
      </c>
      <c r="R4" t="s">
        <v>9935</v>
      </c>
      <c r="S4" s="162">
        <v>56</v>
      </c>
      <c r="T4" t="s">
        <v>9936</v>
      </c>
      <c r="U4" s="162">
        <v>15.5</v>
      </c>
      <c r="V4" t="s">
        <v>1840</v>
      </c>
      <c r="W4" s="162">
        <v>22.6</v>
      </c>
      <c r="X4">
        <v>0</v>
      </c>
      <c r="Y4" s="162">
        <v>0</v>
      </c>
      <c r="Z4">
        <v>0</v>
      </c>
      <c r="AA4" s="162">
        <v>0</v>
      </c>
      <c r="AB4">
        <v>0</v>
      </c>
      <c r="AC4" s="162" t="s">
        <v>7</v>
      </c>
      <c r="AD4" s="162" t="s">
        <v>7</v>
      </c>
      <c r="AE4" s="162" t="s">
        <v>7</v>
      </c>
      <c r="AF4" s="162" t="s">
        <v>7</v>
      </c>
      <c r="AG4" s="162" t="s">
        <v>7</v>
      </c>
      <c r="AH4" s="162" t="s">
        <v>7</v>
      </c>
      <c r="AI4" t="s">
        <v>9843</v>
      </c>
      <c r="AJ4" t="s">
        <v>1271</v>
      </c>
      <c r="AK4" t="s">
        <v>9767</v>
      </c>
      <c r="AL4" t="s">
        <v>78</v>
      </c>
      <c r="AM4" s="162" t="s">
        <v>10138</v>
      </c>
      <c r="AN4" t="s">
        <v>9843</v>
      </c>
      <c r="AO4" t="s">
        <v>7</v>
      </c>
      <c r="AP4" t="s">
        <v>1280</v>
      </c>
      <c r="AQ4" t="s">
        <v>1080</v>
      </c>
      <c r="AR4" t="s">
        <v>1097</v>
      </c>
      <c r="AS4" s="162" t="s">
        <v>9851</v>
      </c>
      <c r="AT4" s="117" t="s">
        <v>7</v>
      </c>
      <c r="AU4" s="162" t="s">
        <v>7</v>
      </c>
      <c r="AV4" s="162" t="s">
        <v>7</v>
      </c>
      <c r="AW4" s="162" t="s">
        <v>9851</v>
      </c>
      <c r="AX4" s="162" t="s">
        <v>7</v>
      </c>
      <c r="AY4" s="162" t="s">
        <v>7</v>
      </c>
      <c r="AZ4" t="s">
        <v>1937</v>
      </c>
      <c r="BA4" s="162" t="s">
        <v>9851</v>
      </c>
      <c r="BB4" s="162" t="s">
        <v>7</v>
      </c>
      <c r="BC4" s="162" t="s">
        <v>7</v>
      </c>
      <c r="BD4" s="162" t="s">
        <v>7</v>
      </c>
      <c r="BE4" s="162" t="s">
        <v>7</v>
      </c>
      <c r="BF4" s="162" t="str">
        <f t="shared" si="0"/>
        <v>Não</v>
      </c>
      <c r="BG4" s="162" t="str">
        <f t="shared" si="1"/>
        <v>Não</v>
      </c>
      <c r="BH4" s="162" t="s">
        <v>9851</v>
      </c>
      <c r="BI4" t="s">
        <v>9872</v>
      </c>
      <c r="BJ4" s="162" t="s">
        <v>10165</v>
      </c>
      <c r="BK4" t="s">
        <v>1341</v>
      </c>
      <c r="BL4" s="162">
        <v>126</v>
      </c>
      <c r="BM4" t="s">
        <v>35</v>
      </c>
      <c r="BN4" t="s">
        <v>35</v>
      </c>
      <c r="BO4" t="s">
        <v>1341</v>
      </c>
      <c r="BP4" s="162">
        <v>126</v>
      </c>
      <c r="BQ4" t="s">
        <v>35</v>
      </c>
      <c r="BR4" t="s">
        <v>1849</v>
      </c>
      <c r="BS4" s="162" t="s">
        <v>10253</v>
      </c>
    </row>
    <row r="5" spans="1:71">
      <c r="A5" s="162">
        <v>4</v>
      </c>
      <c r="B5" t="s">
        <v>336</v>
      </c>
      <c r="C5" s="162">
        <v>1</v>
      </c>
      <c r="D5" s="122" t="s">
        <v>702</v>
      </c>
      <c r="E5" t="s">
        <v>855</v>
      </c>
      <c r="F5" t="s">
        <v>515</v>
      </c>
      <c r="G5" t="s">
        <v>348</v>
      </c>
      <c r="H5" t="s">
        <v>856</v>
      </c>
      <c r="I5" s="162">
        <v>1</v>
      </c>
      <c r="J5" t="s">
        <v>76</v>
      </c>
      <c r="K5" t="s">
        <v>3</v>
      </c>
      <c r="L5" s="165">
        <v>30213</v>
      </c>
      <c r="M5" s="166">
        <v>34</v>
      </c>
      <c r="N5" t="s">
        <v>5</v>
      </c>
      <c r="O5" t="s">
        <v>10135</v>
      </c>
      <c r="P5" t="s">
        <v>48</v>
      </c>
      <c r="Q5" t="s">
        <v>1604</v>
      </c>
      <c r="R5" t="s">
        <v>1608</v>
      </c>
      <c r="S5" s="162">
        <v>2530</v>
      </c>
      <c r="T5" t="s">
        <v>1609</v>
      </c>
      <c r="U5" s="162">
        <v>1980</v>
      </c>
      <c r="V5" t="s">
        <v>1607</v>
      </c>
      <c r="W5" s="162">
        <v>858</v>
      </c>
      <c r="X5">
        <v>0</v>
      </c>
      <c r="Y5" s="162">
        <v>0</v>
      </c>
      <c r="Z5">
        <v>0</v>
      </c>
      <c r="AA5" s="162">
        <v>0</v>
      </c>
      <c r="AB5">
        <v>0</v>
      </c>
      <c r="AC5" s="162" t="s">
        <v>7</v>
      </c>
      <c r="AD5" s="162" t="s">
        <v>7</v>
      </c>
      <c r="AE5" s="162" t="s">
        <v>7</v>
      </c>
      <c r="AF5" s="162" t="s">
        <v>7</v>
      </c>
      <c r="AG5" s="162" t="s">
        <v>7</v>
      </c>
      <c r="AH5" s="162" t="s">
        <v>7</v>
      </c>
      <c r="AI5" t="s">
        <v>9843</v>
      </c>
      <c r="AJ5" t="s">
        <v>7</v>
      </c>
      <c r="AK5" t="s">
        <v>1614</v>
      </c>
      <c r="AL5" t="s">
        <v>36</v>
      </c>
      <c r="AM5" s="162" t="s">
        <v>10138</v>
      </c>
      <c r="AN5" t="s">
        <v>9843</v>
      </c>
      <c r="AO5" t="s">
        <v>35</v>
      </c>
      <c r="AP5" t="s">
        <v>9858</v>
      </c>
      <c r="AQ5" t="s">
        <v>1605</v>
      </c>
      <c r="AR5" t="s">
        <v>1097</v>
      </c>
      <c r="AS5" s="162" t="s">
        <v>9851</v>
      </c>
      <c r="AT5" s="117" t="s">
        <v>7</v>
      </c>
      <c r="AU5" s="162" t="s">
        <v>7</v>
      </c>
      <c r="AV5" s="162" t="s">
        <v>7</v>
      </c>
      <c r="AW5" s="162" t="s">
        <v>9851</v>
      </c>
      <c r="AX5" s="162" t="s">
        <v>7</v>
      </c>
      <c r="AY5" s="162" t="s">
        <v>7</v>
      </c>
      <c r="AZ5" t="s">
        <v>7</v>
      </c>
      <c r="BA5" s="162" t="s">
        <v>7</v>
      </c>
      <c r="BB5" s="162" t="s">
        <v>7</v>
      </c>
      <c r="BC5" s="162" t="s">
        <v>7</v>
      </c>
      <c r="BD5" s="162" t="s">
        <v>7</v>
      </c>
      <c r="BE5" s="162" t="s">
        <v>7</v>
      </c>
      <c r="BF5" s="162" t="str">
        <f t="shared" si="0"/>
        <v>Sim</v>
      </c>
      <c r="BG5" s="162" t="str">
        <f t="shared" si="1"/>
        <v>Não</v>
      </c>
      <c r="BH5" s="162" t="s">
        <v>7</v>
      </c>
      <c r="BI5" t="s">
        <v>9872</v>
      </c>
      <c r="BJ5" s="162" t="s">
        <v>10165</v>
      </c>
      <c r="BK5" t="s">
        <v>1606</v>
      </c>
      <c r="BL5" s="162">
        <v>129.63333333333333</v>
      </c>
      <c r="BM5" t="s">
        <v>35</v>
      </c>
      <c r="BN5" t="s">
        <v>35</v>
      </c>
      <c r="BO5" t="s">
        <v>1606</v>
      </c>
      <c r="BP5" s="162">
        <v>129.63333333333333</v>
      </c>
      <c r="BQ5" t="s">
        <v>35</v>
      </c>
      <c r="BR5" t="s">
        <v>1849</v>
      </c>
      <c r="BS5" s="162" t="s">
        <v>10253</v>
      </c>
    </row>
    <row r="6" spans="1:71">
      <c r="A6" s="162">
        <v>5</v>
      </c>
      <c r="B6" t="s">
        <v>148</v>
      </c>
      <c r="C6" s="162">
        <v>1</v>
      </c>
      <c r="D6" s="122" t="s">
        <v>554</v>
      </c>
      <c r="E6" t="s">
        <v>540</v>
      </c>
      <c r="F6" t="s">
        <v>3</v>
      </c>
      <c r="G6" t="s">
        <v>155</v>
      </c>
      <c r="H6" t="s">
        <v>555</v>
      </c>
      <c r="I6" s="162">
        <v>1</v>
      </c>
      <c r="J6" t="s">
        <v>76</v>
      </c>
      <c r="K6" t="s">
        <v>3</v>
      </c>
      <c r="L6" s="165">
        <v>33769</v>
      </c>
      <c r="M6" s="166">
        <v>25</v>
      </c>
      <c r="N6" t="s">
        <v>1093</v>
      </c>
      <c r="O6" t="s">
        <v>10135</v>
      </c>
      <c r="P6" t="s">
        <v>18</v>
      </c>
      <c r="Q6" t="s">
        <v>1761</v>
      </c>
      <c r="R6">
        <v>0</v>
      </c>
      <c r="S6" s="162">
        <v>0</v>
      </c>
      <c r="T6">
        <v>0</v>
      </c>
      <c r="U6" s="162">
        <v>0</v>
      </c>
      <c r="V6" t="s">
        <v>1762</v>
      </c>
      <c r="W6" s="162">
        <v>3334.6</v>
      </c>
      <c r="X6">
        <v>0</v>
      </c>
      <c r="Y6" s="162">
        <v>0</v>
      </c>
      <c r="Z6">
        <v>0</v>
      </c>
      <c r="AA6" s="162">
        <v>0</v>
      </c>
      <c r="AB6">
        <v>0</v>
      </c>
      <c r="AC6" s="162" t="s">
        <v>7</v>
      </c>
      <c r="AD6" s="162" t="s">
        <v>7</v>
      </c>
      <c r="AE6" s="162" t="s">
        <v>7</v>
      </c>
      <c r="AF6" s="162" t="s">
        <v>7</v>
      </c>
      <c r="AG6" s="162" t="s">
        <v>7</v>
      </c>
      <c r="AH6" s="162" t="s">
        <v>7</v>
      </c>
      <c r="AI6" t="s">
        <v>9843</v>
      </c>
      <c r="AJ6" t="s">
        <v>1273</v>
      </c>
      <c r="AK6" t="s">
        <v>1132</v>
      </c>
      <c r="AL6" t="s">
        <v>78</v>
      </c>
      <c r="AM6" s="162" t="s">
        <v>10138</v>
      </c>
      <c r="AN6" t="s">
        <v>9843</v>
      </c>
      <c r="AO6" t="s">
        <v>7</v>
      </c>
      <c r="AP6" t="s">
        <v>1104</v>
      </c>
      <c r="AQ6" t="s">
        <v>1166</v>
      </c>
      <c r="AR6" t="s">
        <v>1097</v>
      </c>
      <c r="AS6" s="162" t="s">
        <v>9851</v>
      </c>
      <c r="AT6" s="117" t="s">
        <v>7</v>
      </c>
      <c r="AU6" s="162" t="s">
        <v>7</v>
      </c>
      <c r="AV6" s="162" t="s">
        <v>7</v>
      </c>
      <c r="AW6" s="162" t="s">
        <v>9851</v>
      </c>
      <c r="AX6" s="162" t="s">
        <v>7</v>
      </c>
      <c r="AY6" s="162" t="s">
        <v>7</v>
      </c>
      <c r="AZ6" t="s">
        <v>9795</v>
      </c>
      <c r="BA6" s="162" t="s">
        <v>9851</v>
      </c>
      <c r="BB6" s="162" t="s">
        <v>9851</v>
      </c>
      <c r="BC6" s="162" t="s">
        <v>7</v>
      </c>
      <c r="BD6" s="162" t="s">
        <v>7</v>
      </c>
      <c r="BE6" s="162" t="s">
        <v>7</v>
      </c>
      <c r="BF6" s="162" t="str">
        <f t="shared" si="0"/>
        <v>Não</v>
      </c>
      <c r="BG6" s="162" t="str">
        <f t="shared" si="1"/>
        <v>Não</v>
      </c>
      <c r="BH6" s="162" t="s">
        <v>9851</v>
      </c>
      <c r="BI6" t="s">
        <v>9872</v>
      </c>
      <c r="BJ6" s="162" t="s">
        <v>10165</v>
      </c>
      <c r="BK6" t="s">
        <v>1763</v>
      </c>
      <c r="BL6" s="162">
        <v>134.4</v>
      </c>
      <c r="BM6" t="s">
        <v>35</v>
      </c>
      <c r="BN6" t="s">
        <v>35</v>
      </c>
      <c r="BO6" t="s">
        <v>1763</v>
      </c>
      <c r="BP6" s="162">
        <v>134.4</v>
      </c>
      <c r="BQ6" t="s">
        <v>35</v>
      </c>
      <c r="BR6" t="s">
        <v>1849</v>
      </c>
      <c r="BS6" s="162" t="s">
        <v>10253</v>
      </c>
    </row>
    <row r="7" spans="1:71">
      <c r="A7" s="162">
        <v>6</v>
      </c>
      <c r="B7" t="s">
        <v>256</v>
      </c>
      <c r="C7" s="162">
        <v>1</v>
      </c>
      <c r="D7" s="122" t="s">
        <v>501</v>
      </c>
      <c r="E7" t="s">
        <v>728</v>
      </c>
      <c r="F7" t="s">
        <v>3</v>
      </c>
      <c r="G7" t="s">
        <v>264</v>
      </c>
      <c r="H7" t="s">
        <v>730</v>
      </c>
      <c r="I7" s="162">
        <v>1</v>
      </c>
      <c r="J7" t="s">
        <v>76</v>
      </c>
      <c r="K7" t="s">
        <v>3</v>
      </c>
      <c r="L7" s="165">
        <v>26835</v>
      </c>
      <c r="M7" s="166">
        <v>44</v>
      </c>
      <c r="N7" t="s">
        <v>5</v>
      </c>
      <c r="O7" t="s">
        <v>10135</v>
      </c>
      <c r="P7" t="s">
        <v>1101</v>
      </c>
      <c r="Q7" t="s">
        <v>9825</v>
      </c>
      <c r="R7" t="s">
        <v>1649</v>
      </c>
      <c r="S7" s="162">
        <v>515.67999999999995</v>
      </c>
      <c r="T7" t="s">
        <v>9943</v>
      </c>
      <c r="U7" s="162">
        <v>11</v>
      </c>
      <c r="V7" t="s">
        <v>9944</v>
      </c>
      <c r="W7" s="162">
        <v>8.5</v>
      </c>
      <c r="X7">
        <v>0</v>
      </c>
      <c r="Y7" s="162">
        <v>0</v>
      </c>
      <c r="Z7">
        <v>0</v>
      </c>
      <c r="AA7" s="162">
        <v>0</v>
      </c>
      <c r="AB7">
        <v>0</v>
      </c>
      <c r="AC7" s="162" t="s">
        <v>7</v>
      </c>
      <c r="AD7" s="162" t="s">
        <v>7</v>
      </c>
      <c r="AE7" s="162" t="s">
        <v>7</v>
      </c>
      <c r="AF7" s="162" t="s">
        <v>7</v>
      </c>
      <c r="AG7" s="162" t="s">
        <v>7</v>
      </c>
      <c r="AH7" s="162" t="s">
        <v>7</v>
      </c>
      <c r="AI7" t="s">
        <v>9846</v>
      </c>
      <c r="AJ7" t="s">
        <v>7</v>
      </c>
      <c r="AK7" t="s">
        <v>1650</v>
      </c>
      <c r="AL7" t="s">
        <v>78</v>
      </c>
      <c r="AM7" s="162" t="s">
        <v>10138</v>
      </c>
      <c r="AN7" t="s">
        <v>9843</v>
      </c>
      <c r="AO7" t="s">
        <v>35</v>
      </c>
      <c r="AP7" t="s">
        <v>1652</v>
      </c>
      <c r="AQ7" t="s">
        <v>1222</v>
      </c>
      <c r="AR7" t="s">
        <v>1097</v>
      </c>
      <c r="AS7" s="162" t="s">
        <v>9851</v>
      </c>
      <c r="AT7" s="117" t="s">
        <v>7</v>
      </c>
      <c r="AU7" s="162" t="s">
        <v>7</v>
      </c>
      <c r="AV7" s="162" t="s">
        <v>7</v>
      </c>
      <c r="AW7" s="162" t="s">
        <v>9851</v>
      </c>
      <c r="AX7" s="162" t="s">
        <v>7</v>
      </c>
      <c r="AY7" s="162" t="s">
        <v>7</v>
      </c>
      <c r="AZ7" t="s">
        <v>7</v>
      </c>
      <c r="BA7" s="162" t="s">
        <v>7</v>
      </c>
      <c r="BB7" s="162" t="s">
        <v>7</v>
      </c>
      <c r="BC7" s="162" t="s">
        <v>7</v>
      </c>
      <c r="BD7" s="162" t="s">
        <v>7</v>
      </c>
      <c r="BE7" s="162" t="s">
        <v>7</v>
      </c>
      <c r="BF7" s="162" t="str">
        <f t="shared" si="0"/>
        <v>Sim</v>
      </c>
      <c r="BG7" s="162" t="str">
        <f t="shared" si="1"/>
        <v>Não</v>
      </c>
      <c r="BH7" s="162" t="s">
        <v>7</v>
      </c>
      <c r="BI7" t="s">
        <v>9872</v>
      </c>
      <c r="BJ7" s="162" t="s">
        <v>10165</v>
      </c>
      <c r="BK7" t="s">
        <v>1653</v>
      </c>
      <c r="BL7" s="162">
        <v>150</v>
      </c>
      <c r="BM7" t="s">
        <v>35</v>
      </c>
      <c r="BN7" t="s">
        <v>35</v>
      </c>
      <c r="BO7" t="s">
        <v>1653</v>
      </c>
      <c r="BP7" s="162">
        <v>150</v>
      </c>
      <c r="BQ7" t="s">
        <v>35</v>
      </c>
      <c r="BR7" t="s">
        <v>1849</v>
      </c>
      <c r="BS7" s="162" t="s">
        <v>10253</v>
      </c>
    </row>
    <row r="8" spans="1:71">
      <c r="A8" s="162">
        <v>7</v>
      </c>
      <c r="B8" t="s">
        <v>226</v>
      </c>
      <c r="C8" s="162">
        <v>1</v>
      </c>
      <c r="D8" s="122" t="s">
        <v>676</v>
      </c>
      <c r="E8" t="s">
        <v>677</v>
      </c>
      <c r="F8" t="s">
        <v>515</v>
      </c>
      <c r="G8" t="s">
        <v>241</v>
      </c>
      <c r="H8" t="s">
        <v>678</v>
      </c>
      <c r="I8" s="162">
        <v>1</v>
      </c>
      <c r="J8" t="s">
        <v>1855</v>
      </c>
      <c r="K8" t="s">
        <v>515</v>
      </c>
      <c r="L8" s="165">
        <v>34880</v>
      </c>
      <c r="M8" s="166">
        <v>21</v>
      </c>
      <c r="N8" t="s">
        <v>5</v>
      </c>
      <c r="O8" t="s">
        <v>10135</v>
      </c>
      <c r="P8" t="s">
        <v>48</v>
      </c>
      <c r="Q8" t="s">
        <v>1662</v>
      </c>
      <c r="R8">
        <v>0</v>
      </c>
      <c r="S8" s="162">
        <v>0</v>
      </c>
      <c r="T8">
        <v>0</v>
      </c>
      <c r="U8" s="162">
        <v>0</v>
      </c>
      <c r="V8" t="s">
        <v>1663</v>
      </c>
      <c r="W8" s="162">
        <v>12.5</v>
      </c>
      <c r="X8">
        <v>0</v>
      </c>
      <c r="Y8" s="162">
        <v>0</v>
      </c>
      <c r="Z8">
        <v>0</v>
      </c>
      <c r="AA8" s="162">
        <v>0</v>
      </c>
      <c r="AB8">
        <v>0</v>
      </c>
      <c r="AC8" s="162" t="s">
        <v>7</v>
      </c>
      <c r="AD8" s="162" t="s">
        <v>7</v>
      </c>
      <c r="AE8" s="162" t="s">
        <v>7</v>
      </c>
      <c r="AF8" s="162" t="s">
        <v>7</v>
      </c>
      <c r="AG8" s="162" t="s">
        <v>7</v>
      </c>
      <c r="AH8" s="162" t="s">
        <v>7</v>
      </c>
      <c r="AI8" t="s">
        <v>9843</v>
      </c>
      <c r="AJ8" t="s">
        <v>7</v>
      </c>
      <c r="AK8" t="s">
        <v>1666</v>
      </c>
      <c r="AL8" t="s">
        <v>36</v>
      </c>
      <c r="AM8" s="162" t="s">
        <v>10138</v>
      </c>
      <c r="AN8" t="s">
        <v>9843</v>
      </c>
      <c r="AO8" t="s">
        <v>35</v>
      </c>
      <c r="AP8" t="s">
        <v>9857</v>
      </c>
      <c r="AQ8" t="s">
        <v>1664</v>
      </c>
      <c r="AR8" t="s">
        <v>1097</v>
      </c>
      <c r="AS8" s="162" t="s">
        <v>9851</v>
      </c>
      <c r="AT8" s="117" t="s">
        <v>7</v>
      </c>
      <c r="AU8" s="162" t="s">
        <v>7</v>
      </c>
      <c r="AV8" s="162" t="s">
        <v>7</v>
      </c>
      <c r="AW8" s="162" t="s">
        <v>9851</v>
      </c>
      <c r="AX8" s="162" t="s">
        <v>7</v>
      </c>
      <c r="AY8" s="162" t="s">
        <v>7</v>
      </c>
      <c r="AZ8" t="s">
        <v>7</v>
      </c>
      <c r="BA8" s="162" t="s">
        <v>7</v>
      </c>
      <c r="BB8" s="162" t="s">
        <v>7</v>
      </c>
      <c r="BC8" s="162" t="s">
        <v>7</v>
      </c>
      <c r="BD8" s="162" t="s">
        <v>7</v>
      </c>
      <c r="BE8" s="162" t="s">
        <v>7</v>
      </c>
      <c r="BF8" s="162" t="str">
        <f t="shared" si="0"/>
        <v>Sim</v>
      </c>
      <c r="BG8" s="162" t="str">
        <f t="shared" si="1"/>
        <v>Não</v>
      </c>
      <c r="BH8" s="162" t="s">
        <v>7</v>
      </c>
      <c r="BI8" t="s">
        <v>9872</v>
      </c>
      <c r="BJ8" s="162" t="s">
        <v>10165</v>
      </c>
      <c r="BK8" t="s">
        <v>1665</v>
      </c>
      <c r="BL8" s="162">
        <v>180</v>
      </c>
      <c r="BM8" t="s">
        <v>35</v>
      </c>
      <c r="BN8" t="s">
        <v>35</v>
      </c>
      <c r="BO8" t="s">
        <v>1665</v>
      </c>
      <c r="BP8" s="162">
        <v>180</v>
      </c>
      <c r="BQ8" t="s">
        <v>35</v>
      </c>
      <c r="BR8" t="s">
        <v>1849</v>
      </c>
      <c r="BS8" s="162" t="s">
        <v>10253</v>
      </c>
    </row>
    <row r="9" spans="1:71">
      <c r="A9" s="162">
        <v>8</v>
      </c>
      <c r="B9" t="s">
        <v>467</v>
      </c>
      <c r="C9" s="162">
        <v>0</v>
      </c>
      <c r="D9" s="122" t="s">
        <v>1057</v>
      </c>
      <c r="E9" t="s">
        <v>1050</v>
      </c>
      <c r="F9" t="s">
        <v>515</v>
      </c>
      <c r="G9" t="s">
        <v>473</v>
      </c>
      <c r="H9" t="s">
        <v>1059</v>
      </c>
      <c r="I9" s="162">
        <v>1</v>
      </c>
      <c r="J9" t="s">
        <v>1855</v>
      </c>
      <c r="K9" t="s">
        <v>3</v>
      </c>
      <c r="L9" s="165">
        <v>32973</v>
      </c>
      <c r="M9" s="166">
        <v>27</v>
      </c>
      <c r="N9" t="s">
        <v>5</v>
      </c>
      <c r="O9" t="s">
        <v>10135</v>
      </c>
      <c r="P9" t="s">
        <v>48</v>
      </c>
      <c r="Q9" t="s">
        <v>1451</v>
      </c>
      <c r="R9">
        <v>0</v>
      </c>
      <c r="S9" s="162">
        <v>0</v>
      </c>
      <c r="T9">
        <v>0</v>
      </c>
      <c r="U9" s="162">
        <v>0</v>
      </c>
      <c r="V9">
        <v>0</v>
      </c>
      <c r="W9" s="162">
        <v>0</v>
      </c>
      <c r="X9">
        <v>0</v>
      </c>
      <c r="Y9" s="162">
        <v>0</v>
      </c>
      <c r="Z9">
        <v>0</v>
      </c>
      <c r="AA9" s="162">
        <v>0</v>
      </c>
      <c r="AB9">
        <v>0</v>
      </c>
      <c r="AC9" s="162" t="s">
        <v>7</v>
      </c>
      <c r="AD9" s="162" t="s">
        <v>7</v>
      </c>
      <c r="AE9" s="162" t="s">
        <v>7</v>
      </c>
      <c r="AF9" s="162" t="s">
        <v>7</v>
      </c>
      <c r="AG9" s="162" t="s">
        <v>7</v>
      </c>
      <c r="AH9" s="162" t="s">
        <v>7</v>
      </c>
      <c r="AI9" t="s">
        <v>9846</v>
      </c>
      <c r="AJ9" t="s">
        <v>7</v>
      </c>
      <c r="AK9" t="s">
        <v>1098</v>
      </c>
      <c r="AL9" t="s">
        <v>78</v>
      </c>
      <c r="AM9" s="162" t="s">
        <v>10138</v>
      </c>
      <c r="AN9" t="s">
        <v>9843</v>
      </c>
      <c r="AO9" t="s">
        <v>35</v>
      </c>
      <c r="AP9" t="s">
        <v>1455</v>
      </c>
      <c r="AQ9" t="s">
        <v>1418</v>
      </c>
      <c r="AR9" t="s">
        <v>7</v>
      </c>
      <c r="AS9" s="162" t="s">
        <v>7</v>
      </c>
      <c r="AT9" s="117" t="s">
        <v>7</v>
      </c>
      <c r="AU9" s="162" t="s">
        <v>7</v>
      </c>
      <c r="AV9" s="162" t="s">
        <v>7</v>
      </c>
      <c r="AW9" s="162" t="s">
        <v>9851</v>
      </c>
      <c r="AX9" s="162" t="s">
        <v>7</v>
      </c>
      <c r="AY9" s="162" t="s">
        <v>7</v>
      </c>
      <c r="AZ9" t="s">
        <v>7</v>
      </c>
      <c r="BA9" s="162" t="s">
        <v>7</v>
      </c>
      <c r="BB9" s="162" t="s">
        <v>7</v>
      </c>
      <c r="BC9" s="162" t="s">
        <v>7</v>
      </c>
      <c r="BD9" s="162" t="s">
        <v>7</v>
      </c>
      <c r="BE9" s="162" t="s">
        <v>7</v>
      </c>
      <c r="BF9" s="162" t="str">
        <f t="shared" si="0"/>
        <v>Sim</v>
      </c>
      <c r="BG9" s="162" t="str">
        <f t="shared" si="1"/>
        <v>Não</v>
      </c>
      <c r="BH9" s="162" t="s">
        <v>7</v>
      </c>
      <c r="BI9" t="s">
        <v>9870</v>
      </c>
      <c r="BJ9" s="162" t="s">
        <v>10164</v>
      </c>
      <c r="BK9" t="s">
        <v>1182</v>
      </c>
      <c r="BL9" s="162">
        <v>23.333333333333332</v>
      </c>
      <c r="BM9" t="s">
        <v>35</v>
      </c>
      <c r="BN9" t="s">
        <v>35</v>
      </c>
      <c r="BO9" t="s">
        <v>1182</v>
      </c>
      <c r="BP9" s="162">
        <v>23.333333333333332</v>
      </c>
      <c r="BQ9" t="s">
        <v>7</v>
      </c>
      <c r="BR9" t="s">
        <v>37</v>
      </c>
      <c r="BS9" s="162" t="s">
        <v>37</v>
      </c>
    </row>
    <row r="10" spans="1:71">
      <c r="A10" s="162">
        <v>9</v>
      </c>
      <c r="B10" t="s">
        <v>274</v>
      </c>
      <c r="C10" s="162">
        <v>1</v>
      </c>
      <c r="D10" s="122" t="s">
        <v>613</v>
      </c>
      <c r="E10" t="s">
        <v>746</v>
      </c>
      <c r="F10" t="s">
        <v>3</v>
      </c>
      <c r="G10" t="s">
        <v>277</v>
      </c>
      <c r="H10" t="s">
        <v>764</v>
      </c>
      <c r="I10" s="162">
        <v>1</v>
      </c>
      <c r="J10" t="s">
        <v>1855</v>
      </c>
      <c r="K10" t="s">
        <v>3</v>
      </c>
      <c r="L10" s="165">
        <v>32304</v>
      </c>
      <c r="M10" s="166">
        <v>29</v>
      </c>
      <c r="N10" t="s">
        <v>5</v>
      </c>
      <c r="O10" t="s">
        <v>10135</v>
      </c>
      <c r="P10" t="s">
        <v>48</v>
      </c>
      <c r="Q10" t="s">
        <v>1405</v>
      </c>
      <c r="R10" t="s">
        <v>1406</v>
      </c>
      <c r="S10" s="162">
        <v>29</v>
      </c>
      <c r="T10" t="s">
        <v>1407</v>
      </c>
      <c r="U10" s="162">
        <v>13.2</v>
      </c>
      <c r="V10">
        <v>0</v>
      </c>
      <c r="W10" s="162">
        <v>0</v>
      </c>
      <c r="X10">
        <v>0</v>
      </c>
      <c r="Y10" s="162">
        <v>0</v>
      </c>
      <c r="Z10">
        <v>0</v>
      </c>
      <c r="AA10" s="162">
        <v>0</v>
      </c>
      <c r="AB10">
        <v>0</v>
      </c>
      <c r="AC10" s="162" t="s">
        <v>7</v>
      </c>
      <c r="AD10" s="162" t="s">
        <v>7</v>
      </c>
      <c r="AE10" s="162" t="s">
        <v>7</v>
      </c>
      <c r="AF10" s="162" t="s">
        <v>7</v>
      </c>
      <c r="AG10" s="162" t="s">
        <v>7</v>
      </c>
      <c r="AH10" s="162" t="s">
        <v>7</v>
      </c>
      <c r="AI10" t="s">
        <v>9843</v>
      </c>
      <c r="AJ10" t="s">
        <v>7</v>
      </c>
      <c r="AK10" t="s">
        <v>1408</v>
      </c>
      <c r="AL10" t="s">
        <v>36</v>
      </c>
      <c r="AM10" s="162" t="s">
        <v>10138</v>
      </c>
      <c r="AN10" t="s">
        <v>9843</v>
      </c>
      <c r="AO10" t="s">
        <v>35</v>
      </c>
      <c r="AP10" t="s">
        <v>7</v>
      </c>
      <c r="AQ10" t="s">
        <v>9</v>
      </c>
      <c r="AR10" t="s">
        <v>7</v>
      </c>
      <c r="AS10" s="162" t="s">
        <v>7</v>
      </c>
      <c r="AT10" s="117" t="s">
        <v>7</v>
      </c>
      <c r="AU10" s="162" t="s">
        <v>7</v>
      </c>
      <c r="AV10" s="162" t="s">
        <v>7</v>
      </c>
      <c r="AW10" s="162" t="s">
        <v>9851</v>
      </c>
      <c r="AX10" s="162" t="s">
        <v>7</v>
      </c>
      <c r="AY10" s="162" t="s">
        <v>7</v>
      </c>
      <c r="AZ10" t="s">
        <v>1937</v>
      </c>
      <c r="BA10" s="162" t="s">
        <v>9851</v>
      </c>
      <c r="BB10" s="162" t="s">
        <v>7</v>
      </c>
      <c r="BC10" s="162" t="s">
        <v>7</v>
      </c>
      <c r="BD10" s="162" t="s">
        <v>7</v>
      </c>
      <c r="BE10" s="162" t="s">
        <v>7</v>
      </c>
      <c r="BF10" s="162" t="str">
        <f t="shared" si="0"/>
        <v>Não</v>
      </c>
      <c r="BG10" s="162" t="str">
        <f t="shared" si="1"/>
        <v>Não</v>
      </c>
      <c r="BH10" s="162" t="s">
        <v>9851</v>
      </c>
      <c r="BI10" t="s">
        <v>9870</v>
      </c>
      <c r="BJ10" s="162" t="s">
        <v>10164</v>
      </c>
      <c r="BK10" t="s">
        <v>1182</v>
      </c>
      <c r="BL10" s="162">
        <v>23.333333333333332</v>
      </c>
      <c r="BM10" t="s">
        <v>35</v>
      </c>
      <c r="BN10" t="s">
        <v>35</v>
      </c>
      <c r="BO10" t="s">
        <v>1182</v>
      </c>
      <c r="BP10" s="162">
        <v>23.333333333333332</v>
      </c>
      <c r="BQ10" t="s">
        <v>7</v>
      </c>
      <c r="BR10" t="s">
        <v>1849</v>
      </c>
      <c r="BS10" s="162" t="s">
        <v>10170</v>
      </c>
    </row>
    <row r="11" spans="1:71">
      <c r="A11" s="162">
        <v>10</v>
      </c>
      <c r="B11" t="s">
        <v>247</v>
      </c>
      <c r="C11" s="162">
        <v>1</v>
      </c>
      <c r="D11" s="122" t="s">
        <v>715</v>
      </c>
      <c r="E11" t="s">
        <v>706</v>
      </c>
      <c r="F11" t="s">
        <v>515</v>
      </c>
      <c r="G11" t="s">
        <v>251</v>
      </c>
      <c r="H11" t="s">
        <v>716</v>
      </c>
      <c r="I11" s="162">
        <v>1</v>
      </c>
      <c r="J11" t="s">
        <v>1855</v>
      </c>
      <c r="K11" t="s">
        <v>515</v>
      </c>
      <c r="L11" s="165">
        <v>34740</v>
      </c>
      <c r="M11" s="166">
        <v>22</v>
      </c>
      <c r="N11" t="s">
        <v>5</v>
      </c>
      <c r="O11" t="s">
        <v>10135</v>
      </c>
      <c r="P11" t="s">
        <v>48</v>
      </c>
      <c r="Q11" t="s">
        <v>1210</v>
      </c>
      <c r="R11">
        <v>0</v>
      </c>
      <c r="S11" s="162">
        <v>0</v>
      </c>
      <c r="T11" t="s">
        <v>1337</v>
      </c>
      <c r="U11" s="162">
        <v>2.6</v>
      </c>
      <c r="V11">
        <v>0</v>
      </c>
      <c r="W11" s="162">
        <v>0</v>
      </c>
      <c r="X11">
        <v>0</v>
      </c>
      <c r="Y11" s="162">
        <v>0</v>
      </c>
      <c r="Z11">
        <v>0</v>
      </c>
      <c r="AA11" s="162">
        <v>0</v>
      </c>
      <c r="AB11">
        <v>0</v>
      </c>
      <c r="AC11" s="162" t="s">
        <v>7</v>
      </c>
      <c r="AD11" s="162" t="s">
        <v>7</v>
      </c>
      <c r="AE11" s="162" t="s">
        <v>7</v>
      </c>
      <c r="AF11" s="162" t="s">
        <v>7</v>
      </c>
      <c r="AG11" s="162" t="s">
        <v>7</v>
      </c>
      <c r="AH11" s="162" t="s">
        <v>7</v>
      </c>
      <c r="AI11" t="s">
        <v>9846</v>
      </c>
      <c r="AJ11" t="s">
        <v>7</v>
      </c>
      <c r="AK11" t="s">
        <v>1975</v>
      </c>
      <c r="AL11" t="s">
        <v>78</v>
      </c>
      <c r="AM11" s="162" t="s">
        <v>10138</v>
      </c>
      <c r="AN11" t="s">
        <v>9843</v>
      </c>
      <c r="AO11" t="s">
        <v>35</v>
      </c>
      <c r="AP11" t="s">
        <v>7</v>
      </c>
      <c r="AQ11" t="s">
        <v>9</v>
      </c>
      <c r="AR11" t="s">
        <v>7</v>
      </c>
      <c r="AS11" s="162" t="s">
        <v>7</v>
      </c>
      <c r="AT11" s="117" t="s">
        <v>7</v>
      </c>
      <c r="AU11" s="162" t="s">
        <v>7</v>
      </c>
      <c r="AV11" s="162" t="s">
        <v>7</v>
      </c>
      <c r="AW11" s="162" t="s">
        <v>9851</v>
      </c>
      <c r="AX11" s="162" t="s">
        <v>7</v>
      </c>
      <c r="AY11" s="162" t="s">
        <v>7</v>
      </c>
      <c r="AZ11" t="s">
        <v>1937</v>
      </c>
      <c r="BA11" s="162" t="s">
        <v>9851</v>
      </c>
      <c r="BB11" s="162" t="s">
        <v>7</v>
      </c>
      <c r="BC11" s="162" t="s">
        <v>7</v>
      </c>
      <c r="BD11" s="162" t="s">
        <v>7</v>
      </c>
      <c r="BE11" s="162" t="s">
        <v>7</v>
      </c>
      <c r="BF11" s="162" t="str">
        <f t="shared" si="0"/>
        <v>Não</v>
      </c>
      <c r="BG11" s="162" t="str">
        <f t="shared" si="1"/>
        <v>Não</v>
      </c>
      <c r="BH11" s="162" t="s">
        <v>9851</v>
      </c>
      <c r="BI11" t="s">
        <v>9870</v>
      </c>
      <c r="BJ11" s="162" t="s">
        <v>10164</v>
      </c>
      <c r="BK11" t="s">
        <v>1182</v>
      </c>
      <c r="BL11" s="162">
        <v>23.333333333333332</v>
      </c>
      <c r="BM11" t="s">
        <v>35</v>
      </c>
      <c r="BN11" t="s">
        <v>35</v>
      </c>
      <c r="BO11" t="s">
        <v>1182</v>
      </c>
      <c r="BP11" s="162">
        <v>23.333333333333332</v>
      </c>
      <c r="BQ11" t="s">
        <v>7</v>
      </c>
      <c r="BR11" t="s">
        <v>1849</v>
      </c>
      <c r="BS11" s="162" t="s">
        <v>10170</v>
      </c>
    </row>
    <row r="12" spans="1:71">
      <c r="A12" s="162">
        <v>11</v>
      </c>
      <c r="B12" t="s">
        <v>421</v>
      </c>
      <c r="C12" s="162">
        <v>1</v>
      </c>
      <c r="D12" s="122" t="s">
        <v>843</v>
      </c>
      <c r="E12" t="s">
        <v>603</v>
      </c>
      <c r="F12" t="s">
        <v>515</v>
      </c>
      <c r="G12" t="s">
        <v>426</v>
      </c>
      <c r="H12" t="s">
        <v>986</v>
      </c>
      <c r="I12" s="162">
        <v>1</v>
      </c>
      <c r="J12" t="s">
        <v>1855</v>
      </c>
      <c r="K12" t="s">
        <v>3</v>
      </c>
      <c r="L12" s="165">
        <v>35423</v>
      </c>
      <c r="M12" s="166">
        <v>20</v>
      </c>
      <c r="N12" t="s">
        <v>5</v>
      </c>
      <c r="O12" t="s">
        <v>10135</v>
      </c>
      <c r="P12" t="s">
        <v>48</v>
      </c>
      <c r="Q12" t="s">
        <v>1564</v>
      </c>
      <c r="R12" t="s">
        <v>1565</v>
      </c>
      <c r="S12" s="162">
        <v>108.2</v>
      </c>
      <c r="T12" t="s">
        <v>10063</v>
      </c>
      <c r="U12" s="162">
        <v>63.8</v>
      </c>
      <c r="V12">
        <v>0</v>
      </c>
      <c r="W12" s="162">
        <v>0</v>
      </c>
      <c r="X12">
        <v>0</v>
      </c>
      <c r="Y12" s="162">
        <v>0</v>
      </c>
      <c r="Z12">
        <v>0</v>
      </c>
      <c r="AA12" s="162">
        <v>0</v>
      </c>
      <c r="AB12" t="s">
        <v>1566</v>
      </c>
      <c r="AC12" s="162" t="s">
        <v>7</v>
      </c>
      <c r="AD12" s="162" t="s">
        <v>7</v>
      </c>
      <c r="AE12" s="162" t="s">
        <v>7</v>
      </c>
      <c r="AF12" s="162" t="s">
        <v>7</v>
      </c>
      <c r="AG12" s="162" t="s">
        <v>9851</v>
      </c>
      <c r="AH12" s="162" t="s">
        <v>7</v>
      </c>
      <c r="AI12" t="s">
        <v>9843</v>
      </c>
      <c r="AJ12" t="s">
        <v>7</v>
      </c>
      <c r="AK12" t="s">
        <v>1229</v>
      </c>
      <c r="AL12" t="s">
        <v>36</v>
      </c>
      <c r="AM12" s="162" t="s">
        <v>10138</v>
      </c>
      <c r="AN12" t="s">
        <v>9843</v>
      </c>
      <c r="AO12" t="s">
        <v>35</v>
      </c>
      <c r="AP12" t="s">
        <v>7</v>
      </c>
      <c r="AQ12" t="s">
        <v>9</v>
      </c>
      <c r="AR12" t="s">
        <v>7</v>
      </c>
      <c r="AS12" s="162" t="s">
        <v>7</v>
      </c>
      <c r="AT12" s="117" t="s">
        <v>7</v>
      </c>
      <c r="AU12" s="162" t="s">
        <v>7</v>
      </c>
      <c r="AV12" s="162" t="s">
        <v>7</v>
      </c>
      <c r="AW12" s="162" t="s">
        <v>9851</v>
      </c>
      <c r="AX12" s="162" t="s">
        <v>7</v>
      </c>
      <c r="AY12" s="162" t="s">
        <v>7</v>
      </c>
      <c r="AZ12" t="s">
        <v>9868</v>
      </c>
      <c r="BA12" s="162" t="s">
        <v>7</v>
      </c>
      <c r="BB12" s="162" t="s">
        <v>7</v>
      </c>
      <c r="BC12" s="162" t="s">
        <v>7</v>
      </c>
      <c r="BD12" s="162" t="s">
        <v>7</v>
      </c>
      <c r="BE12" s="162" t="s">
        <v>9851</v>
      </c>
      <c r="BF12" s="162" t="str">
        <f t="shared" si="0"/>
        <v>Não</v>
      </c>
      <c r="BG12" s="162" t="str">
        <f t="shared" si="1"/>
        <v>Não</v>
      </c>
      <c r="BH12" s="162" t="s">
        <v>9851</v>
      </c>
      <c r="BI12" t="s">
        <v>9870</v>
      </c>
      <c r="BJ12" s="162" t="s">
        <v>10164</v>
      </c>
      <c r="BK12" t="s">
        <v>1182</v>
      </c>
      <c r="BL12" s="162">
        <v>23.333333333333332</v>
      </c>
      <c r="BM12" t="s">
        <v>35</v>
      </c>
      <c r="BN12" t="s">
        <v>35</v>
      </c>
      <c r="BO12" t="s">
        <v>1182</v>
      </c>
      <c r="BP12" s="162">
        <v>23.333333333333332</v>
      </c>
      <c r="BQ12" t="s">
        <v>7</v>
      </c>
      <c r="BR12" t="s">
        <v>1849</v>
      </c>
      <c r="BS12" s="162" t="s">
        <v>10170</v>
      </c>
    </row>
    <row r="13" spans="1:71">
      <c r="A13" s="162">
        <v>12</v>
      </c>
      <c r="B13" t="s">
        <v>465</v>
      </c>
      <c r="C13" s="162">
        <v>1</v>
      </c>
      <c r="D13" s="122" t="s">
        <v>1054</v>
      </c>
      <c r="E13" t="s">
        <v>1047</v>
      </c>
      <c r="F13" t="s">
        <v>515</v>
      </c>
      <c r="G13" t="s">
        <v>473</v>
      </c>
      <c r="H13" t="s">
        <v>1055</v>
      </c>
      <c r="I13" s="162">
        <v>1</v>
      </c>
      <c r="J13" t="s">
        <v>1085</v>
      </c>
      <c r="K13" t="s">
        <v>3</v>
      </c>
      <c r="L13" s="165">
        <v>31567</v>
      </c>
      <c r="M13" s="166">
        <v>31</v>
      </c>
      <c r="N13" t="s">
        <v>5</v>
      </c>
      <c r="O13" t="s">
        <v>10135</v>
      </c>
      <c r="P13" t="s">
        <v>1101</v>
      </c>
      <c r="Q13" t="s">
        <v>1446</v>
      </c>
      <c r="R13" t="s">
        <v>1448</v>
      </c>
      <c r="S13" s="162">
        <v>36.1</v>
      </c>
      <c r="T13" t="s">
        <v>1447</v>
      </c>
      <c r="U13" s="162">
        <v>6.8</v>
      </c>
      <c r="V13">
        <v>0</v>
      </c>
      <c r="W13" s="162">
        <v>0</v>
      </c>
      <c r="X13">
        <v>0</v>
      </c>
      <c r="Y13" s="162">
        <v>0</v>
      </c>
      <c r="Z13">
        <v>0</v>
      </c>
      <c r="AA13" s="162">
        <v>0</v>
      </c>
      <c r="AB13">
        <v>0</v>
      </c>
      <c r="AC13" s="162" t="s">
        <v>7</v>
      </c>
      <c r="AD13" s="162" t="s">
        <v>7</v>
      </c>
      <c r="AE13" s="162" t="s">
        <v>7</v>
      </c>
      <c r="AF13" s="162" t="s">
        <v>7</v>
      </c>
      <c r="AG13" s="162" t="s">
        <v>7</v>
      </c>
      <c r="AH13" s="162" t="s">
        <v>7</v>
      </c>
      <c r="AI13" t="s">
        <v>9843</v>
      </c>
      <c r="AJ13" t="s">
        <v>7</v>
      </c>
      <c r="AK13" t="s">
        <v>1173</v>
      </c>
      <c r="AL13" t="s">
        <v>36</v>
      </c>
      <c r="AM13" s="162" t="s">
        <v>10138</v>
      </c>
      <c r="AN13" t="s">
        <v>9843</v>
      </c>
      <c r="AO13" t="s">
        <v>35</v>
      </c>
      <c r="AP13" t="s">
        <v>1455</v>
      </c>
      <c r="AQ13" t="s">
        <v>1418</v>
      </c>
      <c r="AR13" t="s">
        <v>7</v>
      </c>
      <c r="AS13" s="162" t="s">
        <v>7</v>
      </c>
      <c r="AT13" s="117" t="s">
        <v>7</v>
      </c>
      <c r="AU13" s="162" t="s">
        <v>7</v>
      </c>
      <c r="AV13" s="162" t="s">
        <v>7</v>
      </c>
      <c r="AW13" s="162" t="s">
        <v>9851</v>
      </c>
      <c r="AX13" s="162" t="s">
        <v>7</v>
      </c>
      <c r="AY13" s="162" t="s">
        <v>7</v>
      </c>
      <c r="AZ13" t="s">
        <v>7</v>
      </c>
      <c r="BA13" s="162" t="s">
        <v>7</v>
      </c>
      <c r="BB13" s="162" t="s">
        <v>7</v>
      </c>
      <c r="BC13" s="162" t="s">
        <v>7</v>
      </c>
      <c r="BD13" s="162" t="s">
        <v>7</v>
      </c>
      <c r="BE13" s="162" t="s">
        <v>7</v>
      </c>
      <c r="BF13" s="162" t="str">
        <f t="shared" si="0"/>
        <v>Sim</v>
      </c>
      <c r="BG13" s="162" t="str">
        <f t="shared" si="1"/>
        <v>Não</v>
      </c>
      <c r="BH13" s="162" t="s">
        <v>7</v>
      </c>
      <c r="BI13" t="s">
        <v>9870</v>
      </c>
      <c r="BJ13" s="162" t="s">
        <v>10164</v>
      </c>
      <c r="BK13" t="s">
        <v>1182</v>
      </c>
      <c r="BL13" s="162">
        <v>23.333333333333332</v>
      </c>
      <c r="BM13" t="s">
        <v>35</v>
      </c>
      <c r="BN13" t="s">
        <v>35</v>
      </c>
      <c r="BO13" t="s">
        <v>1182</v>
      </c>
      <c r="BP13" s="162">
        <v>23.333333333333332</v>
      </c>
      <c r="BQ13" t="s">
        <v>7</v>
      </c>
      <c r="BR13" t="s">
        <v>37</v>
      </c>
      <c r="BS13" s="162" t="s">
        <v>37</v>
      </c>
    </row>
    <row r="14" spans="1:71">
      <c r="A14" s="162">
        <v>13</v>
      </c>
      <c r="B14" t="s">
        <v>176</v>
      </c>
      <c r="C14" s="162">
        <v>1</v>
      </c>
      <c r="D14" s="122">
        <v>43017</v>
      </c>
      <c r="E14" t="s">
        <v>898</v>
      </c>
      <c r="F14" t="s">
        <v>3</v>
      </c>
      <c r="G14" t="s">
        <v>185</v>
      </c>
      <c r="H14" t="s">
        <v>1900</v>
      </c>
      <c r="I14" s="162">
        <v>1</v>
      </c>
      <c r="J14" t="s">
        <v>1901</v>
      </c>
      <c r="K14" t="s">
        <v>515</v>
      </c>
      <c r="L14" s="165">
        <v>25190</v>
      </c>
      <c r="M14" s="166">
        <v>48</v>
      </c>
      <c r="N14" t="s">
        <v>4</v>
      </c>
      <c r="O14" t="s">
        <v>10134</v>
      </c>
      <c r="P14" t="s">
        <v>41</v>
      </c>
      <c r="Q14" t="s">
        <v>1902</v>
      </c>
      <c r="R14" t="s">
        <v>2008</v>
      </c>
      <c r="S14" s="162">
        <v>25.2</v>
      </c>
      <c r="T14">
        <v>0</v>
      </c>
      <c r="U14" s="162">
        <v>0</v>
      </c>
      <c r="V14" t="s">
        <v>10077</v>
      </c>
      <c r="W14" s="162">
        <v>7</v>
      </c>
      <c r="X14">
        <v>0</v>
      </c>
      <c r="Y14" s="162">
        <v>0</v>
      </c>
      <c r="Z14">
        <v>0</v>
      </c>
      <c r="AA14" s="162">
        <v>0</v>
      </c>
      <c r="AB14">
        <v>0</v>
      </c>
      <c r="AC14" s="162" t="s">
        <v>7</v>
      </c>
      <c r="AD14" s="162" t="s">
        <v>7</v>
      </c>
      <c r="AE14" s="162" t="s">
        <v>7</v>
      </c>
      <c r="AF14" s="162" t="s">
        <v>7</v>
      </c>
      <c r="AG14" s="162" t="s">
        <v>7</v>
      </c>
      <c r="AH14" s="162" t="s">
        <v>7</v>
      </c>
      <c r="AI14" t="s">
        <v>9846</v>
      </c>
      <c r="AJ14" t="s">
        <v>7</v>
      </c>
      <c r="AK14" t="s">
        <v>2023</v>
      </c>
      <c r="AL14" t="s">
        <v>1903</v>
      </c>
      <c r="AM14" s="162" t="s">
        <v>10138</v>
      </c>
      <c r="AN14" t="s">
        <v>9843</v>
      </c>
      <c r="AO14" t="s">
        <v>35</v>
      </c>
      <c r="AP14" t="s">
        <v>7</v>
      </c>
      <c r="AQ14" t="s">
        <v>9</v>
      </c>
      <c r="AR14" t="s">
        <v>7</v>
      </c>
      <c r="AS14" s="162" t="s">
        <v>7</v>
      </c>
      <c r="AT14" s="117" t="s">
        <v>7</v>
      </c>
      <c r="AU14" s="162" t="s">
        <v>7</v>
      </c>
      <c r="AV14" s="162" t="s">
        <v>7</v>
      </c>
      <c r="AW14" s="162" t="s">
        <v>9851</v>
      </c>
      <c r="AX14" s="162" t="s">
        <v>7</v>
      </c>
      <c r="AY14" s="162" t="s">
        <v>7</v>
      </c>
      <c r="AZ14" t="s">
        <v>9868</v>
      </c>
      <c r="BA14" s="162" t="s">
        <v>7</v>
      </c>
      <c r="BB14" s="162" t="s">
        <v>7</v>
      </c>
      <c r="BC14" s="162" t="s">
        <v>7</v>
      </c>
      <c r="BD14" s="162" t="s">
        <v>7</v>
      </c>
      <c r="BE14" s="162" t="s">
        <v>9851</v>
      </c>
      <c r="BF14" s="162" t="str">
        <f t="shared" si="0"/>
        <v>Não</v>
      </c>
      <c r="BG14" s="162" t="str">
        <f t="shared" si="1"/>
        <v>Não</v>
      </c>
      <c r="BH14" s="162" t="s">
        <v>9851</v>
      </c>
      <c r="BI14" t="s">
        <v>9870</v>
      </c>
      <c r="BJ14" s="162" t="s">
        <v>10164</v>
      </c>
      <c r="BK14" t="s">
        <v>1182</v>
      </c>
      <c r="BL14" s="162">
        <v>23.333333333333332</v>
      </c>
      <c r="BM14" t="s">
        <v>35</v>
      </c>
      <c r="BN14" t="s">
        <v>35</v>
      </c>
      <c r="BO14" t="s">
        <v>1182</v>
      </c>
      <c r="BP14" s="162">
        <v>23.333333333333332</v>
      </c>
      <c r="BQ14" t="s">
        <v>9851</v>
      </c>
      <c r="BR14" t="s">
        <v>35</v>
      </c>
      <c r="BS14" s="162" t="s">
        <v>35</v>
      </c>
    </row>
    <row r="15" spans="1:71">
      <c r="A15" s="162">
        <v>14</v>
      </c>
      <c r="B15" t="s">
        <v>405</v>
      </c>
      <c r="C15" s="162">
        <v>1</v>
      </c>
      <c r="D15" s="122" t="s">
        <v>98</v>
      </c>
      <c r="E15" t="s">
        <v>107</v>
      </c>
      <c r="F15" t="s">
        <v>515</v>
      </c>
      <c r="G15" t="s">
        <v>411</v>
      </c>
      <c r="H15" t="s">
        <v>942</v>
      </c>
      <c r="I15" s="162">
        <v>1</v>
      </c>
      <c r="J15" t="s">
        <v>1855</v>
      </c>
      <c r="K15" t="s">
        <v>3</v>
      </c>
      <c r="L15" s="165">
        <v>35816</v>
      </c>
      <c r="M15" s="166">
        <v>19</v>
      </c>
      <c r="N15" t="s">
        <v>4</v>
      </c>
      <c r="O15" t="s">
        <v>10134</v>
      </c>
      <c r="P15" t="s">
        <v>18</v>
      </c>
      <c r="Q15" t="s">
        <v>1265</v>
      </c>
      <c r="R15" t="s">
        <v>1270</v>
      </c>
      <c r="S15" s="162">
        <v>24.3</v>
      </c>
      <c r="T15" t="s">
        <v>1180</v>
      </c>
      <c r="U15" s="162">
        <v>37.5</v>
      </c>
      <c r="V15" t="s">
        <v>1181</v>
      </c>
      <c r="W15" s="162">
        <v>20.5</v>
      </c>
      <c r="X15">
        <v>0</v>
      </c>
      <c r="Y15" s="162">
        <v>0</v>
      </c>
      <c r="Z15">
        <v>0</v>
      </c>
      <c r="AA15" s="162">
        <v>0</v>
      </c>
      <c r="AB15">
        <v>0</v>
      </c>
      <c r="AC15" s="162" t="s">
        <v>7</v>
      </c>
      <c r="AD15" s="162" t="s">
        <v>7</v>
      </c>
      <c r="AE15" s="162" t="s">
        <v>7</v>
      </c>
      <c r="AF15" s="162" t="s">
        <v>7</v>
      </c>
      <c r="AG15" s="162" t="s">
        <v>7</v>
      </c>
      <c r="AH15" s="162" t="s">
        <v>7</v>
      </c>
      <c r="AI15" t="s">
        <v>9843</v>
      </c>
      <c r="AJ15" t="s">
        <v>1271</v>
      </c>
      <c r="AK15" t="s">
        <v>1082</v>
      </c>
      <c r="AL15" t="s">
        <v>78</v>
      </c>
      <c r="AM15" s="162" t="s">
        <v>10138</v>
      </c>
      <c r="AN15" t="s">
        <v>9843</v>
      </c>
      <c r="AO15" t="s">
        <v>7</v>
      </c>
      <c r="AP15" t="s">
        <v>7</v>
      </c>
      <c r="AQ15" t="s">
        <v>9</v>
      </c>
      <c r="AR15" t="s">
        <v>7</v>
      </c>
      <c r="AS15" s="162" t="s">
        <v>7</v>
      </c>
      <c r="AT15" s="117" t="s">
        <v>7</v>
      </c>
      <c r="AU15" s="162" t="s">
        <v>7</v>
      </c>
      <c r="AV15" s="162" t="s">
        <v>7</v>
      </c>
      <c r="AW15" s="162" t="s">
        <v>9851</v>
      </c>
      <c r="AX15" s="162" t="s">
        <v>7</v>
      </c>
      <c r="AY15" s="162" t="s">
        <v>7</v>
      </c>
      <c r="AZ15" t="s">
        <v>1937</v>
      </c>
      <c r="BA15" s="162" t="s">
        <v>9851</v>
      </c>
      <c r="BB15" s="162" t="s">
        <v>7</v>
      </c>
      <c r="BC15" s="162" t="s">
        <v>7</v>
      </c>
      <c r="BD15" s="162" t="s">
        <v>7</v>
      </c>
      <c r="BE15" s="162" t="s">
        <v>7</v>
      </c>
      <c r="BF15" s="162" t="str">
        <f t="shared" si="0"/>
        <v>Não</v>
      </c>
      <c r="BG15" s="162" t="str">
        <f t="shared" si="1"/>
        <v>Não</v>
      </c>
      <c r="BH15" s="162" t="s">
        <v>9851</v>
      </c>
      <c r="BI15" t="s">
        <v>9870</v>
      </c>
      <c r="BJ15" s="162" t="s">
        <v>10164</v>
      </c>
      <c r="BK15" t="s">
        <v>1182</v>
      </c>
      <c r="BL15" s="162">
        <v>23.333333333333332</v>
      </c>
      <c r="BM15" t="s">
        <v>35</v>
      </c>
      <c r="BN15" t="s">
        <v>35</v>
      </c>
      <c r="BO15" t="s">
        <v>1182</v>
      </c>
      <c r="BP15" s="162">
        <v>23.333333333333332</v>
      </c>
      <c r="BQ15" t="s">
        <v>9851</v>
      </c>
      <c r="BR15" t="s">
        <v>35</v>
      </c>
      <c r="BS15" s="162" t="s">
        <v>35</v>
      </c>
    </row>
    <row r="16" spans="1:71">
      <c r="A16" s="162">
        <v>15</v>
      </c>
      <c r="B16" t="s">
        <v>444</v>
      </c>
      <c r="C16" s="162">
        <v>0</v>
      </c>
      <c r="D16" s="122" t="s">
        <v>1005</v>
      </c>
      <c r="E16" t="s">
        <v>1006</v>
      </c>
      <c r="F16" t="s">
        <v>3</v>
      </c>
      <c r="G16" t="s">
        <v>450</v>
      </c>
      <c r="H16" t="s">
        <v>1008</v>
      </c>
      <c r="I16" s="162">
        <v>1</v>
      </c>
      <c r="J16" t="s">
        <v>1855</v>
      </c>
      <c r="K16" t="s">
        <v>3</v>
      </c>
      <c r="L16" s="165">
        <v>34440</v>
      </c>
      <c r="M16" s="166">
        <v>22</v>
      </c>
      <c r="N16" t="s">
        <v>5</v>
      </c>
      <c r="O16" t="s">
        <v>10135</v>
      </c>
      <c r="P16" t="s">
        <v>48</v>
      </c>
      <c r="Q16" t="s">
        <v>1860</v>
      </c>
      <c r="R16" t="s">
        <v>10037</v>
      </c>
      <c r="S16" s="162">
        <v>15.5</v>
      </c>
      <c r="T16" t="s">
        <v>10038</v>
      </c>
      <c r="U16" s="162">
        <v>45.6</v>
      </c>
      <c r="V16" t="s">
        <v>10039</v>
      </c>
      <c r="W16" s="162">
        <v>4.3</v>
      </c>
      <c r="X16">
        <v>0</v>
      </c>
      <c r="Y16" s="162">
        <v>0</v>
      </c>
      <c r="Z16">
        <v>0</v>
      </c>
      <c r="AA16" s="162">
        <v>0</v>
      </c>
      <c r="AB16" t="s">
        <v>10040</v>
      </c>
      <c r="AC16" s="162" t="s">
        <v>7</v>
      </c>
      <c r="AD16" s="162" t="s">
        <v>7</v>
      </c>
      <c r="AE16" s="162" t="s">
        <v>7</v>
      </c>
      <c r="AF16" s="162" t="s">
        <v>7</v>
      </c>
      <c r="AG16" s="162" t="s">
        <v>9851</v>
      </c>
      <c r="AH16" s="162" t="s">
        <v>7</v>
      </c>
      <c r="AI16" t="s">
        <v>9846</v>
      </c>
      <c r="AJ16" t="s">
        <v>7</v>
      </c>
      <c r="AK16" t="s">
        <v>1440</v>
      </c>
      <c r="AL16" t="s">
        <v>78</v>
      </c>
      <c r="AM16" s="162" t="s">
        <v>10138</v>
      </c>
      <c r="AN16" t="s">
        <v>9843</v>
      </c>
      <c r="AO16" t="s">
        <v>35</v>
      </c>
      <c r="AP16" t="s">
        <v>7</v>
      </c>
      <c r="AQ16" t="s">
        <v>9</v>
      </c>
      <c r="AR16" t="s">
        <v>7</v>
      </c>
      <c r="AS16" s="162" t="s">
        <v>7</v>
      </c>
      <c r="AT16" s="117" t="s">
        <v>7</v>
      </c>
      <c r="AU16" s="162" t="s">
        <v>7</v>
      </c>
      <c r="AV16" s="162" t="s">
        <v>7</v>
      </c>
      <c r="AW16" s="162" t="s">
        <v>9851</v>
      </c>
      <c r="AX16" s="162" t="s">
        <v>7</v>
      </c>
      <c r="AY16" s="162" t="s">
        <v>7</v>
      </c>
      <c r="AZ16" t="s">
        <v>1937</v>
      </c>
      <c r="BA16" s="162" t="s">
        <v>9851</v>
      </c>
      <c r="BB16" s="162" t="s">
        <v>7</v>
      </c>
      <c r="BC16" s="162" t="s">
        <v>7</v>
      </c>
      <c r="BD16" s="162" t="s">
        <v>7</v>
      </c>
      <c r="BE16" s="162" t="s">
        <v>7</v>
      </c>
      <c r="BF16" s="162" t="str">
        <f t="shared" si="0"/>
        <v>Não</v>
      </c>
      <c r="BG16" s="162" t="str">
        <f t="shared" si="1"/>
        <v>Não</v>
      </c>
      <c r="BH16" s="162" t="s">
        <v>9851</v>
      </c>
      <c r="BI16" t="s">
        <v>9870</v>
      </c>
      <c r="BJ16" s="162" t="s">
        <v>10164</v>
      </c>
      <c r="BK16" t="s">
        <v>1182</v>
      </c>
      <c r="BL16" s="162">
        <v>23.333333333333332</v>
      </c>
      <c r="BM16" t="s">
        <v>35</v>
      </c>
      <c r="BN16" t="s">
        <v>35</v>
      </c>
      <c r="BO16" t="s">
        <v>1182</v>
      </c>
      <c r="BP16" s="162">
        <v>23.333333333333332</v>
      </c>
      <c r="BQ16" t="s">
        <v>9851</v>
      </c>
      <c r="BR16" t="s">
        <v>35</v>
      </c>
      <c r="BS16" s="162" t="s">
        <v>35</v>
      </c>
    </row>
    <row r="17" spans="1:71">
      <c r="A17" s="162">
        <v>16</v>
      </c>
      <c r="B17" t="s">
        <v>434</v>
      </c>
      <c r="C17" s="162">
        <v>1</v>
      </c>
      <c r="D17" s="122" t="s">
        <v>735</v>
      </c>
      <c r="E17" t="s">
        <v>1018</v>
      </c>
      <c r="F17" t="s">
        <v>3</v>
      </c>
      <c r="G17" t="s">
        <v>443</v>
      </c>
      <c r="H17" t="s">
        <v>1019</v>
      </c>
      <c r="I17" s="162">
        <v>1</v>
      </c>
      <c r="J17" t="s">
        <v>1855</v>
      </c>
      <c r="K17" t="s">
        <v>3</v>
      </c>
      <c r="L17" s="165">
        <v>34539</v>
      </c>
      <c r="M17" s="166">
        <v>22</v>
      </c>
      <c r="N17" t="s">
        <v>4</v>
      </c>
      <c r="O17" t="s">
        <v>10134</v>
      </c>
      <c r="P17" t="s">
        <v>48</v>
      </c>
      <c r="Q17" t="s">
        <v>1210</v>
      </c>
      <c r="R17" t="s">
        <v>1411</v>
      </c>
      <c r="S17" s="162">
        <v>1635</v>
      </c>
      <c r="T17" t="s">
        <v>1413</v>
      </c>
      <c r="U17" s="162">
        <v>94.1</v>
      </c>
      <c r="V17" t="s">
        <v>1412</v>
      </c>
      <c r="W17" s="162">
        <v>215.4</v>
      </c>
      <c r="X17">
        <v>0</v>
      </c>
      <c r="Y17" s="162">
        <v>0</v>
      </c>
      <c r="Z17">
        <v>0</v>
      </c>
      <c r="AA17" s="162">
        <v>0</v>
      </c>
      <c r="AB17">
        <v>0</v>
      </c>
      <c r="AC17" s="162" t="s">
        <v>7</v>
      </c>
      <c r="AD17" s="162" t="s">
        <v>7</v>
      </c>
      <c r="AE17" s="162" t="s">
        <v>7</v>
      </c>
      <c r="AF17" s="162" t="s">
        <v>7</v>
      </c>
      <c r="AG17" s="162" t="s">
        <v>7</v>
      </c>
      <c r="AH17" s="162" t="s">
        <v>7</v>
      </c>
      <c r="AI17" t="s">
        <v>9843</v>
      </c>
      <c r="AJ17" t="s">
        <v>7</v>
      </c>
      <c r="AK17" t="s">
        <v>1132</v>
      </c>
      <c r="AL17" t="s">
        <v>36</v>
      </c>
      <c r="AM17" s="162" t="s">
        <v>10138</v>
      </c>
      <c r="AN17" t="s">
        <v>9843</v>
      </c>
      <c r="AO17" t="s">
        <v>35</v>
      </c>
      <c r="AP17" t="s">
        <v>1104</v>
      </c>
      <c r="AQ17" t="s">
        <v>1100</v>
      </c>
      <c r="AR17" t="s">
        <v>7</v>
      </c>
      <c r="AS17" s="162" t="s">
        <v>7</v>
      </c>
      <c r="AT17" s="117" t="s">
        <v>7</v>
      </c>
      <c r="AU17" s="162" t="s">
        <v>7</v>
      </c>
      <c r="AV17" s="162" t="s">
        <v>7</v>
      </c>
      <c r="AW17" s="162" t="s">
        <v>9851</v>
      </c>
      <c r="AX17" s="162" t="s">
        <v>7</v>
      </c>
      <c r="AY17" s="162" t="s">
        <v>7</v>
      </c>
      <c r="AZ17" t="s">
        <v>7</v>
      </c>
      <c r="BA17" s="162" t="s">
        <v>7</v>
      </c>
      <c r="BB17" s="162" t="s">
        <v>7</v>
      </c>
      <c r="BC17" s="162" t="s">
        <v>7</v>
      </c>
      <c r="BD17" s="162" t="s">
        <v>7</v>
      </c>
      <c r="BE17" s="162" t="s">
        <v>7</v>
      </c>
      <c r="BF17" s="162" t="str">
        <f t="shared" si="0"/>
        <v>Sim</v>
      </c>
      <c r="BG17" s="162" t="str">
        <f t="shared" si="1"/>
        <v>Não</v>
      </c>
      <c r="BH17" s="162" t="s">
        <v>7</v>
      </c>
      <c r="BI17" t="s">
        <v>9870</v>
      </c>
      <c r="BJ17" s="162" t="s">
        <v>10164</v>
      </c>
      <c r="BK17" t="s">
        <v>1182</v>
      </c>
      <c r="BL17" s="162">
        <v>23.333333333333332</v>
      </c>
      <c r="BM17" t="s">
        <v>35</v>
      </c>
      <c r="BN17" t="s">
        <v>35</v>
      </c>
      <c r="BO17" t="s">
        <v>1182</v>
      </c>
      <c r="BP17" s="162">
        <v>23.333333333333332</v>
      </c>
      <c r="BQ17" t="s">
        <v>7</v>
      </c>
      <c r="BR17" t="s">
        <v>1114</v>
      </c>
      <c r="BS17" s="162" t="s">
        <v>1114</v>
      </c>
    </row>
    <row r="18" spans="1:71">
      <c r="A18" s="162">
        <v>17</v>
      </c>
      <c r="B18" t="s">
        <v>189</v>
      </c>
      <c r="C18" s="162">
        <v>0</v>
      </c>
      <c r="D18" s="122" t="s">
        <v>634</v>
      </c>
      <c r="E18" t="s">
        <v>632</v>
      </c>
      <c r="F18" t="s">
        <v>515</v>
      </c>
      <c r="G18" t="s">
        <v>198</v>
      </c>
      <c r="H18" t="s">
        <v>636</v>
      </c>
      <c r="I18" s="162">
        <v>1</v>
      </c>
      <c r="J18" t="s">
        <v>1855</v>
      </c>
      <c r="K18" t="s">
        <v>3</v>
      </c>
      <c r="L18" s="165">
        <v>35908</v>
      </c>
      <c r="M18" s="166">
        <v>19</v>
      </c>
      <c r="N18" t="s">
        <v>4</v>
      </c>
      <c r="O18" t="s">
        <v>10134</v>
      </c>
      <c r="P18" t="s">
        <v>48</v>
      </c>
      <c r="Q18" t="s">
        <v>1594</v>
      </c>
      <c r="R18">
        <v>0</v>
      </c>
      <c r="S18" s="162">
        <v>0</v>
      </c>
      <c r="T18">
        <v>0</v>
      </c>
      <c r="U18" s="162">
        <v>0</v>
      </c>
      <c r="V18">
        <v>0</v>
      </c>
      <c r="W18" s="162">
        <v>0</v>
      </c>
      <c r="X18">
        <v>0</v>
      </c>
      <c r="Y18" s="162">
        <v>0</v>
      </c>
      <c r="Z18">
        <v>0</v>
      </c>
      <c r="AA18" s="162">
        <v>0</v>
      </c>
      <c r="AB18">
        <v>0</v>
      </c>
      <c r="AC18" s="162" t="s">
        <v>7</v>
      </c>
      <c r="AD18" s="162" t="s">
        <v>7</v>
      </c>
      <c r="AE18" s="162" t="s">
        <v>7</v>
      </c>
      <c r="AF18" s="162" t="s">
        <v>7</v>
      </c>
      <c r="AG18" s="162" t="s">
        <v>7</v>
      </c>
      <c r="AH18" s="162" t="s">
        <v>7</v>
      </c>
      <c r="AI18" t="s">
        <v>9843</v>
      </c>
      <c r="AJ18" t="s">
        <v>7</v>
      </c>
      <c r="AK18" t="s">
        <v>1098</v>
      </c>
      <c r="AL18" t="s">
        <v>36</v>
      </c>
      <c r="AM18" s="162" t="s">
        <v>10138</v>
      </c>
      <c r="AN18" t="s">
        <v>9843</v>
      </c>
      <c r="AO18" t="s">
        <v>35</v>
      </c>
      <c r="AP18" t="s">
        <v>7</v>
      </c>
      <c r="AQ18" t="s">
        <v>9</v>
      </c>
      <c r="AR18" t="s">
        <v>7</v>
      </c>
      <c r="AS18" s="162" t="s">
        <v>7</v>
      </c>
      <c r="AT18" s="117" t="s">
        <v>7</v>
      </c>
      <c r="AU18" s="162" t="s">
        <v>7</v>
      </c>
      <c r="AV18" s="162" t="s">
        <v>7</v>
      </c>
      <c r="AW18" s="162" t="s">
        <v>9851</v>
      </c>
      <c r="AX18" s="162" t="s">
        <v>7</v>
      </c>
      <c r="AY18" s="162" t="s">
        <v>7</v>
      </c>
      <c r="AZ18" t="s">
        <v>7</v>
      </c>
      <c r="BA18" s="162" t="s">
        <v>7</v>
      </c>
      <c r="BB18" s="162" t="s">
        <v>7</v>
      </c>
      <c r="BC18" s="162" t="s">
        <v>7</v>
      </c>
      <c r="BD18" s="162" t="s">
        <v>7</v>
      </c>
      <c r="BE18" s="162" t="s">
        <v>7</v>
      </c>
      <c r="BF18" s="162" t="str">
        <f t="shared" si="0"/>
        <v>Sim</v>
      </c>
      <c r="BG18" s="162" t="str">
        <f t="shared" si="1"/>
        <v>Não</v>
      </c>
      <c r="BH18" s="162" t="s">
        <v>7</v>
      </c>
      <c r="BI18" t="s">
        <v>9870</v>
      </c>
      <c r="BJ18" s="162" t="s">
        <v>10164</v>
      </c>
      <c r="BK18" t="s">
        <v>10</v>
      </c>
      <c r="BL18" s="162">
        <v>20</v>
      </c>
      <c r="BM18" t="s">
        <v>35</v>
      </c>
      <c r="BN18" t="s">
        <v>35</v>
      </c>
      <c r="BO18" t="s">
        <v>10</v>
      </c>
      <c r="BP18" s="162">
        <v>20</v>
      </c>
      <c r="BQ18" t="s">
        <v>9851</v>
      </c>
      <c r="BR18" t="s">
        <v>35</v>
      </c>
      <c r="BS18" s="162" t="s">
        <v>35</v>
      </c>
    </row>
    <row r="19" spans="1:71">
      <c r="A19" s="162">
        <v>18</v>
      </c>
      <c r="B19" t="s">
        <v>414</v>
      </c>
      <c r="C19" s="162">
        <v>1</v>
      </c>
      <c r="D19" s="122" t="s">
        <v>977</v>
      </c>
      <c r="E19" t="s">
        <v>603</v>
      </c>
      <c r="F19" t="s">
        <v>515</v>
      </c>
      <c r="G19" t="s">
        <v>426</v>
      </c>
      <c r="H19" t="s">
        <v>978</v>
      </c>
      <c r="I19" s="162">
        <v>1</v>
      </c>
      <c r="J19" t="s">
        <v>1855</v>
      </c>
      <c r="K19" t="s">
        <v>3</v>
      </c>
      <c r="L19" s="165">
        <v>35011</v>
      </c>
      <c r="M19" s="166">
        <v>21</v>
      </c>
      <c r="N19" t="s">
        <v>4</v>
      </c>
      <c r="O19" t="s">
        <v>10134</v>
      </c>
      <c r="P19" t="s">
        <v>48</v>
      </c>
      <c r="Q19" t="s">
        <v>1544</v>
      </c>
      <c r="R19" t="s">
        <v>1545</v>
      </c>
      <c r="S19" s="162">
        <v>842.4</v>
      </c>
      <c r="T19">
        <v>0</v>
      </c>
      <c r="U19" s="162">
        <v>0</v>
      </c>
      <c r="V19">
        <v>0</v>
      </c>
      <c r="W19" s="162">
        <v>0</v>
      </c>
      <c r="X19">
        <v>0</v>
      </c>
      <c r="Y19" s="162">
        <v>0</v>
      </c>
      <c r="Z19">
        <v>0</v>
      </c>
      <c r="AA19" s="162">
        <v>0</v>
      </c>
      <c r="AB19">
        <v>0</v>
      </c>
      <c r="AC19" s="162" t="s">
        <v>7</v>
      </c>
      <c r="AD19" s="162" t="s">
        <v>7</v>
      </c>
      <c r="AE19" s="162" t="s">
        <v>7</v>
      </c>
      <c r="AF19" s="162" t="s">
        <v>7</v>
      </c>
      <c r="AG19" s="162" t="s">
        <v>7</v>
      </c>
      <c r="AH19" s="162" t="s">
        <v>7</v>
      </c>
      <c r="AI19" t="s">
        <v>9843</v>
      </c>
      <c r="AJ19" t="s">
        <v>7</v>
      </c>
      <c r="AK19" t="s">
        <v>1546</v>
      </c>
      <c r="AL19" t="s">
        <v>36</v>
      </c>
      <c r="AM19" s="162" t="s">
        <v>10138</v>
      </c>
      <c r="AN19" t="s">
        <v>9843</v>
      </c>
      <c r="AO19" t="s">
        <v>35</v>
      </c>
      <c r="AP19" t="s">
        <v>7</v>
      </c>
      <c r="AQ19" t="s">
        <v>9</v>
      </c>
      <c r="AR19" t="s">
        <v>7</v>
      </c>
      <c r="AS19" s="162" t="s">
        <v>7</v>
      </c>
      <c r="AT19" s="117" t="s">
        <v>7</v>
      </c>
      <c r="AU19" s="162" t="s">
        <v>7</v>
      </c>
      <c r="AV19" s="162" t="s">
        <v>7</v>
      </c>
      <c r="AW19" s="162" t="s">
        <v>9851</v>
      </c>
      <c r="AX19" s="162" t="s">
        <v>7</v>
      </c>
      <c r="AY19" s="162" t="s">
        <v>7</v>
      </c>
      <c r="AZ19" t="s">
        <v>7</v>
      </c>
      <c r="BA19" s="162" t="s">
        <v>7</v>
      </c>
      <c r="BB19" s="162" t="s">
        <v>7</v>
      </c>
      <c r="BC19" s="162" t="s">
        <v>7</v>
      </c>
      <c r="BD19" s="162" t="s">
        <v>7</v>
      </c>
      <c r="BE19" s="162" t="s">
        <v>7</v>
      </c>
      <c r="BF19" s="162" t="str">
        <f t="shared" si="0"/>
        <v>Sim</v>
      </c>
      <c r="BG19" s="162" t="str">
        <f t="shared" si="1"/>
        <v>Não</v>
      </c>
      <c r="BH19" s="162" t="s">
        <v>7</v>
      </c>
      <c r="BI19" t="s">
        <v>9870</v>
      </c>
      <c r="BJ19" s="162" t="s">
        <v>10164</v>
      </c>
      <c r="BK19" t="s">
        <v>10</v>
      </c>
      <c r="BL19" s="162">
        <v>20</v>
      </c>
      <c r="BM19" t="s">
        <v>35</v>
      </c>
      <c r="BN19" t="s">
        <v>35</v>
      </c>
      <c r="BO19" t="s">
        <v>10</v>
      </c>
      <c r="BP19" s="162">
        <v>20</v>
      </c>
      <c r="BQ19" t="s">
        <v>7</v>
      </c>
      <c r="BR19" t="s">
        <v>1114</v>
      </c>
      <c r="BS19" s="162" t="s">
        <v>1114</v>
      </c>
    </row>
    <row r="20" spans="1:71">
      <c r="A20" s="162">
        <v>19</v>
      </c>
      <c r="B20" t="s">
        <v>204</v>
      </c>
      <c r="C20" s="162">
        <v>1</v>
      </c>
      <c r="D20" s="122" t="s">
        <v>503</v>
      </c>
      <c r="E20" t="s">
        <v>656</v>
      </c>
      <c r="F20" t="s">
        <v>515</v>
      </c>
      <c r="G20" t="s">
        <v>214</v>
      </c>
      <c r="H20" t="s">
        <v>661</v>
      </c>
      <c r="I20" s="162">
        <v>1</v>
      </c>
      <c r="J20" t="s">
        <v>1855</v>
      </c>
      <c r="K20" t="s">
        <v>3</v>
      </c>
      <c r="L20" s="165">
        <v>27849</v>
      </c>
      <c r="M20" s="166">
        <v>41</v>
      </c>
      <c r="N20" t="s">
        <v>5</v>
      </c>
      <c r="O20" t="s">
        <v>10135</v>
      </c>
      <c r="P20" t="s">
        <v>48</v>
      </c>
      <c r="Q20" t="s">
        <v>1143</v>
      </c>
      <c r="R20" t="s">
        <v>1717</v>
      </c>
      <c r="S20" s="162">
        <v>17.600000000000001</v>
      </c>
      <c r="T20">
        <v>0</v>
      </c>
      <c r="U20" s="162">
        <v>0</v>
      </c>
      <c r="V20">
        <v>0</v>
      </c>
      <c r="W20" s="162">
        <v>0</v>
      </c>
      <c r="X20">
        <v>0</v>
      </c>
      <c r="Y20" s="162">
        <v>0</v>
      </c>
      <c r="Z20">
        <v>0</v>
      </c>
      <c r="AA20" s="162">
        <v>0</v>
      </c>
      <c r="AB20">
        <v>0</v>
      </c>
      <c r="AC20" s="162" t="s">
        <v>7</v>
      </c>
      <c r="AD20" s="162" t="s">
        <v>7</v>
      </c>
      <c r="AE20" s="162" t="s">
        <v>7</v>
      </c>
      <c r="AF20" s="162" t="s">
        <v>7</v>
      </c>
      <c r="AG20" s="162" t="s">
        <v>7</v>
      </c>
      <c r="AH20" s="162" t="s">
        <v>7</v>
      </c>
      <c r="AI20" t="s">
        <v>9843</v>
      </c>
      <c r="AJ20" t="s">
        <v>7</v>
      </c>
      <c r="AK20" t="s">
        <v>1082</v>
      </c>
      <c r="AL20" t="s">
        <v>36</v>
      </c>
      <c r="AM20" s="162" t="s">
        <v>10138</v>
      </c>
      <c r="AN20" t="s">
        <v>9843</v>
      </c>
      <c r="AO20" t="s">
        <v>35</v>
      </c>
      <c r="AP20" t="s">
        <v>7</v>
      </c>
      <c r="AQ20" t="s">
        <v>9</v>
      </c>
      <c r="AR20" t="s">
        <v>7</v>
      </c>
      <c r="AS20" s="162" t="s">
        <v>7</v>
      </c>
      <c r="AT20" s="117" t="s">
        <v>7</v>
      </c>
      <c r="AU20" s="162" t="s">
        <v>7</v>
      </c>
      <c r="AV20" s="162" t="s">
        <v>7</v>
      </c>
      <c r="AW20" s="162" t="s">
        <v>9851</v>
      </c>
      <c r="AX20" s="162" t="s">
        <v>7</v>
      </c>
      <c r="AY20" s="162" t="s">
        <v>7</v>
      </c>
      <c r="AZ20" t="s">
        <v>7</v>
      </c>
      <c r="BA20" s="162" t="s">
        <v>7</v>
      </c>
      <c r="BB20" s="162" t="s">
        <v>7</v>
      </c>
      <c r="BC20" s="162" t="s">
        <v>7</v>
      </c>
      <c r="BD20" s="162" t="s">
        <v>7</v>
      </c>
      <c r="BE20" s="162" t="s">
        <v>7</v>
      </c>
      <c r="BF20" s="162" t="str">
        <f t="shared" si="0"/>
        <v>Sim</v>
      </c>
      <c r="BG20" s="162" t="str">
        <f t="shared" si="1"/>
        <v>Não</v>
      </c>
      <c r="BH20" s="162" t="s">
        <v>7</v>
      </c>
      <c r="BI20" t="s">
        <v>9870</v>
      </c>
      <c r="BJ20" s="162" t="s">
        <v>10164</v>
      </c>
      <c r="BK20" t="s">
        <v>10</v>
      </c>
      <c r="BL20" s="162">
        <v>20</v>
      </c>
      <c r="BM20" t="s">
        <v>35</v>
      </c>
      <c r="BN20" t="s">
        <v>35</v>
      </c>
      <c r="BO20" t="s">
        <v>10</v>
      </c>
      <c r="BP20" s="162">
        <v>20</v>
      </c>
      <c r="BQ20" t="s">
        <v>9851</v>
      </c>
      <c r="BR20" t="s">
        <v>35</v>
      </c>
      <c r="BS20" s="162" t="s">
        <v>35</v>
      </c>
    </row>
    <row r="21" spans="1:71">
      <c r="A21" s="162">
        <v>20</v>
      </c>
      <c r="B21" t="s">
        <v>288</v>
      </c>
      <c r="C21" s="162">
        <v>1</v>
      </c>
      <c r="D21" s="122">
        <v>42888</v>
      </c>
      <c r="E21" t="s">
        <v>788</v>
      </c>
      <c r="F21" t="s">
        <v>515</v>
      </c>
      <c r="G21" t="s">
        <v>291</v>
      </c>
      <c r="H21" t="s">
        <v>2071</v>
      </c>
      <c r="I21" s="162">
        <v>1</v>
      </c>
      <c r="J21" t="s">
        <v>1855</v>
      </c>
      <c r="K21" t="s">
        <v>3</v>
      </c>
      <c r="L21" s="165">
        <v>35604</v>
      </c>
      <c r="M21" s="166">
        <v>19</v>
      </c>
      <c r="N21" t="s">
        <v>1093</v>
      </c>
      <c r="O21" t="s">
        <v>10135</v>
      </c>
      <c r="P21" t="s">
        <v>48</v>
      </c>
      <c r="Q21" t="s">
        <v>1231</v>
      </c>
      <c r="R21" t="s">
        <v>9963</v>
      </c>
      <c r="S21" s="162">
        <v>64.3</v>
      </c>
      <c r="T21">
        <v>0</v>
      </c>
      <c r="U21" s="162">
        <v>0</v>
      </c>
      <c r="V21">
        <v>0</v>
      </c>
      <c r="W21" s="162">
        <v>0</v>
      </c>
      <c r="X21">
        <v>0</v>
      </c>
      <c r="Y21" s="162">
        <v>0</v>
      </c>
      <c r="Z21">
        <v>0</v>
      </c>
      <c r="AA21" s="162">
        <v>0</v>
      </c>
      <c r="AB21">
        <v>0</v>
      </c>
      <c r="AC21" s="162" t="s">
        <v>7</v>
      </c>
      <c r="AD21" s="162" t="s">
        <v>7</v>
      </c>
      <c r="AE21" s="162" t="s">
        <v>7</v>
      </c>
      <c r="AF21" s="162" t="s">
        <v>7</v>
      </c>
      <c r="AG21" s="162" t="s">
        <v>7</v>
      </c>
      <c r="AH21" s="162" t="s">
        <v>7</v>
      </c>
      <c r="AI21" t="s">
        <v>9843</v>
      </c>
      <c r="AJ21" t="s">
        <v>7</v>
      </c>
      <c r="AK21" t="s">
        <v>2072</v>
      </c>
      <c r="AL21" t="s">
        <v>36</v>
      </c>
      <c r="AM21" s="162" t="s">
        <v>10138</v>
      </c>
      <c r="AN21" t="s">
        <v>9843</v>
      </c>
      <c r="AO21" t="s">
        <v>35</v>
      </c>
      <c r="AP21" t="s">
        <v>7</v>
      </c>
      <c r="AQ21" t="s">
        <v>9</v>
      </c>
      <c r="AR21" t="s">
        <v>7</v>
      </c>
      <c r="AS21" s="162" t="s">
        <v>7</v>
      </c>
      <c r="AT21" s="117" t="s">
        <v>7</v>
      </c>
      <c r="AU21" s="162" t="s">
        <v>7</v>
      </c>
      <c r="AV21" s="162" t="s">
        <v>7</v>
      </c>
      <c r="AW21" s="162" t="s">
        <v>9851</v>
      </c>
      <c r="AX21" s="162" t="s">
        <v>7</v>
      </c>
      <c r="AY21" s="162" t="s">
        <v>7</v>
      </c>
      <c r="AZ21" t="s">
        <v>7</v>
      </c>
      <c r="BA21" s="162" t="s">
        <v>7</v>
      </c>
      <c r="BB21" s="162" t="s">
        <v>7</v>
      </c>
      <c r="BC21" s="162" t="s">
        <v>7</v>
      </c>
      <c r="BD21" s="162" t="s">
        <v>7</v>
      </c>
      <c r="BE21" s="162" t="s">
        <v>7</v>
      </c>
      <c r="BF21" s="162" t="str">
        <f t="shared" si="0"/>
        <v>Sim</v>
      </c>
      <c r="BG21" s="162" t="str">
        <f t="shared" si="1"/>
        <v>Não</v>
      </c>
      <c r="BH21" s="162" t="s">
        <v>7</v>
      </c>
      <c r="BI21" t="s">
        <v>9870</v>
      </c>
      <c r="BJ21" s="162" t="s">
        <v>10164</v>
      </c>
      <c r="BK21" t="s">
        <v>10</v>
      </c>
      <c r="BL21" s="162">
        <v>20</v>
      </c>
      <c r="BM21" t="s">
        <v>35</v>
      </c>
      <c r="BN21" t="s">
        <v>35</v>
      </c>
      <c r="BO21" t="s">
        <v>10</v>
      </c>
      <c r="BP21" s="162">
        <v>20</v>
      </c>
      <c r="BQ21" t="s">
        <v>9851</v>
      </c>
      <c r="BR21" t="s">
        <v>35</v>
      </c>
      <c r="BS21" s="162" t="s">
        <v>35</v>
      </c>
    </row>
    <row r="22" spans="1:71">
      <c r="A22" s="162">
        <v>21</v>
      </c>
      <c r="B22" t="s">
        <v>228</v>
      </c>
      <c r="C22" s="162">
        <v>1</v>
      </c>
      <c r="D22" s="122" t="s">
        <v>681</v>
      </c>
      <c r="E22" t="s">
        <v>677</v>
      </c>
      <c r="F22" t="s">
        <v>515</v>
      </c>
      <c r="G22" t="s">
        <v>241</v>
      </c>
      <c r="H22" t="s">
        <v>682</v>
      </c>
      <c r="I22" s="162">
        <v>1</v>
      </c>
      <c r="J22" t="s">
        <v>1855</v>
      </c>
      <c r="K22" t="s">
        <v>3</v>
      </c>
      <c r="L22" s="165">
        <v>35651</v>
      </c>
      <c r="M22" s="166">
        <v>20</v>
      </c>
      <c r="N22" t="s">
        <v>4</v>
      </c>
      <c r="O22" t="s">
        <v>10134</v>
      </c>
      <c r="P22" t="s">
        <v>1074</v>
      </c>
      <c r="Q22" t="s">
        <v>1671</v>
      </c>
      <c r="R22" t="s">
        <v>1672</v>
      </c>
      <c r="S22" s="162">
        <v>66.400000000000006</v>
      </c>
      <c r="T22">
        <v>0</v>
      </c>
      <c r="U22" s="162">
        <v>0</v>
      </c>
      <c r="V22">
        <v>0</v>
      </c>
      <c r="W22" s="162">
        <v>0</v>
      </c>
      <c r="X22">
        <v>0</v>
      </c>
      <c r="Y22" s="162">
        <v>0</v>
      </c>
      <c r="Z22">
        <v>0</v>
      </c>
      <c r="AA22" s="162">
        <v>0</v>
      </c>
      <c r="AB22">
        <v>0</v>
      </c>
      <c r="AC22" s="162" t="s">
        <v>7</v>
      </c>
      <c r="AD22" s="162" t="s">
        <v>7</v>
      </c>
      <c r="AE22" s="162" t="s">
        <v>7</v>
      </c>
      <c r="AF22" s="162" t="s">
        <v>7</v>
      </c>
      <c r="AG22" s="162" t="s">
        <v>7</v>
      </c>
      <c r="AH22" s="162" t="s">
        <v>7</v>
      </c>
      <c r="AI22" t="s">
        <v>9843</v>
      </c>
      <c r="AJ22" t="s">
        <v>7</v>
      </c>
      <c r="AK22" t="s">
        <v>1150</v>
      </c>
      <c r="AL22" t="s">
        <v>36</v>
      </c>
      <c r="AM22" s="162" t="s">
        <v>10138</v>
      </c>
      <c r="AN22" t="s">
        <v>9843</v>
      </c>
      <c r="AO22" t="s">
        <v>35</v>
      </c>
      <c r="AP22" t="s">
        <v>7</v>
      </c>
      <c r="AQ22" t="s">
        <v>9</v>
      </c>
      <c r="AR22" t="s">
        <v>7</v>
      </c>
      <c r="AS22" s="162" t="s">
        <v>7</v>
      </c>
      <c r="AT22" s="117" t="s">
        <v>7</v>
      </c>
      <c r="AU22" s="162" t="s">
        <v>7</v>
      </c>
      <c r="AV22" s="162" t="s">
        <v>7</v>
      </c>
      <c r="AW22" s="162" t="s">
        <v>9851</v>
      </c>
      <c r="AX22" s="162" t="s">
        <v>7</v>
      </c>
      <c r="AY22" s="162" t="s">
        <v>7</v>
      </c>
      <c r="AZ22" t="s">
        <v>7</v>
      </c>
      <c r="BA22" s="162" t="s">
        <v>7</v>
      </c>
      <c r="BB22" s="162" t="s">
        <v>7</v>
      </c>
      <c r="BC22" s="162" t="s">
        <v>7</v>
      </c>
      <c r="BD22" s="162" t="s">
        <v>7</v>
      </c>
      <c r="BE22" s="162" t="s">
        <v>7</v>
      </c>
      <c r="BF22" s="162" t="str">
        <f t="shared" si="0"/>
        <v>Sim</v>
      </c>
      <c r="BG22" s="162" t="str">
        <f t="shared" si="1"/>
        <v>Não</v>
      </c>
      <c r="BH22" s="162" t="s">
        <v>7</v>
      </c>
      <c r="BI22" t="s">
        <v>9870</v>
      </c>
      <c r="BJ22" s="162" t="s">
        <v>10164</v>
      </c>
      <c r="BK22" t="s">
        <v>10</v>
      </c>
      <c r="BL22" s="162">
        <v>20</v>
      </c>
      <c r="BM22" t="s">
        <v>35</v>
      </c>
      <c r="BN22" t="s">
        <v>35</v>
      </c>
      <c r="BO22" t="s">
        <v>10</v>
      </c>
      <c r="BP22" s="162">
        <v>20</v>
      </c>
      <c r="BQ22" t="s">
        <v>7</v>
      </c>
      <c r="BR22" t="s">
        <v>1849</v>
      </c>
      <c r="BS22" s="162" t="s">
        <v>10170</v>
      </c>
    </row>
    <row r="23" spans="1:71">
      <c r="A23" s="162">
        <v>22</v>
      </c>
      <c r="B23" t="s">
        <v>353</v>
      </c>
      <c r="C23" s="162">
        <v>1</v>
      </c>
      <c r="D23" s="122" t="s">
        <v>612</v>
      </c>
      <c r="E23" t="s">
        <v>951</v>
      </c>
      <c r="F23" t="s">
        <v>515</v>
      </c>
      <c r="G23" t="s">
        <v>364</v>
      </c>
      <c r="H23" t="s">
        <v>957</v>
      </c>
      <c r="I23" s="162">
        <v>1</v>
      </c>
      <c r="J23" t="s">
        <v>76</v>
      </c>
      <c r="K23" t="s">
        <v>3</v>
      </c>
      <c r="L23" s="165">
        <v>24436</v>
      </c>
      <c r="M23" s="166">
        <v>50</v>
      </c>
      <c r="N23" t="s">
        <v>4</v>
      </c>
      <c r="O23" t="s">
        <v>10134</v>
      </c>
      <c r="P23" t="s">
        <v>48</v>
      </c>
      <c r="Q23" t="s">
        <v>9776</v>
      </c>
      <c r="R23" t="s">
        <v>10057</v>
      </c>
      <c r="S23" s="162">
        <v>728.2</v>
      </c>
      <c r="T23">
        <v>0</v>
      </c>
      <c r="U23" s="162">
        <v>0</v>
      </c>
      <c r="V23">
        <v>0</v>
      </c>
      <c r="W23" s="162">
        <v>0</v>
      </c>
      <c r="X23">
        <v>0</v>
      </c>
      <c r="Y23" s="162">
        <v>0</v>
      </c>
      <c r="Z23">
        <v>0</v>
      </c>
      <c r="AA23" s="162">
        <v>0</v>
      </c>
      <c r="AB23">
        <v>0</v>
      </c>
      <c r="AC23" s="162" t="s">
        <v>7</v>
      </c>
      <c r="AD23" s="162" t="s">
        <v>7</v>
      </c>
      <c r="AE23" s="162" t="s">
        <v>7</v>
      </c>
      <c r="AF23" s="162" t="s">
        <v>7</v>
      </c>
      <c r="AG23" s="162" t="s">
        <v>7</v>
      </c>
      <c r="AH23" s="162" t="s">
        <v>7</v>
      </c>
      <c r="AI23" t="s">
        <v>9843</v>
      </c>
      <c r="AJ23" t="s">
        <v>9848</v>
      </c>
      <c r="AK23" t="s">
        <v>1546</v>
      </c>
      <c r="AL23" t="s">
        <v>36</v>
      </c>
      <c r="AM23" s="162" t="s">
        <v>10138</v>
      </c>
      <c r="AN23" t="s">
        <v>9843</v>
      </c>
      <c r="AO23" t="s">
        <v>9854</v>
      </c>
      <c r="AP23" t="s">
        <v>7</v>
      </c>
      <c r="AQ23" t="s">
        <v>9</v>
      </c>
      <c r="AR23" t="s">
        <v>7</v>
      </c>
      <c r="AS23" s="162" t="s">
        <v>7</v>
      </c>
      <c r="AT23" s="117" t="s">
        <v>7</v>
      </c>
      <c r="AU23" s="162" t="s">
        <v>7</v>
      </c>
      <c r="AV23" s="162" t="s">
        <v>7</v>
      </c>
      <c r="AW23" s="162" t="s">
        <v>9851</v>
      </c>
      <c r="AX23" s="162" t="s">
        <v>7</v>
      </c>
      <c r="AY23" s="162" t="s">
        <v>7</v>
      </c>
      <c r="AZ23" t="s">
        <v>7</v>
      </c>
      <c r="BA23" s="162" t="s">
        <v>7</v>
      </c>
      <c r="BB23" s="162" t="s">
        <v>7</v>
      </c>
      <c r="BC23" s="162" t="s">
        <v>7</v>
      </c>
      <c r="BD23" s="162" t="s">
        <v>7</v>
      </c>
      <c r="BE23" s="162" t="s">
        <v>7</v>
      </c>
      <c r="BF23" s="162" t="str">
        <f t="shared" si="0"/>
        <v>Sim</v>
      </c>
      <c r="BG23" s="162" t="str">
        <f t="shared" si="1"/>
        <v>Não</v>
      </c>
      <c r="BH23" s="162" t="s">
        <v>7</v>
      </c>
      <c r="BI23" t="s">
        <v>9870</v>
      </c>
      <c r="BJ23" s="162" t="s">
        <v>10164</v>
      </c>
      <c r="BK23" t="s">
        <v>10</v>
      </c>
      <c r="BL23" s="162">
        <v>20</v>
      </c>
      <c r="BM23" t="s">
        <v>35</v>
      </c>
      <c r="BN23" t="s">
        <v>1202</v>
      </c>
      <c r="BO23" t="s">
        <v>1203</v>
      </c>
      <c r="BP23" s="162">
        <v>164</v>
      </c>
      <c r="BQ23" t="s">
        <v>35</v>
      </c>
      <c r="BR23" t="s">
        <v>1849</v>
      </c>
      <c r="BS23" s="162" t="s">
        <v>10253</v>
      </c>
    </row>
    <row r="24" spans="1:71">
      <c r="A24" s="162">
        <v>23</v>
      </c>
      <c r="B24" t="s">
        <v>1882</v>
      </c>
      <c r="C24" s="162">
        <v>1</v>
      </c>
      <c r="D24" s="122" t="s">
        <v>523</v>
      </c>
      <c r="E24" t="s">
        <v>836</v>
      </c>
      <c r="F24" t="s">
        <v>3</v>
      </c>
      <c r="G24" t="s">
        <v>323</v>
      </c>
      <c r="H24" t="s">
        <v>1930</v>
      </c>
      <c r="I24" s="162">
        <v>1</v>
      </c>
      <c r="J24" t="s">
        <v>1855</v>
      </c>
      <c r="K24" t="s">
        <v>3</v>
      </c>
      <c r="L24" s="165">
        <v>35984</v>
      </c>
      <c r="M24" s="166">
        <v>19</v>
      </c>
      <c r="N24" t="s">
        <v>5</v>
      </c>
      <c r="O24" t="s">
        <v>10135</v>
      </c>
      <c r="P24" t="s">
        <v>48</v>
      </c>
      <c r="Q24" t="s">
        <v>1487</v>
      </c>
      <c r="R24" t="s">
        <v>1932</v>
      </c>
      <c r="S24" s="162">
        <v>47.7</v>
      </c>
      <c r="T24">
        <v>0</v>
      </c>
      <c r="U24" s="162">
        <v>0</v>
      </c>
      <c r="V24">
        <v>0</v>
      </c>
      <c r="W24" s="162">
        <v>0</v>
      </c>
      <c r="X24">
        <v>0</v>
      </c>
      <c r="Y24" s="162">
        <v>0</v>
      </c>
      <c r="Z24">
        <v>0</v>
      </c>
      <c r="AA24" s="162">
        <v>0</v>
      </c>
      <c r="AB24">
        <v>0</v>
      </c>
      <c r="AC24" s="162" t="s">
        <v>7</v>
      </c>
      <c r="AD24" s="162" t="s">
        <v>7</v>
      </c>
      <c r="AE24" s="162" t="s">
        <v>7</v>
      </c>
      <c r="AF24" s="162" t="s">
        <v>7</v>
      </c>
      <c r="AG24" s="162" t="s">
        <v>7</v>
      </c>
      <c r="AH24" s="162" t="s">
        <v>7</v>
      </c>
      <c r="AI24" t="s">
        <v>9843</v>
      </c>
      <c r="AJ24" t="s">
        <v>7</v>
      </c>
      <c r="AK24" t="s">
        <v>1218</v>
      </c>
      <c r="AL24" t="s">
        <v>36</v>
      </c>
      <c r="AM24" s="162" t="s">
        <v>10138</v>
      </c>
      <c r="AN24" t="s">
        <v>9843</v>
      </c>
      <c r="AO24" t="s">
        <v>35</v>
      </c>
      <c r="AP24" t="s">
        <v>7</v>
      </c>
      <c r="AQ24" t="s">
        <v>9</v>
      </c>
      <c r="AR24" t="s">
        <v>7</v>
      </c>
      <c r="AS24" s="162" t="s">
        <v>7</v>
      </c>
      <c r="AT24" s="117" t="s">
        <v>7</v>
      </c>
      <c r="AU24" s="162" t="s">
        <v>7</v>
      </c>
      <c r="AV24" s="162" t="s">
        <v>7</v>
      </c>
      <c r="AW24" s="162" t="s">
        <v>9851</v>
      </c>
      <c r="AX24" s="162" t="s">
        <v>7</v>
      </c>
      <c r="AY24" s="162" t="s">
        <v>7</v>
      </c>
      <c r="AZ24" t="s">
        <v>7</v>
      </c>
      <c r="BA24" s="162" t="s">
        <v>7</v>
      </c>
      <c r="BB24" s="162" t="s">
        <v>7</v>
      </c>
      <c r="BC24" s="162" t="s">
        <v>7</v>
      </c>
      <c r="BD24" s="162" t="s">
        <v>7</v>
      </c>
      <c r="BE24" s="162" t="s">
        <v>7</v>
      </c>
      <c r="BF24" s="162" t="str">
        <f t="shared" si="0"/>
        <v>Sim</v>
      </c>
      <c r="BG24" s="162" t="str">
        <f t="shared" si="1"/>
        <v>Não</v>
      </c>
      <c r="BH24" s="162" t="s">
        <v>7</v>
      </c>
      <c r="BI24" t="s">
        <v>9870</v>
      </c>
      <c r="BJ24" s="162" t="s">
        <v>10164</v>
      </c>
      <c r="BK24" t="s">
        <v>10</v>
      </c>
      <c r="BL24" s="162">
        <v>20</v>
      </c>
      <c r="BM24" t="s">
        <v>35</v>
      </c>
      <c r="BN24" t="s">
        <v>35</v>
      </c>
      <c r="BO24" t="s">
        <v>10</v>
      </c>
      <c r="BP24" s="162">
        <v>20</v>
      </c>
      <c r="BQ24" t="s">
        <v>7</v>
      </c>
      <c r="BR24" t="s">
        <v>37</v>
      </c>
      <c r="BS24" s="162" t="s">
        <v>37</v>
      </c>
    </row>
    <row r="25" spans="1:71">
      <c r="A25" s="162">
        <v>24</v>
      </c>
      <c r="B25" t="s">
        <v>224</v>
      </c>
      <c r="C25" s="162">
        <v>1</v>
      </c>
      <c r="D25" s="122">
        <v>42893</v>
      </c>
      <c r="E25" t="s">
        <v>772</v>
      </c>
      <c r="F25" t="s">
        <v>515</v>
      </c>
      <c r="G25" t="s">
        <v>225</v>
      </c>
      <c r="H25" t="s">
        <v>785</v>
      </c>
      <c r="I25" s="162">
        <v>1</v>
      </c>
      <c r="J25" t="s">
        <v>1855</v>
      </c>
      <c r="K25" t="s">
        <v>3</v>
      </c>
      <c r="L25" s="165">
        <v>30297</v>
      </c>
      <c r="M25" s="166">
        <v>34</v>
      </c>
      <c r="N25" t="s">
        <v>1093</v>
      </c>
      <c r="O25" t="s">
        <v>10135</v>
      </c>
      <c r="P25" t="s">
        <v>48</v>
      </c>
      <c r="Q25" t="s">
        <v>1256</v>
      </c>
      <c r="R25" t="s">
        <v>9928</v>
      </c>
      <c r="S25" s="162">
        <v>86.1</v>
      </c>
      <c r="T25">
        <v>0</v>
      </c>
      <c r="U25" s="162">
        <v>0</v>
      </c>
      <c r="V25">
        <v>0</v>
      </c>
      <c r="W25" s="162">
        <v>0</v>
      </c>
      <c r="X25">
        <v>0</v>
      </c>
      <c r="Y25" s="162">
        <v>0</v>
      </c>
      <c r="Z25">
        <v>0</v>
      </c>
      <c r="AA25" s="162">
        <v>0</v>
      </c>
      <c r="AB25">
        <v>0</v>
      </c>
      <c r="AC25" s="162" t="s">
        <v>7</v>
      </c>
      <c r="AD25" s="162" t="s">
        <v>7</v>
      </c>
      <c r="AE25" s="162" t="s">
        <v>7</v>
      </c>
      <c r="AF25" s="162" t="s">
        <v>7</v>
      </c>
      <c r="AG25" s="162" t="s">
        <v>7</v>
      </c>
      <c r="AH25" s="162" t="s">
        <v>7</v>
      </c>
      <c r="AI25" t="s">
        <v>9843</v>
      </c>
      <c r="AJ25" t="s">
        <v>7</v>
      </c>
      <c r="AK25" t="s">
        <v>9775</v>
      </c>
      <c r="AL25" t="s">
        <v>36</v>
      </c>
      <c r="AM25" s="162" t="s">
        <v>10138</v>
      </c>
      <c r="AN25" t="s">
        <v>9843</v>
      </c>
      <c r="AO25" t="s">
        <v>35</v>
      </c>
      <c r="AP25" t="s">
        <v>7</v>
      </c>
      <c r="AQ25" t="s">
        <v>9</v>
      </c>
      <c r="AR25" t="s">
        <v>7</v>
      </c>
      <c r="AS25" s="162" t="s">
        <v>7</v>
      </c>
      <c r="AT25" s="117" t="s">
        <v>7</v>
      </c>
      <c r="AU25" s="162" t="s">
        <v>7</v>
      </c>
      <c r="AV25" s="162" t="s">
        <v>7</v>
      </c>
      <c r="AW25" s="162" t="s">
        <v>9851</v>
      </c>
      <c r="AX25" s="162" t="s">
        <v>7</v>
      </c>
      <c r="AY25" s="162" t="s">
        <v>7</v>
      </c>
      <c r="AZ25" t="s">
        <v>7</v>
      </c>
      <c r="BA25" s="162" t="s">
        <v>7</v>
      </c>
      <c r="BB25" s="162" t="s">
        <v>7</v>
      </c>
      <c r="BC25" s="162" t="s">
        <v>7</v>
      </c>
      <c r="BD25" s="162" t="s">
        <v>7</v>
      </c>
      <c r="BE25" s="162" t="s">
        <v>7</v>
      </c>
      <c r="BF25" s="162" t="str">
        <f t="shared" si="0"/>
        <v>Sim</v>
      </c>
      <c r="BG25" s="162" t="str">
        <f t="shared" si="1"/>
        <v>Não</v>
      </c>
      <c r="BH25" s="162" t="s">
        <v>7</v>
      </c>
      <c r="BI25" t="s">
        <v>9870</v>
      </c>
      <c r="BJ25" s="162" t="s">
        <v>10164</v>
      </c>
      <c r="BK25" t="s">
        <v>10</v>
      </c>
      <c r="BL25" s="162">
        <v>20</v>
      </c>
      <c r="BM25" t="s">
        <v>35</v>
      </c>
      <c r="BN25" t="s">
        <v>35</v>
      </c>
      <c r="BO25" t="s">
        <v>10</v>
      </c>
      <c r="BP25" s="162">
        <v>20</v>
      </c>
      <c r="BQ25" t="s">
        <v>7</v>
      </c>
      <c r="BR25" t="s">
        <v>1849</v>
      </c>
      <c r="BS25" s="162" t="s">
        <v>10170</v>
      </c>
    </row>
    <row r="26" spans="1:71">
      <c r="A26" s="162">
        <v>25</v>
      </c>
      <c r="B26" t="s">
        <v>321</v>
      </c>
      <c r="C26" s="162">
        <v>1</v>
      </c>
      <c r="D26" s="122" t="s">
        <v>841</v>
      </c>
      <c r="E26" t="s">
        <v>107</v>
      </c>
      <c r="F26" t="s">
        <v>515</v>
      </c>
      <c r="G26" t="s">
        <v>323</v>
      </c>
      <c r="H26" t="s">
        <v>842</v>
      </c>
      <c r="I26" s="162">
        <v>1</v>
      </c>
      <c r="J26" t="s">
        <v>1855</v>
      </c>
      <c r="K26" t="s">
        <v>3</v>
      </c>
      <c r="L26" s="165">
        <v>29032</v>
      </c>
      <c r="M26" s="166">
        <v>37</v>
      </c>
      <c r="N26" t="s">
        <v>1093</v>
      </c>
      <c r="O26" t="s">
        <v>10135</v>
      </c>
      <c r="P26" t="s">
        <v>1101</v>
      </c>
      <c r="Q26" t="s">
        <v>1186</v>
      </c>
      <c r="R26" t="s">
        <v>9980</v>
      </c>
      <c r="S26" s="162">
        <v>51.7</v>
      </c>
      <c r="T26">
        <v>0</v>
      </c>
      <c r="U26" s="162">
        <v>0</v>
      </c>
      <c r="V26">
        <v>0</v>
      </c>
      <c r="W26" s="162">
        <v>0</v>
      </c>
      <c r="X26">
        <v>0</v>
      </c>
      <c r="Y26" s="162">
        <v>0</v>
      </c>
      <c r="Z26">
        <v>0</v>
      </c>
      <c r="AA26" s="162">
        <v>0</v>
      </c>
      <c r="AB26">
        <v>0</v>
      </c>
      <c r="AC26" s="162" t="s">
        <v>7</v>
      </c>
      <c r="AD26" s="162" t="s">
        <v>7</v>
      </c>
      <c r="AE26" s="162" t="s">
        <v>7</v>
      </c>
      <c r="AF26" s="162" t="s">
        <v>7</v>
      </c>
      <c r="AG26" s="162" t="s">
        <v>7</v>
      </c>
      <c r="AH26" s="162" t="s">
        <v>7</v>
      </c>
      <c r="AI26" t="s">
        <v>9843</v>
      </c>
      <c r="AJ26" t="s">
        <v>7</v>
      </c>
      <c r="AK26" t="s">
        <v>1173</v>
      </c>
      <c r="AL26" t="s">
        <v>36</v>
      </c>
      <c r="AM26" s="162" t="s">
        <v>10138</v>
      </c>
      <c r="AN26" t="s">
        <v>9843</v>
      </c>
      <c r="AO26" t="s">
        <v>35</v>
      </c>
      <c r="AP26" t="s">
        <v>7</v>
      </c>
      <c r="AQ26" t="s">
        <v>9</v>
      </c>
      <c r="AR26" t="s">
        <v>7</v>
      </c>
      <c r="AS26" s="162" t="s">
        <v>7</v>
      </c>
      <c r="AT26" s="117" t="s">
        <v>7</v>
      </c>
      <c r="AU26" s="162" t="s">
        <v>7</v>
      </c>
      <c r="AV26" s="162" t="s">
        <v>7</v>
      </c>
      <c r="AW26" s="162" t="s">
        <v>9851</v>
      </c>
      <c r="AX26" s="162" t="s">
        <v>7</v>
      </c>
      <c r="AY26" s="162" t="s">
        <v>7</v>
      </c>
      <c r="AZ26" t="s">
        <v>7</v>
      </c>
      <c r="BA26" s="162" t="s">
        <v>7</v>
      </c>
      <c r="BB26" s="162" t="s">
        <v>7</v>
      </c>
      <c r="BC26" s="162" t="s">
        <v>7</v>
      </c>
      <c r="BD26" s="162" t="s">
        <v>7</v>
      </c>
      <c r="BE26" s="162" t="s">
        <v>7</v>
      </c>
      <c r="BF26" s="162" t="str">
        <f t="shared" si="0"/>
        <v>Sim</v>
      </c>
      <c r="BG26" s="162" t="str">
        <f t="shared" si="1"/>
        <v>Não</v>
      </c>
      <c r="BH26" s="162" t="s">
        <v>7</v>
      </c>
      <c r="BI26" t="s">
        <v>9870</v>
      </c>
      <c r="BJ26" s="162" t="s">
        <v>10164</v>
      </c>
      <c r="BK26" t="s">
        <v>10</v>
      </c>
      <c r="BL26" s="162">
        <v>20</v>
      </c>
      <c r="BM26" t="s">
        <v>35</v>
      </c>
      <c r="BN26" t="s">
        <v>35</v>
      </c>
      <c r="BO26" t="s">
        <v>10</v>
      </c>
      <c r="BP26" s="162">
        <v>20</v>
      </c>
      <c r="BQ26" t="s">
        <v>7</v>
      </c>
      <c r="BR26" t="s">
        <v>37</v>
      </c>
      <c r="BS26" s="162" t="s">
        <v>37</v>
      </c>
    </row>
    <row r="27" spans="1:71">
      <c r="A27" s="162">
        <v>26</v>
      </c>
      <c r="B27" t="s">
        <v>245</v>
      </c>
      <c r="C27" s="162">
        <v>1</v>
      </c>
      <c r="D27" s="122">
        <v>42871</v>
      </c>
      <c r="E27" t="s">
        <v>703</v>
      </c>
      <c r="F27" t="s">
        <v>515</v>
      </c>
      <c r="G27" t="s">
        <v>251</v>
      </c>
      <c r="H27" t="s">
        <v>711</v>
      </c>
      <c r="I27" s="162">
        <v>1</v>
      </c>
      <c r="J27" t="s">
        <v>1855</v>
      </c>
      <c r="K27" t="s">
        <v>3</v>
      </c>
      <c r="L27" s="165">
        <v>35825</v>
      </c>
      <c r="M27" s="166">
        <v>19</v>
      </c>
      <c r="N27" t="s">
        <v>4</v>
      </c>
      <c r="O27" t="s">
        <v>10134</v>
      </c>
      <c r="P27" t="s">
        <v>1101</v>
      </c>
      <c r="Q27" t="s">
        <v>1127</v>
      </c>
      <c r="R27" t="s">
        <v>9934</v>
      </c>
      <c r="S27" s="162">
        <v>8.5</v>
      </c>
      <c r="T27">
        <v>0</v>
      </c>
      <c r="U27" s="162">
        <v>0</v>
      </c>
      <c r="V27">
        <v>0</v>
      </c>
      <c r="W27" s="162">
        <v>0</v>
      </c>
      <c r="X27">
        <v>0</v>
      </c>
      <c r="Y27" s="162">
        <v>0</v>
      </c>
      <c r="Z27">
        <v>0</v>
      </c>
      <c r="AA27" s="162">
        <v>0</v>
      </c>
      <c r="AB27">
        <v>0</v>
      </c>
      <c r="AC27" s="162" t="s">
        <v>7</v>
      </c>
      <c r="AD27" s="162" t="s">
        <v>7</v>
      </c>
      <c r="AE27" s="162" t="s">
        <v>7</v>
      </c>
      <c r="AF27" s="162" t="s">
        <v>7</v>
      </c>
      <c r="AG27" s="162" t="s">
        <v>7</v>
      </c>
      <c r="AH27" s="162" t="s">
        <v>7</v>
      </c>
      <c r="AI27" t="s">
        <v>9843</v>
      </c>
      <c r="AJ27" t="s">
        <v>7</v>
      </c>
      <c r="AK27" t="s">
        <v>9821</v>
      </c>
      <c r="AL27" t="s">
        <v>36</v>
      </c>
      <c r="AM27" s="162" t="s">
        <v>10138</v>
      </c>
      <c r="AN27" t="s">
        <v>9843</v>
      </c>
      <c r="AO27" t="s">
        <v>35</v>
      </c>
      <c r="AP27" t="s">
        <v>7</v>
      </c>
      <c r="AQ27" t="s">
        <v>9</v>
      </c>
      <c r="AR27" t="s">
        <v>7</v>
      </c>
      <c r="AS27" s="162" t="s">
        <v>7</v>
      </c>
      <c r="AT27" s="117" t="s">
        <v>7</v>
      </c>
      <c r="AU27" s="162" t="s">
        <v>7</v>
      </c>
      <c r="AV27" s="162" t="s">
        <v>7</v>
      </c>
      <c r="AW27" s="162" t="s">
        <v>9851</v>
      </c>
      <c r="AX27" s="162" t="s">
        <v>7</v>
      </c>
      <c r="AY27" s="162" t="s">
        <v>7</v>
      </c>
      <c r="AZ27" t="s">
        <v>7</v>
      </c>
      <c r="BA27" s="162" t="s">
        <v>7</v>
      </c>
      <c r="BB27" s="162" t="s">
        <v>7</v>
      </c>
      <c r="BC27" s="162" t="s">
        <v>7</v>
      </c>
      <c r="BD27" s="162" t="s">
        <v>7</v>
      </c>
      <c r="BE27" s="162" t="s">
        <v>7</v>
      </c>
      <c r="BF27" s="162" t="str">
        <f t="shared" si="0"/>
        <v>Sim</v>
      </c>
      <c r="BG27" s="162" t="str">
        <f t="shared" si="1"/>
        <v>Não</v>
      </c>
      <c r="BH27" s="162" t="s">
        <v>7</v>
      </c>
      <c r="BI27" t="s">
        <v>9870</v>
      </c>
      <c r="BJ27" s="162" t="s">
        <v>10164</v>
      </c>
      <c r="BK27" t="s">
        <v>10</v>
      </c>
      <c r="BL27" s="162">
        <v>20</v>
      </c>
      <c r="BM27" t="s">
        <v>35</v>
      </c>
      <c r="BN27" t="s">
        <v>35</v>
      </c>
      <c r="BO27" t="s">
        <v>10</v>
      </c>
      <c r="BP27" s="162">
        <v>20</v>
      </c>
      <c r="BQ27" t="s">
        <v>7</v>
      </c>
      <c r="BR27" t="s">
        <v>1114</v>
      </c>
      <c r="BS27" s="162" t="s">
        <v>1114</v>
      </c>
    </row>
    <row r="28" spans="1:71">
      <c r="A28" s="162">
        <v>27</v>
      </c>
      <c r="B28" t="s">
        <v>248</v>
      </c>
      <c r="C28" s="162">
        <v>1</v>
      </c>
      <c r="D28" s="122" t="s">
        <v>546</v>
      </c>
      <c r="E28" t="s">
        <v>718</v>
      </c>
      <c r="F28" t="s">
        <v>515</v>
      </c>
      <c r="G28" t="s">
        <v>251</v>
      </c>
      <c r="H28" t="s">
        <v>719</v>
      </c>
      <c r="I28" s="162">
        <v>1</v>
      </c>
      <c r="J28" t="s">
        <v>1855</v>
      </c>
      <c r="K28" t="s">
        <v>3</v>
      </c>
      <c r="L28" s="165">
        <v>32978</v>
      </c>
      <c r="M28" s="166">
        <v>27</v>
      </c>
      <c r="N28" t="s">
        <v>5</v>
      </c>
      <c r="O28" t="s">
        <v>10135</v>
      </c>
      <c r="P28" t="s">
        <v>1101</v>
      </c>
      <c r="Q28" t="s">
        <v>1338</v>
      </c>
      <c r="R28" t="s">
        <v>1339</v>
      </c>
      <c r="S28" s="162">
        <v>40</v>
      </c>
      <c r="T28">
        <v>0</v>
      </c>
      <c r="U28" s="162">
        <v>0</v>
      </c>
      <c r="V28">
        <v>0</v>
      </c>
      <c r="W28" s="162">
        <v>0</v>
      </c>
      <c r="X28">
        <v>0</v>
      </c>
      <c r="Y28" s="162">
        <v>0</v>
      </c>
      <c r="Z28">
        <v>0</v>
      </c>
      <c r="AA28" s="162">
        <v>0</v>
      </c>
      <c r="AB28">
        <v>0</v>
      </c>
      <c r="AC28" s="162" t="s">
        <v>7</v>
      </c>
      <c r="AD28" s="162" t="s">
        <v>7</v>
      </c>
      <c r="AE28" s="162" t="s">
        <v>7</v>
      </c>
      <c r="AF28" s="162" t="s">
        <v>7</v>
      </c>
      <c r="AG28" s="162" t="s">
        <v>7</v>
      </c>
      <c r="AH28" s="162" t="s">
        <v>7</v>
      </c>
      <c r="AI28" t="s">
        <v>9843</v>
      </c>
      <c r="AJ28" t="s">
        <v>7</v>
      </c>
      <c r="AK28" t="s">
        <v>1122</v>
      </c>
      <c r="AL28" t="s">
        <v>36</v>
      </c>
      <c r="AM28" s="162" t="s">
        <v>10138</v>
      </c>
      <c r="AN28" t="s">
        <v>9843</v>
      </c>
      <c r="AO28" t="s">
        <v>35</v>
      </c>
      <c r="AP28" t="s">
        <v>7</v>
      </c>
      <c r="AQ28" t="s">
        <v>9</v>
      </c>
      <c r="AR28" t="s">
        <v>7</v>
      </c>
      <c r="AS28" s="162" t="s">
        <v>7</v>
      </c>
      <c r="AT28" s="117" t="s">
        <v>7</v>
      </c>
      <c r="AU28" s="162" t="s">
        <v>7</v>
      </c>
      <c r="AV28" s="162" t="s">
        <v>7</v>
      </c>
      <c r="AW28" s="162" t="s">
        <v>9851</v>
      </c>
      <c r="AX28" s="162" t="s">
        <v>7</v>
      </c>
      <c r="AY28" s="162" t="s">
        <v>7</v>
      </c>
      <c r="AZ28" t="s">
        <v>7</v>
      </c>
      <c r="BA28" s="162" t="s">
        <v>7</v>
      </c>
      <c r="BB28" s="162" t="s">
        <v>7</v>
      </c>
      <c r="BC28" s="162" t="s">
        <v>7</v>
      </c>
      <c r="BD28" s="162" t="s">
        <v>7</v>
      </c>
      <c r="BE28" s="162" t="s">
        <v>7</v>
      </c>
      <c r="BF28" s="162" t="str">
        <f t="shared" si="0"/>
        <v>Sim</v>
      </c>
      <c r="BG28" s="162" t="str">
        <f t="shared" si="1"/>
        <v>Não</v>
      </c>
      <c r="BH28" s="162" t="s">
        <v>7</v>
      </c>
      <c r="BI28" t="s">
        <v>9870</v>
      </c>
      <c r="BJ28" s="162" t="s">
        <v>10164</v>
      </c>
      <c r="BK28" t="s">
        <v>10</v>
      </c>
      <c r="BL28" s="162">
        <v>20</v>
      </c>
      <c r="BM28" t="s">
        <v>35</v>
      </c>
      <c r="BN28" t="s">
        <v>35</v>
      </c>
      <c r="BO28" t="s">
        <v>10</v>
      </c>
      <c r="BP28" s="162">
        <v>20</v>
      </c>
      <c r="BQ28" t="s">
        <v>7</v>
      </c>
      <c r="BR28" t="s">
        <v>37</v>
      </c>
      <c r="BS28" s="162" t="s">
        <v>37</v>
      </c>
    </row>
    <row r="29" spans="1:71">
      <c r="A29" s="162">
        <v>28</v>
      </c>
      <c r="B29" t="s">
        <v>158</v>
      </c>
      <c r="C29" s="162">
        <v>1</v>
      </c>
      <c r="D29" s="122" t="s">
        <v>39</v>
      </c>
      <c r="E29" t="s">
        <v>571</v>
      </c>
      <c r="F29" t="s">
        <v>515</v>
      </c>
      <c r="G29" t="s">
        <v>166</v>
      </c>
      <c r="H29" t="s">
        <v>573</v>
      </c>
      <c r="I29" s="162">
        <v>1</v>
      </c>
      <c r="J29" t="s">
        <v>1855</v>
      </c>
      <c r="K29" t="s">
        <v>3</v>
      </c>
      <c r="L29" s="165">
        <v>34042</v>
      </c>
      <c r="M29" s="166">
        <v>24</v>
      </c>
      <c r="N29" t="s">
        <v>4</v>
      </c>
      <c r="O29" t="s">
        <v>10134</v>
      </c>
      <c r="P29" t="s">
        <v>1074</v>
      </c>
      <c r="Q29" t="s">
        <v>1071</v>
      </c>
      <c r="R29" t="s">
        <v>1353</v>
      </c>
      <c r="S29" s="162">
        <v>150</v>
      </c>
      <c r="T29">
        <v>0</v>
      </c>
      <c r="U29" s="162">
        <v>0</v>
      </c>
      <c r="V29">
        <v>0</v>
      </c>
      <c r="W29" s="162">
        <v>0</v>
      </c>
      <c r="X29">
        <v>0</v>
      </c>
      <c r="Y29" s="162">
        <v>0</v>
      </c>
      <c r="Z29">
        <v>0</v>
      </c>
      <c r="AA29" s="162">
        <v>0</v>
      </c>
      <c r="AB29">
        <v>0</v>
      </c>
      <c r="AC29" s="162" t="s">
        <v>7</v>
      </c>
      <c r="AD29" s="162" t="s">
        <v>7</v>
      </c>
      <c r="AE29" s="162" t="s">
        <v>7</v>
      </c>
      <c r="AF29" s="162" t="s">
        <v>7</v>
      </c>
      <c r="AG29" s="162" t="s">
        <v>7</v>
      </c>
      <c r="AH29" s="162" t="s">
        <v>7</v>
      </c>
      <c r="AI29" t="s">
        <v>9843</v>
      </c>
      <c r="AJ29" t="s">
        <v>7</v>
      </c>
      <c r="AK29" t="s">
        <v>9805</v>
      </c>
      <c r="AL29" t="s">
        <v>36</v>
      </c>
      <c r="AM29" s="162" t="s">
        <v>10138</v>
      </c>
      <c r="AN29" t="s">
        <v>9843</v>
      </c>
      <c r="AO29" t="s">
        <v>35</v>
      </c>
      <c r="AP29" t="s">
        <v>1354</v>
      </c>
      <c r="AQ29" t="s">
        <v>9</v>
      </c>
      <c r="AR29" t="s">
        <v>7</v>
      </c>
      <c r="AS29" s="162" t="s">
        <v>7</v>
      </c>
      <c r="AT29" s="117" t="s">
        <v>7</v>
      </c>
      <c r="AU29" s="162" t="s">
        <v>7</v>
      </c>
      <c r="AV29" s="162" t="s">
        <v>7</v>
      </c>
      <c r="AW29" s="162" t="s">
        <v>9851</v>
      </c>
      <c r="AX29" s="162" t="s">
        <v>7</v>
      </c>
      <c r="AY29" s="162" t="s">
        <v>7</v>
      </c>
      <c r="AZ29" t="s">
        <v>7</v>
      </c>
      <c r="BA29" s="162" t="s">
        <v>7</v>
      </c>
      <c r="BB29" s="162" t="s">
        <v>7</v>
      </c>
      <c r="BC29" s="162" t="s">
        <v>7</v>
      </c>
      <c r="BD29" s="162" t="s">
        <v>7</v>
      </c>
      <c r="BE29" s="162" t="s">
        <v>7</v>
      </c>
      <c r="BF29" s="162" t="str">
        <f t="shared" si="0"/>
        <v>Sim</v>
      </c>
      <c r="BG29" s="162" t="str">
        <f t="shared" si="1"/>
        <v>Não</v>
      </c>
      <c r="BH29" s="162" t="s">
        <v>7</v>
      </c>
      <c r="BI29" t="s">
        <v>9870</v>
      </c>
      <c r="BJ29" s="162" t="s">
        <v>10164</v>
      </c>
      <c r="BK29" t="s">
        <v>10</v>
      </c>
      <c r="BL29" s="162">
        <v>20</v>
      </c>
      <c r="BM29" t="s">
        <v>35</v>
      </c>
      <c r="BN29" t="s">
        <v>35</v>
      </c>
      <c r="BO29" t="s">
        <v>10</v>
      </c>
      <c r="BP29" s="162">
        <v>20</v>
      </c>
      <c r="BQ29" t="s">
        <v>7</v>
      </c>
      <c r="BR29" t="s">
        <v>37</v>
      </c>
      <c r="BS29" s="162" t="s">
        <v>37</v>
      </c>
    </row>
    <row r="30" spans="1:71">
      <c r="A30" s="162">
        <v>29</v>
      </c>
      <c r="B30" t="s">
        <v>158</v>
      </c>
      <c r="C30" s="162">
        <v>0</v>
      </c>
      <c r="D30" s="122" t="s">
        <v>39</v>
      </c>
      <c r="E30" t="s">
        <v>571</v>
      </c>
      <c r="F30" t="s">
        <v>515</v>
      </c>
      <c r="G30" t="s">
        <v>166</v>
      </c>
      <c r="H30" t="s">
        <v>574</v>
      </c>
      <c r="I30" s="162">
        <v>1</v>
      </c>
      <c r="J30" t="s">
        <v>1855</v>
      </c>
      <c r="K30" t="s">
        <v>3</v>
      </c>
      <c r="L30" s="165">
        <v>32828</v>
      </c>
      <c r="M30" s="166">
        <v>27</v>
      </c>
      <c r="N30" t="s">
        <v>4</v>
      </c>
      <c r="O30" t="s">
        <v>10134</v>
      </c>
      <c r="P30" t="s">
        <v>41</v>
      </c>
      <c r="Q30" t="s">
        <v>1071</v>
      </c>
      <c r="R30" t="s">
        <v>1353</v>
      </c>
      <c r="S30" s="162">
        <v>150</v>
      </c>
      <c r="T30">
        <v>0</v>
      </c>
      <c r="U30" s="162">
        <v>0</v>
      </c>
      <c r="V30">
        <v>0</v>
      </c>
      <c r="W30" s="162">
        <v>0</v>
      </c>
      <c r="X30">
        <v>0</v>
      </c>
      <c r="Y30" s="162">
        <v>0</v>
      </c>
      <c r="Z30">
        <v>0</v>
      </c>
      <c r="AA30" s="162">
        <v>0</v>
      </c>
      <c r="AB30">
        <v>0</v>
      </c>
      <c r="AC30" s="162" t="s">
        <v>7</v>
      </c>
      <c r="AD30" s="162" t="s">
        <v>7</v>
      </c>
      <c r="AE30" s="162" t="s">
        <v>7</v>
      </c>
      <c r="AF30" s="162" t="s">
        <v>7</v>
      </c>
      <c r="AG30" s="162" t="s">
        <v>7</v>
      </c>
      <c r="AH30" s="162" t="s">
        <v>7</v>
      </c>
      <c r="AI30" t="s">
        <v>9843</v>
      </c>
      <c r="AJ30" t="s">
        <v>7</v>
      </c>
      <c r="AK30" t="s">
        <v>9805</v>
      </c>
      <c r="AL30" t="s">
        <v>36</v>
      </c>
      <c r="AM30" s="162" t="s">
        <v>10138</v>
      </c>
      <c r="AN30" t="s">
        <v>9843</v>
      </c>
      <c r="AO30" t="s">
        <v>35</v>
      </c>
      <c r="AP30" t="s">
        <v>1354</v>
      </c>
      <c r="AQ30" t="s">
        <v>9</v>
      </c>
      <c r="AR30" t="s">
        <v>7</v>
      </c>
      <c r="AS30" s="162" t="s">
        <v>7</v>
      </c>
      <c r="AT30" s="117" t="s">
        <v>7</v>
      </c>
      <c r="AU30" s="162" t="s">
        <v>7</v>
      </c>
      <c r="AV30" s="162" t="s">
        <v>7</v>
      </c>
      <c r="AW30" s="162" t="s">
        <v>9851</v>
      </c>
      <c r="AX30" s="162" t="s">
        <v>7</v>
      </c>
      <c r="AY30" s="162" t="s">
        <v>7</v>
      </c>
      <c r="AZ30" t="s">
        <v>7</v>
      </c>
      <c r="BA30" s="162" t="s">
        <v>7</v>
      </c>
      <c r="BB30" s="162" t="s">
        <v>7</v>
      </c>
      <c r="BC30" s="162" t="s">
        <v>7</v>
      </c>
      <c r="BD30" s="162" t="s">
        <v>7</v>
      </c>
      <c r="BE30" s="162" t="s">
        <v>7</v>
      </c>
      <c r="BF30" s="162" t="str">
        <f t="shared" si="0"/>
        <v>Sim</v>
      </c>
      <c r="BG30" s="162" t="str">
        <f t="shared" si="1"/>
        <v>Não</v>
      </c>
      <c r="BH30" s="162" t="s">
        <v>7</v>
      </c>
      <c r="BI30" t="s">
        <v>9870</v>
      </c>
      <c r="BJ30" s="162" t="s">
        <v>10164</v>
      </c>
      <c r="BK30" t="s">
        <v>10</v>
      </c>
      <c r="BL30" s="162">
        <v>20</v>
      </c>
      <c r="BM30" t="s">
        <v>35</v>
      </c>
      <c r="BN30" t="s">
        <v>35</v>
      </c>
      <c r="BO30" t="s">
        <v>10</v>
      </c>
      <c r="BP30" s="162">
        <v>20</v>
      </c>
      <c r="BQ30" t="s">
        <v>7</v>
      </c>
      <c r="BR30" t="s">
        <v>37</v>
      </c>
      <c r="BS30" s="162" t="s">
        <v>37</v>
      </c>
    </row>
    <row r="31" spans="1:71">
      <c r="A31" s="162">
        <v>30</v>
      </c>
      <c r="B31" t="s">
        <v>300</v>
      </c>
      <c r="C31" s="162">
        <v>1</v>
      </c>
      <c r="D31" s="122" t="s">
        <v>796</v>
      </c>
      <c r="E31" t="s">
        <v>802</v>
      </c>
      <c r="F31" t="s">
        <v>3</v>
      </c>
      <c r="G31" t="s">
        <v>304</v>
      </c>
      <c r="H31" t="s">
        <v>817</v>
      </c>
      <c r="I31" s="162">
        <v>1</v>
      </c>
      <c r="J31" t="s">
        <v>76</v>
      </c>
      <c r="K31" t="s">
        <v>3</v>
      </c>
      <c r="L31" s="165">
        <v>34245</v>
      </c>
      <c r="M31" s="166">
        <v>23</v>
      </c>
      <c r="N31" t="s">
        <v>4</v>
      </c>
      <c r="O31" t="s">
        <v>10134</v>
      </c>
      <c r="P31" t="s">
        <v>41</v>
      </c>
      <c r="Q31" t="s">
        <v>1530</v>
      </c>
      <c r="R31" t="s">
        <v>10056</v>
      </c>
      <c r="S31" s="162">
        <v>1034.7</v>
      </c>
      <c r="T31">
        <v>0</v>
      </c>
      <c r="U31" s="162">
        <v>0</v>
      </c>
      <c r="V31">
        <v>0</v>
      </c>
      <c r="W31" s="162">
        <v>0</v>
      </c>
      <c r="X31">
        <v>0</v>
      </c>
      <c r="Y31" s="162">
        <v>0</v>
      </c>
      <c r="Z31">
        <v>0</v>
      </c>
      <c r="AA31" s="162">
        <v>0</v>
      </c>
      <c r="AB31">
        <v>0</v>
      </c>
      <c r="AC31" s="162" t="s">
        <v>7</v>
      </c>
      <c r="AD31" s="162" t="s">
        <v>7</v>
      </c>
      <c r="AE31" s="162" t="s">
        <v>7</v>
      </c>
      <c r="AF31" s="162" t="s">
        <v>7</v>
      </c>
      <c r="AG31" s="162" t="s">
        <v>7</v>
      </c>
      <c r="AH31" s="162" t="s">
        <v>7</v>
      </c>
      <c r="AI31" t="s">
        <v>9846</v>
      </c>
      <c r="AJ31" t="s">
        <v>7</v>
      </c>
      <c r="AK31" t="s">
        <v>1122</v>
      </c>
      <c r="AL31" t="s">
        <v>78</v>
      </c>
      <c r="AM31" s="162" t="s">
        <v>10138</v>
      </c>
      <c r="AN31" t="s">
        <v>9843</v>
      </c>
      <c r="AO31" t="s">
        <v>35</v>
      </c>
      <c r="AP31" t="s">
        <v>7</v>
      </c>
      <c r="AQ31" t="s">
        <v>9</v>
      </c>
      <c r="AR31" t="s">
        <v>7</v>
      </c>
      <c r="AS31" s="162" t="s">
        <v>7</v>
      </c>
      <c r="AT31" s="117" t="s">
        <v>7</v>
      </c>
      <c r="AU31" s="162" t="s">
        <v>7</v>
      </c>
      <c r="AV31" s="162" t="s">
        <v>7</v>
      </c>
      <c r="AW31" s="162" t="s">
        <v>9851</v>
      </c>
      <c r="AX31" s="162" t="s">
        <v>7</v>
      </c>
      <c r="AY31" s="162" t="s">
        <v>7</v>
      </c>
      <c r="AZ31" t="s">
        <v>7</v>
      </c>
      <c r="BA31" s="162" t="s">
        <v>7</v>
      </c>
      <c r="BB31" s="162" t="s">
        <v>7</v>
      </c>
      <c r="BC31" s="162" t="s">
        <v>7</v>
      </c>
      <c r="BD31" s="162" t="s">
        <v>7</v>
      </c>
      <c r="BE31" s="162" t="s">
        <v>7</v>
      </c>
      <c r="BF31" s="162" t="str">
        <f t="shared" si="0"/>
        <v>Sim</v>
      </c>
      <c r="BG31" s="162" t="str">
        <f t="shared" si="1"/>
        <v>Não</v>
      </c>
      <c r="BH31" s="162" t="s">
        <v>7</v>
      </c>
      <c r="BI31" t="s">
        <v>9870</v>
      </c>
      <c r="BJ31" s="162" t="s">
        <v>10164</v>
      </c>
      <c r="BK31" t="s">
        <v>10</v>
      </c>
      <c r="BL31" s="162">
        <v>20</v>
      </c>
      <c r="BM31" t="s">
        <v>35</v>
      </c>
      <c r="BN31" t="s">
        <v>35</v>
      </c>
      <c r="BO31" t="s">
        <v>10</v>
      </c>
      <c r="BP31" s="162">
        <v>20</v>
      </c>
      <c r="BQ31" t="s">
        <v>7</v>
      </c>
      <c r="BR31" t="s">
        <v>37</v>
      </c>
      <c r="BS31" s="162" t="s">
        <v>37</v>
      </c>
    </row>
    <row r="32" spans="1:71">
      <c r="A32" s="162">
        <v>31</v>
      </c>
      <c r="B32" t="s">
        <v>300</v>
      </c>
      <c r="C32" s="162">
        <v>0</v>
      </c>
      <c r="D32" s="122" t="s">
        <v>796</v>
      </c>
      <c r="E32" t="s">
        <v>802</v>
      </c>
      <c r="F32" t="s">
        <v>3</v>
      </c>
      <c r="G32" t="s">
        <v>304</v>
      </c>
      <c r="H32" t="s">
        <v>818</v>
      </c>
      <c r="I32" s="162">
        <v>1</v>
      </c>
      <c r="J32" t="s">
        <v>76</v>
      </c>
      <c r="K32" t="s">
        <v>515</v>
      </c>
      <c r="L32" s="165">
        <v>35782</v>
      </c>
      <c r="M32" s="166">
        <v>19</v>
      </c>
      <c r="N32" t="s">
        <v>5</v>
      </c>
      <c r="O32" t="s">
        <v>10135</v>
      </c>
      <c r="P32" t="s">
        <v>41</v>
      </c>
      <c r="Q32" t="s">
        <v>1530</v>
      </c>
      <c r="R32" t="s">
        <v>10056</v>
      </c>
      <c r="S32" s="162">
        <v>1034.7</v>
      </c>
      <c r="T32">
        <v>0</v>
      </c>
      <c r="U32" s="162">
        <v>0</v>
      </c>
      <c r="V32">
        <v>0</v>
      </c>
      <c r="W32" s="162">
        <v>0</v>
      </c>
      <c r="X32">
        <v>0</v>
      </c>
      <c r="Y32" s="162">
        <v>0</v>
      </c>
      <c r="Z32">
        <v>0</v>
      </c>
      <c r="AA32" s="162">
        <v>0</v>
      </c>
      <c r="AB32">
        <v>0</v>
      </c>
      <c r="AC32" s="162" t="s">
        <v>7</v>
      </c>
      <c r="AD32" s="162" t="s">
        <v>7</v>
      </c>
      <c r="AE32" s="162" t="s">
        <v>7</v>
      </c>
      <c r="AF32" s="162" t="s">
        <v>7</v>
      </c>
      <c r="AG32" s="162" t="s">
        <v>7</v>
      </c>
      <c r="AH32" s="162" t="s">
        <v>7</v>
      </c>
      <c r="AI32" t="s">
        <v>9846</v>
      </c>
      <c r="AJ32" t="s">
        <v>7</v>
      </c>
      <c r="AK32" t="s">
        <v>1122</v>
      </c>
      <c r="AL32" t="s">
        <v>78</v>
      </c>
      <c r="AM32" s="162" t="s">
        <v>10138</v>
      </c>
      <c r="AN32" t="s">
        <v>9843</v>
      </c>
      <c r="AO32" t="s">
        <v>35</v>
      </c>
      <c r="AP32" t="s">
        <v>7</v>
      </c>
      <c r="AQ32" t="s">
        <v>9</v>
      </c>
      <c r="AR32" t="s">
        <v>7</v>
      </c>
      <c r="AS32" s="162" t="s">
        <v>7</v>
      </c>
      <c r="AT32" s="117" t="s">
        <v>7</v>
      </c>
      <c r="AU32" s="162" t="s">
        <v>7</v>
      </c>
      <c r="AV32" s="162" t="s">
        <v>7</v>
      </c>
      <c r="AW32" s="162" t="s">
        <v>9851</v>
      </c>
      <c r="AX32" s="162" t="s">
        <v>7</v>
      </c>
      <c r="AY32" s="162" t="s">
        <v>7</v>
      </c>
      <c r="AZ32" t="s">
        <v>7</v>
      </c>
      <c r="BA32" s="162" t="s">
        <v>7</v>
      </c>
      <c r="BB32" s="162" t="s">
        <v>7</v>
      </c>
      <c r="BC32" s="162" t="s">
        <v>7</v>
      </c>
      <c r="BD32" s="162" t="s">
        <v>7</v>
      </c>
      <c r="BE32" s="162" t="s">
        <v>7</v>
      </c>
      <c r="BF32" s="162" t="str">
        <f t="shared" si="0"/>
        <v>Sim</v>
      </c>
      <c r="BG32" s="162" t="str">
        <f t="shared" si="1"/>
        <v>Não</v>
      </c>
      <c r="BH32" s="162" t="s">
        <v>7</v>
      </c>
      <c r="BI32" t="s">
        <v>9870</v>
      </c>
      <c r="BJ32" s="162" t="s">
        <v>10164</v>
      </c>
      <c r="BK32" t="s">
        <v>10</v>
      </c>
      <c r="BL32" s="162">
        <v>20</v>
      </c>
      <c r="BM32" t="s">
        <v>35</v>
      </c>
      <c r="BN32" t="s">
        <v>35</v>
      </c>
      <c r="BO32" t="s">
        <v>10</v>
      </c>
      <c r="BP32" s="162">
        <v>20</v>
      </c>
      <c r="BQ32" t="s">
        <v>7</v>
      </c>
      <c r="BR32" t="s">
        <v>37</v>
      </c>
      <c r="BS32" s="162" t="s">
        <v>37</v>
      </c>
    </row>
    <row r="33" spans="1:71">
      <c r="A33" s="162">
        <v>32</v>
      </c>
      <c r="B33" t="s">
        <v>211</v>
      </c>
      <c r="C33" s="162">
        <v>1</v>
      </c>
      <c r="D33" s="122" t="s">
        <v>587</v>
      </c>
      <c r="E33" t="s">
        <v>656</v>
      </c>
      <c r="F33" t="s">
        <v>515</v>
      </c>
      <c r="G33" t="s">
        <v>214</v>
      </c>
      <c r="H33" t="s">
        <v>671</v>
      </c>
      <c r="I33" s="162">
        <v>1</v>
      </c>
      <c r="J33" t="s">
        <v>1855</v>
      </c>
      <c r="K33" t="s">
        <v>3</v>
      </c>
      <c r="L33" s="165">
        <v>34757</v>
      </c>
      <c r="M33" s="166">
        <v>22</v>
      </c>
      <c r="N33" t="s">
        <v>5</v>
      </c>
      <c r="O33" t="s">
        <v>10135</v>
      </c>
      <c r="P33" t="s">
        <v>1101</v>
      </c>
      <c r="Q33" t="s">
        <v>1734</v>
      </c>
      <c r="R33" t="s">
        <v>1735</v>
      </c>
      <c r="S33" s="162">
        <v>21.1</v>
      </c>
      <c r="T33">
        <v>0</v>
      </c>
      <c r="U33" s="162">
        <v>0</v>
      </c>
      <c r="V33">
        <v>0</v>
      </c>
      <c r="W33" s="162">
        <v>0</v>
      </c>
      <c r="X33">
        <v>0</v>
      </c>
      <c r="Y33" s="162">
        <v>0</v>
      </c>
      <c r="Z33">
        <v>0</v>
      </c>
      <c r="AA33" s="162">
        <v>0</v>
      </c>
      <c r="AB33">
        <v>0</v>
      </c>
      <c r="AC33" s="162" t="s">
        <v>7</v>
      </c>
      <c r="AD33" s="162" t="s">
        <v>7</v>
      </c>
      <c r="AE33" s="162" t="s">
        <v>7</v>
      </c>
      <c r="AF33" s="162" t="s">
        <v>7</v>
      </c>
      <c r="AG33" s="162" t="s">
        <v>7</v>
      </c>
      <c r="AH33" s="162" t="s">
        <v>7</v>
      </c>
      <c r="AI33" t="s">
        <v>9843</v>
      </c>
      <c r="AJ33" t="s">
        <v>7</v>
      </c>
      <c r="AK33" t="s">
        <v>1555</v>
      </c>
      <c r="AL33" t="s">
        <v>36</v>
      </c>
      <c r="AM33" s="162" t="s">
        <v>10138</v>
      </c>
      <c r="AN33" t="s">
        <v>9843</v>
      </c>
      <c r="AO33" t="s">
        <v>35</v>
      </c>
      <c r="AP33" t="s">
        <v>7</v>
      </c>
      <c r="AQ33" t="s">
        <v>9</v>
      </c>
      <c r="AR33" t="s">
        <v>7</v>
      </c>
      <c r="AS33" s="162" t="s">
        <v>7</v>
      </c>
      <c r="AT33" s="117" t="s">
        <v>7</v>
      </c>
      <c r="AU33" s="162" t="s">
        <v>7</v>
      </c>
      <c r="AV33" s="162" t="s">
        <v>7</v>
      </c>
      <c r="AW33" s="162" t="s">
        <v>9851</v>
      </c>
      <c r="AX33" s="162" t="s">
        <v>7</v>
      </c>
      <c r="AY33" s="162" t="s">
        <v>7</v>
      </c>
      <c r="AZ33" t="s">
        <v>7</v>
      </c>
      <c r="BA33" s="162" t="s">
        <v>7</v>
      </c>
      <c r="BB33" s="162" t="s">
        <v>7</v>
      </c>
      <c r="BC33" s="162" t="s">
        <v>7</v>
      </c>
      <c r="BD33" s="162" t="s">
        <v>7</v>
      </c>
      <c r="BE33" s="162" t="s">
        <v>7</v>
      </c>
      <c r="BF33" s="162" t="str">
        <f t="shared" si="0"/>
        <v>Sim</v>
      </c>
      <c r="BG33" s="162" t="str">
        <f t="shared" si="1"/>
        <v>Não</v>
      </c>
      <c r="BH33" s="162" t="s">
        <v>7</v>
      </c>
      <c r="BI33" t="s">
        <v>9870</v>
      </c>
      <c r="BJ33" s="162" t="s">
        <v>10164</v>
      </c>
      <c r="BK33" t="s">
        <v>10</v>
      </c>
      <c r="BL33" s="162">
        <v>20</v>
      </c>
      <c r="BM33" t="s">
        <v>35</v>
      </c>
      <c r="BN33" t="s">
        <v>35</v>
      </c>
      <c r="BO33" t="s">
        <v>10</v>
      </c>
      <c r="BP33" s="162">
        <v>20</v>
      </c>
      <c r="BQ33" t="s">
        <v>9851</v>
      </c>
      <c r="BR33" t="s">
        <v>35</v>
      </c>
      <c r="BS33" s="162" t="s">
        <v>35</v>
      </c>
    </row>
    <row r="34" spans="1:71">
      <c r="A34" s="162">
        <v>33</v>
      </c>
      <c r="B34" t="s">
        <v>229</v>
      </c>
      <c r="C34" s="162">
        <v>1</v>
      </c>
      <c r="D34" s="122" t="s">
        <v>683</v>
      </c>
      <c r="E34" t="s">
        <v>677</v>
      </c>
      <c r="F34" t="s">
        <v>515</v>
      </c>
      <c r="G34" t="s">
        <v>241</v>
      </c>
      <c r="H34" t="s">
        <v>684</v>
      </c>
      <c r="I34" s="162">
        <v>1</v>
      </c>
      <c r="J34" t="s">
        <v>1085</v>
      </c>
      <c r="K34" t="s">
        <v>3</v>
      </c>
      <c r="L34" s="165">
        <v>32802</v>
      </c>
      <c r="M34" s="166">
        <v>27</v>
      </c>
      <c r="N34" t="s">
        <v>1093</v>
      </c>
      <c r="O34" t="s">
        <v>10135</v>
      </c>
      <c r="P34" t="s">
        <v>48</v>
      </c>
      <c r="Q34" t="s">
        <v>1393</v>
      </c>
      <c r="R34" t="s">
        <v>9929</v>
      </c>
      <c r="S34" s="162">
        <v>18.3</v>
      </c>
      <c r="T34">
        <v>0</v>
      </c>
      <c r="U34" s="162">
        <v>0</v>
      </c>
      <c r="V34">
        <v>0</v>
      </c>
      <c r="W34" s="162">
        <v>0</v>
      </c>
      <c r="X34">
        <v>0</v>
      </c>
      <c r="Y34" s="162">
        <v>0</v>
      </c>
      <c r="Z34">
        <v>0</v>
      </c>
      <c r="AA34" s="162">
        <v>0</v>
      </c>
      <c r="AB34">
        <v>0</v>
      </c>
      <c r="AC34" s="162" t="s">
        <v>7</v>
      </c>
      <c r="AD34" s="162" t="s">
        <v>7</v>
      </c>
      <c r="AE34" s="162" t="s">
        <v>7</v>
      </c>
      <c r="AF34" s="162" t="s">
        <v>7</v>
      </c>
      <c r="AG34" s="162" t="s">
        <v>7</v>
      </c>
      <c r="AH34" s="162" t="s">
        <v>7</v>
      </c>
      <c r="AI34" t="s">
        <v>9843</v>
      </c>
      <c r="AJ34" t="s">
        <v>7</v>
      </c>
      <c r="AK34" t="s">
        <v>1673</v>
      </c>
      <c r="AL34" t="s">
        <v>36</v>
      </c>
      <c r="AM34" s="162" t="s">
        <v>10138</v>
      </c>
      <c r="AN34" t="s">
        <v>9843</v>
      </c>
      <c r="AO34" t="s">
        <v>35</v>
      </c>
      <c r="AP34" t="s">
        <v>7</v>
      </c>
      <c r="AQ34" t="s">
        <v>9</v>
      </c>
      <c r="AR34" t="s">
        <v>7</v>
      </c>
      <c r="AS34" s="162" t="s">
        <v>7</v>
      </c>
      <c r="AT34" s="117" t="s">
        <v>7</v>
      </c>
      <c r="AU34" s="162" t="s">
        <v>7</v>
      </c>
      <c r="AV34" s="162" t="s">
        <v>7</v>
      </c>
      <c r="AW34" s="162" t="s">
        <v>9851</v>
      </c>
      <c r="AX34" s="162" t="s">
        <v>7</v>
      </c>
      <c r="AY34" s="162" t="s">
        <v>7</v>
      </c>
      <c r="AZ34" t="s">
        <v>7</v>
      </c>
      <c r="BA34" s="162" t="s">
        <v>7</v>
      </c>
      <c r="BB34" s="162" t="s">
        <v>7</v>
      </c>
      <c r="BC34" s="162" t="s">
        <v>7</v>
      </c>
      <c r="BD34" s="162" t="s">
        <v>7</v>
      </c>
      <c r="BE34" s="162" t="s">
        <v>7</v>
      </c>
      <c r="BF34" s="162" t="str">
        <f t="shared" si="0"/>
        <v>Sim</v>
      </c>
      <c r="BG34" s="162" t="str">
        <f t="shared" si="1"/>
        <v>Não</v>
      </c>
      <c r="BH34" s="162" t="s">
        <v>7</v>
      </c>
      <c r="BI34" t="s">
        <v>9870</v>
      </c>
      <c r="BJ34" s="162" t="s">
        <v>10164</v>
      </c>
      <c r="BK34" t="s">
        <v>10</v>
      </c>
      <c r="BL34" s="162">
        <v>20</v>
      </c>
      <c r="BM34" t="s">
        <v>35</v>
      </c>
      <c r="BN34" t="s">
        <v>35</v>
      </c>
      <c r="BO34" t="s">
        <v>10</v>
      </c>
      <c r="BP34" s="162">
        <v>20</v>
      </c>
      <c r="BQ34" t="s">
        <v>7</v>
      </c>
      <c r="BR34" t="s">
        <v>1849</v>
      </c>
      <c r="BS34" s="162" t="s">
        <v>10170</v>
      </c>
    </row>
    <row r="35" spans="1:71">
      <c r="A35" s="162">
        <v>34</v>
      </c>
      <c r="B35" t="s">
        <v>332</v>
      </c>
      <c r="C35" s="162">
        <v>1</v>
      </c>
      <c r="D35" s="122">
        <v>42937</v>
      </c>
      <c r="E35" t="s">
        <v>847</v>
      </c>
      <c r="F35" t="s">
        <v>515</v>
      </c>
      <c r="G35" t="s">
        <v>335</v>
      </c>
      <c r="H35" t="s">
        <v>1895</v>
      </c>
      <c r="I35" s="162">
        <v>1</v>
      </c>
      <c r="J35" t="s">
        <v>1855</v>
      </c>
      <c r="K35" t="s">
        <v>515</v>
      </c>
      <c r="L35" s="165">
        <v>35074</v>
      </c>
      <c r="M35" s="166">
        <v>21</v>
      </c>
      <c r="N35" t="s">
        <v>5</v>
      </c>
      <c r="O35" t="s">
        <v>10135</v>
      </c>
      <c r="P35" t="s">
        <v>18</v>
      </c>
      <c r="Q35" t="s">
        <v>1976</v>
      </c>
      <c r="R35" t="s">
        <v>1982</v>
      </c>
      <c r="S35" s="162">
        <v>106.1</v>
      </c>
      <c r="T35">
        <v>0</v>
      </c>
      <c r="U35" s="162">
        <v>0</v>
      </c>
      <c r="V35">
        <v>0</v>
      </c>
      <c r="W35" s="162">
        <v>0</v>
      </c>
      <c r="X35">
        <v>0</v>
      </c>
      <c r="Y35" s="162">
        <v>0</v>
      </c>
      <c r="Z35">
        <v>0</v>
      </c>
      <c r="AA35" s="162">
        <v>0</v>
      </c>
      <c r="AB35">
        <v>0</v>
      </c>
      <c r="AC35" s="162" t="s">
        <v>7</v>
      </c>
      <c r="AD35" s="162" t="s">
        <v>7</v>
      </c>
      <c r="AE35" s="162" t="s">
        <v>7</v>
      </c>
      <c r="AF35" s="162" t="s">
        <v>7</v>
      </c>
      <c r="AG35" s="162" t="s">
        <v>7</v>
      </c>
      <c r="AH35" s="162" t="s">
        <v>7</v>
      </c>
      <c r="AI35" t="s">
        <v>9843</v>
      </c>
      <c r="AJ35" t="s">
        <v>7</v>
      </c>
      <c r="AK35" t="s">
        <v>1218</v>
      </c>
      <c r="AL35" t="s">
        <v>36</v>
      </c>
      <c r="AM35" s="162" t="s">
        <v>10138</v>
      </c>
      <c r="AN35" t="s">
        <v>9843</v>
      </c>
      <c r="AO35" t="s">
        <v>35</v>
      </c>
      <c r="AP35" t="s">
        <v>7</v>
      </c>
      <c r="AQ35" t="s">
        <v>9</v>
      </c>
      <c r="AR35" t="s">
        <v>7</v>
      </c>
      <c r="AS35" s="162" t="s">
        <v>7</v>
      </c>
      <c r="AT35" s="117" t="s">
        <v>7</v>
      </c>
      <c r="AU35" s="162" t="s">
        <v>7</v>
      </c>
      <c r="AV35" s="162" t="s">
        <v>7</v>
      </c>
      <c r="AW35" s="162" t="s">
        <v>9851</v>
      </c>
      <c r="AX35" s="162" t="s">
        <v>7</v>
      </c>
      <c r="AY35" s="162" t="s">
        <v>7</v>
      </c>
      <c r="AZ35" t="s">
        <v>7</v>
      </c>
      <c r="BA35" s="162" t="s">
        <v>7</v>
      </c>
      <c r="BB35" s="162" t="s">
        <v>7</v>
      </c>
      <c r="BC35" s="162" t="s">
        <v>7</v>
      </c>
      <c r="BD35" s="162" t="s">
        <v>7</v>
      </c>
      <c r="BE35" s="162" t="s">
        <v>7</v>
      </c>
      <c r="BF35" s="162" t="str">
        <f t="shared" si="0"/>
        <v>Sim</v>
      </c>
      <c r="BG35" s="162" t="str">
        <f t="shared" si="1"/>
        <v>Não</v>
      </c>
      <c r="BH35" s="162" t="s">
        <v>7</v>
      </c>
      <c r="BI35" t="s">
        <v>9870</v>
      </c>
      <c r="BJ35" s="162" t="s">
        <v>10164</v>
      </c>
      <c r="BK35" t="s">
        <v>10</v>
      </c>
      <c r="BL35" s="162">
        <v>20</v>
      </c>
      <c r="BM35" t="s">
        <v>35</v>
      </c>
      <c r="BN35" t="s">
        <v>35</v>
      </c>
      <c r="BO35" t="s">
        <v>10</v>
      </c>
      <c r="BP35" s="162">
        <v>20</v>
      </c>
      <c r="BQ35" t="s">
        <v>9851</v>
      </c>
      <c r="BR35" t="s">
        <v>35</v>
      </c>
      <c r="BS35" s="162" t="s">
        <v>35</v>
      </c>
    </row>
    <row r="36" spans="1:71">
      <c r="A36" s="162">
        <v>35</v>
      </c>
      <c r="B36" t="s">
        <v>398</v>
      </c>
      <c r="C36" s="162">
        <v>1</v>
      </c>
      <c r="D36" s="122" t="s">
        <v>843</v>
      </c>
      <c r="E36" t="s">
        <v>919</v>
      </c>
      <c r="F36" t="s">
        <v>3</v>
      </c>
      <c r="G36" t="s">
        <v>411</v>
      </c>
      <c r="H36" t="s">
        <v>928</v>
      </c>
      <c r="I36" s="162">
        <v>1</v>
      </c>
      <c r="J36" t="s">
        <v>1855</v>
      </c>
      <c r="K36" t="s">
        <v>3</v>
      </c>
      <c r="L36" s="165">
        <v>34902</v>
      </c>
      <c r="M36" s="166">
        <v>21</v>
      </c>
      <c r="N36" t="s">
        <v>4</v>
      </c>
      <c r="O36" t="s">
        <v>10134</v>
      </c>
      <c r="P36" t="s">
        <v>41</v>
      </c>
      <c r="Q36" t="s">
        <v>1143</v>
      </c>
      <c r="R36">
        <v>0</v>
      </c>
      <c r="S36" s="162">
        <v>0</v>
      </c>
      <c r="T36" t="s">
        <v>1147</v>
      </c>
      <c r="U36" s="162">
        <v>7.3</v>
      </c>
      <c r="V36">
        <v>0</v>
      </c>
      <c r="W36" s="162">
        <v>0</v>
      </c>
      <c r="X36">
        <v>0</v>
      </c>
      <c r="Y36" s="162">
        <v>0</v>
      </c>
      <c r="Z36">
        <v>0</v>
      </c>
      <c r="AA36" s="162">
        <v>0</v>
      </c>
      <c r="AB36">
        <v>0</v>
      </c>
      <c r="AC36" s="162" t="s">
        <v>7</v>
      </c>
      <c r="AD36" s="162" t="s">
        <v>7</v>
      </c>
      <c r="AE36" s="162" t="s">
        <v>7</v>
      </c>
      <c r="AF36" s="162" t="s">
        <v>7</v>
      </c>
      <c r="AG36" s="162" t="s">
        <v>7</v>
      </c>
      <c r="AH36" s="162" t="s">
        <v>7</v>
      </c>
      <c r="AI36" t="s">
        <v>9843</v>
      </c>
      <c r="AJ36" t="s">
        <v>7</v>
      </c>
      <c r="AK36" t="s">
        <v>1975</v>
      </c>
      <c r="AL36" t="s">
        <v>36</v>
      </c>
      <c r="AM36" s="162" t="s">
        <v>10138</v>
      </c>
      <c r="AN36" t="s">
        <v>9843</v>
      </c>
      <c r="AO36" t="s">
        <v>35</v>
      </c>
      <c r="AP36" t="s">
        <v>7</v>
      </c>
      <c r="AQ36" t="s">
        <v>9</v>
      </c>
      <c r="AR36" t="s">
        <v>7</v>
      </c>
      <c r="AS36" s="162" t="s">
        <v>7</v>
      </c>
      <c r="AT36" s="117" t="s">
        <v>7</v>
      </c>
      <c r="AU36" s="162" t="s">
        <v>7</v>
      </c>
      <c r="AV36" s="162" t="s">
        <v>7</v>
      </c>
      <c r="AW36" s="162" t="s">
        <v>9851</v>
      </c>
      <c r="AX36" s="162" t="s">
        <v>7</v>
      </c>
      <c r="AY36" s="162" t="s">
        <v>7</v>
      </c>
      <c r="AZ36" t="s">
        <v>7</v>
      </c>
      <c r="BA36" s="162" t="s">
        <v>7</v>
      </c>
      <c r="BB36" s="162" t="s">
        <v>7</v>
      </c>
      <c r="BC36" s="162" t="s">
        <v>7</v>
      </c>
      <c r="BD36" s="162" t="s">
        <v>7</v>
      </c>
      <c r="BE36" s="162" t="s">
        <v>7</v>
      </c>
      <c r="BF36" s="162" t="str">
        <f t="shared" si="0"/>
        <v>Sim</v>
      </c>
      <c r="BG36" s="162" t="str">
        <f t="shared" si="1"/>
        <v>Não</v>
      </c>
      <c r="BH36" s="162" t="s">
        <v>7</v>
      </c>
      <c r="BI36" t="s">
        <v>9870</v>
      </c>
      <c r="BJ36" s="162" t="s">
        <v>10164</v>
      </c>
      <c r="BK36" t="s">
        <v>10</v>
      </c>
      <c r="BL36" s="162">
        <v>20</v>
      </c>
      <c r="BM36" t="s">
        <v>35</v>
      </c>
      <c r="BN36" t="s">
        <v>35</v>
      </c>
      <c r="BO36" t="s">
        <v>10</v>
      </c>
      <c r="BP36" s="162">
        <v>20</v>
      </c>
      <c r="BQ36" t="s">
        <v>9851</v>
      </c>
      <c r="BR36" t="s">
        <v>35</v>
      </c>
      <c r="BS36" s="162" t="s">
        <v>35</v>
      </c>
    </row>
    <row r="37" spans="1:71">
      <c r="A37" s="162">
        <v>36</v>
      </c>
      <c r="B37" t="s">
        <v>438</v>
      </c>
      <c r="C37" s="162">
        <v>1</v>
      </c>
      <c r="D37" s="122" t="s">
        <v>1024</v>
      </c>
      <c r="E37" t="s">
        <v>1018</v>
      </c>
      <c r="F37" t="s">
        <v>3</v>
      </c>
      <c r="G37" t="s">
        <v>443</v>
      </c>
      <c r="H37" t="s">
        <v>1025</v>
      </c>
      <c r="I37" s="162">
        <v>1</v>
      </c>
      <c r="J37" t="s">
        <v>1855</v>
      </c>
      <c r="K37" t="s">
        <v>3</v>
      </c>
      <c r="L37" s="165">
        <v>35345</v>
      </c>
      <c r="M37" s="166">
        <v>20</v>
      </c>
      <c r="N37" t="s">
        <v>5</v>
      </c>
      <c r="O37" t="s">
        <v>10135</v>
      </c>
      <c r="P37" t="s">
        <v>1101</v>
      </c>
      <c r="Q37" t="s">
        <v>1429</v>
      </c>
      <c r="R37">
        <v>0</v>
      </c>
      <c r="S37" s="162">
        <v>0</v>
      </c>
      <c r="T37" t="s">
        <v>1427</v>
      </c>
      <c r="U37" s="162">
        <v>44.3</v>
      </c>
      <c r="V37">
        <v>0</v>
      </c>
      <c r="W37" s="162">
        <v>0</v>
      </c>
      <c r="X37">
        <v>0</v>
      </c>
      <c r="Y37" s="162">
        <v>0</v>
      </c>
      <c r="Z37">
        <v>0</v>
      </c>
      <c r="AA37" s="162">
        <v>0</v>
      </c>
      <c r="AB37">
        <v>0</v>
      </c>
      <c r="AC37" s="162" t="s">
        <v>7</v>
      </c>
      <c r="AD37" s="162" t="s">
        <v>7</v>
      </c>
      <c r="AE37" s="162" t="s">
        <v>7</v>
      </c>
      <c r="AF37" s="162" t="s">
        <v>7</v>
      </c>
      <c r="AG37" s="162" t="s">
        <v>7</v>
      </c>
      <c r="AH37" s="162" t="s">
        <v>7</v>
      </c>
      <c r="AI37" t="s">
        <v>9846</v>
      </c>
      <c r="AJ37" t="s">
        <v>7</v>
      </c>
      <c r="AK37" t="s">
        <v>1428</v>
      </c>
      <c r="AL37" t="s">
        <v>78</v>
      </c>
      <c r="AM37" s="162" t="s">
        <v>10138</v>
      </c>
      <c r="AN37" t="s">
        <v>9843</v>
      </c>
      <c r="AO37" t="s">
        <v>35</v>
      </c>
      <c r="AP37" t="s">
        <v>7</v>
      </c>
      <c r="AQ37" t="s">
        <v>9</v>
      </c>
      <c r="AR37" t="s">
        <v>7</v>
      </c>
      <c r="AS37" s="162" t="s">
        <v>7</v>
      </c>
      <c r="AT37" s="117" t="s">
        <v>7</v>
      </c>
      <c r="AU37" s="162" t="s">
        <v>7</v>
      </c>
      <c r="AV37" s="162" t="s">
        <v>7</v>
      </c>
      <c r="AW37" s="162" t="s">
        <v>9851</v>
      </c>
      <c r="AX37" s="162" t="s">
        <v>7</v>
      </c>
      <c r="AY37" s="162" t="s">
        <v>7</v>
      </c>
      <c r="AZ37" t="s">
        <v>7</v>
      </c>
      <c r="BA37" s="162" t="s">
        <v>7</v>
      </c>
      <c r="BB37" s="162" t="s">
        <v>7</v>
      </c>
      <c r="BC37" s="162" t="s">
        <v>7</v>
      </c>
      <c r="BD37" s="162" t="s">
        <v>7</v>
      </c>
      <c r="BE37" s="162" t="s">
        <v>7</v>
      </c>
      <c r="BF37" s="162" t="str">
        <f t="shared" si="0"/>
        <v>Sim</v>
      </c>
      <c r="BG37" s="162" t="str">
        <f t="shared" si="1"/>
        <v>Não</v>
      </c>
      <c r="BH37" s="162" t="s">
        <v>7</v>
      </c>
      <c r="BI37" t="s">
        <v>9870</v>
      </c>
      <c r="BJ37" s="162" t="s">
        <v>10164</v>
      </c>
      <c r="BK37" t="s">
        <v>10</v>
      </c>
      <c r="BL37" s="162">
        <v>20</v>
      </c>
      <c r="BM37" t="s">
        <v>35</v>
      </c>
      <c r="BN37" t="s">
        <v>35</v>
      </c>
      <c r="BO37" t="s">
        <v>10</v>
      </c>
      <c r="BP37" s="162">
        <v>20</v>
      </c>
      <c r="BQ37" t="s">
        <v>7</v>
      </c>
      <c r="BR37" t="s">
        <v>37</v>
      </c>
      <c r="BS37" s="162" t="s">
        <v>37</v>
      </c>
    </row>
    <row r="38" spans="1:71">
      <c r="A38" s="162">
        <v>37</v>
      </c>
      <c r="B38" t="s">
        <v>438</v>
      </c>
      <c r="C38" s="162">
        <v>0</v>
      </c>
      <c r="D38" s="122" t="s">
        <v>1024</v>
      </c>
      <c r="E38" t="s">
        <v>1018</v>
      </c>
      <c r="F38" t="s">
        <v>3</v>
      </c>
      <c r="G38" t="s">
        <v>443</v>
      </c>
      <c r="H38" t="s">
        <v>1026</v>
      </c>
      <c r="I38" s="162">
        <v>1</v>
      </c>
      <c r="J38" t="s">
        <v>1855</v>
      </c>
      <c r="K38" t="s">
        <v>515</v>
      </c>
      <c r="L38" s="165">
        <v>34211</v>
      </c>
      <c r="M38" s="166">
        <v>23</v>
      </c>
      <c r="N38" t="s">
        <v>4</v>
      </c>
      <c r="O38" t="s">
        <v>10134</v>
      </c>
      <c r="P38" t="s">
        <v>41</v>
      </c>
      <c r="Q38" t="s">
        <v>1429</v>
      </c>
      <c r="R38">
        <v>0</v>
      </c>
      <c r="S38" s="162">
        <v>0</v>
      </c>
      <c r="T38" t="s">
        <v>1427</v>
      </c>
      <c r="U38" s="162">
        <v>44.3</v>
      </c>
      <c r="V38">
        <v>0</v>
      </c>
      <c r="W38" s="162">
        <v>0</v>
      </c>
      <c r="X38">
        <v>0</v>
      </c>
      <c r="Y38" s="162">
        <v>0</v>
      </c>
      <c r="Z38">
        <v>0</v>
      </c>
      <c r="AA38" s="162">
        <v>0</v>
      </c>
      <c r="AB38">
        <v>0</v>
      </c>
      <c r="AC38" s="162" t="s">
        <v>7</v>
      </c>
      <c r="AD38" s="162" t="s">
        <v>7</v>
      </c>
      <c r="AE38" s="162" t="s">
        <v>7</v>
      </c>
      <c r="AF38" s="162" t="s">
        <v>7</v>
      </c>
      <c r="AG38" s="162" t="s">
        <v>7</v>
      </c>
      <c r="AH38" s="162" t="s">
        <v>7</v>
      </c>
      <c r="AI38" t="s">
        <v>9846</v>
      </c>
      <c r="AJ38" t="s">
        <v>7</v>
      </c>
      <c r="AK38" t="s">
        <v>1428</v>
      </c>
      <c r="AL38" t="s">
        <v>78</v>
      </c>
      <c r="AM38" s="162" t="s">
        <v>10138</v>
      </c>
      <c r="AN38" t="s">
        <v>9843</v>
      </c>
      <c r="AO38" t="s">
        <v>35</v>
      </c>
      <c r="AP38" t="s">
        <v>7</v>
      </c>
      <c r="AQ38" t="s">
        <v>9</v>
      </c>
      <c r="AR38" t="s">
        <v>7</v>
      </c>
      <c r="AS38" s="162" t="s">
        <v>7</v>
      </c>
      <c r="AT38" s="117" t="s">
        <v>7</v>
      </c>
      <c r="AU38" s="162" t="s">
        <v>7</v>
      </c>
      <c r="AV38" s="162" t="s">
        <v>7</v>
      </c>
      <c r="AW38" s="162" t="s">
        <v>9851</v>
      </c>
      <c r="AX38" s="162" t="s">
        <v>7</v>
      </c>
      <c r="AY38" s="162" t="s">
        <v>7</v>
      </c>
      <c r="AZ38" t="s">
        <v>7</v>
      </c>
      <c r="BA38" s="162" t="s">
        <v>7</v>
      </c>
      <c r="BB38" s="162" t="s">
        <v>7</v>
      </c>
      <c r="BC38" s="162" t="s">
        <v>7</v>
      </c>
      <c r="BD38" s="162" t="s">
        <v>7</v>
      </c>
      <c r="BE38" s="162" t="s">
        <v>7</v>
      </c>
      <c r="BF38" s="162" t="str">
        <f t="shared" si="0"/>
        <v>Sim</v>
      </c>
      <c r="BG38" s="162" t="str">
        <f t="shared" si="1"/>
        <v>Não</v>
      </c>
      <c r="BH38" s="162" t="s">
        <v>7</v>
      </c>
      <c r="BI38" t="s">
        <v>9870</v>
      </c>
      <c r="BJ38" s="162" t="s">
        <v>10164</v>
      </c>
      <c r="BK38" t="s">
        <v>10</v>
      </c>
      <c r="BL38" s="162">
        <v>20</v>
      </c>
      <c r="BM38" t="s">
        <v>35</v>
      </c>
      <c r="BN38" t="s">
        <v>35</v>
      </c>
      <c r="BO38" t="s">
        <v>10</v>
      </c>
      <c r="BP38" s="162">
        <v>20</v>
      </c>
      <c r="BQ38" t="s">
        <v>7</v>
      </c>
      <c r="BR38" t="s">
        <v>37</v>
      </c>
      <c r="BS38" s="162" t="s">
        <v>37</v>
      </c>
    </row>
    <row r="39" spans="1:71">
      <c r="A39" s="162">
        <v>38</v>
      </c>
      <c r="B39" t="s">
        <v>442</v>
      </c>
      <c r="C39" s="162">
        <v>1</v>
      </c>
      <c r="D39" s="122" t="s">
        <v>674</v>
      </c>
      <c r="E39" t="s">
        <v>1018</v>
      </c>
      <c r="F39" t="s">
        <v>3</v>
      </c>
      <c r="G39" t="s">
        <v>443</v>
      </c>
      <c r="H39" t="s">
        <v>1032</v>
      </c>
      <c r="I39" s="162">
        <v>1</v>
      </c>
      <c r="J39" t="s">
        <v>1598</v>
      </c>
      <c r="K39" t="s">
        <v>3</v>
      </c>
      <c r="L39" s="165">
        <v>32199</v>
      </c>
      <c r="M39" s="166">
        <v>29</v>
      </c>
      <c r="N39" t="s">
        <v>5</v>
      </c>
      <c r="O39" t="s">
        <v>10135</v>
      </c>
      <c r="P39" t="s">
        <v>1101</v>
      </c>
      <c r="Q39" t="s">
        <v>1432</v>
      </c>
      <c r="R39" t="s">
        <v>1434</v>
      </c>
      <c r="S39" s="162">
        <v>44.6</v>
      </c>
      <c r="T39" t="s">
        <v>1433</v>
      </c>
      <c r="U39" s="162">
        <v>6.2</v>
      </c>
      <c r="V39">
        <v>0</v>
      </c>
      <c r="W39" s="162">
        <v>0</v>
      </c>
      <c r="X39">
        <v>0</v>
      </c>
      <c r="Y39" s="162">
        <v>0</v>
      </c>
      <c r="Z39">
        <v>0</v>
      </c>
      <c r="AA39" s="162">
        <v>0</v>
      </c>
      <c r="AB39">
        <v>0</v>
      </c>
      <c r="AC39" s="162" t="s">
        <v>7</v>
      </c>
      <c r="AD39" s="162" t="s">
        <v>7</v>
      </c>
      <c r="AE39" s="162" t="s">
        <v>7</v>
      </c>
      <c r="AF39" s="162" t="s">
        <v>7</v>
      </c>
      <c r="AG39" s="162" t="s">
        <v>7</v>
      </c>
      <c r="AH39" s="162" t="s">
        <v>7</v>
      </c>
      <c r="AI39" t="s">
        <v>9843</v>
      </c>
      <c r="AJ39" t="s">
        <v>7</v>
      </c>
      <c r="AK39" t="s">
        <v>1435</v>
      </c>
      <c r="AL39" t="s">
        <v>36</v>
      </c>
      <c r="AM39" s="162" t="s">
        <v>10138</v>
      </c>
      <c r="AN39" t="s">
        <v>9843</v>
      </c>
      <c r="AO39" t="s">
        <v>35</v>
      </c>
      <c r="AP39" t="s">
        <v>1199</v>
      </c>
      <c r="AQ39" t="s">
        <v>1069</v>
      </c>
      <c r="AR39" t="s">
        <v>7</v>
      </c>
      <c r="AS39" s="162" t="s">
        <v>7</v>
      </c>
      <c r="AT39" s="117" t="s">
        <v>1111</v>
      </c>
      <c r="AU39" s="162" t="s">
        <v>9851</v>
      </c>
      <c r="AV39" s="162" t="s">
        <v>7</v>
      </c>
      <c r="AW39" s="162" t="s">
        <v>7</v>
      </c>
      <c r="AX39" s="162" t="s">
        <v>7</v>
      </c>
      <c r="AY39" s="162" t="s">
        <v>9851</v>
      </c>
      <c r="AZ39" t="s">
        <v>7</v>
      </c>
      <c r="BA39" s="162" t="s">
        <v>7</v>
      </c>
      <c r="BB39" s="162" t="s">
        <v>7</v>
      </c>
      <c r="BC39" s="162" t="s">
        <v>7</v>
      </c>
      <c r="BD39" s="162" t="s">
        <v>7</v>
      </c>
      <c r="BE39" s="162" t="s">
        <v>7</v>
      </c>
      <c r="BF39" s="162" t="str">
        <f t="shared" si="0"/>
        <v>Sim</v>
      </c>
      <c r="BG39" s="162" t="str">
        <f t="shared" si="1"/>
        <v>Não</v>
      </c>
      <c r="BH39" s="162" t="s">
        <v>7</v>
      </c>
      <c r="BI39" t="s">
        <v>9870</v>
      </c>
      <c r="BJ39" s="162" t="s">
        <v>10164</v>
      </c>
      <c r="BK39" t="s">
        <v>10</v>
      </c>
      <c r="BL39" s="162">
        <v>20</v>
      </c>
      <c r="BM39" t="s">
        <v>35</v>
      </c>
      <c r="BN39" t="s">
        <v>35</v>
      </c>
      <c r="BO39" t="s">
        <v>10</v>
      </c>
      <c r="BP39" s="162">
        <v>20</v>
      </c>
      <c r="BQ39" t="s">
        <v>7</v>
      </c>
      <c r="BR39" t="s">
        <v>37</v>
      </c>
      <c r="BS39" s="162" t="s">
        <v>37</v>
      </c>
    </row>
    <row r="40" spans="1:71">
      <c r="A40" s="162">
        <v>39</v>
      </c>
      <c r="B40" t="s">
        <v>391</v>
      </c>
      <c r="C40" s="162">
        <v>1</v>
      </c>
      <c r="D40" s="122" t="s">
        <v>857</v>
      </c>
      <c r="E40" t="s">
        <v>898</v>
      </c>
      <c r="F40" t="s">
        <v>3</v>
      </c>
      <c r="G40" t="s">
        <v>392</v>
      </c>
      <c r="H40" t="s">
        <v>917</v>
      </c>
      <c r="I40" s="162">
        <v>1</v>
      </c>
      <c r="J40" t="s">
        <v>1855</v>
      </c>
      <c r="K40" t="s">
        <v>3</v>
      </c>
      <c r="L40" s="165">
        <v>35904</v>
      </c>
      <c r="M40" s="166">
        <v>19</v>
      </c>
      <c r="N40" t="s">
        <v>4</v>
      </c>
      <c r="O40" t="s">
        <v>10134</v>
      </c>
      <c r="P40" t="s">
        <v>48</v>
      </c>
      <c r="Q40" t="s">
        <v>1841</v>
      </c>
      <c r="R40" t="s">
        <v>1843</v>
      </c>
      <c r="S40" s="162">
        <v>16.7</v>
      </c>
      <c r="T40" t="s">
        <v>1842</v>
      </c>
      <c r="U40" s="162">
        <v>8.1</v>
      </c>
      <c r="V40">
        <v>0</v>
      </c>
      <c r="W40" s="162">
        <v>0</v>
      </c>
      <c r="X40">
        <v>0</v>
      </c>
      <c r="Y40" s="162">
        <v>0</v>
      </c>
      <c r="Z40">
        <v>0</v>
      </c>
      <c r="AA40" s="162">
        <v>0</v>
      </c>
      <c r="AB40">
        <v>0</v>
      </c>
      <c r="AC40" s="162" t="s">
        <v>7</v>
      </c>
      <c r="AD40" s="162" t="s">
        <v>7</v>
      </c>
      <c r="AE40" s="162" t="s">
        <v>7</v>
      </c>
      <c r="AF40" s="162" t="s">
        <v>7</v>
      </c>
      <c r="AG40" s="162" t="s">
        <v>7</v>
      </c>
      <c r="AH40" s="162" t="s">
        <v>7</v>
      </c>
      <c r="AI40" t="s">
        <v>9843</v>
      </c>
      <c r="AJ40" t="s">
        <v>7</v>
      </c>
      <c r="AK40" t="s">
        <v>1844</v>
      </c>
      <c r="AL40" t="s">
        <v>36</v>
      </c>
      <c r="AM40" s="162" t="s">
        <v>10138</v>
      </c>
      <c r="AN40" t="s">
        <v>9843</v>
      </c>
      <c r="AO40" t="s">
        <v>35</v>
      </c>
      <c r="AP40" t="s">
        <v>7</v>
      </c>
      <c r="AQ40" t="s">
        <v>9</v>
      </c>
      <c r="AR40" t="s">
        <v>7</v>
      </c>
      <c r="AS40" s="162" t="s">
        <v>7</v>
      </c>
      <c r="AT40" s="117" t="s">
        <v>7</v>
      </c>
      <c r="AU40" s="162" t="s">
        <v>7</v>
      </c>
      <c r="AV40" s="162" t="s">
        <v>7</v>
      </c>
      <c r="AW40" s="162" t="s">
        <v>9851</v>
      </c>
      <c r="AX40" s="162" t="s">
        <v>7</v>
      </c>
      <c r="AY40" s="162" t="s">
        <v>7</v>
      </c>
      <c r="AZ40" t="s">
        <v>7</v>
      </c>
      <c r="BA40" s="162" t="s">
        <v>7</v>
      </c>
      <c r="BB40" s="162" t="s">
        <v>7</v>
      </c>
      <c r="BC40" s="162" t="s">
        <v>7</v>
      </c>
      <c r="BD40" s="162" t="s">
        <v>7</v>
      </c>
      <c r="BE40" s="162" t="s">
        <v>7</v>
      </c>
      <c r="BF40" s="162" t="str">
        <f t="shared" si="0"/>
        <v>Sim</v>
      </c>
      <c r="BG40" s="162" t="str">
        <f t="shared" si="1"/>
        <v>Não</v>
      </c>
      <c r="BH40" s="162" t="s">
        <v>7</v>
      </c>
      <c r="BI40" t="s">
        <v>9870</v>
      </c>
      <c r="BJ40" s="162" t="s">
        <v>10164</v>
      </c>
      <c r="BK40" t="s">
        <v>10</v>
      </c>
      <c r="BL40" s="162">
        <v>20</v>
      </c>
      <c r="BM40" t="s">
        <v>35</v>
      </c>
      <c r="BN40" t="s">
        <v>35</v>
      </c>
      <c r="BO40" t="s">
        <v>10</v>
      </c>
      <c r="BP40" s="162">
        <v>20</v>
      </c>
      <c r="BQ40" t="s">
        <v>7</v>
      </c>
      <c r="BR40" t="s">
        <v>37</v>
      </c>
      <c r="BS40" s="162" t="s">
        <v>37</v>
      </c>
    </row>
    <row r="41" spans="1:71">
      <c r="A41" s="162">
        <v>40</v>
      </c>
      <c r="B41" t="s">
        <v>230</v>
      </c>
      <c r="C41" s="162">
        <v>0</v>
      </c>
      <c r="D41" s="122" t="s">
        <v>685</v>
      </c>
      <c r="E41" t="s">
        <v>677</v>
      </c>
      <c r="F41" t="s">
        <v>515</v>
      </c>
      <c r="G41" t="s">
        <v>241</v>
      </c>
      <c r="H41" t="s">
        <v>687</v>
      </c>
      <c r="I41" s="162">
        <v>1</v>
      </c>
      <c r="J41" t="s">
        <v>1855</v>
      </c>
      <c r="K41" t="s">
        <v>3</v>
      </c>
      <c r="L41" s="165">
        <v>36055</v>
      </c>
      <c r="M41" s="166">
        <v>19</v>
      </c>
      <c r="N41" t="s">
        <v>4</v>
      </c>
      <c r="O41" t="s">
        <v>10134</v>
      </c>
      <c r="P41" t="s">
        <v>77</v>
      </c>
      <c r="Q41" t="s">
        <v>1432</v>
      </c>
      <c r="R41" t="s">
        <v>1674</v>
      </c>
      <c r="S41" s="162">
        <v>6.6</v>
      </c>
      <c r="T41" t="s">
        <v>1675</v>
      </c>
      <c r="U41" s="162">
        <v>95.1</v>
      </c>
      <c r="V41">
        <v>0</v>
      </c>
      <c r="W41" s="162">
        <v>0</v>
      </c>
      <c r="X41">
        <v>0</v>
      </c>
      <c r="Y41" s="162">
        <v>0</v>
      </c>
      <c r="Z41">
        <v>0</v>
      </c>
      <c r="AA41" s="162">
        <v>0</v>
      </c>
      <c r="AB41" t="s">
        <v>9957</v>
      </c>
      <c r="AC41" s="162" t="s">
        <v>7</v>
      </c>
      <c r="AD41" s="162" t="s">
        <v>7</v>
      </c>
      <c r="AE41" s="162" t="s">
        <v>7</v>
      </c>
      <c r="AF41" s="162" t="s">
        <v>7</v>
      </c>
      <c r="AG41" s="162" t="s">
        <v>9851</v>
      </c>
      <c r="AH41" s="162" t="s">
        <v>7</v>
      </c>
      <c r="AI41" t="s">
        <v>9846</v>
      </c>
      <c r="AJ41" t="s">
        <v>7</v>
      </c>
      <c r="AK41" t="s">
        <v>1676</v>
      </c>
      <c r="AL41" t="s">
        <v>78</v>
      </c>
      <c r="AM41" s="162" t="s">
        <v>10138</v>
      </c>
      <c r="AN41" t="s">
        <v>9843</v>
      </c>
      <c r="AO41" t="s">
        <v>35</v>
      </c>
      <c r="AP41" t="s">
        <v>1214</v>
      </c>
      <c r="AQ41" t="s">
        <v>1100</v>
      </c>
      <c r="AR41" t="s">
        <v>7</v>
      </c>
      <c r="AS41" s="162" t="s">
        <v>7</v>
      </c>
      <c r="AT41" s="117" t="s">
        <v>1677</v>
      </c>
      <c r="AU41" s="162" t="s">
        <v>9851</v>
      </c>
      <c r="AV41" s="162" t="s">
        <v>9851</v>
      </c>
      <c r="AW41" s="162" t="s">
        <v>7</v>
      </c>
      <c r="AX41" s="162" t="s">
        <v>7</v>
      </c>
      <c r="AY41" s="162" t="s">
        <v>9851</v>
      </c>
      <c r="AZ41" t="s">
        <v>7</v>
      </c>
      <c r="BA41" s="162" t="s">
        <v>7</v>
      </c>
      <c r="BB41" s="162" t="s">
        <v>7</v>
      </c>
      <c r="BC41" s="162" t="s">
        <v>7</v>
      </c>
      <c r="BD41" s="162" t="s">
        <v>7</v>
      </c>
      <c r="BE41" s="162" t="s">
        <v>7</v>
      </c>
      <c r="BF41" s="162" t="str">
        <f t="shared" si="0"/>
        <v>Sim</v>
      </c>
      <c r="BG41" s="162" t="str">
        <f t="shared" si="1"/>
        <v>Não</v>
      </c>
      <c r="BH41" s="162" t="s">
        <v>7</v>
      </c>
      <c r="BI41" t="s">
        <v>9870</v>
      </c>
      <c r="BJ41" s="162" t="s">
        <v>10164</v>
      </c>
      <c r="BK41" t="s">
        <v>10</v>
      </c>
      <c r="BL41" s="162">
        <v>20</v>
      </c>
      <c r="BM41" t="s">
        <v>35</v>
      </c>
      <c r="BN41" t="s">
        <v>35</v>
      </c>
      <c r="BO41" t="s">
        <v>10</v>
      </c>
      <c r="BP41" s="162">
        <v>20</v>
      </c>
      <c r="BQ41" t="s">
        <v>7</v>
      </c>
      <c r="BR41" t="s">
        <v>37</v>
      </c>
      <c r="BS41" s="162" t="s">
        <v>37</v>
      </c>
    </row>
    <row r="42" spans="1:71">
      <c r="A42" s="162">
        <v>41</v>
      </c>
      <c r="B42" t="s">
        <v>230</v>
      </c>
      <c r="C42" s="162">
        <v>1</v>
      </c>
      <c r="D42" s="122" t="s">
        <v>685</v>
      </c>
      <c r="E42" t="s">
        <v>677</v>
      </c>
      <c r="F42" t="s">
        <v>515</v>
      </c>
      <c r="G42" t="s">
        <v>241</v>
      </c>
      <c r="H42" t="s">
        <v>686</v>
      </c>
      <c r="I42" s="162">
        <v>1</v>
      </c>
      <c r="J42" t="s">
        <v>1855</v>
      </c>
      <c r="K42" t="s">
        <v>3</v>
      </c>
      <c r="L42" s="165">
        <v>32985</v>
      </c>
      <c r="M42" s="166">
        <v>27</v>
      </c>
      <c r="N42" t="s">
        <v>5</v>
      </c>
      <c r="O42" t="s">
        <v>10135</v>
      </c>
      <c r="P42" t="s">
        <v>77</v>
      </c>
      <c r="Q42" t="s">
        <v>1432</v>
      </c>
      <c r="R42" t="s">
        <v>1674</v>
      </c>
      <c r="S42" s="162">
        <v>6.6</v>
      </c>
      <c r="T42" t="s">
        <v>1675</v>
      </c>
      <c r="U42" s="162">
        <v>95.1</v>
      </c>
      <c r="V42">
        <v>0</v>
      </c>
      <c r="W42" s="162">
        <v>0</v>
      </c>
      <c r="X42">
        <v>0</v>
      </c>
      <c r="Y42" s="162">
        <v>0</v>
      </c>
      <c r="Z42">
        <v>0</v>
      </c>
      <c r="AA42" s="162">
        <v>0</v>
      </c>
      <c r="AB42" t="s">
        <v>9957</v>
      </c>
      <c r="AC42" s="162" t="s">
        <v>7</v>
      </c>
      <c r="AD42" s="162" t="s">
        <v>7</v>
      </c>
      <c r="AE42" s="162" t="s">
        <v>7</v>
      </c>
      <c r="AF42" s="162" t="s">
        <v>7</v>
      </c>
      <c r="AG42" s="162" t="s">
        <v>9851</v>
      </c>
      <c r="AH42" s="162" t="s">
        <v>7</v>
      </c>
      <c r="AI42" t="s">
        <v>9846</v>
      </c>
      <c r="AJ42" t="s">
        <v>7</v>
      </c>
      <c r="AK42" t="s">
        <v>1676</v>
      </c>
      <c r="AL42" t="s">
        <v>78</v>
      </c>
      <c r="AM42" s="162" t="s">
        <v>10138</v>
      </c>
      <c r="AN42" t="s">
        <v>9843</v>
      </c>
      <c r="AO42" t="s">
        <v>35</v>
      </c>
      <c r="AP42" t="s">
        <v>1214</v>
      </c>
      <c r="AQ42" t="s">
        <v>1100</v>
      </c>
      <c r="AR42" t="s">
        <v>7</v>
      </c>
      <c r="AS42" s="162" t="s">
        <v>7</v>
      </c>
      <c r="AT42" s="117" t="s">
        <v>1111</v>
      </c>
      <c r="AU42" s="162" t="s">
        <v>9851</v>
      </c>
      <c r="AV42" s="162" t="s">
        <v>7</v>
      </c>
      <c r="AW42" s="162" t="s">
        <v>7</v>
      </c>
      <c r="AX42" s="162" t="s">
        <v>7</v>
      </c>
      <c r="AY42" s="162" t="s">
        <v>9851</v>
      </c>
      <c r="AZ42" t="s">
        <v>7</v>
      </c>
      <c r="BA42" s="162" t="s">
        <v>7</v>
      </c>
      <c r="BB42" s="162" t="s">
        <v>7</v>
      </c>
      <c r="BC42" s="162" t="s">
        <v>7</v>
      </c>
      <c r="BD42" s="162" t="s">
        <v>7</v>
      </c>
      <c r="BE42" s="162" t="s">
        <v>7</v>
      </c>
      <c r="BF42" s="162" t="str">
        <f t="shared" si="0"/>
        <v>Sim</v>
      </c>
      <c r="BG42" s="162" t="str">
        <f t="shared" si="1"/>
        <v>Não</v>
      </c>
      <c r="BH42" s="162" t="s">
        <v>7</v>
      </c>
      <c r="BI42" t="s">
        <v>9870</v>
      </c>
      <c r="BJ42" s="162" t="s">
        <v>10164</v>
      </c>
      <c r="BK42" t="s">
        <v>10</v>
      </c>
      <c r="BL42" s="162">
        <v>20</v>
      </c>
      <c r="BM42" t="s">
        <v>35</v>
      </c>
      <c r="BN42" t="s">
        <v>35</v>
      </c>
      <c r="BO42" t="s">
        <v>10</v>
      </c>
      <c r="BP42" s="162">
        <v>20</v>
      </c>
      <c r="BQ42" t="s">
        <v>7</v>
      </c>
      <c r="BR42" t="s">
        <v>37</v>
      </c>
      <c r="BS42" s="162" t="s">
        <v>37</v>
      </c>
    </row>
    <row r="43" spans="1:71">
      <c r="A43" s="162">
        <v>42</v>
      </c>
      <c r="B43" t="s">
        <v>311</v>
      </c>
      <c r="C43" s="162">
        <v>1</v>
      </c>
      <c r="D43" s="122">
        <v>42909</v>
      </c>
      <c r="E43" t="s">
        <v>825</v>
      </c>
      <c r="F43" t="s">
        <v>3</v>
      </c>
      <c r="G43" t="s">
        <v>316</v>
      </c>
      <c r="H43" t="s">
        <v>1924</v>
      </c>
      <c r="I43" s="162">
        <v>1</v>
      </c>
      <c r="J43" t="s">
        <v>1855</v>
      </c>
      <c r="K43" t="s">
        <v>3</v>
      </c>
      <c r="L43" s="165">
        <v>34695</v>
      </c>
      <c r="M43" s="166">
        <v>22</v>
      </c>
      <c r="N43" t="s">
        <v>4</v>
      </c>
      <c r="O43" t="s">
        <v>10134</v>
      </c>
      <c r="P43" t="s">
        <v>1101</v>
      </c>
      <c r="Q43" t="s">
        <v>1925</v>
      </c>
      <c r="R43">
        <v>0</v>
      </c>
      <c r="S43" s="162">
        <v>0</v>
      </c>
      <c r="T43" t="s">
        <v>2043</v>
      </c>
      <c r="U43" s="162">
        <v>9.1999999999999993</v>
      </c>
      <c r="V43">
        <v>0</v>
      </c>
      <c r="W43" s="162">
        <v>0</v>
      </c>
      <c r="X43">
        <v>0</v>
      </c>
      <c r="Y43" s="162">
        <v>0</v>
      </c>
      <c r="Z43">
        <v>0</v>
      </c>
      <c r="AA43" s="162">
        <v>0</v>
      </c>
      <c r="AB43">
        <v>0</v>
      </c>
      <c r="AC43" s="162" t="s">
        <v>7</v>
      </c>
      <c r="AD43" s="162" t="s">
        <v>7</v>
      </c>
      <c r="AE43" s="162" t="s">
        <v>7</v>
      </c>
      <c r="AF43" s="162" t="s">
        <v>7</v>
      </c>
      <c r="AG43" s="162" t="s">
        <v>7</v>
      </c>
      <c r="AH43" s="162" t="s">
        <v>7</v>
      </c>
      <c r="AI43" t="s">
        <v>9843</v>
      </c>
      <c r="AJ43" t="s">
        <v>7</v>
      </c>
      <c r="AK43" t="s">
        <v>1410</v>
      </c>
      <c r="AL43" t="s">
        <v>36</v>
      </c>
      <c r="AM43" s="162" t="s">
        <v>10138</v>
      </c>
      <c r="AN43" t="s">
        <v>9843</v>
      </c>
      <c r="AO43" t="s">
        <v>35</v>
      </c>
      <c r="AP43" t="s">
        <v>7</v>
      </c>
      <c r="AQ43" t="s">
        <v>9</v>
      </c>
      <c r="AR43" t="s">
        <v>7</v>
      </c>
      <c r="AS43" s="162" t="s">
        <v>7</v>
      </c>
      <c r="AT43" s="117" t="s">
        <v>7</v>
      </c>
      <c r="AU43" s="162" t="s">
        <v>7</v>
      </c>
      <c r="AV43" s="162" t="s">
        <v>7</v>
      </c>
      <c r="AW43" s="162" t="s">
        <v>9851</v>
      </c>
      <c r="AX43" s="162" t="s">
        <v>7</v>
      </c>
      <c r="AY43" s="162" t="s">
        <v>7</v>
      </c>
      <c r="AZ43" t="s">
        <v>7</v>
      </c>
      <c r="BA43" s="162" t="s">
        <v>7</v>
      </c>
      <c r="BB43" s="162" t="s">
        <v>7</v>
      </c>
      <c r="BC43" s="162" t="s">
        <v>7</v>
      </c>
      <c r="BD43" s="162" t="s">
        <v>7</v>
      </c>
      <c r="BE43" s="162" t="s">
        <v>7</v>
      </c>
      <c r="BF43" s="162" t="str">
        <f t="shared" si="0"/>
        <v>Sim</v>
      </c>
      <c r="BG43" s="162" t="str">
        <f t="shared" si="1"/>
        <v>Não</v>
      </c>
      <c r="BH43" s="162" t="s">
        <v>7</v>
      </c>
      <c r="BI43" t="s">
        <v>9870</v>
      </c>
      <c r="BJ43" s="162" t="s">
        <v>10164</v>
      </c>
      <c r="BK43" t="s">
        <v>10</v>
      </c>
      <c r="BL43" s="162">
        <v>20</v>
      </c>
      <c r="BM43" t="s">
        <v>35</v>
      </c>
      <c r="BN43" t="s">
        <v>35</v>
      </c>
      <c r="BO43" t="s">
        <v>10</v>
      </c>
      <c r="BP43" s="162">
        <v>20</v>
      </c>
      <c r="BQ43" t="s">
        <v>7</v>
      </c>
      <c r="BR43" t="s">
        <v>1849</v>
      </c>
      <c r="BS43" s="162" t="s">
        <v>10170</v>
      </c>
    </row>
    <row r="44" spans="1:71">
      <c r="A44" s="162">
        <v>43</v>
      </c>
      <c r="B44" t="s">
        <v>366</v>
      </c>
      <c r="C44" s="162">
        <v>1</v>
      </c>
      <c r="D44" s="122" t="s">
        <v>801</v>
      </c>
      <c r="E44" t="s">
        <v>876</v>
      </c>
      <c r="F44" t="s">
        <v>515</v>
      </c>
      <c r="G44" t="s">
        <v>378</v>
      </c>
      <c r="H44" t="s">
        <v>877</v>
      </c>
      <c r="I44" s="162">
        <v>1</v>
      </c>
      <c r="J44" t="s">
        <v>1855</v>
      </c>
      <c r="K44" t="s">
        <v>3</v>
      </c>
      <c r="L44" s="165">
        <v>32249</v>
      </c>
      <c r="M44" s="166">
        <v>29</v>
      </c>
      <c r="N44" t="s">
        <v>1093</v>
      </c>
      <c r="O44" t="s">
        <v>10135</v>
      </c>
      <c r="P44" t="s">
        <v>1101</v>
      </c>
      <c r="Q44" t="s">
        <v>1785</v>
      </c>
      <c r="R44" t="s">
        <v>9999</v>
      </c>
      <c r="S44" s="162">
        <v>267.7</v>
      </c>
      <c r="T44" t="s">
        <v>10000</v>
      </c>
      <c r="U44" s="162">
        <v>55.2</v>
      </c>
      <c r="V44">
        <v>0</v>
      </c>
      <c r="W44" s="162">
        <v>0</v>
      </c>
      <c r="X44">
        <v>0</v>
      </c>
      <c r="Y44" s="162">
        <v>0</v>
      </c>
      <c r="Z44">
        <v>0</v>
      </c>
      <c r="AA44" s="162">
        <v>0</v>
      </c>
      <c r="AB44">
        <v>0</v>
      </c>
      <c r="AC44" s="162" t="s">
        <v>7</v>
      </c>
      <c r="AD44" s="162" t="s">
        <v>7</v>
      </c>
      <c r="AE44" s="162" t="s">
        <v>7</v>
      </c>
      <c r="AF44" s="162" t="s">
        <v>7</v>
      </c>
      <c r="AG44" s="162" t="s">
        <v>7</v>
      </c>
      <c r="AH44" s="162" t="s">
        <v>7</v>
      </c>
      <c r="AI44" t="s">
        <v>9843</v>
      </c>
      <c r="AJ44" t="s">
        <v>7</v>
      </c>
      <c r="AK44" t="s">
        <v>1098</v>
      </c>
      <c r="AL44" t="s">
        <v>36</v>
      </c>
      <c r="AM44" s="162" t="s">
        <v>10138</v>
      </c>
      <c r="AN44" t="s">
        <v>9843</v>
      </c>
      <c r="AO44" t="s">
        <v>35</v>
      </c>
      <c r="AP44" t="s">
        <v>7</v>
      </c>
      <c r="AQ44" t="s">
        <v>9</v>
      </c>
      <c r="AR44" t="s">
        <v>7</v>
      </c>
      <c r="AS44" s="162" t="s">
        <v>7</v>
      </c>
      <c r="AT44" s="117" t="s">
        <v>7</v>
      </c>
      <c r="AU44" s="162" t="s">
        <v>7</v>
      </c>
      <c r="AV44" s="162" t="s">
        <v>7</v>
      </c>
      <c r="AW44" s="162" t="s">
        <v>9851</v>
      </c>
      <c r="AX44" s="162" t="s">
        <v>7</v>
      </c>
      <c r="AY44" s="162" t="s">
        <v>7</v>
      </c>
      <c r="AZ44" t="s">
        <v>7</v>
      </c>
      <c r="BA44" s="162" t="s">
        <v>7</v>
      </c>
      <c r="BB44" s="162" t="s">
        <v>7</v>
      </c>
      <c r="BC44" s="162" t="s">
        <v>7</v>
      </c>
      <c r="BD44" s="162" t="s">
        <v>7</v>
      </c>
      <c r="BE44" s="162" t="s">
        <v>7</v>
      </c>
      <c r="BF44" s="162" t="str">
        <f t="shared" si="0"/>
        <v>Sim</v>
      </c>
      <c r="BG44" s="162" t="str">
        <f t="shared" si="1"/>
        <v>Não</v>
      </c>
      <c r="BH44" s="162" t="s">
        <v>7</v>
      </c>
      <c r="BI44" t="s">
        <v>9870</v>
      </c>
      <c r="BJ44" s="162" t="s">
        <v>10164</v>
      </c>
      <c r="BK44" t="s">
        <v>10</v>
      </c>
      <c r="BL44" s="162">
        <v>20</v>
      </c>
      <c r="BM44" t="s">
        <v>35</v>
      </c>
      <c r="BN44" t="s">
        <v>35</v>
      </c>
      <c r="BO44" t="s">
        <v>10</v>
      </c>
      <c r="BP44" s="162">
        <v>20</v>
      </c>
      <c r="BQ44" t="s">
        <v>7</v>
      </c>
      <c r="BR44" t="s">
        <v>37</v>
      </c>
      <c r="BS44" s="162" t="s">
        <v>37</v>
      </c>
    </row>
    <row r="45" spans="1:71">
      <c r="A45" s="162">
        <v>44</v>
      </c>
      <c r="B45" t="s">
        <v>313</v>
      </c>
      <c r="C45" s="162">
        <v>1</v>
      </c>
      <c r="D45" s="122">
        <v>42937</v>
      </c>
      <c r="E45" t="s">
        <v>825</v>
      </c>
      <c r="F45" t="s">
        <v>3</v>
      </c>
      <c r="G45" t="s">
        <v>316</v>
      </c>
      <c r="H45" t="s">
        <v>833</v>
      </c>
      <c r="I45" s="162">
        <v>1</v>
      </c>
      <c r="J45" t="s">
        <v>1855</v>
      </c>
      <c r="K45" t="s">
        <v>3</v>
      </c>
      <c r="L45" s="165">
        <v>35959</v>
      </c>
      <c r="M45" s="166">
        <v>19</v>
      </c>
      <c r="N45" t="s">
        <v>4</v>
      </c>
      <c r="O45" t="s">
        <v>10134</v>
      </c>
      <c r="P45" t="s">
        <v>1101</v>
      </c>
      <c r="Q45" t="s">
        <v>1927</v>
      </c>
      <c r="R45" t="s">
        <v>1073</v>
      </c>
      <c r="S45" s="162">
        <v>12.4</v>
      </c>
      <c r="T45" t="s">
        <v>2045</v>
      </c>
      <c r="U45" s="162">
        <v>4.7</v>
      </c>
      <c r="V45">
        <v>0</v>
      </c>
      <c r="W45" s="162">
        <v>0</v>
      </c>
      <c r="X45">
        <v>0</v>
      </c>
      <c r="Y45" s="162">
        <v>0</v>
      </c>
      <c r="Z45">
        <v>0</v>
      </c>
      <c r="AA45" s="162">
        <v>0</v>
      </c>
      <c r="AB45">
        <v>0</v>
      </c>
      <c r="AC45" s="162" t="s">
        <v>7</v>
      </c>
      <c r="AD45" s="162" t="s">
        <v>7</v>
      </c>
      <c r="AE45" s="162" t="s">
        <v>7</v>
      </c>
      <c r="AF45" s="162" t="s">
        <v>7</v>
      </c>
      <c r="AG45" s="162" t="s">
        <v>7</v>
      </c>
      <c r="AH45" s="162" t="s">
        <v>7</v>
      </c>
      <c r="AI45" t="s">
        <v>9843</v>
      </c>
      <c r="AJ45" t="s">
        <v>7</v>
      </c>
      <c r="AK45" t="s">
        <v>1928</v>
      </c>
      <c r="AL45" t="s">
        <v>36</v>
      </c>
      <c r="AM45" s="162" t="s">
        <v>10138</v>
      </c>
      <c r="AN45" t="s">
        <v>9843</v>
      </c>
      <c r="AO45" t="s">
        <v>35</v>
      </c>
      <c r="AP45" t="s">
        <v>7</v>
      </c>
      <c r="AQ45" t="s">
        <v>9</v>
      </c>
      <c r="AR45" t="s">
        <v>7</v>
      </c>
      <c r="AS45" s="162" t="s">
        <v>7</v>
      </c>
      <c r="AT45" s="117" t="s">
        <v>7</v>
      </c>
      <c r="AU45" s="162" t="s">
        <v>7</v>
      </c>
      <c r="AV45" s="162" t="s">
        <v>7</v>
      </c>
      <c r="AW45" s="162" t="s">
        <v>9851</v>
      </c>
      <c r="AX45" s="162" t="s">
        <v>7</v>
      </c>
      <c r="AY45" s="162" t="s">
        <v>7</v>
      </c>
      <c r="AZ45" t="s">
        <v>7</v>
      </c>
      <c r="BA45" s="162" t="s">
        <v>7</v>
      </c>
      <c r="BB45" s="162" t="s">
        <v>7</v>
      </c>
      <c r="BC45" s="162" t="s">
        <v>7</v>
      </c>
      <c r="BD45" s="162" t="s">
        <v>7</v>
      </c>
      <c r="BE45" s="162" t="s">
        <v>7</v>
      </c>
      <c r="BF45" s="162" t="str">
        <f t="shared" si="0"/>
        <v>Sim</v>
      </c>
      <c r="BG45" s="162" t="str">
        <f t="shared" si="1"/>
        <v>Não</v>
      </c>
      <c r="BH45" s="162" t="s">
        <v>7</v>
      </c>
      <c r="BI45" t="s">
        <v>9870</v>
      </c>
      <c r="BJ45" s="162" t="s">
        <v>10164</v>
      </c>
      <c r="BK45" t="s">
        <v>10</v>
      </c>
      <c r="BL45" s="162">
        <v>20</v>
      </c>
      <c r="BM45" t="s">
        <v>35</v>
      </c>
      <c r="BN45" t="s">
        <v>35</v>
      </c>
      <c r="BO45" t="s">
        <v>10</v>
      </c>
      <c r="BP45" s="162">
        <v>20</v>
      </c>
      <c r="BQ45" t="s">
        <v>7</v>
      </c>
      <c r="BR45" t="s">
        <v>1849</v>
      </c>
      <c r="BS45" s="162" t="s">
        <v>10170</v>
      </c>
    </row>
    <row r="46" spans="1:71">
      <c r="A46" s="162">
        <v>45</v>
      </c>
      <c r="B46" t="s">
        <v>399</v>
      </c>
      <c r="C46" s="162">
        <v>1</v>
      </c>
      <c r="D46" s="122" t="s">
        <v>929</v>
      </c>
      <c r="E46" t="s">
        <v>922</v>
      </c>
      <c r="F46" t="s">
        <v>515</v>
      </c>
      <c r="G46" t="s">
        <v>411</v>
      </c>
      <c r="H46" t="s">
        <v>930</v>
      </c>
      <c r="I46" s="162">
        <v>1</v>
      </c>
      <c r="J46" t="s">
        <v>1855</v>
      </c>
      <c r="K46" t="s">
        <v>3</v>
      </c>
      <c r="L46" s="165">
        <v>32392</v>
      </c>
      <c r="M46" s="166">
        <v>28</v>
      </c>
      <c r="N46" t="s">
        <v>5</v>
      </c>
      <c r="O46" t="s">
        <v>10135</v>
      </c>
      <c r="P46" t="s">
        <v>1101</v>
      </c>
      <c r="Q46" t="s">
        <v>1148</v>
      </c>
      <c r="R46" t="s">
        <v>1149</v>
      </c>
      <c r="S46" s="162">
        <v>56.1</v>
      </c>
      <c r="T46" t="s">
        <v>10027</v>
      </c>
      <c r="U46" s="162">
        <v>0.7</v>
      </c>
      <c r="V46">
        <v>0</v>
      </c>
      <c r="W46" s="162">
        <v>0</v>
      </c>
      <c r="X46">
        <v>0</v>
      </c>
      <c r="Y46" s="162">
        <v>0</v>
      </c>
      <c r="Z46">
        <v>0</v>
      </c>
      <c r="AA46" s="162">
        <v>0</v>
      </c>
      <c r="AB46">
        <v>0</v>
      </c>
      <c r="AC46" s="162" t="s">
        <v>7</v>
      </c>
      <c r="AD46" s="162" t="s">
        <v>7</v>
      </c>
      <c r="AE46" s="162" t="s">
        <v>7</v>
      </c>
      <c r="AF46" s="162" t="s">
        <v>7</v>
      </c>
      <c r="AG46" s="162" t="s">
        <v>7</v>
      </c>
      <c r="AH46" s="162" t="s">
        <v>7</v>
      </c>
      <c r="AI46" t="s">
        <v>9843</v>
      </c>
      <c r="AJ46" t="s">
        <v>7</v>
      </c>
      <c r="AK46" t="s">
        <v>9808</v>
      </c>
      <c r="AL46" t="s">
        <v>36</v>
      </c>
      <c r="AM46" s="162" t="s">
        <v>10138</v>
      </c>
      <c r="AN46" t="s">
        <v>9843</v>
      </c>
      <c r="AO46" t="s">
        <v>35</v>
      </c>
      <c r="AP46" t="s">
        <v>7</v>
      </c>
      <c r="AQ46" t="s">
        <v>9</v>
      </c>
      <c r="AR46" t="s">
        <v>7</v>
      </c>
      <c r="AS46" s="162" t="s">
        <v>7</v>
      </c>
      <c r="AT46" s="117" t="s">
        <v>7</v>
      </c>
      <c r="AU46" s="162" t="s">
        <v>7</v>
      </c>
      <c r="AV46" s="162" t="s">
        <v>7</v>
      </c>
      <c r="AW46" s="162" t="s">
        <v>9851</v>
      </c>
      <c r="AX46" s="162" t="s">
        <v>7</v>
      </c>
      <c r="AY46" s="162" t="s">
        <v>7</v>
      </c>
      <c r="AZ46" t="s">
        <v>7</v>
      </c>
      <c r="BA46" s="162" t="s">
        <v>7</v>
      </c>
      <c r="BB46" s="162" t="s">
        <v>7</v>
      </c>
      <c r="BC46" s="162" t="s">
        <v>7</v>
      </c>
      <c r="BD46" s="162" t="s">
        <v>7</v>
      </c>
      <c r="BE46" s="162" t="s">
        <v>7</v>
      </c>
      <c r="BF46" s="162" t="str">
        <f t="shared" si="0"/>
        <v>Sim</v>
      </c>
      <c r="BG46" s="162" t="str">
        <f t="shared" si="1"/>
        <v>Não</v>
      </c>
      <c r="BH46" s="162" t="s">
        <v>7</v>
      </c>
      <c r="BI46" t="s">
        <v>9870</v>
      </c>
      <c r="BJ46" s="162" t="s">
        <v>10164</v>
      </c>
      <c r="BK46" t="s">
        <v>10</v>
      </c>
      <c r="BL46" s="162">
        <v>20</v>
      </c>
      <c r="BM46" t="s">
        <v>35</v>
      </c>
      <c r="BN46" t="s">
        <v>35</v>
      </c>
      <c r="BO46" t="s">
        <v>10</v>
      </c>
      <c r="BP46" s="162">
        <v>20</v>
      </c>
      <c r="BQ46" t="s">
        <v>9851</v>
      </c>
      <c r="BR46" t="s">
        <v>35</v>
      </c>
      <c r="BS46" s="162" t="s">
        <v>35</v>
      </c>
    </row>
    <row r="47" spans="1:71">
      <c r="A47" s="162">
        <v>46</v>
      </c>
      <c r="B47" t="s">
        <v>428</v>
      </c>
      <c r="C47" s="162">
        <v>1</v>
      </c>
      <c r="D47" s="122" t="s">
        <v>997</v>
      </c>
      <c r="E47" t="s">
        <v>564</v>
      </c>
      <c r="F47" t="s">
        <v>3</v>
      </c>
      <c r="G47" t="s">
        <v>433</v>
      </c>
      <c r="H47" t="s">
        <v>996</v>
      </c>
      <c r="I47" s="162">
        <v>1</v>
      </c>
      <c r="J47" t="s">
        <v>1855</v>
      </c>
      <c r="K47" t="s">
        <v>3</v>
      </c>
      <c r="L47" s="165">
        <v>32264</v>
      </c>
      <c r="M47" s="166">
        <v>29</v>
      </c>
      <c r="N47" t="s">
        <v>5</v>
      </c>
      <c r="O47" t="s">
        <v>10135</v>
      </c>
      <c r="P47" t="s">
        <v>48</v>
      </c>
      <c r="Q47" t="s">
        <v>1884</v>
      </c>
      <c r="R47" t="s">
        <v>1964</v>
      </c>
      <c r="S47" s="162">
        <v>183.9</v>
      </c>
      <c r="T47" t="s">
        <v>1972</v>
      </c>
      <c r="U47" s="162">
        <v>198.9</v>
      </c>
      <c r="V47">
        <v>0</v>
      </c>
      <c r="W47" s="162">
        <v>0</v>
      </c>
      <c r="X47">
        <v>0</v>
      </c>
      <c r="Y47" s="162">
        <v>0</v>
      </c>
      <c r="Z47">
        <v>0</v>
      </c>
      <c r="AA47" s="162">
        <v>0</v>
      </c>
      <c r="AB47">
        <v>0</v>
      </c>
      <c r="AC47" s="162" t="s">
        <v>7</v>
      </c>
      <c r="AD47" s="162" t="s">
        <v>7</v>
      </c>
      <c r="AE47" s="162" t="s">
        <v>7</v>
      </c>
      <c r="AF47" s="162" t="s">
        <v>7</v>
      </c>
      <c r="AG47" s="162" t="s">
        <v>7</v>
      </c>
      <c r="AH47" s="162" t="s">
        <v>7</v>
      </c>
      <c r="AI47" t="s">
        <v>9843</v>
      </c>
      <c r="AJ47" t="s">
        <v>7</v>
      </c>
      <c r="AK47" t="s">
        <v>1885</v>
      </c>
      <c r="AL47" t="s">
        <v>36</v>
      </c>
      <c r="AM47" s="162" t="s">
        <v>10138</v>
      </c>
      <c r="AN47" t="s">
        <v>9843</v>
      </c>
      <c r="AO47" t="s">
        <v>35</v>
      </c>
      <c r="AP47" t="s">
        <v>1643</v>
      </c>
      <c r="AQ47" t="s">
        <v>8</v>
      </c>
      <c r="AR47" t="s">
        <v>7</v>
      </c>
      <c r="AS47" s="162" t="s">
        <v>7</v>
      </c>
      <c r="AT47" s="117" t="s">
        <v>1111</v>
      </c>
      <c r="AU47" s="162" t="s">
        <v>9851</v>
      </c>
      <c r="AV47" s="162" t="s">
        <v>7</v>
      </c>
      <c r="AW47" s="162" t="s">
        <v>7</v>
      </c>
      <c r="AX47" s="162" t="s">
        <v>7</v>
      </c>
      <c r="AY47" s="162" t="s">
        <v>9851</v>
      </c>
      <c r="AZ47" t="s">
        <v>7</v>
      </c>
      <c r="BA47" s="162" t="s">
        <v>7</v>
      </c>
      <c r="BB47" s="162" t="s">
        <v>7</v>
      </c>
      <c r="BC47" s="162" t="s">
        <v>7</v>
      </c>
      <c r="BD47" s="162" t="s">
        <v>7</v>
      </c>
      <c r="BE47" s="162" t="s">
        <v>7</v>
      </c>
      <c r="BF47" s="162" t="str">
        <f t="shared" si="0"/>
        <v>Sim</v>
      </c>
      <c r="BG47" s="162" t="str">
        <f t="shared" si="1"/>
        <v>Não</v>
      </c>
      <c r="BH47" s="162" t="s">
        <v>7</v>
      </c>
      <c r="BI47" t="s">
        <v>9870</v>
      </c>
      <c r="BJ47" s="162" t="s">
        <v>10164</v>
      </c>
      <c r="BK47" t="s">
        <v>10</v>
      </c>
      <c r="BL47" s="162">
        <v>20</v>
      </c>
      <c r="BM47" t="s">
        <v>35</v>
      </c>
      <c r="BN47" t="s">
        <v>35</v>
      </c>
      <c r="BO47" t="s">
        <v>10</v>
      </c>
      <c r="BP47" s="162">
        <v>20</v>
      </c>
      <c r="BQ47" t="s">
        <v>9851</v>
      </c>
      <c r="BR47" t="s">
        <v>35</v>
      </c>
      <c r="BS47" s="162" t="s">
        <v>35</v>
      </c>
    </row>
    <row r="48" spans="1:71">
      <c r="A48" s="162">
        <v>47</v>
      </c>
      <c r="B48" t="s">
        <v>221</v>
      </c>
      <c r="C48" s="162">
        <v>1</v>
      </c>
      <c r="D48" s="122" t="s">
        <v>778</v>
      </c>
      <c r="E48" t="s">
        <v>772</v>
      </c>
      <c r="F48" t="s">
        <v>515</v>
      </c>
      <c r="G48" t="s">
        <v>225</v>
      </c>
      <c r="H48" t="s">
        <v>779</v>
      </c>
      <c r="I48" s="162">
        <v>1</v>
      </c>
      <c r="J48" t="s">
        <v>1855</v>
      </c>
      <c r="K48" t="s">
        <v>3</v>
      </c>
      <c r="L48" s="165">
        <v>35006</v>
      </c>
      <c r="M48" s="166">
        <v>21</v>
      </c>
      <c r="N48" t="s">
        <v>1093</v>
      </c>
      <c r="O48" t="s">
        <v>10135</v>
      </c>
      <c r="P48" t="s">
        <v>1101</v>
      </c>
      <c r="Q48" t="s">
        <v>1249</v>
      </c>
      <c r="R48">
        <v>0</v>
      </c>
      <c r="S48" s="162">
        <v>0</v>
      </c>
      <c r="T48" t="s">
        <v>1250</v>
      </c>
      <c r="U48" s="162">
        <v>165</v>
      </c>
      <c r="V48">
        <v>0</v>
      </c>
      <c r="W48" s="162">
        <v>0</v>
      </c>
      <c r="X48">
        <v>0</v>
      </c>
      <c r="Y48" s="162">
        <v>0</v>
      </c>
      <c r="Z48">
        <v>0</v>
      </c>
      <c r="AA48" s="162">
        <v>0</v>
      </c>
      <c r="AB48">
        <v>0</v>
      </c>
      <c r="AC48" s="162" t="s">
        <v>7</v>
      </c>
      <c r="AD48" s="162" t="s">
        <v>7</v>
      </c>
      <c r="AE48" s="162" t="s">
        <v>7</v>
      </c>
      <c r="AF48" s="162" t="s">
        <v>7</v>
      </c>
      <c r="AG48" s="162" t="s">
        <v>7</v>
      </c>
      <c r="AH48" s="162" t="s">
        <v>7</v>
      </c>
      <c r="AI48" t="s">
        <v>9843</v>
      </c>
      <c r="AJ48" t="s">
        <v>1273</v>
      </c>
      <c r="AK48" t="s">
        <v>1132</v>
      </c>
      <c r="AL48" t="s">
        <v>78</v>
      </c>
      <c r="AM48" s="162" t="s">
        <v>10138</v>
      </c>
      <c r="AN48" t="s">
        <v>9843</v>
      </c>
      <c r="AO48" t="s">
        <v>7</v>
      </c>
      <c r="AP48" t="s">
        <v>7</v>
      </c>
      <c r="AQ48" t="s">
        <v>9</v>
      </c>
      <c r="AR48" t="s">
        <v>7</v>
      </c>
      <c r="AS48" s="162" t="s">
        <v>7</v>
      </c>
      <c r="AT48" s="117" t="s">
        <v>7</v>
      </c>
      <c r="AU48" s="162" t="s">
        <v>7</v>
      </c>
      <c r="AV48" s="162" t="s">
        <v>7</v>
      </c>
      <c r="AW48" s="162" t="s">
        <v>9851</v>
      </c>
      <c r="AX48" s="162" t="s">
        <v>7</v>
      </c>
      <c r="AY48" s="162" t="s">
        <v>7</v>
      </c>
      <c r="AZ48" t="s">
        <v>7</v>
      </c>
      <c r="BA48" s="162" t="s">
        <v>7</v>
      </c>
      <c r="BB48" s="162" t="s">
        <v>7</v>
      </c>
      <c r="BC48" s="162" t="s">
        <v>7</v>
      </c>
      <c r="BD48" s="162" t="s">
        <v>7</v>
      </c>
      <c r="BE48" s="162" t="s">
        <v>7</v>
      </c>
      <c r="BF48" s="162" t="str">
        <f t="shared" si="0"/>
        <v>Sim</v>
      </c>
      <c r="BG48" s="162" t="str">
        <f t="shared" si="1"/>
        <v>Não</v>
      </c>
      <c r="BH48" s="162" t="s">
        <v>7</v>
      </c>
      <c r="BI48" t="s">
        <v>9870</v>
      </c>
      <c r="BJ48" s="162" t="s">
        <v>10164</v>
      </c>
      <c r="BK48" t="s">
        <v>10</v>
      </c>
      <c r="BL48" s="162">
        <v>20</v>
      </c>
      <c r="BM48" t="s">
        <v>35</v>
      </c>
      <c r="BN48" t="s">
        <v>35</v>
      </c>
      <c r="BO48" t="s">
        <v>10</v>
      </c>
      <c r="BP48" s="162">
        <v>20</v>
      </c>
      <c r="BQ48" t="s">
        <v>7</v>
      </c>
      <c r="BR48" t="s">
        <v>1849</v>
      </c>
      <c r="BS48" s="162" t="s">
        <v>10170</v>
      </c>
    </row>
    <row r="49" spans="1:71">
      <c r="A49" s="162">
        <v>48</v>
      </c>
      <c r="B49" t="s">
        <v>221</v>
      </c>
      <c r="C49" s="162">
        <v>0</v>
      </c>
      <c r="D49" s="122" t="s">
        <v>778</v>
      </c>
      <c r="E49" t="s">
        <v>772</v>
      </c>
      <c r="F49" t="s">
        <v>515</v>
      </c>
      <c r="G49" t="s">
        <v>225</v>
      </c>
      <c r="H49" t="s">
        <v>780</v>
      </c>
      <c r="I49" s="162">
        <v>1</v>
      </c>
      <c r="J49" t="s">
        <v>1855</v>
      </c>
      <c r="K49" t="s">
        <v>3</v>
      </c>
      <c r="L49" s="165">
        <v>33137</v>
      </c>
      <c r="M49" s="166">
        <v>26</v>
      </c>
      <c r="N49" t="s">
        <v>4</v>
      </c>
      <c r="O49" t="s">
        <v>10134</v>
      </c>
      <c r="P49" t="s">
        <v>41</v>
      </c>
      <c r="Q49" t="s">
        <v>1249</v>
      </c>
      <c r="R49">
        <v>0</v>
      </c>
      <c r="S49" s="162">
        <v>0</v>
      </c>
      <c r="T49" t="s">
        <v>1250</v>
      </c>
      <c r="U49" s="162">
        <v>165</v>
      </c>
      <c r="V49">
        <v>0</v>
      </c>
      <c r="W49" s="162">
        <v>0</v>
      </c>
      <c r="X49">
        <v>0</v>
      </c>
      <c r="Y49" s="162">
        <v>0</v>
      </c>
      <c r="Z49">
        <v>0</v>
      </c>
      <c r="AA49" s="162">
        <v>0</v>
      </c>
      <c r="AB49">
        <v>0</v>
      </c>
      <c r="AC49" s="162" t="s">
        <v>7</v>
      </c>
      <c r="AD49" s="162" t="s">
        <v>7</v>
      </c>
      <c r="AE49" s="162" t="s">
        <v>7</v>
      </c>
      <c r="AF49" s="162" t="s">
        <v>7</v>
      </c>
      <c r="AG49" s="162" t="s">
        <v>7</v>
      </c>
      <c r="AH49" s="162" t="s">
        <v>7</v>
      </c>
      <c r="AI49" t="s">
        <v>9843</v>
      </c>
      <c r="AJ49" t="s">
        <v>1273</v>
      </c>
      <c r="AK49" t="s">
        <v>1132</v>
      </c>
      <c r="AL49" t="s">
        <v>36</v>
      </c>
      <c r="AM49" s="162" t="s">
        <v>10138</v>
      </c>
      <c r="AN49" t="s">
        <v>9843</v>
      </c>
      <c r="AO49" t="s">
        <v>1273</v>
      </c>
      <c r="AP49" t="s">
        <v>7</v>
      </c>
      <c r="AQ49" t="s">
        <v>9</v>
      </c>
      <c r="AR49" t="s">
        <v>7</v>
      </c>
      <c r="AS49" s="162" t="s">
        <v>7</v>
      </c>
      <c r="AT49" s="117" t="s">
        <v>7</v>
      </c>
      <c r="AU49" s="162" t="s">
        <v>7</v>
      </c>
      <c r="AV49" s="162" t="s">
        <v>7</v>
      </c>
      <c r="AW49" s="162" t="s">
        <v>9851</v>
      </c>
      <c r="AX49" s="162" t="s">
        <v>7</v>
      </c>
      <c r="AY49" s="162" t="s">
        <v>7</v>
      </c>
      <c r="AZ49" t="s">
        <v>7</v>
      </c>
      <c r="BA49" s="162" t="s">
        <v>7</v>
      </c>
      <c r="BB49" s="162" t="s">
        <v>7</v>
      </c>
      <c r="BC49" s="162" t="s">
        <v>7</v>
      </c>
      <c r="BD49" s="162" t="s">
        <v>7</v>
      </c>
      <c r="BE49" s="162" t="s">
        <v>7</v>
      </c>
      <c r="BF49" s="162" t="str">
        <f t="shared" si="0"/>
        <v>Sim</v>
      </c>
      <c r="BG49" s="162" t="str">
        <f t="shared" si="1"/>
        <v>Não</v>
      </c>
      <c r="BH49" s="162" t="s">
        <v>7</v>
      </c>
      <c r="BI49" t="s">
        <v>9870</v>
      </c>
      <c r="BJ49" s="162" t="s">
        <v>10164</v>
      </c>
      <c r="BK49" t="s">
        <v>10</v>
      </c>
      <c r="BL49" s="162">
        <v>20</v>
      </c>
      <c r="BM49" t="s">
        <v>35</v>
      </c>
      <c r="BN49" t="s">
        <v>44</v>
      </c>
      <c r="BO49" t="s">
        <v>1251</v>
      </c>
      <c r="BP49" s="162">
        <v>44</v>
      </c>
      <c r="BQ49" t="s">
        <v>7</v>
      </c>
      <c r="BR49" t="s">
        <v>1849</v>
      </c>
      <c r="BS49" s="162" t="s">
        <v>10170</v>
      </c>
    </row>
    <row r="50" spans="1:71">
      <c r="A50" s="162">
        <v>49</v>
      </c>
      <c r="B50" t="s">
        <v>331</v>
      </c>
      <c r="C50" s="162">
        <v>1</v>
      </c>
      <c r="D50" s="122">
        <v>42942</v>
      </c>
      <c r="E50" t="s">
        <v>846</v>
      </c>
      <c r="F50" t="s">
        <v>3</v>
      </c>
      <c r="G50" t="s">
        <v>335</v>
      </c>
      <c r="H50" t="s">
        <v>854</v>
      </c>
      <c r="I50" s="162">
        <v>1</v>
      </c>
      <c r="J50" t="s">
        <v>1855</v>
      </c>
      <c r="K50" t="s">
        <v>515</v>
      </c>
      <c r="L50" s="165">
        <v>31929</v>
      </c>
      <c r="M50" s="166">
        <v>30</v>
      </c>
      <c r="N50" t="s">
        <v>5</v>
      </c>
      <c r="O50" t="s">
        <v>10135</v>
      </c>
      <c r="P50" t="s">
        <v>1101</v>
      </c>
      <c r="Q50" t="s">
        <v>1894</v>
      </c>
      <c r="R50" t="s">
        <v>1983</v>
      </c>
      <c r="S50" s="162">
        <v>54.3</v>
      </c>
      <c r="T50" t="s">
        <v>1991</v>
      </c>
      <c r="U50" s="162">
        <v>12.2</v>
      </c>
      <c r="V50">
        <v>0</v>
      </c>
      <c r="W50" s="162">
        <v>0</v>
      </c>
      <c r="X50">
        <v>0</v>
      </c>
      <c r="Y50" s="162">
        <v>0</v>
      </c>
      <c r="Z50">
        <v>0</v>
      </c>
      <c r="AA50" s="162">
        <v>0</v>
      </c>
      <c r="AB50">
        <v>0</v>
      </c>
      <c r="AC50" s="162" t="s">
        <v>7</v>
      </c>
      <c r="AD50" s="162" t="s">
        <v>7</v>
      </c>
      <c r="AE50" s="162" t="s">
        <v>7</v>
      </c>
      <c r="AF50" s="162" t="s">
        <v>7</v>
      </c>
      <c r="AG50" s="162" t="s">
        <v>7</v>
      </c>
      <c r="AH50" s="162" t="s">
        <v>7</v>
      </c>
      <c r="AI50" t="s">
        <v>9843</v>
      </c>
      <c r="AJ50" t="s">
        <v>7</v>
      </c>
      <c r="AK50" t="s">
        <v>1122</v>
      </c>
      <c r="AL50" t="s">
        <v>36</v>
      </c>
      <c r="AM50" s="162" t="s">
        <v>10138</v>
      </c>
      <c r="AN50" t="s">
        <v>9843</v>
      </c>
      <c r="AO50" t="s">
        <v>35</v>
      </c>
      <c r="AP50" t="s">
        <v>7</v>
      </c>
      <c r="AQ50" t="s">
        <v>9</v>
      </c>
      <c r="AR50" t="s">
        <v>7</v>
      </c>
      <c r="AS50" s="162" t="s">
        <v>7</v>
      </c>
      <c r="AT50" s="117" t="s">
        <v>7</v>
      </c>
      <c r="AU50" s="162" t="s">
        <v>7</v>
      </c>
      <c r="AV50" s="162" t="s">
        <v>7</v>
      </c>
      <c r="AW50" s="162" t="s">
        <v>9851</v>
      </c>
      <c r="AX50" s="162" t="s">
        <v>7</v>
      </c>
      <c r="AY50" s="162" t="s">
        <v>7</v>
      </c>
      <c r="AZ50" t="s">
        <v>7</v>
      </c>
      <c r="BA50" s="162" t="s">
        <v>7</v>
      </c>
      <c r="BB50" s="162" t="s">
        <v>7</v>
      </c>
      <c r="BC50" s="162" t="s">
        <v>7</v>
      </c>
      <c r="BD50" s="162" t="s">
        <v>7</v>
      </c>
      <c r="BE50" s="162" t="s">
        <v>7</v>
      </c>
      <c r="BF50" s="162" t="str">
        <f t="shared" si="0"/>
        <v>Sim</v>
      </c>
      <c r="BG50" s="162" t="str">
        <f t="shared" si="1"/>
        <v>Não</v>
      </c>
      <c r="BH50" s="162" t="s">
        <v>7</v>
      </c>
      <c r="BI50" t="s">
        <v>9870</v>
      </c>
      <c r="BJ50" s="162" t="s">
        <v>10164</v>
      </c>
      <c r="BK50" t="s">
        <v>10</v>
      </c>
      <c r="BL50" s="162">
        <v>20</v>
      </c>
      <c r="BM50" t="s">
        <v>35</v>
      </c>
      <c r="BN50" t="s">
        <v>35</v>
      </c>
      <c r="BO50" t="s">
        <v>10</v>
      </c>
      <c r="BP50" s="162">
        <v>20</v>
      </c>
      <c r="BQ50" t="s">
        <v>7</v>
      </c>
      <c r="BR50" t="s">
        <v>1849</v>
      </c>
      <c r="BS50" s="162" t="s">
        <v>10170</v>
      </c>
    </row>
    <row r="51" spans="1:71">
      <c r="A51" s="162">
        <v>50</v>
      </c>
      <c r="B51" t="s">
        <v>385</v>
      </c>
      <c r="C51" s="162">
        <v>1</v>
      </c>
      <c r="D51" s="122" t="s">
        <v>824</v>
      </c>
      <c r="E51" t="s">
        <v>898</v>
      </c>
      <c r="F51" t="s">
        <v>3</v>
      </c>
      <c r="G51" t="s">
        <v>392</v>
      </c>
      <c r="H51" t="s">
        <v>906</v>
      </c>
      <c r="I51" s="162">
        <v>1</v>
      </c>
      <c r="J51" t="s">
        <v>76</v>
      </c>
      <c r="K51" t="s">
        <v>3</v>
      </c>
      <c r="L51" s="165">
        <v>36224</v>
      </c>
      <c r="M51" s="166">
        <v>18</v>
      </c>
      <c r="N51" t="s">
        <v>5</v>
      </c>
      <c r="O51" t="s">
        <v>10135</v>
      </c>
      <c r="P51" t="s">
        <v>48</v>
      </c>
      <c r="Q51" t="s">
        <v>1825</v>
      </c>
      <c r="R51" t="s">
        <v>1824</v>
      </c>
      <c r="S51" s="162">
        <v>47</v>
      </c>
      <c r="T51" t="s">
        <v>1823</v>
      </c>
      <c r="U51" s="162">
        <v>22</v>
      </c>
      <c r="V51">
        <v>0</v>
      </c>
      <c r="W51" s="162">
        <v>0</v>
      </c>
      <c r="X51">
        <v>0</v>
      </c>
      <c r="Y51" s="162">
        <v>0</v>
      </c>
      <c r="Z51">
        <v>0</v>
      </c>
      <c r="AA51" s="162">
        <v>0</v>
      </c>
      <c r="AB51">
        <v>0</v>
      </c>
      <c r="AC51" s="162" t="s">
        <v>7</v>
      </c>
      <c r="AD51" s="162" t="s">
        <v>7</v>
      </c>
      <c r="AE51" s="162" t="s">
        <v>7</v>
      </c>
      <c r="AF51" s="162" t="s">
        <v>7</v>
      </c>
      <c r="AG51" s="162" t="s">
        <v>7</v>
      </c>
      <c r="AH51" s="162" t="s">
        <v>7</v>
      </c>
      <c r="AI51" t="s">
        <v>9843</v>
      </c>
      <c r="AJ51" t="s">
        <v>1136</v>
      </c>
      <c r="AK51" t="s">
        <v>1826</v>
      </c>
      <c r="AL51" t="s">
        <v>36</v>
      </c>
      <c r="AM51" s="162" t="s">
        <v>10138</v>
      </c>
      <c r="AN51" t="s">
        <v>9843</v>
      </c>
      <c r="AO51" t="s">
        <v>1136</v>
      </c>
      <c r="AP51" t="s">
        <v>7</v>
      </c>
      <c r="AQ51" t="s">
        <v>9</v>
      </c>
      <c r="AR51" t="s">
        <v>7</v>
      </c>
      <c r="AS51" s="162" t="s">
        <v>7</v>
      </c>
      <c r="AT51" s="117" t="s">
        <v>7</v>
      </c>
      <c r="AU51" s="162" t="s">
        <v>7</v>
      </c>
      <c r="AV51" s="162" t="s">
        <v>7</v>
      </c>
      <c r="AW51" s="162" t="s">
        <v>9851</v>
      </c>
      <c r="AX51" s="162" t="s">
        <v>7</v>
      </c>
      <c r="AY51" s="162" t="s">
        <v>7</v>
      </c>
      <c r="AZ51" t="s">
        <v>7</v>
      </c>
      <c r="BA51" s="162" t="s">
        <v>7</v>
      </c>
      <c r="BB51" s="162" t="s">
        <v>7</v>
      </c>
      <c r="BC51" s="162" t="s">
        <v>7</v>
      </c>
      <c r="BD51" s="162" t="s">
        <v>7</v>
      </c>
      <c r="BE51" s="162" t="s">
        <v>7</v>
      </c>
      <c r="BF51" s="162" t="str">
        <f t="shared" si="0"/>
        <v>Sim</v>
      </c>
      <c r="BG51" s="162" t="str">
        <f t="shared" si="1"/>
        <v>Não</v>
      </c>
      <c r="BH51" s="162" t="s">
        <v>7</v>
      </c>
      <c r="BI51" t="s">
        <v>9870</v>
      </c>
      <c r="BJ51" s="162" t="s">
        <v>10164</v>
      </c>
      <c r="BK51" t="s">
        <v>10</v>
      </c>
      <c r="BL51" s="162">
        <v>20</v>
      </c>
      <c r="BM51" t="s">
        <v>35</v>
      </c>
      <c r="BN51" t="s">
        <v>1279</v>
      </c>
      <c r="BO51" t="s">
        <v>1331</v>
      </c>
      <c r="BP51" s="162">
        <v>32</v>
      </c>
      <c r="BQ51" t="s">
        <v>9851</v>
      </c>
      <c r="BR51" t="s">
        <v>35</v>
      </c>
      <c r="BS51" s="162" t="s">
        <v>35</v>
      </c>
    </row>
    <row r="52" spans="1:71">
      <c r="A52" s="162">
        <v>51</v>
      </c>
      <c r="B52" t="s">
        <v>402</v>
      </c>
      <c r="C52" s="162">
        <v>1</v>
      </c>
      <c r="D52" s="122" t="s">
        <v>615</v>
      </c>
      <c r="E52" t="s">
        <v>936</v>
      </c>
      <c r="F52" t="s">
        <v>3</v>
      </c>
      <c r="G52" t="s">
        <v>411</v>
      </c>
      <c r="H52" t="s">
        <v>937</v>
      </c>
      <c r="I52" s="162">
        <v>1</v>
      </c>
      <c r="J52" t="s">
        <v>76</v>
      </c>
      <c r="K52" t="s">
        <v>3</v>
      </c>
      <c r="L52" s="165">
        <v>35398</v>
      </c>
      <c r="M52" s="166">
        <v>20</v>
      </c>
      <c r="N52" t="s">
        <v>1093</v>
      </c>
      <c r="O52" t="s">
        <v>10135</v>
      </c>
      <c r="P52" t="s">
        <v>48</v>
      </c>
      <c r="Q52" t="s">
        <v>1153</v>
      </c>
      <c r="R52" t="s">
        <v>1155</v>
      </c>
      <c r="S52" s="162">
        <v>19.3</v>
      </c>
      <c r="T52" t="s">
        <v>1154</v>
      </c>
      <c r="U52" s="162">
        <v>45.4</v>
      </c>
      <c r="V52">
        <v>0</v>
      </c>
      <c r="W52" s="162">
        <v>0</v>
      </c>
      <c r="X52">
        <v>0</v>
      </c>
      <c r="Y52" s="162">
        <v>0</v>
      </c>
      <c r="Z52">
        <v>0</v>
      </c>
      <c r="AA52" s="162">
        <v>0</v>
      </c>
      <c r="AB52">
        <v>0</v>
      </c>
      <c r="AC52" s="162" t="s">
        <v>7</v>
      </c>
      <c r="AD52" s="162" t="s">
        <v>7</v>
      </c>
      <c r="AE52" s="162" t="s">
        <v>7</v>
      </c>
      <c r="AF52" s="162" t="s">
        <v>7</v>
      </c>
      <c r="AG52" s="162" t="s">
        <v>7</v>
      </c>
      <c r="AH52" s="162" t="s">
        <v>7</v>
      </c>
      <c r="AI52" t="s">
        <v>9843</v>
      </c>
      <c r="AJ52" t="s">
        <v>7</v>
      </c>
      <c r="AK52" t="s">
        <v>9838</v>
      </c>
      <c r="AL52" t="s">
        <v>36</v>
      </c>
      <c r="AM52" s="162" t="s">
        <v>10138</v>
      </c>
      <c r="AN52" t="s">
        <v>9843</v>
      </c>
      <c r="AO52" t="s">
        <v>35</v>
      </c>
      <c r="AP52" t="s">
        <v>7</v>
      </c>
      <c r="AQ52" t="s">
        <v>9</v>
      </c>
      <c r="AR52" t="s">
        <v>7</v>
      </c>
      <c r="AS52" s="162" t="s">
        <v>7</v>
      </c>
      <c r="AT52" s="117" t="s">
        <v>7</v>
      </c>
      <c r="AU52" s="162" t="s">
        <v>7</v>
      </c>
      <c r="AV52" s="162" t="s">
        <v>7</v>
      </c>
      <c r="AW52" s="162" t="s">
        <v>9851</v>
      </c>
      <c r="AX52" s="162" t="s">
        <v>7</v>
      </c>
      <c r="AY52" s="162" t="s">
        <v>7</v>
      </c>
      <c r="AZ52" t="s">
        <v>7</v>
      </c>
      <c r="BA52" s="162" t="s">
        <v>7</v>
      </c>
      <c r="BB52" s="162" t="s">
        <v>7</v>
      </c>
      <c r="BC52" s="162" t="s">
        <v>7</v>
      </c>
      <c r="BD52" s="162" t="s">
        <v>7</v>
      </c>
      <c r="BE52" s="162" t="s">
        <v>7</v>
      </c>
      <c r="BF52" s="162" t="str">
        <f t="shared" si="0"/>
        <v>Sim</v>
      </c>
      <c r="BG52" s="162" t="str">
        <f t="shared" si="1"/>
        <v>Não</v>
      </c>
      <c r="BH52" s="162" t="s">
        <v>7</v>
      </c>
      <c r="BI52" t="s">
        <v>9870</v>
      </c>
      <c r="BJ52" s="162" t="s">
        <v>10164</v>
      </c>
      <c r="BK52" t="s">
        <v>10</v>
      </c>
      <c r="BL52" s="162">
        <v>20</v>
      </c>
      <c r="BM52" t="s">
        <v>35</v>
      </c>
      <c r="BN52" t="s">
        <v>35</v>
      </c>
      <c r="BO52" t="s">
        <v>10</v>
      </c>
      <c r="BP52" s="162">
        <v>20</v>
      </c>
      <c r="BQ52" t="s">
        <v>9851</v>
      </c>
      <c r="BR52" t="s">
        <v>35</v>
      </c>
      <c r="BS52" s="162" t="s">
        <v>35</v>
      </c>
    </row>
    <row r="53" spans="1:71">
      <c r="A53" s="162">
        <v>52</v>
      </c>
      <c r="B53" t="s">
        <v>1158</v>
      </c>
      <c r="C53" s="162">
        <v>1</v>
      </c>
      <c r="D53" s="122" t="s">
        <v>1028</v>
      </c>
      <c r="E53" t="s">
        <v>919</v>
      </c>
      <c r="F53" t="s">
        <v>3</v>
      </c>
      <c r="G53" t="s">
        <v>411</v>
      </c>
      <c r="H53" t="s">
        <v>1230</v>
      </c>
      <c r="I53" s="162">
        <v>1</v>
      </c>
      <c r="J53" t="s">
        <v>1855</v>
      </c>
      <c r="K53" t="s">
        <v>3</v>
      </c>
      <c r="L53" s="165">
        <v>34564</v>
      </c>
      <c r="M53" s="166">
        <v>22</v>
      </c>
      <c r="N53" t="s">
        <v>5</v>
      </c>
      <c r="O53" t="s">
        <v>10135</v>
      </c>
      <c r="P53" t="s">
        <v>1074</v>
      </c>
      <c r="Q53" t="s">
        <v>1231</v>
      </c>
      <c r="R53">
        <v>0</v>
      </c>
      <c r="S53" s="162">
        <v>0</v>
      </c>
      <c r="T53" t="s">
        <v>1232</v>
      </c>
      <c r="U53" s="162">
        <v>23.2</v>
      </c>
      <c r="V53">
        <v>0</v>
      </c>
      <c r="W53" s="162">
        <v>0</v>
      </c>
      <c r="X53">
        <v>0</v>
      </c>
      <c r="Y53" s="162">
        <v>0</v>
      </c>
      <c r="Z53">
        <v>0</v>
      </c>
      <c r="AA53" s="162">
        <v>0</v>
      </c>
      <c r="AB53">
        <v>0</v>
      </c>
      <c r="AC53" s="162" t="s">
        <v>7</v>
      </c>
      <c r="AD53" s="162" t="s">
        <v>7</v>
      </c>
      <c r="AE53" s="162" t="s">
        <v>7</v>
      </c>
      <c r="AF53" s="162" t="s">
        <v>7</v>
      </c>
      <c r="AG53" s="162" t="s">
        <v>7</v>
      </c>
      <c r="AH53" s="162" t="s">
        <v>7</v>
      </c>
      <c r="AI53" t="s">
        <v>9843</v>
      </c>
      <c r="AJ53" t="s">
        <v>7</v>
      </c>
      <c r="AK53" t="s">
        <v>9841</v>
      </c>
      <c r="AL53" t="s">
        <v>36</v>
      </c>
      <c r="AM53" s="162" t="s">
        <v>10138</v>
      </c>
      <c r="AN53" t="s">
        <v>9843</v>
      </c>
      <c r="AO53" t="s">
        <v>35</v>
      </c>
      <c r="AP53" t="s">
        <v>7</v>
      </c>
      <c r="AQ53" t="s">
        <v>9</v>
      </c>
      <c r="AR53" t="s">
        <v>7</v>
      </c>
      <c r="AS53" s="162" t="s">
        <v>7</v>
      </c>
      <c r="AT53" s="117" t="s">
        <v>7</v>
      </c>
      <c r="AU53" s="162" t="s">
        <v>7</v>
      </c>
      <c r="AV53" s="162" t="s">
        <v>7</v>
      </c>
      <c r="AW53" s="162" t="s">
        <v>9851</v>
      </c>
      <c r="AX53" s="162" t="s">
        <v>7</v>
      </c>
      <c r="AY53" s="162" t="s">
        <v>7</v>
      </c>
      <c r="AZ53" t="s">
        <v>7</v>
      </c>
      <c r="BA53" s="162" t="s">
        <v>7</v>
      </c>
      <c r="BB53" s="162" t="s">
        <v>7</v>
      </c>
      <c r="BC53" s="162" t="s">
        <v>7</v>
      </c>
      <c r="BD53" s="162" t="s">
        <v>7</v>
      </c>
      <c r="BE53" s="162" t="s">
        <v>7</v>
      </c>
      <c r="BF53" s="162" t="str">
        <f t="shared" si="0"/>
        <v>Sim</v>
      </c>
      <c r="BG53" s="162" t="str">
        <f t="shared" si="1"/>
        <v>Não</v>
      </c>
      <c r="BH53" s="162" t="s">
        <v>7</v>
      </c>
      <c r="BI53" t="s">
        <v>9870</v>
      </c>
      <c r="BJ53" s="162" t="s">
        <v>10164</v>
      </c>
      <c r="BK53" t="s">
        <v>10</v>
      </c>
      <c r="BL53" s="162">
        <v>20</v>
      </c>
      <c r="BM53" t="s">
        <v>35</v>
      </c>
      <c r="BN53" t="s">
        <v>35</v>
      </c>
      <c r="BO53" t="s">
        <v>10</v>
      </c>
      <c r="BP53" s="162">
        <v>20</v>
      </c>
      <c r="BQ53" t="s">
        <v>9851</v>
      </c>
      <c r="BR53" t="s">
        <v>35</v>
      </c>
      <c r="BS53" s="162" t="s">
        <v>35</v>
      </c>
    </row>
    <row r="54" spans="1:71">
      <c r="A54" s="162">
        <v>53</v>
      </c>
      <c r="B54" t="s">
        <v>334</v>
      </c>
      <c r="C54" s="162">
        <v>1</v>
      </c>
      <c r="D54" s="122">
        <v>42772</v>
      </c>
      <c r="E54" t="s">
        <v>847</v>
      </c>
      <c r="F54" t="s">
        <v>515</v>
      </c>
      <c r="G54" t="s">
        <v>335</v>
      </c>
      <c r="H54" t="s">
        <v>1897</v>
      </c>
      <c r="I54" s="162">
        <v>1</v>
      </c>
      <c r="J54" t="s">
        <v>1855</v>
      </c>
      <c r="K54" t="s">
        <v>3</v>
      </c>
      <c r="L54" s="165">
        <v>35169</v>
      </c>
      <c r="M54" s="166">
        <v>20</v>
      </c>
      <c r="N54" t="s">
        <v>5</v>
      </c>
      <c r="O54" t="s">
        <v>10135</v>
      </c>
      <c r="P54" t="s">
        <v>48</v>
      </c>
      <c r="Q54" t="s">
        <v>1393</v>
      </c>
      <c r="R54" t="s">
        <v>1984</v>
      </c>
      <c r="S54" s="162">
        <v>8</v>
      </c>
      <c r="T54" t="s">
        <v>1992</v>
      </c>
      <c r="U54" s="162">
        <v>8.1999999999999993</v>
      </c>
      <c r="V54">
        <v>0</v>
      </c>
      <c r="W54" s="162">
        <v>0</v>
      </c>
      <c r="X54">
        <v>0</v>
      </c>
      <c r="Y54" s="162">
        <v>0</v>
      </c>
      <c r="Z54">
        <v>0</v>
      </c>
      <c r="AA54" s="162">
        <v>0</v>
      </c>
      <c r="AB54">
        <v>0</v>
      </c>
      <c r="AC54" s="162" t="s">
        <v>7</v>
      </c>
      <c r="AD54" s="162" t="s">
        <v>7</v>
      </c>
      <c r="AE54" s="162" t="s">
        <v>7</v>
      </c>
      <c r="AF54" s="162" t="s">
        <v>7</v>
      </c>
      <c r="AG54" s="162" t="s">
        <v>7</v>
      </c>
      <c r="AH54" s="162" t="s">
        <v>7</v>
      </c>
      <c r="AI54" t="s">
        <v>9843</v>
      </c>
      <c r="AJ54" t="s">
        <v>7</v>
      </c>
      <c r="AK54" t="s">
        <v>1997</v>
      </c>
      <c r="AL54" t="s">
        <v>36</v>
      </c>
      <c r="AM54" s="162" t="s">
        <v>10138</v>
      </c>
      <c r="AN54" t="s">
        <v>9843</v>
      </c>
      <c r="AO54" t="s">
        <v>35</v>
      </c>
      <c r="AP54" t="s">
        <v>7</v>
      </c>
      <c r="AQ54" t="s">
        <v>9</v>
      </c>
      <c r="AR54" t="s">
        <v>7</v>
      </c>
      <c r="AS54" s="162" t="s">
        <v>7</v>
      </c>
      <c r="AT54" s="117" t="s">
        <v>7</v>
      </c>
      <c r="AU54" s="162" t="s">
        <v>7</v>
      </c>
      <c r="AV54" s="162" t="s">
        <v>7</v>
      </c>
      <c r="AW54" s="162" t="s">
        <v>9851</v>
      </c>
      <c r="AX54" s="162" t="s">
        <v>7</v>
      </c>
      <c r="AY54" s="162" t="s">
        <v>7</v>
      </c>
      <c r="AZ54" t="s">
        <v>7</v>
      </c>
      <c r="BA54" s="162" t="s">
        <v>7</v>
      </c>
      <c r="BB54" s="162" t="s">
        <v>7</v>
      </c>
      <c r="BC54" s="162" t="s">
        <v>7</v>
      </c>
      <c r="BD54" s="162" t="s">
        <v>7</v>
      </c>
      <c r="BE54" s="162" t="s">
        <v>7</v>
      </c>
      <c r="BF54" s="162" t="str">
        <f t="shared" si="0"/>
        <v>Sim</v>
      </c>
      <c r="BG54" s="162" t="str">
        <f t="shared" si="1"/>
        <v>Não</v>
      </c>
      <c r="BH54" s="162" t="s">
        <v>7</v>
      </c>
      <c r="BI54" t="s">
        <v>9870</v>
      </c>
      <c r="BJ54" s="162" t="s">
        <v>10164</v>
      </c>
      <c r="BK54" t="s">
        <v>10</v>
      </c>
      <c r="BL54" s="162">
        <v>20</v>
      </c>
      <c r="BM54" t="s">
        <v>35</v>
      </c>
      <c r="BN54" t="s">
        <v>35</v>
      </c>
      <c r="BO54" t="s">
        <v>10</v>
      </c>
      <c r="BP54" s="162">
        <v>20</v>
      </c>
      <c r="BQ54" t="s">
        <v>7</v>
      </c>
      <c r="BR54" t="s">
        <v>1849</v>
      </c>
      <c r="BS54" s="162" t="s">
        <v>10170</v>
      </c>
    </row>
    <row r="55" spans="1:71">
      <c r="A55" s="162">
        <v>54</v>
      </c>
      <c r="B55" t="s">
        <v>133</v>
      </c>
      <c r="C55" s="162">
        <v>1</v>
      </c>
      <c r="D55" s="122" t="s">
        <v>518</v>
      </c>
      <c r="E55" t="s">
        <v>516</v>
      </c>
      <c r="F55" t="s">
        <v>3</v>
      </c>
      <c r="G55" t="s">
        <v>140</v>
      </c>
      <c r="H55" t="s">
        <v>519</v>
      </c>
      <c r="I55" s="162">
        <v>1</v>
      </c>
      <c r="J55" t="s">
        <v>1855</v>
      </c>
      <c r="K55" t="s">
        <v>3</v>
      </c>
      <c r="L55" s="165">
        <v>33304</v>
      </c>
      <c r="M55" s="166">
        <v>26</v>
      </c>
      <c r="N55" t="s">
        <v>5</v>
      </c>
      <c r="O55" t="s">
        <v>10135</v>
      </c>
      <c r="P55" t="s">
        <v>48</v>
      </c>
      <c r="Q55" t="s">
        <v>1108</v>
      </c>
      <c r="R55" t="s">
        <v>1109</v>
      </c>
      <c r="S55" s="162">
        <v>51.4</v>
      </c>
      <c r="T55" t="s">
        <v>1110</v>
      </c>
      <c r="U55" s="162">
        <v>22</v>
      </c>
      <c r="V55">
        <v>0</v>
      </c>
      <c r="W55" s="162">
        <v>0</v>
      </c>
      <c r="X55">
        <v>0</v>
      </c>
      <c r="Y55" s="162">
        <v>0</v>
      </c>
      <c r="Z55">
        <v>0</v>
      </c>
      <c r="AA55" s="162">
        <v>0</v>
      </c>
      <c r="AB55">
        <v>0</v>
      </c>
      <c r="AC55" s="162" t="s">
        <v>7</v>
      </c>
      <c r="AD55" s="162" t="s">
        <v>7</v>
      </c>
      <c r="AE55" s="162" t="s">
        <v>7</v>
      </c>
      <c r="AF55" s="162" t="s">
        <v>7</v>
      </c>
      <c r="AG55" s="162" t="s">
        <v>7</v>
      </c>
      <c r="AH55" s="162" t="s">
        <v>7</v>
      </c>
      <c r="AI55" t="s">
        <v>9843</v>
      </c>
      <c r="AJ55" t="s">
        <v>7</v>
      </c>
      <c r="AK55" t="s">
        <v>9798</v>
      </c>
      <c r="AL55" t="s">
        <v>36</v>
      </c>
      <c r="AM55" s="162" t="s">
        <v>10138</v>
      </c>
      <c r="AN55" t="s">
        <v>9843</v>
      </c>
      <c r="AO55" t="s">
        <v>35</v>
      </c>
      <c r="AP55" t="s">
        <v>7</v>
      </c>
      <c r="AQ55" t="s">
        <v>9</v>
      </c>
      <c r="AR55" t="s">
        <v>7</v>
      </c>
      <c r="AS55" s="162" t="s">
        <v>7</v>
      </c>
      <c r="AT55" s="117" t="s">
        <v>7</v>
      </c>
      <c r="AU55" s="162" t="s">
        <v>7</v>
      </c>
      <c r="AV55" s="162" t="s">
        <v>7</v>
      </c>
      <c r="AW55" s="162" t="s">
        <v>9851</v>
      </c>
      <c r="AX55" s="162" t="s">
        <v>7</v>
      </c>
      <c r="AY55" s="162" t="s">
        <v>7</v>
      </c>
      <c r="AZ55" t="s">
        <v>7</v>
      </c>
      <c r="BA55" s="162" t="s">
        <v>7</v>
      </c>
      <c r="BB55" s="162" t="s">
        <v>7</v>
      </c>
      <c r="BC55" s="162" t="s">
        <v>7</v>
      </c>
      <c r="BD55" s="162" t="s">
        <v>7</v>
      </c>
      <c r="BE55" s="162" t="s">
        <v>7</v>
      </c>
      <c r="BF55" s="162" t="str">
        <f t="shared" si="0"/>
        <v>Sim</v>
      </c>
      <c r="BG55" s="162" t="str">
        <f t="shared" si="1"/>
        <v>Não</v>
      </c>
      <c r="BH55" s="162" t="s">
        <v>7</v>
      </c>
      <c r="BI55" t="s">
        <v>9870</v>
      </c>
      <c r="BJ55" s="162" t="s">
        <v>10164</v>
      </c>
      <c r="BK55" t="s">
        <v>10</v>
      </c>
      <c r="BL55" s="162">
        <v>20</v>
      </c>
      <c r="BM55" t="s">
        <v>35</v>
      </c>
      <c r="BN55" t="s">
        <v>35</v>
      </c>
      <c r="BO55" t="s">
        <v>10</v>
      </c>
      <c r="BP55" s="162">
        <v>20</v>
      </c>
      <c r="BQ55" t="s">
        <v>7</v>
      </c>
      <c r="BR55" t="s">
        <v>37</v>
      </c>
      <c r="BS55" s="162" t="s">
        <v>37</v>
      </c>
    </row>
    <row r="56" spans="1:71">
      <c r="A56" s="162">
        <v>55</v>
      </c>
      <c r="B56" t="s">
        <v>133</v>
      </c>
      <c r="C56" s="162">
        <v>0</v>
      </c>
      <c r="D56" s="122" t="s">
        <v>518</v>
      </c>
      <c r="E56" t="s">
        <v>516</v>
      </c>
      <c r="F56" t="s">
        <v>3</v>
      </c>
      <c r="G56" t="s">
        <v>140</v>
      </c>
      <c r="H56" t="s">
        <v>520</v>
      </c>
      <c r="I56" s="162">
        <v>1</v>
      </c>
      <c r="J56" t="s">
        <v>1855</v>
      </c>
      <c r="K56" t="s">
        <v>3</v>
      </c>
      <c r="L56" s="165">
        <v>33968</v>
      </c>
      <c r="M56" s="166">
        <v>24</v>
      </c>
      <c r="N56" t="s">
        <v>5</v>
      </c>
      <c r="O56" t="s">
        <v>10135</v>
      </c>
      <c r="P56" t="s">
        <v>48</v>
      </c>
      <c r="Q56" t="s">
        <v>1108</v>
      </c>
      <c r="R56" t="s">
        <v>1109</v>
      </c>
      <c r="S56" s="162">
        <v>51.4</v>
      </c>
      <c r="T56" t="s">
        <v>1110</v>
      </c>
      <c r="U56" s="162">
        <v>22</v>
      </c>
      <c r="V56">
        <v>0</v>
      </c>
      <c r="W56" s="162">
        <v>0</v>
      </c>
      <c r="X56">
        <v>0</v>
      </c>
      <c r="Y56" s="162">
        <v>0</v>
      </c>
      <c r="Z56">
        <v>0</v>
      </c>
      <c r="AA56" s="162">
        <v>0</v>
      </c>
      <c r="AB56">
        <v>0</v>
      </c>
      <c r="AC56" s="162" t="s">
        <v>7</v>
      </c>
      <c r="AD56" s="162" t="s">
        <v>7</v>
      </c>
      <c r="AE56" s="162" t="s">
        <v>7</v>
      </c>
      <c r="AF56" s="162" t="s">
        <v>7</v>
      </c>
      <c r="AG56" s="162" t="s">
        <v>7</v>
      </c>
      <c r="AH56" s="162" t="s">
        <v>7</v>
      </c>
      <c r="AI56" t="s">
        <v>9843</v>
      </c>
      <c r="AJ56" t="s">
        <v>7</v>
      </c>
      <c r="AK56" t="s">
        <v>9798</v>
      </c>
      <c r="AL56" t="s">
        <v>36</v>
      </c>
      <c r="AM56" s="162" t="s">
        <v>10138</v>
      </c>
      <c r="AN56" t="s">
        <v>9843</v>
      </c>
      <c r="AO56" t="s">
        <v>35</v>
      </c>
      <c r="AP56" t="s">
        <v>7</v>
      </c>
      <c r="AQ56" t="s">
        <v>9</v>
      </c>
      <c r="AR56" t="s">
        <v>7</v>
      </c>
      <c r="AS56" s="162" t="s">
        <v>7</v>
      </c>
      <c r="AT56" s="117" t="s">
        <v>7</v>
      </c>
      <c r="AU56" s="162" t="s">
        <v>7</v>
      </c>
      <c r="AV56" s="162" t="s">
        <v>7</v>
      </c>
      <c r="AW56" s="162" t="s">
        <v>9851</v>
      </c>
      <c r="AX56" s="162" t="s">
        <v>7</v>
      </c>
      <c r="AY56" s="162" t="s">
        <v>7</v>
      </c>
      <c r="AZ56" t="s">
        <v>7</v>
      </c>
      <c r="BA56" s="162" t="s">
        <v>7</v>
      </c>
      <c r="BB56" s="162" t="s">
        <v>7</v>
      </c>
      <c r="BC56" s="162" t="s">
        <v>7</v>
      </c>
      <c r="BD56" s="162" t="s">
        <v>7</v>
      </c>
      <c r="BE56" s="162" t="s">
        <v>7</v>
      </c>
      <c r="BF56" s="162" t="str">
        <f t="shared" si="0"/>
        <v>Sim</v>
      </c>
      <c r="BG56" s="162" t="str">
        <f t="shared" si="1"/>
        <v>Não</v>
      </c>
      <c r="BH56" s="162" t="s">
        <v>7</v>
      </c>
      <c r="BI56" t="s">
        <v>9870</v>
      </c>
      <c r="BJ56" s="162" t="s">
        <v>10164</v>
      </c>
      <c r="BK56" t="s">
        <v>10</v>
      </c>
      <c r="BL56" s="162">
        <v>20</v>
      </c>
      <c r="BM56" t="s">
        <v>35</v>
      </c>
      <c r="BN56" t="s">
        <v>35</v>
      </c>
      <c r="BO56" t="s">
        <v>10</v>
      </c>
      <c r="BP56" s="162">
        <v>20</v>
      </c>
      <c r="BQ56" t="s">
        <v>7</v>
      </c>
      <c r="BR56" t="s">
        <v>37</v>
      </c>
      <c r="BS56" s="162" t="s">
        <v>37</v>
      </c>
    </row>
    <row r="57" spans="1:71">
      <c r="A57" s="162">
        <v>56</v>
      </c>
      <c r="B57" t="s">
        <v>413</v>
      </c>
      <c r="C57" s="162">
        <v>1</v>
      </c>
      <c r="D57" s="122" t="s">
        <v>688</v>
      </c>
      <c r="E57" t="s">
        <v>603</v>
      </c>
      <c r="F57" t="s">
        <v>515</v>
      </c>
      <c r="G57" t="s">
        <v>426</v>
      </c>
      <c r="H57" t="s">
        <v>976</v>
      </c>
      <c r="I57" s="162">
        <v>1</v>
      </c>
      <c r="J57" t="s">
        <v>1855</v>
      </c>
      <c r="K57" t="s">
        <v>3</v>
      </c>
      <c r="L57" s="165">
        <v>35233</v>
      </c>
      <c r="M57" s="166">
        <v>21</v>
      </c>
      <c r="N57" t="s">
        <v>5</v>
      </c>
      <c r="O57" t="s">
        <v>10135</v>
      </c>
      <c r="P57" t="s">
        <v>1074</v>
      </c>
      <c r="Q57" t="s">
        <v>1541</v>
      </c>
      <c r="R57">
        <v>0</v>
      </c>
      <c r="S57" s="162">
        <v>0</v>
      </c>
      <c r="T57" t="s">
        <v>1542</v>
      </c>
      <c r="U57" s="162">
        <v>21.1</v>
      </c>
      <c r="V57">
        <v>0</v>
      </c>
      <c r="W57" s="162">
        <v>0</v>
      </c>
      <c r="X57">
        <v>0</v>
      </c>
      <c r="Y57" s="162">
        <v>0</v>
      </c>
      <c r="Z57">
        <v>0</v>
      </c>
      <c r="AA57" s="162">
        <v>0</v>
      </c>
      <c r="AB57">
        <v>0</v>
      </c>
      <c r="AC57" s="162" t="s">
        <v>7</v>
      </c>
      <c r="AD57" s="162" t="s">
        <v>7</v>
      </c>
      <c r="AE57" s="162" t="s">
        <v>7</v>
      </c>
      <c r="AF57" s="162" t="s">
        <v>7</v>
      </c>
      <c r="AG57" s="162" t="s">
        <v>7</v>
      </c>
      <c r="AH57" s="162" t="s">
        <v>7</v>
      </c>
      <c r="AI57" t="s">
        <v>9843</v>
      </c>
      <c r="AJ57" t="s">
        <v>7</v>
      </c>
      <c r="AK57" t="s">
        <v>80</v>
      </c>
      <c r="AL57" t="s">
        <v>36</v>
      </c>
      <c r="AM57" s="162" t="s">
        <v>10138</v>
      </c>
      <c r="AN57" t="s">
        <v>9843</v>
      </c>
      <c r="AO57" t="s">
        <v>35</v>
      </c>
      <c r="AP57" t="s">
        <v>7</v>
      </c>
      <c r="AQ57" t="s">
        <v>9</v>
      </c>
      <c r="AR57" t="s">
        <v>7</v>
      </c>
      <c r="AS57" s="162" t="s">
        <v>7</v>
      </c>
      <c r="AT57" s="117" t="s">
        <v>7</v>
      </c>
      <c r="AU57" s="162" t="s">
        <v>7</v>
      </c>
      <c r="AV57" s="162" t="s">
        <v>7</v>
      </c>
      <c r="AW57" s="162" t="s">
        <v>9851</v>
      </c>
      <c r="AX57" s="162" t="s">
        <v>7</v>
      </c>
      <c r="AY57" s="162" t="s">
        <v>7</v>
      </c>
      <c r="AZ57" t="s">
        <v>7</v>
      </c>
      <c r="BA57" s="162" t="s">
        <v>7</v>
      </c>
      <c r="BB57" s="162" t="s">
        <v>7</v>
      </c>
      <c r="BC57" s="162" t="s">
        <v>7</v>
      </c>
      <c r="BD57" s="162" t="s">
        <v>7</v>
      </c>
      <c r="BE57" s="162" t="s">
        <v>7</v>
      </c>
      <c r="BF57" s="162" t="str">
        <f t="shared" si="0"/>
        <v>Sim</v>
      </c>
      <c r="BG57" s="162" t="str">
        <f t="shared" si="1"/>
        <v>Não</v>
      </c>
      <c r="BH57" s="162" t="s">
        <v>7</v>
      </c>
      <c r="BI57" t="s">
        <v>9870</v>
      </c>
      <c r="BJ57" s="162" t="s">
        <v>10164</v>
      </c>
      <c r="BK57" t="s">
        <v>10</v>
      </c>
      <c r="BL57" s="162">
        <v>20</v>
      </c>
      <c r="BM57" t="s">
        <v>35</v>
      </c>
      <c r="BN57" t="s">
        <v>35</v>
      </c>
      <c r="BO57" t="s">
        <v>10</v>
      </c>
      <c r="BP57" s="162">
        <v>20</v>
      </c>
      <c r="BQ57" t="s">
        <v>7</v>
      </c>
      <c r="BR57" t="s">
        <v>1849</v>
      </c>
      <c r="BS57" s="162" t="s">
        <v>10170</v>
      </c>
    </row>
    <row r="58" spans="1:71">
      <c r="A58" s="162">
        <v>57</v>
      </c>
      <c r="B58" t="s">
        <v>446</v>
      </c>
      <c r="C58" s="162">
        <v>1</v>
      </c>
      <c r="D58" s="122" t="s">
        <v>921</v>
      </c>
      <c r="E58" t="s">
        <v>1006</v>
      </c>
      <c r="F58" t="s">
        <v>3</v>
      </c>
      <c r="G58" t="s">
        <v>450</v>
      </c>
      <c r="H58" t="s">
        <v>1011</v>
      </c>
      <c r="I58" s="162">
        <v>1</v>
      </c>
      <c r="J58" t="s">
        <v>1855</v>
      </c>
      <c r="K58" t="s">
        <v>3</v>
      </c>
      <c r="L58" s="165">
        <v>34163</v>
      </c>
      <c r="M58" s="166">
        <v>23</v>
      </c>
      <c r="N58" t="s">
        <v>5</v>
      </c>
      <c r="O58" t="s">
        <v>10135</v>
      </c>
      <c r="P58" t="s">
        <v>41</v>
      </c>
      <c r="Q58" t="s">
        <v>1210</v>
      </c>
      <c r="R58">
        <v>0</v>
      </c>
      <c r="S58" s="162">
        <v>0</v>
      </c>
      <c r="T58" t="s">
        <v>1953</v>
      </c>
      <c r="U58" s="162">
        <v>7.1</v>
      </c>
      <c r="V58">
        <v>0</v>
      </c>
      <c r="W58" s="162">
        <v>0</v>
      </c>
      <c r="X58">
        <v>0</v>
      </c>
      <c r="Y58" s="162">
        <v>0</v>
      </c>
      <c r="Z58">
        <v>0</v>
      </c>
      <c r="AA58" s="162">
        <v>0</v>
      </c>
      <c r="AB58">
        <v>0</v>
      </c>
      <c r="AC58" s="162" t="s">
        <v>7</v>
      </c>
      <c r="AD58" s="162" t="s">
        <v>7</v>
      </c>
      <c r="AE58" s="162" t="s">
        <v>7</v>
      </c>
      <c r="AF58" s="162" t="s">
        <v>7</v>
      </c>
      <c r="AG58" s="162" t="s">
        <v>7</v>
      </c>
      <c r="AH58" s="162" t="s">
        <v>7</v>
      </c>
      <c r="AI58" t="s">
        <v>9843</v>
      </c>
      <c r="AJ58" t="s">
        <v>7</v>
      </c>
      <c r="AK58" t="s">
        <v>1098</v>
      </c>
      <c r="AL58" t="s">
        <v>36</v>
      </c>
      <c r="AM58" s="162" t="s">
        <v>10138</v>
      </c>
      <c r="AN58" t="s">
        <v>9843</v>
      </c>
      <c r="AO58" t="s">
        <v>35</v>
      </c>
      <c r="AP58" t="s">
        <v>7</v>
      </c>
      <c r="AQ58" t="s">
        <v>9</v>
      </c>
      <c r="AR58" t="s">
        <v>7</v>
      </c>
      <c r="AS58" s="162" t="s">
        <v>7</v>
      </c>
      <c r="AT58" s="117" t="s">
        <v>7</v>
      </c>
      <c r="AU58" s="162" t="s">
        <v>7</v>
      </c>
      <c r="AV58" s="162" t="s">
        <v>7</v>
      </c>
      <c r="AW58" s="162" t="s">
        <v>9851</v>
      </c>
      <c r="AX58" s="162" t="s">
        <v>7</v>
      </c>
      <c r="AY58" s="162" t="s">
        <v>7</v>
      </c>
      <c r="AZ58" t="s">
        <v>7</v>
      </c>
      <c r="BA58" s="162" t="s">
        <v>7</v>
      </c>
      <c r="BB58" s="162" t="s">
        <v>7</v>
      </c>
      <c r="BC58" s="162" t="s">
        <v>7</v>
      </c>
      <c r="BD58" s="162" t="s">
        <v>7</v>
      </c>
      <c r="BE58" s="162" t="s">
        <v>7</v>
      </c>
      <c r="BF58" s="162" t="str">
        <f t="shared" si="0"/>
        <v>Sim</v>
      </c>
      <c r="BG58" s="162" t="str">
        <f t="shared" si="1"/>
        <v>Não</v>
      </c>
      <c r="BH58" s="162" t="s">
        <v>7</v>
      </c>
      <c r="BI58" t="s">
        <v>9870</v>
      </c>
      <c r="BJ58" s="162" t="s">
        <v>10164</v>
      </c>
      <c r="BK58" t="s">
        <v>10</v>
      </c>
      <c r="BL58" s="162">
        <v>20</v>
      </c>
      <c r="BM58" t="s">
        <v>35</v>
      </c>
      <c r="BN58" t="s">
        <v>35</v>
      </c>
      <c r="BO58" t="s">
        <v>10</v>
      </c>
      <c r="BP58" s="162">
        <v>20</v>
      </c>
      <c r="BQ58" t="s">
        <v>9851</v>
      </c>
      <c r="BR58" t="s">
        <v>35</v>
      </c>
      <c r="BS58" s="162" t="s">
        <v>35</v>
      </c>
    </row>
    <row r="59" spans="1:71">
      <c r="A59" s="162">
        <v>58</v>
      </c>
      <c r="B59" t="s">
        <v>446</v>
      </c>
      <c r="C59" s="162">
        <v>0</v>
      </c>
      <c r="D59" s="122" t="s">
        <v>921</v>
      </c>
      <c r="E59" t="s">
        <v>1006</v>
      </c>
      <c r="F59" t="s">
        <v>3</v>
      </c>
      <c r="G59" t="s">
        <v>450</v>
      </c>
      <c r="H59" t="s">
        <v>1012</v>
      </c>
      <c r="I59" s="162">
        <v>1</v>
      </c>
      <c r="J59" t="s">
        <v>1855</v>
      </c>
      <c r="K59" t="s">
        <v>515</v>
      </c>
      <c r="L59" s="165">
        <v>35297</v>
      </c>
      <c r="M59" s="166">
        <v>20</v>
      </c>
      <c r="N59" t="s">
        <v>5</v>
      </c>
      <c r="O59" t="s">
        <v>10135</v>
      </c>
      <c r="P59" t="s">
        <v>41</v>
      </c>
      <c r="Q59" t="s">
        <v>1186</v>
      </c>
      <c r="R59">
        <v>0</v>
      </c>
      <c r="S59" s="162">
        <v>0</v>
      </c>
      <c r="T59" t="s">
        <v>1953</v>
      </c>
      <c r="U59" s="162">
        <v>7.1</v>
      </c>
      <c r="V59">
        <v>0</v>
      </c>
      <c r="W59" s="162">
        <v>0</v>
      </c>
      <c r="X59">
        <v>0</v>
      </c>
      <c r="Y59" s="162">
        <v>0</v>
      </c>
      <c r="Z59">
        <v>0</v>
      </c>
      <c r="AA59" s="162">
        <v>0</v>
      </c>
      <c r="AB59">
        <v>0</v>
      </c>
      <c r="AC59" s="162" t="s">
        <v>7</v>
      </c>
      <c r="AD59" s="162" t="s">
        <v>7</v>
      </c>
      <c r="AE59" s="162" t="s">
        <v>7</v>
      </c>
      <c r="AF59" s="162" t="s">
        <v>7</v>
      </c>
      <c r="AG59" s="162" t="s">
        <v>7</v>
      </c>
      <c r="AH59" s="162" t="s">
        <v>7</v>
      </c>
      <c r="AI59" t="s">
        <v>9843</v>
      </c>
      <c r="AJ59" t="s">
        <v>7</v>
      </c>
      <c r="AK59" t="s">
        <v>1428</v>
      </c>
      <c r="AL59" t="s">
        <v>36</v>
      </c>
      <c r="AM59" s="162" t="s">
        <v>10138</v>
      </c>
      <c r="AN59" t="s">
        <v>9843</v>
      </c>
      <c r="AO59" t="s">
        <v>35</v>
      </c>
      <c r="AP59" t="s">
        <v>7</v>
      </c>
      <c r="AQ59" t="s">
        <v>9</v>
      </c>
      <c r="AR59" t="s">
        <v>7</v>
      </c>
      <c r="AS59" s="162" t="s">
        <v>7</v>
      </c>
      <c r="AT59" s="117" t="s">
        <v>7</v>
      </c>
      <c r="AU59" s="162" t="s">
        <v>7</v>
      </c>
      <c r="AV59" s="162" t="s">
        <v>7</v>
      </c>
      <c r="AW59" s="162" t="s">
        <v>9851</v>
      </c>
      <c r="AX59" s="162" t="s">
        <v>7</v>
      </c>
      <c r="AY59" s="162" t="s">
        <v>7</v>
      </c>
      <c r="AZ59" t="s">
        <v>7</v>
      </c>
      <c r="BA59" s="162" t="s">
        <v>7</v>
      </c>
      <c r="BB59" s="162" t="s">
        <v>7</v>
      </c>
      <c r="BC59" s="162" t="s">
        <v>7</v>
      </c>
      <c r="BD59" s="162" t="s">
        <v>7</v>
      </c>
      <c r="BE59" s="162" t="s">
        <v>7</v>
      </c>
      <c r="BF59" s="162" t="str">
        <f t="shared" si="0"/>
        <v>Sim</v>
      </c>
      <c r="BG59" s="162" t="str">
        <f t="shared" si="1"/>
        <v>Não</v>
      </c>
      <c r="BH59" s="162" t="s">
        <v>7</v>
      </c>
      <c r="BI59" t="s">
        <v>9870</v>
      </c>
      <c r="BJ59" s="162" t="s">
        <v>10164</v>
      </c>
      <c r="BK59" t="s">
        <v>10</v>
      </c>
      <c r="BL59" s="162">
        <v>20</v>
      </c>
      <c r="BM59" t="s">
        <v>35</v>
      </c>
      <c r="BN59" t="s">
        <v>35</v>
      </c>
      <c r="BO59" t="s">
        <v>10</v>
      </c>
      <c r="BP59" s="162">
        <v>20</v>
      </c>
      <c r="BQ59" t="s">
        <v>9851</v>
      </c>
      <c r="BR59" t="s">
        <v>35</v>
      </c>
      <c r="BS59" s="162" t="s">
        <v>35</v>
      </c>
    </row>
    <row r="60" spans="1:71">
      <c r="A60" s="162">
        <v>59</v>
      </c>
      <c r="B60" t="s">
        <v>344</v>
      </c>
      <c r="C60" s="162">
        <v>1</v>
      </c>
      <c r="D60" s="122" t="s">
        <v>489</v>
      </c>
      <c r="E60" t="s">
        <v>855</v>
      </c>
      <c r="F60" t="s">
        <v>515</v>
      </c>
      <c r="G60" t="s">
        <v>348</v>
      </c>
      <c r="H60" t="s">
        <v>869</v>
      </c>
      <c r="I60" s="162">
        <v>1</v>
      </c>
      <c r="J60" t="s">
        <v>76</v>
      </c>
      <c r="K60" t="s">
        <v>3</v>
      </c>
      <c r="L60" s="165">
        <v>34027</v>
      </c>
      <c r="M60" s="166">
        <v>24</v>
      </c>
      <c r="N60" t="s">
        <v>4</v>
      </c>
      <c r="O60" t="s">
        <v>10134</v>
      </c>
      <c r="P60" t="s">
        <v>48</v>
      </c>
      <c r="Q60" t="s">
        <v>1072</v>
      </c>
      <c r="R60" t="s">
        <v>1633</v>
      </c>
      <c r="S60" s="162">
        <v>66.099999999999994</v>
      </c>
      <c r="T60" t="s">
        <v>1632</v>
      </c>
      <c r="U60" s="162">
        <v>25.1</v>
      </c>
      <c r="V60">
        <v>0</v>
      </c>
      <c r="W60" s="162">
        <v>0</v>
      </c>
      <c r="X60">
        <v>0</v>
      </c>
      <c r="Y60" s="162">
        <v>0</v>
      </c>
      <c r="Z60">
        <v>0</v>
      </c>
      <c r="AA60" s="162">
        <v>0</v>
      </c>
      <c r="AB60">
        <v>0</v>
      </c>
      <c r="AC60" s="162" t="s">
        <v>7</v>
      </c>
      <c r="AD60" s="162" t="s">
        <v>7</v>
      </c>
      <c r="AE60" s="162" t="s">
        <v>7</v>
      </c>
      <c r="AF60" s="162" t="s">
        <v>7</v>
      </c>
      <c r="AG60" s="162" t="s">
        <v>7</v>
      </c>
      <c r="AH60" s="162" t="s">
        <v>7</v>
      </c>
      <c r="AI60" t="s">
        <v>9843</v>
      </c>
      <c r="AJ60" t="s">
        <v>7</v>
      </c>
      <c r="AK60" t="s">
        <v>1637</v>
      </c>
      <c r="AL60" t="s">
        <v>36</v>
      </c>
      <c r="AM60" s="162" t="s">
        <v>10138</v>
      </c>
      <c r="AN60" t="s">
        <v>9843</v>
      </c>
      <c r="AO60" t="s">
        <v>35</v>
      </c>
      <c r="AP60" t="s">
        <v>1214</v>
      </c>
      <c r="AQ60" t="s">
        <v>1100</v>
      </c>
      <c r="AR60" t="s">
        <v>7</v>
      </c>
      <c r="AS60" s="162" t="s">
        <v>7</v>
      </c>
      <c r="AT60" s="117" t="s">
        <v>1111</v>
      </c>
      <c r="AU60" s="162" t="s">
        <v>9851</v>
      </c>
      <c r="AV60" s="162" t="s">
        <v>7</v>
      </c>
      <c r="AW60" s="162" t="s">
        <v>7</v>
      </c>
      <c r="AX60" s="162" t="s">
        <v>7</v>
      </c>
      <c r="AY60" s="162" t="s">
        <v>9851</v>
      </c>
      <c r="AZ60" t="s">
        <v>7</v>
      </c>
      <c r="BA60" s="162" t="s">
        <v>7</v>
      </c>
      <c r="BB60" s="162" t="s">
        <v>7</v>
      </c>
      <c r="BC60" s="162" t="s">
        <v>7</v>
      </c>
      <c r="BD60" s="162" t="s">
        <v>7</v>
      </c>
      <c r="BE60" s="162" t="s">
        <v>7</v>
      </c>
      <c r="BF60" s="162" t="str">
        <f t="shared" si="0"/>
        <v>Sim</v>
      </c>
      <c r="BG60" s="162" t="str">
        <f t="shared" si="1"/>
        <v>Não</v>
      </c>
      <c r="BH60" s="162" t="s">
        <v>7</v>
      </c>
      <c r="BI60" t="s">
        <v>9870</v>
      </c>
      <c r="BJ60" s="162" t="s">
        <v>10164</v>
      </c>
      <c r="BK60" t="s">
        <v>10</v>
      </c>
      <c r="BL60" s="162">
        <v>20</v>
      </c>
      <c r="BM60" t="s">
        <v>35</v>
      </c>
      <c r="BN60" t="s">
        <v>35</v>
      </c>
      <c r="BO60" t="s">
        <v>10</v>
      </c>
      <c r="BP60" s="162">
        <v>20</v>
      </c>
      <c r="BQ60" t="s">
        <v>9851</v>
      </c>
      <c r="BR60" t="s">
        <v>35</v>
      </c>
      <c r="BS60" s="162" t="s">
        <v>35</v>
      </c>
    </row>
    <row r="61" spans="1:71">
      <c r="A61" s="162">
        <v>60</v>
      </c>
      <c r="B61" t="s">
        <v>469</v>
      </c>
      <c r="C61" s="162">
        <v>1</v>
      </c>
      <c r="D61" s="122" t="s">
        <v>931</v>
      </c>
      <c r="E61" t="s">
        <v>718</v>
      </c>
      <c r="F61" t="s">
        <v>515</v>
      </c>
      <c r="G61" t="s">
        <v>473</v>
      </c>
      <c r="H61" t="s">
        <v>1061</v>
      </c>
      <c r="I61" s="162">
        <v>1</v>
      </c>
      <c r="J61" t="s">
        <v>1855</v>
      </c>
      <c r="K61" t="s">
        <v>3</v>
      </c>
      <c r="L61" s="165">
        <v>32935</v>
      </c>
      <c r="M61" s="166">
        <v>27</v>
      </c>
      <c r="N61" t="s">
        <v>4</v>
      </c>
      <c r="O61" t="s">
        <v>10134</v>
      </c>
      <c r="P61" t="s">
        <v>48</v>
      </c>
      <c r="Q61" t="s">
        <v>1457</v>
      </c>
      <c r="R61" t="s">
        <v>1458</v>
      </c>
      <c r="S61" s="162">
        <v>32</v>
      </c>
      <c r="T61" t="s">
        <v>1459</v>
      </c>
      <c r="U61" s="162">
        <v>11.5</v>
      </c>
      <c r="V61">
        <v>0</v>
      </c>
      <c r="W61" s="162">
        <v>0</v>
      </c>
      <c r="X61">
        <v>0</v>
      </c>
      <c r="Y61" s="162">
        <v>0</v>
      </c>
      <c r="Z61">
        <v>0</v>
      </c>
      <c r="AA61" s="162">
        <v>0</v>
      </c>
      <c r="AB61">
        <v>0</v>
      </c>
      <c r="AC61" s="162" t="s">
        <v>7</v>
      </c>
      <c r="AD61" s="162" t="s">
        <v>7</v>
      </c>
      <c r="AE61" s="162" t="s">
        <v>7</v>
      </c>
      <c r="AF61" s="162" t="s">
        <v>7</v>
      </c>
      <c r="AG61" s="162" t="s">
        <v>7</v>
      </c>
      <c r="AH61" s="162" t="s">
        <v>7</v>
      </c>
      <c r="AI61" t="s">
        <v>9843</v>
      </c>
      <c r="AJ61" t="s">
        <v>7</v>
      </c>
      <c r="AK61" t="s">
        <v>1460</v>
      </c>
      <c r="AL61" t="s">
        <v>36</v>
      </c>
      <c r="AM61" s="162" t="s">
        <v>10138</v>
      </c>
      <c r="AN61" t="s">
        <v>9843</v>
      </c>
      <c r="AO61" t="s">
        <v>35</v>
      </c>
      <c r="AP61" t="s">
        <v>7</v>
      </c>
      <c r="AQ61" t="s">
        <v>9</v>
      </c>
      <c r="AR61" t="s">
        <v>7</v>
      </c>
      <c r="AS61" s="162" t="s">
        <v>7</v>
      </c>
      <c r="AT61" s="117" t="s">
        <v>7</v>
      </c>
      <c r="AU61" s="162" t="s">
        <v>7</v>
      </c>
      <c r="AV61" s="162" t="s">
        <v>7</v>
      </c>
      <c r="AW61" s="162" t="s">
        <v>9851</v>
      </c>
      <c r="AX61" s="162" t="s">
        <v>7</v>
      </c>
      <c r="AY61" s="162" t="s">
        <v>7</v>
      </c>
      <c r="AZ61" t="s">
        <v>7</v>
      </c>
      <c r="BA61" s="162" t="s">
        <v>7</v>
      </c>
      <c r="BB61" s="162" t="s">
        <v>7</v>
      </c>
      <c r="BC61" s="162" t="s">
        <v>7</v>
      </c>
      <c r="BD61" s="162" t="s">
        <v>7</v>
      </c>
      <c r="BE61" s="162" t="s">
        <v>7</v>
      </c>
      <c r="BF61" s="162" t="str">
        <f t="shared" si="0"/>
        <v>Sim</v>
      </c>
      <c r="BG61" s="162" t="str">
        <f t="shared" si="1"/>
        <v>Não</v>
      </c>
      <c r="BH61" s="162" t="s">
        <v>7</v>
      </c>
      <c r="BI61" t="s">
        <v>9870</v>
      </c>
      <c r="BJ61" s="162" t="s">
        <v>10164</v>
      </c>
      <c r="BK61" t="s">
        <v>10</v>
      </c>
      <c r="BL61" s="162">
        <v>20</v>
      </c>
      <c r="BM61" t="s">
        <v>35</v>
      </c>
      <c r="BN61" t="s">
        <v>35</v>
      </c>
      <c r="BO61" t="s">
        <v>10</v>
      </c>
      <c r="BP61" s="162">
        <v>20</v>
      </c>
      <c r="BQ61" t="s">
        <v>7</v>
      </c>
      <c r="BR61" t="s">
        <v>1114</v>
      </c>
      <c r="BS61" s="162" t="s">
        <v>1114</v>
      </c>
    </row>
    <row r="62" spans="1:71">
      <c r="A62" s="162">
        <v>61</v>
      </c>
      <c r="B62" t="s">
        <v>361</v>
      </c>
      <c r="C62" s="162">
        <v>1</v>
      </c>
      <c r="D62" s="122" t="s">
        <v>662</v>
      </c>
      <c r="E62" t="s">
        <v>951</v>
      </c>
      <c r="F62" t="s">
        <v>515</v>
      </c>
      <c r="G62" t="s">
        <v>364</v>
      </c>
      <c r="H62" t="s">
        <v>968</v>
      </c>
      <c r="I62" s="162">
        <v>1</v>
      </c>
      <c r="J62" t="s">
        <v>1855</v>
      </c>
      <c r="K62" t="s">
        <v>3</v>
      </c>
      <c r="L62" s="165">
        <v>35015</v>
      </c>
      <c r="M62" s="166">
        <v>21</v>
      </c>
      <c r="N62" t="s">
        <v>5</v>
      </c>
      <c r="O62" t="s">
        <v>10135</v>
      </c>
      <c r="P62" t="s">
        <v>77</v>
      </c>
      <c r="Q62" t="s">
        <v>1223</v>
      </c>
      <c r="R62">
        <v>0</v>
      </c>
      <c r="S62" s="162">
        <v>0</v>
      </c>
      <c r="T62" t="s">
        <v>1224</v>
      </c>
      <c r="U62" s="162">
        <v>19.399999999999999</v>
      </c>
      <c r="V62">
        <v>0</v>
      </c>
      <c r="W62" s="162">
        <v>0</v>
      </c>
      <c r="X62">
        <v>0</v>
      </c>
      <c r="Y62" s="162">
        <v>0</v>
      </c>
      <c r="Z62">
        <v>0</v>
      </c>
      <c r="AA62" s="162">
        <v>0</v>
      </c>
      <c r="AB62">
        <v>0</v>
      </c>
      <c r="AC62" s="162" t="s">
        <v>7</v>
      </c>
      <c r="AD62" s="162" t="s">
        <v>7</v>
      </c>
      <c r="AE62" s="162" t="s">
        <v>7</v>
      </c>
      <c r="AF62" s="162" t="s">
        <v>7</v>
      </c>
      <c r="AG62" s="162" t="s">
        <v>7</v>
      </c>
      <c r="AH62" s="162" t="s">
        <v>7</v>
      </c>
      <c r="AI62" t="s">
        <v>9843</v>
      </c>
      <c r="AJ62" t="s">
        <v>7</v>
      </c>
      <c r="AK62" t="s">
        <v>45</v>
      </c>
      <c r="AL62" t="s">
        <v>36</v>
      </c>
      <c r="AM62" s="162" t="s">
        <v>10138</v>
      </c>
      <c r="AN62" t="s">
        <v>9843</v>
      </c>
      <c r="AO62" t="s">
        <v>35</v>
      </c>
      <c r="AP62" t="s">
        <v>7</v>
      </c>
      <c r="AQ62" t="s">
        <v>9</v>
      </c>
      <c r="AR62" t="s">
        <v>7</v>
      </c>
      <c r="AS62" s="162" t="s">
        <v>7</v>
      </c>
      <c r="AT62" s="117" t="s">
        <v>7</v>
      </c>
      <c r="AU62" s="162" t="s">
        <v>7</v>
      </c>
      <c r="AV62" s="162" t="s">
        <v>7</v>
      </c>
      <c r="AW62" s="162" t="s">
        <v>9851</v>
      </c>
      <c r="AX62" s="162" t="s">
        <v>7</v>
      </c>
      <c r="AY62" s="162" t="s">
        <v>7</v>
      </c>
      <c r="AZ62" t="s">
        <v>7</v>
      </c>
      <c r="BA62" s="162" t="s">
        <v>7</v>
      </c>
      <c r="BB62" s="162" t="s">
        <v>7</v>
      </c>
      <c r="BC62" s="162" t="s">
        <v>7</v>
      </c>
      <c r="BD62" s="162" t="s">
        <v>7</v>
      </c>
      <c r="BE62" s="162" t="s">
        <v>7</v>
      </c>
      <c r="BF62" s="162" t="str">
        <f t="shared" si="0"/>
        <v>Sim</v>
      </c>
      <c r="BG62" s="162" t="str">
        <f t="shared" si="1"/>
        <v>Não</v>
      </c>
      <c r="BH62" s="162" t="s">
        <v>7</v>
      </c>
      <c r="BI62" t="s">
        <v>9870</v>
      </c>
      <c r="BJ62" s="162" t="s">
        <v>10164</v>
      </c>
      <c r="BK62" t="s">
        <v>10</v>
      </c>
      <c r="BL62" s="162">
        <v>20</v>
      </c>
      <c r="BM62" t="s">
        <v>35</v>
      </c>
      <c r="BN62" t="s">
        <v>35</v>
      </c>
      <c r="BO62" t="s">
        <v>10</v>
      </c>
      <c r="BP62" s="162">
        <v>20</v>
      </c>
      <c r="BQ62" t="s">
        <v>7</v>
      </c>
      <c r="BR62" t="s">
        <v>1114</v>
      </c>
      <c r="BS62" s="162" t="s">
        <v>1114</v>
      </c>
    </row>
    <row r="63" spans="1:71">
      <c r="A63" s="162">
        <v>62</v>
      </c>
      <c r="B63" t="s">
        <v>243</v>
      </c>
      <c r="C63" s="162">
        <v>1</v>
      </c>
      <c r="D63" s="122" t="s">
        <v>705</v>
      </c>
      <c r="E63" t="s">
        <v>706</v>
      </c>
      <c r="F63" t="s">
        <v>515</v>
      </c>
      <c r="G63" t="s">
        <v>251</v>
      </c>
      <c r="H63" t="s">
        <v>707</v>
      </c>
      <c r="I63" s="162">
        <v>1</v>
      </c>
      <c r="J63" t="s">
        <v>1855</v>
      </c>
      <c r="K63" t="s">
        <v>3</v>
      </c>
      <c r="L63" s="165">
        <v>27582</v>
      </c>
      <c r="M63" s="166">
        <v>42</v>
      </c>
      <c r="N63" t="s">
        <v>4</v>
      </c>
      <c r="O63" t="s">
        <v>10134</v>
      </c>
      <c r="P63" t="s">
        <v>77</v>
      </c>
      <c r="Q63" t="s">
        <v>1325</v>
      </c>
      <c r="R63" t="s">
        <v>1327</v>
      </c>
      <c r="S63" s="162">
        <v>42.8</v>
      </c>
      <c r="T63" t="s">
        <v>1326</v>
      </c>
      <c r="U63" s="162">
        <v>72.400000000000006</v>
      </c>
      <c r="V63">
        <v>0</v>
      </c>
      <c r="W63" s="162">
        <v>0</v>
      </c>
      <c r="X63">
        <v>0</v>
      </c>
      <c r="Y63" s="162">
        <v>0</v>
      </c>
      <c r="Z63">
        <v>0</v>
      </c>
      <c r="AA63" s="162">
        <v>0</v>
      </c>
      <c r="AB63">
        <v>0</v>
      </c>
      <c r="AC63" s="162" t="s">
        <v>7</v>
      </c>
      <c r="AD63" s="162" t="s">
        <v>7</v>
      </c>
      <c r="AE63" s="162" t="s">
        <v>7</v>
      </c>
      <c r="AF63" s="162" t="s">
        <v>7</v>
      </c>
      <c r="AG63" s="162" t="s">
        <v>7</v>
      </c>
      <c r="AH63" s="162" t="s">
        <v>7</v>
      </c>
      <c r="AI63" t="s">
        <v>9843</v>
      </c>
      <c r="AJ63" t="s">
        <v>7</v>
      </c>
      <c r="AK63" t="s">
        <v>1098</v>
      </c>
      <c r="AL63" t="s">
        <v>36</v>
      </c>
      <c r="AM63" s="162" t="s">
        <v>10138</v>
      </c>
      <c r="AN63" t="s">
        <v>9843</v>
      </c>
      <c r="AO63" t="s">
        <v>35</v>
      </c>
      <c r="AP63" t="s">
        <v>7</v>
      </c>
      <c r="AQ63" t="s">
        <v>9</v>
      </c>
      <c r="AR63" t="s">
        <v>7</v>
      </c>
      <c r="AS63" s="162" t="s">
        <v>7</v>
      </c>
      <c r="AT63" s="117" t="s">
        <v>7</v>
      </c>
      <c r="AU63" s="162" t="s">
        <v>7</v>
      </c>
      <c r="AV63" s="162" t="s">
        <v>7</v>
      </c>
      <c r="AW63" s="162" t="s">
        <v>9851</v>
      </c>
      <c r="AX63" s="162" t="s">
        <v>7</v>
      </c>
      <c r="AY63" s="162" t="s">
        <v>7</v>
      </c>
      <c r="AZ63" t="s">
        <v>7</v>
      </c>
      <c r="BA63" s="162" t="s">
        <v>7</v>
      </c>
      <c r="BB63" s="162" t="s">
        <v>7</v>
      </c>
      <c r="BC63" s="162" t="s">
        <v>7</v>
      </c>
      <c r="BD63" s="162" t="s">
        <v>7</v>
      </c>
      <c r="BE63" s="162" t="s">
        <v>7</v>
      </c>
      <c r="BF63" s="162" t="str">
        <f t="shared" si="0"/>
        <v>Sim</v>
      </c>
      <c r="BG63" s="162" t="str">
        <f t="shared" si="1"/>
        <v>Não</v>
      </c>
      <c r="BH63" s="162" t="s">
        <v>7</v>
      </c>
      <c r="BI63" t="s">
        <v>9870</v>
      </c>
      <c r="BJ63" s="162" t="s">
        <v>10164</v>
      </c>
      <c r="BK63" t="s">
        <v>10</v>
      </c>
      <c r="BL63" s="162">
        <v>20</v>
      </c>
      <c r="BM63" t="s">
        <v>35</v>
      </c>
      <c r="BN63" t="s">
        <v>35</v>
      </c>
      <c r="BO63" t="s">
        <v>10</v>
      </c>
      <c r="BP63" s="162">
        <v>20</v>
      </c>
      <c r="BQ63" t="s">
        <v>7</v>
      </c>
      <c r="BR63" t="s">
        <v>1849</v>
      </c>
      <c r="BS63" s="162" t="s">
        <v>10170</v>
      </c>
    </row>
    <row r="64" spans="1:71">
      <c r="A64" s="162">
        <v>63</v>
      </c>
      <c r="B64" t="s">
        <v>374</v>
      </c>
      <c r="C64" s="162">
        <v>1</v>
      </c>
      <c r="D64" s="122" t="s">
        <v>508</v>
      </c>
      <c r="E64" t="s">
        <v>881</v>
      </c>
      <c r="F64" t="s">
        <v>3</v>
      </c>
      <c r="G64" t="s">
        <v>378</v>
      </c>
      <c r="H64" t="s">
        <v>891</v>
      </c>
      <c r="I64" s="162">
        <v>1</v>
      </c>
      <c r="J64" t="s">
        <v>1855</v>
      </c>
      <c r="K64" t="s">
        <v>3</v>
      </c>
      <c r="L64" s="165">
        <v>34180</v>
      </c>
      <c r="M64" s="166">
        <v>24</v>
      </c>
      <c r="N64" t="s">
        <v>5</v>
      </c>
      <c r="O64" t="s">
        <v>10135</v>
      </c>
      <c r="P64" t="s">
        <v>1074</v>
      </c>
      <c r="Q64" t="s">
        <v>1798</v>
      </c>
      <c r="R64">
        <v>0</v>
      </c>
      <c r="S64" s="162">
        <v>0</v>
      </c>
      <c r="T64" t="s">
        <v>10010</v>
      </c>
      <c r="U64" s="162">
        <v>39</v>
      </c>
      <c r="V64">
        <v>0</v>
      </c>
      <c r="W64" s="162">
        <v>0</v>
      </c>
      <c r="X64">
        <v>0</v>
      </c>
      <c r="Y64" s="162">
        <v>0</v>
      </c>
      <c r="Z64">
        <v>0</v>
      </c>
      <c r="AA64" s="162">
        <v>0</v>
      </c>
      <c r="AB64">
        <v>0</v>
      </c>
      <c r="AC64" s="162" t="s">
        <v>7</v>
      </c>
      <c r="AD64" s="162" t="s">
        <v>7</v>
      </c>
      <c r="AE64" s="162" t="s">
        <v>7</v>
      </c>
      <c r="AF64" s="162" t="s">
        <v>7</v>
      </c>
      <c r="AG64" s="162" t="s">
        <v>7</v>
      </c>
      <c r="AH64" s="162" t="s">
        <v>7</v>
      </c>
      <c r="AI64" t="s">
        <v>9843</v>
      </c>
      <c r="AJ64" t="s">
        <v>7</v>
      </c>
      <c r="AK64" t="s">
        <v>1122</v>
      </c>
      <c r="AL64" t="s">
        <v>36</v>
      </c>
      <c r="AM64" s="162" t="s">
        <v>10138</v>
      </c>
      <c r="AN64" t="s">
        <v>9843</v>
      </c>
      <c r="AO64" t="s">
        <v>35</v>
      </c>
      <c r="AP64" t="s">
        <v>7</v>
      </c>
      <c r="AQ64" t="s">
        <v>9</v>
      </c>
      <c r="AR64" t="s">
        <v>7</v>
      </c>
      <c r="AS64" s="162" t="s">
        <v>7</v>
      </c>
      <c r="AT64" s="117" t="s">
        <v>7</v>
      </c>
      <c r="AU64" s="162" t="s">
        <v>7</v>
      </c>
      <c r="AV64" s="162" t="s">
        <v>7</v>
      </c>
      <c r="AW64" s="162" t="s">
        <v>9851</v>
      </c>
      <c r="AX64" s="162" t="s">
        <v>7</v>
      </c>
      <c r="AY64" s="162" t="s">
        <v>7</v>
      </c>
      <c r="AZ64" t="s">
        <v>7</v>
      </c>
      <c r="BA64" s="162" t="s">
        <v>7</v>
      </c>
      <c r="BB64" s="162" t="s">
        <v>7</v>
      </c>
      <c r="BC64" s="162" t="s">
        <v>7</v>
      </c>
      <c r="BD64" s="162" t="s">
        <v>7</v>
      </c>
      <c r="BE64" s="162" t="s">
        <v>7</v>
      </c>
      <c r="BF64" s="162" t="str">
        <f t="shared" si="0"/>
        <v>Sim</v>
      </c>
      <c r="BG64" s="162" t="str">
        <f t="shared" si="1"/>
        <v>Não</v>
      </c>
      <c r="BH64" s="162" t="s">
        <v>7</v>
      </c>
      <c r="BI64" t="s">
        <v>9870</v>
      </c>
      <c r="BJ64" s="162" t="s">
        <v>10164</v>
      </c>
      <c r="BK64" t="s">
        <v>10</v>
      </c>
      <c r="BL64" s="162">
        <v>20</v>
      </c>
      <c r="BM64" t="s">
        <v>35</v>
      </c>
      <c r="BN64" t="s">
        <v>35</v>
      </c>
      <c r="BO64" t="s">
        <v>10</v>
      </c>
      <c r="BP64" s="162">
        <v>20</v>
      </c>
      <c r="BQ64" t="s">
        <v>9851</v>
      </c>
      <c r="BR64" t="s">
        <v>35</v>
      </c>
      <c r="BS64" s="162" t="s">
        <v>35</v>
      </c>
    </row>
    <row r="65" spans="1:71">
      <c r="A65" s="162">
        <v>64</v>
      </c>
      <c r="B65" t="s">
        <v>134</v>
      </c>
      <c r="C65" s="162">
        <v>1</v>
      </c>
      <c r="D65" s="122" t="s">
        <v>521</v>
      </c>
      <c r="E65" t="s">
        <v>516</v>
      </c>
      <c r="F65" t="s">
        <v>3</v>
      </c>
      <c r="G65" t="s">
        <v>140</v>
      </c>
      <c r="H65" t="s">
        <v>522</v>
      </c>
      <c r="I65" s="162">
        <v>1</v>
      </c>
      <c r="J65" t="s">
        <v>76</v>
      </c>
      <c r="K65" t="s">
        <v>3</v>
      </c>
      <c r="L65" s="165">
        <v>30599</v>
      </c>
      <c r="M65" s="166">
        <v>33</v>
      </c>
      <c r="N65" t="s">
        <v>4</v>
      </c>
      <c r="O65" t="s">
        <v>10134</v>
      </c>
      <c r="P65" t="s">
        <v>18</v>
      </c>
      <c r="Q65" t="s">
        <v>1112</v>
      </c>
      <c r="R65">
        <v>0</v>
      </c>
      <c r="S65" s="162">
        <v>0</v>
      </c>
      <c r="T65" t="s">
        <v>1113</v>
      </c>
      <c r="U65" s="162">
        <v>261.5</v>
      </c>
      <c r="V65">
        <v>0</v>
      </c>
      <c r="W65" s="162">
        <v>0</v>
      </c>
      <c r="X65">
        <v>0</v>
      </c>
      <c r="Y65" s="162">
        <v>0</v>
      </c>
      <c r="Z65">
        <v>0</v>
      </c>
      <c r="AA65" s="162">
        <v>0</v>
      </c>
      <c r="AB65">
        <v>0</v>
      </c>
      <c r="AC65" s="162" t="s">
        <v>7</v>
      </c>
      <c r="AD65" s="162" t="s">
        <v>7</v>
      </c>
      <c r="AE65" s="162" t="s">
        <v>7</v>
      </c>
      <c r="AF65" s="162" t="s">
        <v>7</v>
      </c>
      <c r="AG65" s="162" t="s">
        <v>7</v>
      </c>
      <c r="AH65" s="162" t="s">
        <v>7</v>
      </c>
      <c r="AI65" t="s">
        <v>9843</v>
      </c>
      <c r="AJ65" t="s">
        <v>7</v>
      </c>
      <c r="AK65" t="s">
        <v>9799</v>
      </c>
      <c r="AL65" t="s">
        <v>36</v>
      </c>
      <c r="AM65" s="162" t="s">
        <v>10138</v>
      </c>
      <c r="AN65" t="s">
        <v>9843</v>
      </c>
      <c r="AO65" t="s">
        <v>35</v>
      </c>
      <c r="AP65" t="s">
        <v>7</v>
      </c>
      <c r="AQ65" t="s">
        <v>9</v>
      </c>
      <c r="AR65" t="s">
        <v>7</v>
      </c>
      <c r="AS65" s="162" t="s">
        <v>7</v>
      </c>
      <c r="AT65" s="117" t="s">
        <v>7</v>
      </c>
      <c r="AU65" s="162" t="s">
        <v>7</v>
      </c>
      <c r="AV65" s="162" t="s">
        <v>7</v>
      </c>
      <c r="AW65" s="162" t="s">
        <v>9851</v>
      </c>
      <c r="AX65" s="162" t="s">
        <v>7</v>
      </c>
      <c r="AY65" s="162" t="s">
        <v>7</v>
      </c>
      <c r="AZ65" t="s">
        <v>7</v>
      </c>
      <c r="BA65" s="162" t="s">
        <v>7</v>
      </c>
      <c r="BB65" s="162" t="s">
        <v>7</v>
      </c>
      <c r="BC65" s="162" t="s">
        <v>7</v>
      </c>
      <c r="BD65" s="162" t="s">
        <v>7</v>
      </c>
      <c r="BE65" s="162" t="s">
        <v>7</v>
      </c>
      <c r="BF65" s="162" t="str">
        <f t="shared" si="0"/>
        <v>Sim</v>
      </c>
      <c r="BG65" s="162" t="str">
        <f t="shared" si="1"/>
        <v>Não</v>
      </c>
      <c r="BH65" s="162" t="s">
        <v>7</v>
      </c>
      <c r="BI65" t="s">
        <v>9870</v>
      </c>
      <c r="BJ65" s="162" t="s">
        <v>10164</v>
      </c>
      <c r="BK65" t="s">
        <v>10</v>
      </c>
      <c r="BL65" s="162">
        <v>20</v>
      </c>
      <c r="BM65" t="s">
        <v>35</v>
      </c>
      <c r="BN65" t="s">
        <v>35</v>
      </c>
      <c r="BO65" t="s">
        <v>10</v>
      </c>
      <c r="BP65" s="162">
        <v>20</v>
      </c>
      <c r="BQ65" t="s">
        <v>7</v>
      </c>
      <c r="BR65" t="s">
        <v>1114</v>
      </c>
      <c r="BS65" s="162" t="s">
        <v>1114</v>
      </c>
    </row>
    <row r="66" spans="1:71">
      <c r="A66" s="162">
        <v>65</v>
      </c>
      <c r="B66" t="s">
        <v>368</v>
      </c>
      <c r="C66" s="162">
        <v>1</v>
      </c>
      <c r="D66" s="122" t="s">
        <v>879</v>
      </c>
      <c r="E66" t="s">
        <v>876</v>
      </c>
      <c r="F66" t="s">
        <v>515</v>
      </c>
      <c r="G66" t="s">
        <v>378</v>
      </c>
      <c r="H66" t="s">
        <v>880</v>
      </c>
      <c r="I66" s="162">
        <v>1</v>
      </c>
      <c r="J66" t="s">
        <v>1855</v>
      </c>
      <c r="K66" t="s">
        <v>3</v>
      </c>
      <c r="L66" s="165">
        <v>35834</v>
      </c>
      <c r="M66" s="166">
        <v>19</v>
      </c>
      <c r="N66" t="s">
        <v>5</v>
      </c>
      <c r="O66" t="s">
        <v>10135</v>
      </c>
      <c r="P66" t="s">
        <v>48</v>
      </c>
      <c r="Q66" t="s">
        <v>1789</v>
      </c>
      <c r="R66" t="s">
        <v>10001</v>
      </c>
      <c r="S66" s="162">
        <v>118.9</v>
      </c>
      <c r="T66" t="s">
        <v>10002</v>
      </c>
      <c r="U66" s="162">
        <v>24.7</v>
      </c>
      <c r="V66">
        <v>0</v>
      </c>
      <c r="W66" s="162">
        <v>0</v>
      </c>
      <c r="X66">
        <v>0</v>
      </c>
      <c r="Y66" s="162">
        <v>0</v>
      </c>
      <c r="Z66">
        <v>0</v>
      </c>
      <c r="AA66" s="162">
        <v>0</v>
      </c>
      <c r="AB66" t="s">
        <v>10003</v>
      </c>
      <c r="AC66" s="162" t="s">
        <v>7</v>
      </c>
      <c r="AD66" s="162" t="s">
        <v>7</v>
      </c>
      <c r="AE66" s="162" t="s">
        <v>9851</v>
      </c>
      <c r="AF66" s="162" t="s">
        <v>7</v>
      </c>
      <c r="AG66" s="162" t="s">
        <v>7</v>
      </c>
      <c r="AH66" s="162" t="s">
        <v>7</v>
      </c>
      <c r="AI66" t="s">
        <v>9843</v>
      </c>
      <c r="AJ66" t="s">
        <v>7</v>
      </c>
      <c r="AK66" t="s">
        <v>1790</v>
      </c>
      <c r="AL66" t="s">
        <v>36</v>
      </c>
      <c r="AM66" s="162" t="s">
        <v>10138</v>
      </c>
      <c r="AN66" t="s">
        <v>9843</v>
      </c>
      <c r="AO66" t="s">
        <v>35</v>
      </c>
      <c r="AP66" t="s">
        <v>7</v>
      </c>
      <c r="AQ66" t="s">
        <v>9</v>
      </c>
      <c r="AR66" t="s">
        <v>7</v>
      </c>
      <c r="AS66" s="162" t="s">
        <v>7</v>
      </c>
      <c r="AT66" s="117" t="s">
        <v>7</v>
      </c>
      <c r="AU66" s="162" t="s">
        <v>7</v>
      </c>
      <c r="AV66" s="162" t="s">
        <v>7</v>
      </c>
      <c r="AW66" s="162" t="s">
        <v>9851</v>
      </c>
      <c r="AX66" s="162" t="s">
        <v>7</v>
      </c>
      <c r="AY66" s="162" t="s">
        <v>7</v>
      </c>
      <c r="AZ66" t="s">
        <v>7</v>
      </c>
      <c r="BA66" s="162" t="s">
        <v>7</v>
      </c>
      <c r="BB66" s="162" t="s">
        <v>7</v>
      </c>
      <c r="BC66" s="162" t="s">
        <v>7</v>
      </c>
      <c r="BD66" s="162" t="s">
        <v>7</v>
      </c>
      <c r="BE66" s="162" t="s">
        <v>7</v>
      </c>
      <c r="BF66" s="162" t="str">
        <f t="shared" ref="BF66:BF129" si="2">IF(AZ66="Não","Sim","Não")</f>
        <v>Sim</v>
      </c>
      <c r="BG66" s="162" t="str">
        <f t="shared" ref="BG66:BG129" si="3">IF(AZ66="NA","Sim","Não")</f>
        <v>Não</v>
      </c>
      <c r="BH66" s="162" t="s">
        <v>7</v>
      </c>
      <c r="BI66" t="s">
        <v>9870</v>
      </c>
      <c r="BJ66" s="162" t="s">
        <v>10164</v>
      </c>
      <c r="BK66" t="s">
        <v>10</v>
      </c>
      <c r="BL66" s="162">
        <v>20</v>
      </c>
      <c r="BM66" t="s">
        <v>35</v>
      </c>
      <c r="BN66" t="s">
        <v>35</v>
      </c>
      <c r="BO66" t="s">
        <v>10</v>
      </c>
      <c r="BP66" s="162">
        <v>20</v>
      </c>
      <c r="BQ66" t="s">
        <v>7</v>
      </c>
      <c r="BR66" t="s">
        <v>37</v>
      </c>
      <c r="BS66" s="162" t="s">
        <v>37</v>
      </c>
    </row>
    <row r="67" spans="1:71">
      <c r="A67" s="162">
        <v>66</v>
      </c>
      <c r="B67" t="s">
        <v>1584</v>
      </c>
      <c r="C67" s="162">
        <v>1</v>
      </c>
      <c r="D67" s="122" t="s">
        <v>1585</v>
      </c>
      <c r="E67" t="s">
        <v>679</v>
      </c>
      <c r="F67" t="s">
        <v>3</v>
      </c>
      <c r="G67" t="s">
        <v>241</v>
      </c>
      <c r="H67" t="s">
        <v>1703</v>
      </c>
      <c r="I67" s="162">
        <v>1</v>
      </c>
      <c r="J67" t="s">
        <v>1855</v>
      </c>
      <c r="K67" t="s">
        <v>3</v>
      </c>
      <c r="L67" s="165">
        <v>34845</v>
      </c>
      <c r="M67" s="166">
        <v>21</v>
      </c>
      <c r="N67" t="s">
        <v>5</v>
      </c>
      <c r="O67" t="s">
        <v>10135</v>
      </c>
      <c r="P67" t="s">
        <v>48</v>
      </c>
      <c r="Q67" t="s">
        <v>1385</v>
      </c>
      <c r="R67">
        <v>0</v>
      </c>
      <c r="S67" s="162">
        <v>0</v>
      </c>
      <c r="T67" t="s">
        <v>9933</v>
      </c>
      <c r="U67" s="162">
        <v>43.4</v>
      </c>
      <c r="V67">
        <v>0</v>
      </c>
      <c r="W67" s="162">
        <v>0</v>
      </c>
      <c r="X67">
        <v>0</v>
      </c>
      <c r="Y67" s="162">
        <v>0</v>
      </c>
      <c r="Z67">
        <v>0</v>
      </c>
      <c r="AA67" s="162">
        <v>0</v>
      </c>
      <c r="AB67">
        <v>0</v>
      </c>
      <c r="AC67" s="162" t="s">
        <v>7</v>
      </c>
      <c r="AD67" s="162" t="s">
        <v>7</v>
      </c>
      <c r="AE67" s="162" t="s">
        <v>7</v>
      </c>
      <c r="AF67" s="162" t="s">
        <v>7</v>
      </c>
      <c r="AG67" s="162" t="s">
        <v>7</v>
      </c>
      <c r="AH67" s="162" t="s">
        <v>7</v>
      </c>
      <c r="AI67" t="s">
        <v>9843</v>
      </c>
      <c r="AJ67" t="s">
        <v>7</v>
      </c>
      <c r="AK67" t="s">
        <v>1098</v>
      </c>
      <c r="AL67" t="s">
        <v>36</v>
      </c>
      <c r="AM67" s="162" t="s">
        <v>10138</v>
      </c>
      <c r="AN67" t="s">
        <v>9843</v>
      </c>
      <c r="AO67" t="s">
        <v>35</v>
      </c>
      <c r="AP67" t="s">
        <v>7</v>
      </c>
      <c r="AQ67" t="s">
        <v>9</v>
      </c>
      <c r="AR67" t="s">
        <v>7</v>
      </c>
      <c r="AS67" s="162" t="s">
        <v>7</v>
      </c>
      <c r="AT67" s="117" t="s">
        <v>7</v>
      </c>
      <c r="AU67" s="162" t="s">
        <v>7</v>
      </c>
      <c r="AV67" s="162" t="s">
        <v>7</v>
      </c>
      <c r="AW67" s="162" t="s">
        <v>9851</v>
      </c>
      <c r="AX67" s="162" t="s">
        <v>7</v>
      </c>
      <c r="AY67" s="162" t="s">
        <v>7</v>
      </c>
      <c r="AZ67" t="s">
        <v>7</v>
      </c>
      <c r="BA67" s="162" t="s">
        <v>7</v>
      </c>
      <c r="BB67" s="162" t="s">
        <v>7</v>
      </c>
      <c r="BC67" s="162" t="s">
        <v>7</v>
      </c>
      <c r="BD67" s="162" t="s">
        <v>7</v>
      </c>
      <c r="BE67" s="162" t="s">
        <v>7</v>
      </c>
      <c r="BF67" s="162" t="str">
        <f t="shared" si="2"/>
        <v>Sim</v>
      </c>
      <c r="BG67" s="162" t="str">
        <f t="shared" si="3"/>
        <v>Não</v>
      </c>
      <c r="BH67" s="162" t="s">
        <v>7</v>
      </c>
      <c r="BI67" t="s">
        <v>9870</v>
      </c>
      <c r="BJ67" s="162" t="s">
        <v>10164</v>
      </c>
      <c r="BK67" t="s">
        <v>10</v>
      </c>
      <c r="BL67" s="162">
        <v>20</v>
      </c>
      <c r="BM67" t="s">
        <v>35</v>
      </c>
      <c r="BN67" t="s">
        <v>35</v>
      </c>
      <c r="BO67" t="s">
        <v>10</v>
      </c>
      <c r="BP67" s="162">
        <v>20</v>
      </c>
      <c r="BQ67" t="s">
        <v>9851</v>
      </c>
      <c r="BR67" t="s">
        <v>35</v>
      </c>
      <c r="BS67" s="162" t="s">
        <v>35</v>
      </c>
    </row>
    <row r="68" spans="1:71">
      <c r="A68" s="162">
        <v>67</v>
      </c>
      <c r="B68" t="s">
        <v>217</v>
      </c>
      <c r="C68" s="162">
        <v>1</v>
      </c>
      <c r="D68" s="122" t="s">
        <v>651</v>
      </c>
      <c r="E68" t="s">
        <v>772</v>
      </c>
      <c r="F68" t="s">
        <v>515</v>
      </c>
      <c r="G68" t="s">
        <v>225</v>
      </c>
      <c r="H68" t="s">
        <v>774</v>
      </c>
      <c r="I68" s="162">
        <v>1</v>
      </c>
      <c r="J68" t="s">
        <v>1855</v>
      </c>
      <c r="K68" t="s">
        <v>3</v>
      </c>
      <c r="L68" s="165">
        <v>34820</v>
      </c>
      <c r="M68" s="166">
        <v>22</v>
      </c>
      <c r="N68" t="s">
        <v>5</v>
      </c>
      <c r="O68" t="s">
        <v>10135</v>
      </c>
      <c r="P68" t="s">
        <v>48</v>
      </c>
      <c r="Q68" t="s">
        <v>1239</v>
      </c>
      <c r="R68" t="s">
        <v>9921</v>
      </c>
      <c r="S68" s="162">
        <v>132.69999999999999</v>
      </c>
      <c r="T68" t="s">
        <v>9922</v>
      </c>
      <c r="U68" s="162">
        <v>49.7</v>
      </c>
      <c r="V68">
        <v>0</v>
      </c>
      <c r="W68" s="162">
        <v>0</v>
      </c>
      <c r="X68">
        <v>0</v>
      </c>
      <c r="Y68" s="162">
        <v>0</v>
      </c>
      <c r="Z68">
        <v>0</v>
      </c>
      <c r="AA68" s="162">
        <v>0</v>
      </c>
      <c r="AB68" t="s">
        <v>9923</v>
      </c>
      <c r="AC68" s="162" t="s">
        <v>7</v>
      </c>
      <c r="AD68" s="162" t="s">
        <v>7</v>
      </c>
      <c r="AE68" s="162" t="s">
        <v>7</v>
      </c>
      <c r="AF68" s="162" t="s">
        <v>7</v>
      </c>
      <c r="AG68" s="162" t="s">
        <v>9851</v>
      </c>
      <c r="AH68" s="162" t="s">
        <v>7</v>
      </c>
      <c r="AI68" t="s">
        <v>9843</v>
      </c>
      <c r="AJ68" t="s">
        <v>7</v>
      </c>
      <c r="AK68" t="s">
        <v>1276</v>
      </c>
      <c r="AL68" t="s">
        <v>36</v>
      </c>
      <c r="AM68" s="162" t="s">
        <v>10138</v>
      </c>
      <c r="AN68" t="s">
        <v>9843</v>
      </c>
      <c r="AO68" t="s">
        <v>35</v>
      </c>
      <c r="AP68" t="s">
        <v>7</v>
      </c>
      <c r="AQ68" t="s">
        <v>9</v>
      </c>
      <c r="AR68" t="s">
        <v>7</v>
      </c>
      <c r="AS68" s="162" t="s">
        <v>7</v>
      </c>
      <c r="AT68" s="117" t="s">
        <v>7</v>
      </c>
      <c r="AU68" s="162" t="s">
        <v>7</v>
      </c>
      <c r="AV68" s="162" t="s">
        <v>7</v>
      </c>
      <c r="AW68" s="162" t="s">
        <v>9851</v>
      </c>
      <c r="AX68" s="162" t="s">
        <v>7</v>
      </c>
      <c r="AY68" s="162" t="s">
        <v>7</v>
      </c>
      <c r="AZ68" t="s">
        <v>7</v>
      </c>
      <c r="BA68" s="162" t="s">
        <v>7</v>
      </c>
      <c r="BB68" s="162" t="s">
        <v>7</v>
      </c>
      <c r="BC68" s="162" t="s">
        <v>7</v>
      </c>
      <c r="BD68" s="162" t="s">
        <v>7</v>
      </c>
      <c r="BE68" s="162" t="s">
        <v>7</v>
      </c>
      <c r="BF68" s="162" t="str">
        <f t="shared" si="2"/>
        <v>Sim</v>
      </c>
      <c r="BG68" s="162" t="str">
        <f t="shared" si="3"/>
        <v>Não</v>
      </c>
      <c r="BH68" s="162" t="s">
        <v>7</v>
      </c>
      <c r="BI68" t="s">
        <v>9870</v>
      </c>
      <c r="BJ68" s="162" t="s">
        <v>10164</v>
      </c>
      <c r="BK68" t="s">
        <v>10</v>
      </c>
      <c r="BL68" s="162">
        <v>20</v>
      </c>
      <c r="BM68" t="s">
        <v>35</v>
      </c>
      <c r="BN68" t="s">
        <v>35</v>
      </c>
      <c r="BO68" t="s">
        <v>10</v>
      </c>
      <c r="BP68" s="162">
        <v>20</v>
      </c>
      <c r="BQ68" t="s">
        <v>7</v>
      </c>
      <c r="BR68" t="s">
        <v>1849</v>
      </c>
      <c r="BS68" s="162" t="s">
        <v>10170</v>
      </c>
    </row>
    <row r="69" spans="1:71">
      <c r="A69" s="162">
        <v>68</v>
      </c>
      <c r="B69" t="s">
        <v>199</v>
      </c>
      <c r="C69" s="162">
        <v>1</v>
      </c>
      <c r="D69" s="122" t="s">
        <v>651</v>
      </c>
      <c r="E69" t="s">
        <v>652</v>
      </c>
      <c r="F69" t="s">
        <v>3</v>
      </c>
      <c r="G69" t="s">
        <v>214</v>
      </c>
      <c r="H69" t="s">
        <v>653</v>
      </c>
      <c r="I69" s="162">
        <v>1</v>
      </c>
      <c r="J69" t="s">
        <v>1855</v>
      </c>
      <c r="K69" t="s">
        <v>3</v>
      </c>
      <c r="L69" s="165">
        <v>34849</v>
      </c>
      <c r="M69" s="166">
        <v>22</v>
      </c>
      <c r="N69" t="s">
        <v>5</v>
      </c>
      <c r="O69" t="s">
        <v>10135</v>
      </c>
      <c r="P69" t="s">
        <v>41</v>
      </c>
      <c r="Q69" t="s">
        <v>1120</v>
      </c>
      <c r="R69" t="s">
        <v>1704</v>
      </c>
      <c r="S69" s="162">
        <v>12.5</v>
      </c>
      <c r="T69" t="s">
        <v>1705</v>
      </c>
      <c r="U69" s="162">
        <v>5</v>
      </c>
      <c r="V69">
        <v>0</v>
      </c>
      <c r="W69" s="162">
        <v>0</v>
      </c>
      <c r="X69">
        <v>0</v>
      </c>
      <c r="Y69" s="162">
        <v>0</v>
      </c>
      <c r="Z69">
        <v>0</v>
      </c>
      <c r="AA69" s="162">
        <v>0</v>
      </c>
      <c r="AB69">
        <v>0</v>
      </c>
      <c r="AC69" s="162" t="s">
        <v>7</v>
      </c>
      <c r="AD69" s="162" t="s">
        <v>7</v>
      </c>
      <c r="AE69" s="162" t="s">
        <v>7</v>
      </c>
      <c r="AF69" s="162" t="s">
        <v>7</v>
      </c>
      <c r="AG69" s="162" t="s">
        <v>7</v>
      </c>
      <c r="AH69" s="162" t="s">
        <v>7</v>
      </c>
      <c r="AI69" t="s">
        <v>9843</v>
      </c>
      <c r="AJ69" t="s">
        <v>7</v>
      </c>
      <c r="AK69" t="s">
        <v>1106</v>
      </c>
      <c r="AL69" t="s">
        <v>36</v>
      </c>
      <c r="AM69" s="162" t="s">
        <v>10138</v>
      </c>
      <c r="AN69" t="s">
        <v>9843</v>
      </c>
      <c r="AO69" t="s">
        <v>35</v>
      </c>
      <c r="AP69" t="s">
        <v>7</v>
      </c>
      <c r="AQ69" t="s">
        <v>9</v>
      </c>
      <c r="AR69" t="s">
        <v>7</v>
      </c>
      <c r="AS69" s="162" t="s">
        <v>7</v>
      </c>
      <c r="AT69" s="117" t="s">
        <v>7</v>
      </c>
      <c r="AU69" s="162" t="s">
        <v>7</v>
      </c>
      <c r="AV69" s="162" t="s">
        <v>7</v>
      </c>
      <c r="AW69" s="162" t="s">
        <v>9851</v>
      </c>
      <c r="AX69" s="162" t="s">
        <v>7</v>
      </c>
      <c r="AY69" s="162" t="s">
        <v>7</v>
      </c>
      <c r="AZ69" t="s">
        <v>7</v>
      </c>
      <c r="BA69" s="162" t="s">
        <v>7</v>
      </c>
      <c r="BB69" s="162" t="s">
        <v>7</v>
      </c>
      <c r="BC69" s="162" t="s">
        <v>7</v>
      </c>
      <c r="BD69" s="162" t="s">
        <v>7</v>
      </c>
      <c r="BE69" s="162" t="s">
        <v>7</v>
      </c>
      <c r="BF69" s="162" t="str">
        <f t="shared" si="2"/>
        <v>Sim</v>
      </c>
      <c r="BG69" s="162" t="str">
        <f t="shared" si="3"/>
        <v>Não</v>
      </c>
      <c r="BH69" s="162" t="s">
        <v>7</v>
      </c>
      <c r="BI69" t="s">
        <v>9870</v>
      </c>
      <c r="BJ69" s="162" t="s">
        <v>10164</v>
      </c>
      <c r="BK69" t="s">
        <v>10</v>
      </c>
      <c r="BL69" s="162">
        <v>20</v>
      </c>
      <c r="BM69" t="s">
        <v>35</v>
      </c>
      <c r="BN69" t="s">
        <v>35</v>
      </c>
      <c r="BO69" t="s">
        <v>10</v>
      </c>
      <c r="BP69" s="162">
        <v>20</v>
      </c>
      <c r="BQ69" t="s">
        <v>7</v>
      </c>
      <c r="BR69" t="s">
        <v>37</v>
      </c>
      <c r="BS69" s="162" t="s">
        <v>37</v>
      </c>
    </row>
    <row r="70" spans="1:71">
      <c r="A70" s="162">
        <v>69</v>
      </c>
      <c r="B70" t="s">
        <v>315</v>
      </c>
      <c r="C70" s="162">
        <v>1</v>
      </c>
      <c r="D70" s="122">
        <v>43040</v>
      </c>
      <c r="E70" t="s">
        <v>823</v>
      </c>
      <c r="F70" t="s">
        <v>515</v>
      </c>
      <c r="G70" t="s">
        <v>316</v>
      </c>
      <c r="H70" t="s">
        <v>1929</v>
      </c>
      <c r="I70" s="162">
        <v>1</v>
      </c>
      <c r="J70" t="s">
        <v>1855</v>
      </c>
      <c r="K70" t="s">
        <v>3</v>
      </c>
      <c r="L70" s="165">
        <v>35107</v>
      </c>
      <c r="M70" s="166">
        <v>21</v>
      </c>
      <c r="N70" t="s">
        <v>1093</v>
      </c>
      <c r="O70" t="s">
        <v>10135</v>
      </c>
      <c r="P70" t="s">
        <v>1101</v>
      </c>
      <c r="Q70" t="s">
        <v>2032</v>
      </c>
      <c r="R70" t="s">
        <v>2040</v>
      </c>
      <c r="S70" s="162">
        <v>29.2</v>
      </c>
      <c r="T70" t="s">
        <v>2047</v>
      </c>
      <c r="U70" s="162">
        <v>3.1</v>
      </c>
      <c r="V70">
        <v>0</v>
      </c>
      <c r="W70" s="162">
        <v>0</v>
      </c>
      <c r="X70">
        <v>0</v>
      </c>
      <c r="Y70" s="162">
        <v>0</v>
      </c>
      <c r="Z70">
        <v>0</v>
      </c>
      <c r="AA70" s="162">
        <v>0</v>
      </c>
      <c r="AB70" t="s">
        <v>2052</v>
      </c>
      <c r="AC70" s="162" t="s">
        <v>7</v>
      </c>
      <c r="AD70" s="162" t="s">
        <v>7</v>
      </c>
      <c r="AE70" s="162" t="s">
        <v>7</v>
      </c>
      <c r="AF70" s="162" t="s">
        <v>7</v>
      </c>
      <c r="AG70" s="162" t="s">
        <v>9851</v>
      </c>
      <c r="AH70" s="162" t="s">
        <v>7</v>
      </c>
      <c r="AI70" t="s">
        <v>9843</v>
      </c>
      <c r="AJ70" t="s">
        <v>7</v>
      </c>
      <c r="AK70" t="s">
        <v>2055</v>
      </c>
      <c r="AL70" t="s">
        <v>36</v>
      </c>
      <c r="AM70" s="162" t="s">
        <v>10138</v>
      </c>
      <c r="AN70" t="s">
        <v>9843</v>
      </c>
      <c r="AO70" t="s">
        <v>35</v>
      </c>
      <c r="AP70" t="s">
        <v>7</v>
      </c>
      <c r="AQ70" t="s">
        <v>9</v>
      </c>
      <c r="AR70" t="s">
        <v>7</v>
      </c>
      <c r="AS70" s="162" t="s">
        <v>7</v>
      </c>
      <c r="AT70" s="117" t="s">
        <v>7</v>
      </c>
      <c r="AU70" s="162" t="s">
        <v>7</v>
      </c>
      <c r="AV70" s="162" t="s">
        <v>7</v>
      </c>
      <c r="AW70" s="162" t="s">
        <v>9851</v>
      </c>
      <c r="AX70" s="162" t="s">
        <v>7</v>
      </c>
      <c r="AY70" s="162" t="s">
        <v>7</v>
      </c>
      <c r="AZ70" t="s">
        <v>7</v>
      </c>
      <c r="BA70" s="162" t="s">
        <v>7</v>
      </c>
      <c r="BB70" s="162" t="s">
        <v>7</v>
      </c>
      <c r="BC70" s="162" t="s">
        <v>7</v>
      </c>
      <c r="BD70" s="162" t="s">
        <v>7</v>
      </c>
      <c r="BE70" s="162" t="s">
        <v>7</v>
      </c>
      <c r="BF70" s="162" t="str">
        <f t="shared" si="2"/>
        <v>Sim</v>
      </c>
      <c r="BG70" s="162" t="str">
        <f t="shared" si="3"/>
        <v>Não</v>
      </c>
      <c r="BH70" s="162" t="s">
        <v>7</v>
      </c>
      <c r="BI70" t="s">
        <v>9870</v>
      </c>
      <c r="BJ70" s="162" t="s">
        <v>10164</v>
      </c>
      <c r="BK70" t="s">
        <v>10</v>
      </c>
      <c r="BL70" s="162">
        <v>20</v>
      </c>
      <c r="BM70" t="s">
        <v>35</v>
      </c>
      <c r="BN70" t="s">
        <v>35</v>
      </c>
      <c r="BO70" t="s">
        <v>10</v>
      </c>
      <c r="BP70" s="162">
        <v>20</v>
      </c>
      <c r="BQ70" t="s">
        <v>7</v>
      </c>
      <c r="BR70" t="s">
        <v>1114</v>
      </c>
      <c r="BS70" s="162" t="s">
        <v>1114</v>
      </c>
    </row>
    <row r="71" spans="1:71">
      <c r="A71" s="162">
        <v>70</v>
      </c>
      <c r="B71" t="s">
        <v>275</v>
      </c>
      <c r="C71" s="162">
        <v>0</v>
      </c>
      <c r="D71" s="122" t="s">
        <v>765</v>
      </c>
      <c r="E71" t="s">
        <v>746</v>
      </c>
      <c r="F71" t="s">
        <v>3</v>
      </c>
      <c r="G71" t="s">
        <v>277</v>
      </c>
      <c r="H71" t="s">
        <v>767</v>
      </c>
      <c r="I71" s="162">
        <v>1</v>
      </c>
      <c r="J71" t="s">
        <v>1855</v>
      </c>
      <c r="K71" t="s">
        <v>3</v>
      </c>
      <c r="L71" s="165">
        <v>36181</v>
      </c>
      <c r="M71" s="166">
        <v>18</v>
      </c>
      <c r="N71" t="s">
        <v>4</v>
      </c>
      <c r="O71" t="s">
        <v>10134</v>
      </c>
      <c r="P71" t="s">
        <v>48</v>
      </c>
      <c r="Q71" t="s">
        <v>9827</v>
      </c>
      <c r="R71">
        <v>0</v>
      </c>
      <c r="S71" s="162">
        <v>0</v>
      </c>
      <c r="T71" t="s">
        <v>10061</v>
      </c>
      <c r="U71" s="162">
        <v>30.3</v>
      </c>
      <c r="V71">
        <v>0</v>
      </c>
      <c r="W71" s="162">
        <v>0</v>
      </c>
      <c r="X71">
        <v>0</v>
      </c>
      <c r="Y71" s="162">
        <v>0</v>
      </c>
      <c r="Z71">
        <v>0</v>
      </c>
      <c r="AA71" s="162">
        <v>0</v>
      </c>
      <c r="AB71">
        <v>0</v>
      </c>
      <c r="AC71" s="162" t="s">
        <v>7</v>
      </c>
      <c r="AD71" s="162" t="s">
        <v>7</v>
      </c>
      <c r="AE71" s="162" t="s">
        <v>7</v>
      </c>
      <c r="AF71" s="162" t="s">
        <v>7</v>
      </c>
      <c r="AG71" s="162" t="s">
        <v>7</v>
      </c>
      <c r="AH71" s="162" t="s">
        <v>7</v>
      </c>
      <c r="AI71" t="s">
        <v>9846</v>
      </c>
      <c r="AJ71" t="s">
        <v>7</v>
      </c>
      <c r="AK71" t="s">
        <v>1276</v>
      </c>
      <c r="AL71" t="s">
        <v>78</v>
      </c>
      <c r="AM71" s="162" t="s">
        <v>10138</v>
      </c>
      <c r="AN71" t="s">
        <v>9843</v>
      </c>
      <c r="AO71" t="s">
        <v>35</v>
      </c>
      <c r="AP71" t="s">
        <v>7</v>
      </c>
      <c r="AQ71" t="s">
        <v>9</v>
      </c>
      <c r="AR71" t="s">
        <v>7</v>
      </c>
      <c r="AS71" s="162" t="s">
        <v>7</v>
      </c>
      <c r="AT71" s="117" t="s">
        <v>7</v>
      </c>
      <c r="AU71" s="162" t="s">
        <v>7</v>
      </c>
      <c r="AV71" s="162" t="s">
        <v>7</v>
      </c>
      <c r="AW71" s="162" t="s">
        <v>9851</v>
      </c>
      <c r="AX71" s="162" t="s">
        <v>7</v>
      </c>
      <c r="AY71" s="162" t="s">
        <v>7</v>
      </c>
      <c r="AZ71" t="s">
        <v>7</v>
      </c>
      <c r="BA71" s="162" t="s">
        <v>7</v>
      </c>
      <c r="BB71" s="162" t="s">
        <v>7</v>
      </c>
      <c r="BC71" s="162" t="s">
        <v>7</v>
      </c>
      <c r="BD71" s="162" t="s">
        <v>7</v>
      </c>
      <c r="BE71" s="162" t="s">
        <v>7</v>
      </c>
      <c r="BF71" s="162" t="str">
        <f t="shared" si="2"/>
        <v>Sim</v>
      </c>
      <c r="BG71" s="162" t="str">
        <f t="shared" si="3"/>
        <v>Não</v>
      </c>
      <c r="BH71" s="162" t="s">
        <v>7</v>
      </c>
      <c r="BI71" t="s">
        <v>9870</v>
      </c>
      <c r="BJ71" s="162" t="s">
        <v>10164</v>
      </c>
      <c r="BK71" t="s">
        <v>10</v>
      </c>
      <c r="BL71" s="162">
        <v>20</v>
      </c>
      <c r="BM71" t="s">
        <v>35</v>
      </c>
      <c r="BN71" t="s">
        <v>35</v>
      </c>
      <c r="BO71" t="s">
        <v>10</v>
      </c>
      <c r="BP71" s="162">
        <v>20</v>
      </c>
      <c r="BQ71" t="s">
        <v>7</v>
      </c>
      <c r="BR71" t="s">
        <v>1849</v>
      </c>
      <c r="BS71" s="162" t="s">
        <v>10170</v>
      </c>
    </row>
    <row r="72" spans="1:71">
      <c r="A72" s="162">
        <v>71</v>
      </c>
      <c r="B72" t="s">
        <v>275</v>
      </c>
      <c r="C72" s="162">
        <v>1</v>
      </c>
      <c r="D72" s="122" t="s">
        <v>765</v>
      </c>
      <c r="E72" t="s">
        <v>746</v>
      </c>
      <c r="F72" t="s">
        <v>3</v>
      </c>
      <c r="G72" t="s">
        <v>277</v>
      </c>
      <c r="H72" t="s">
        <v>766</v>
      </c>
      <c r="I72" s="162">
        <v>1</v>
      </c>
      <c r="J72" t="s">
        <v>1855</v>
      </c>
      <c r="K72" t="s">
        <v>3</v>
      </c>
      <c r="L72" s="165">
        <v>35594</v>
      </c>
      <c r="M72" s="166">
        <v>20</v>
      </c>
      <c r="N72" t="s">
        <v>4</v>
      </c>
      <c r="O72" t="s">
        <v>10134</v>
      </c>
      <c r="P72" t="s">
        <v>48</v>
      </c>
      <c r="Q72" t="s">
        <v>9827</v>
      </c>
      <c r="R72">
        <v>0</v>
      </c>
      <c r="S72" s="162">
        <v>0</v>
      </c>
      <c r="T72" t="s">
        <v>10061</v>
      </c>
      <c r="U72" s="162">
        <v>30.3</v>
      </c>
      <c r="V72">
        <v>0</v>
      </c>
      <c r="W72" s="162">
        <v>0</v>
      </c>
      <c r="X72">
        <v>0</v>
      </c>
      <c r="Y72" s="162">
        <v>0</v>
      </c>
      <c r="Z72">
        <v>0</v>
      </c>
      <c r="AA72" s="162">
        <v>0</v>
      </c>
      <c r="AB72">
        <v>0</v>
      </c>
      <c r="AC72" s="162" t="s">
        <v>7</v>
      </c>
      <c r="AD72" s="162" t="s">
        <v>7</v>
      </c>
      <c r="AE72" s="162" t="s">
        <v>7</v>
      </c>
      <c r="AF72" s="162" t="s">
        <v>7</v>
      </c>
      <c r="AG72" s="162" t="s">
        <v>7</v>
      </c>
      <c r="AH72" s="162" t="s">
        <v>7</v>
      </c>
      <c r="AI72" t="s">
        <v>9846</v>
      </c>
      <c r="AJ72" t="s">
        <v>7</v>
      </c>
      <c r="AK72" t="s">
        <v>1276</v>
      </c>
      <c r="AL72" t="s">
        <v>78</v>
      </c>
      <c r="AM72" s="162" t="s">
        <v>10138</v>
      </c>
      <c r="AN72" t="s">
        <v>9843</v>
      </c>
      <c r="AO72" t="s">
        <v>35</v>
      </c>
      <c r="AP72" t="s">
        <v>7</v>
      </c>
      <c r="AQ72" t="s">
        <v>9</v>
      </c>
      <c r="AR72" t="s">
        <v>7</v>
      </c>
      <c r="AS72" s="162" t="s">
        <v>7</v>
      </c>
      <c r="AT72" s="117" t="s">
        <v>7</v>
      </c>
      <c r="AU72" s="162" t="s">
        <v>7</v>
      </c>
      <c r="AV72" s="162" t="s">
        <v>7</v>
      </c>
      <c r="AW72" s="162" t="s">
        <v>9851</v>
      </c>
      <c r="AX72" s="162" t="s">
        <v>7</v>
      </c>
      <c r="AY72" s="162" t="s">
        <v>7</v>
      </c>
      <c r="AZ72" t="s">
        <v>7</v>
      </c>
      <c r="BA72" s="162" t="s">
        <v>7</v>
      </c>
      <c r="BB72" s="162" t="s">
        <v>7</v>
      </c>
      <c r="BC72" s="162" t="s">
        <v>7</v>
      </c>
      <c r="BD72" s="162" t="s">
        <v>7</v>
      </c>
      <c r="BE72" s="162" t="s">
        <v>7</v>
      </c>
      <c r="BF72" s="162" t="str">
        <f t="shared" si="2"/>
        <v>Sim</v>
      </c>
      <c r="BG72" s="162" t="str">
        <f t="shared" si="3"/>
        <v>Não</v>
      </c>
      <c r="BH72" s="162" t="s">
        <v>7</v>
      </c>
      <c r="BI72" t="s">
        <v>9870</v>
      </c>
      <c r="BJ72" s="162" t="s">
        <v>10164</v>
      </c>
      <c r="BK72" t="s">
        <v>10</v>
      </c>
      <c r="BL72" s="162">
        <v>20</v>
      </c>
      <c r="BM72" t="s">
        <v>35</v>
      </c>
      <c r="BN72" t="s">
        <v>35</v>
      </c>
      <c r="BO72" t="s">
        <v>10</v>
      </c>
      <c r="BP72" s="162">
        <v>20</v>
      </c>
      <c r="BQ72" t="s">
        <v>7</v>
      </c>
      <c r="BR72" t="s">
        <v>1849</v>
      </c>
      <c r="BS72" s="162" t="s">
        <v>10170</v>
      </c>
    </row>
    <row r="73" spans="1:71">
      <c r="A73" s="162">
        <v>72</v>
      </c>
      <c r="B73" t="s">
        <v>144</v>
      </c>
      <c r="C73" s="162">
        <v>1</v>
      </c>
      <c r="D73" s="122" t="s">
        <v>544</v>
      </c>
      <c r="E73" t="s">
        <v>537</v>
      </c>
      <c r="F73" t="s">
        <v>515</v>
      </c>
      <c r="G73" t="s">
        <v>155</v>
      </c>
      <c r="H73" t="s">
        <v>545</v>
      </c>
      <c r="I73" s="162">
        <v>1</v>
      </c>
      <c r="J73" t="s">
        <v>1855</v>
      </c>
      <c r="K73" t="s">
        <v>3</v>
      </c>
      <c r="L73" s="165">
        <v>35969</v>
      </c>
      <c r="M73" s="166">
        <v>18</v>
      </c>
      <c r="N73" t="s">
        <v>5</v>
      </c>
      <c r="O73" t="s">
        <v>10135</v>
      </c>
      <c r="P73" t="s">
        <v>48</v>
      </c>
      <c r="Q73" t="s">
        <v>1750</v>
      </c>
      <c r="R73">
        <v>0</v>
      </c>
      <c r="S73" s="162">
        <v>0</v>
      </c>
      <c r="T73" t="s">
        <v>1751</v>
      </c>
      <c r="U73" s="162">
        <v>68.5</v>
      </c>
      <c r="V73" t="s">
        <v>1752</v>
      </c>
      <c r="W73" s="162">
        <v>0.05</v>
      </c>
      <c r="X73">
        <v>0</v>
      </c>
      <c r="Y73" s="162">
        <v>0</v>
      </c>
      <c r="Z73">
        <v>0</v>
      </c>
      <c r="AA73" s="162">
        <v>0</v>
      </c>
      <c r="AB73">
        <v>0</v>
      </c>
      <c r="AC73" s="162" t="s">
        <v>7</v>
      </c>
      <c r="AD73" s="162" t="s">
        <v>7</v>
      </c>
      <c r="AE73" s="162" t="s">
        <v>7</v>
      </c>
      <c r="AF73" s="162" t="s">
        <v>7</v>
      </c>
      <c r="AG73" s="162" t="s">
        <v>7</v>
      </c>
      <c r="AH73" s="162" t="s">
        <v>7</v>
      </c>
      <c r="AI73" t="s">
        <v>9843</v>
      </c>
      <c r="AJ73" t="s">
        <v>7</v>
      </c>
      <c r="AK73" t="s">
        <v>1229</v>
      </c>
      <c r="AL73" t="s">
        <v>36</v>
      </c>
      <c r="AM73" s="162" t="s">
        <v>10138</v>
      </c>
      <c r="AN73" t="s">
        <v>9843</v>
      </c>
      <c r="AO73" t="s">
        <v>35</v>
      </c>
      <c r="AP73" t="s">
        <v>7</v>
      </c>
      <c r="AQ73" t="s">
        <v>9</v>
      </c>
      <c r="AR73" t="s">
        <v>7</v>
      </c>
      <c r="AS73" s="162" t="s">
        <v>7</v>
      </c>
      <c r="AT73" s="117" t="s">
        <v>7</v>
      </c>
      <c r="AU73" s="162" t="s">
        <v>7</v>
      </c>
      <c r="AV73" s="162" t="s">
        <v>7</v>
      </c>
      <c r="AW73" s="162" t="s">
        <v>9851</v>
      </c>
      <c r="AX73" s="162" t="s">
        <v>7</v>
      </c>
      <c r="AY73" s="162" t="s">
        <v>7</v>
      </c>
      <c r="AZ73" t="s">
        <v>7</v>
      </c>
      <c r="BA73" s="162" t="s">
        <v>7</v>
      </c>
      <c r="BB73" s="162" t="s">
        <v>7</v>
      </c>
      <c r="BC73" s="162" t="s">
        <v>7</v>
      </c>
      <c r="BD73" s="162" t="s">
        <v>7</v>
      </c>
      <c r="BE73" s="162" t="s">
        <v>7</v>
      </c>
      <c r="BF73" s="162" t="str">
        <f t="shared" si="2"/>
        <v>Sim</v>
      </c>
      <c r="BG73" s="162" t="str">
        <f t="shared" si="3"/>
        <v>Não</v>
      </c>
      <c r="BH73" s="162" t="s">
        <v>7</v>
      </c>
      <c r="BI73" t="s">
        <v>9870</v>
      </c>
      <c r="BJ73" s="162" t="s">
        <v>10164</v>
      </c>
      <c r="BK73" t="s">
        <v>10</v>
      </c>
      <c r="BL73" s="162">
        <v>20</v>
      </c>
      <c r="BM73" t="s">
        <v>35</v>
      </c>
      <c r="BN73" t="s">
        <v>35</v>
      </c>
      <c r="BO73" t="s">
        <v>10</v>
      </c>
      <c r="BP73" s="162">
        <v>20</v>
      </c>
      <c r="BQ73" t="s">
        <v>9851</v>
      </c>
      <c r="BR73" t="s">
        <v>35</v>
      </c>
      <c r="BS73" s="162" t="s">
        <v>35</v>
      </c>
    </row>
    <row r="74" spans="1:71">
      <c r="A74" s="162">
        <v>73</v>
      </c>
      <c r="B74" t="s">
        <v>463</v>
      </c>
      <c r="C74" s="162">
        <v>1</v>
      </c>
      <c r="D74" s="122" t="s">
        <v>1049</v>
      </c>
      <c r="E74" t="s">
        <v>1050</v>
      </c>
      <c r="F74" t="s">
        <v>515</v>
      </c>
      <c r="G74" t="s">
        <v>473</v>
      </c>
      <c r="H74" t="s">
        <v>1051</v>
      </c>
      <c r="I74" s="162">
        <v>1</v>
      </c>
      <c r="J74" t="s">
        <v>1855</v>
      </c>
      <c r="K74" t="s">
        <v>3</v>
      </c>
      <c r="L74" s="165">
        <v>35473</v>
      </c>
      <c r="M74" s="166">
        <v>19</v>
      </c>
      <c r="N74" t="s">
        <v>5</v>
      </c>
      <c r="O74" t="s">
        <v>10135</v>
      </c>
      <c r="P74" t="s">
        <v>48</v>
      </c>
      <c r="Q74" t="s">
        <v>1186</v>
      </c>
      <c r="R74">
        <v>0</v>
      </c>
      <c r="S74" s="162">
        <v>0</v>
      </c>
      <c r="T74">
        <v>0</v>
      </c>
      <c r="U74" s="162">
        <v>0</v>
      </c>
      <c r="V74" t="s">
        <v>10045</v>
      </c>
      <c r="W74" s="162">
        <v>11.4</v>
      </c>
      <c r="X74">
        <v>0</v>
      </c>
      <c r="Y74" s="162">
        <v>0</v>
      </c>
      <c r="Z74">
        <v>0</v>
      </c>
      <c r="AA74" s="162">
        <v>0</v>
      </c>
      <c r="AB74">
        <v>0</v>
      </c>
      <c r="AC74" s="162" t="s">
        <v>7</v>
      </c>
      <c r="AD74" s="162" t="s">
        <v>7</v>
      </c>
      <c r="AE74" s="162" t="s">
        <v>7</v>
      </c>
      <c r="AF74" s="162" t="s">
        <v>7</v>
      </c>
      <c r="AG74" s="162" t="s">
        <v>7</v>
      </c>
      <c r="AH74" s="162" t="s">
        <v>7</v>
      </c>
      <c r="AI74" t="s">
        <v>9843</v>
      </c>
      <c r="AJ74" t="s">
        <v>7</v>
      </c>
      <c r="AK74" t="s">
        <v>1173</v>
      </c>
      <c r="AL74" t="s">
        <v>36</v>
      </c>
      <c r="AM74" s="162" t="s">
        <v>10138</v>
      </c>
      <c r="AN74" t="s">
        <v>9843</v>
      </c>
      <c r="AO74" t="s">
        <v>35</v>
      </c>
      <c r="AP74" t="s">
        <v>7</v>
      </c>
      <c r="AQ74" t="s">
        <v>9</v>
      </c>
      <c r="AR74" t="s">
        <v>7</v>
      </c>
      <c r="AS74" s="162" t="s">
        <v>7</v>
      </c>
      <c r="AT74" s="117" t="s">
        <v>7</v>
      </c>
      <c r="AU74" s="162" t="s">
        <v>7</v>
      </c>
      <c r="AV74" s="162" t="s">
        <v>7</v>
      </c>
      <c r="AW74" s="162" t="s">
        <v>9851</v>
      </c>
      <c r="AX74" s="162" t="s">
        <v>7</v>
      </c>
      <c r="AY74" s="162" t="s">
        <v>7</v>
      </c>
      <c r="AZ74" t="s">
        <v>7</v>
      </c>
      <c r="BA74" s="162" t="s">
        <v>7</v>
      </c>
      <c r="BB74" s="162" t="s">
        <v>7</v>
      </c>
      <c r="BC74" s="162" t="s">
        <v>7</v>
      </c>
      <c r="BD74" s="162" t="s">
        <v>7</v>
      </c>
      <c r="BE74" s="162" t="s">
        <v>7</v>
      </c>
      <c r="BF74" s="162" t="str">
        <f t="shared" si="2"/>
        <v>Sim</v>
      </c>
      <c r="BG74" s="162" t="str">
        <f t="shared" si="3"/>
        <v>Não</v>
      </c>
      <c r="BH74" s="162" t="s">
        <v>7</v>
      </c>
      <c r="BI74" t="s">
        <v>9870</v>
      </c>
      <c r="BJ74" s="162" t="s">
        <v>10164</v>
      </c>
      <c r="BK74" t="s">
        <v>10</v>
      </c>
      <c r="BL74" s="162">
        <v>20</v>
      </c>
      <c r="BM74" t="s">
        <v>35</v>
      </c>
      <c r="BN74" t="s">
        <v>35</v>
      </c>
      <c r="BO74" t="s">
        <v>10</v>
      </c>
      <c r="BP74" s="162">
        <v>20</v>
      </c>
      <c r="BQ74" t="s">
        <v>7</v>
      </c>
      <c r="BR74" t="s">
        <v>37</v>
      </c>
      <c r="BS74" s="162" t="s">
        <v>37</v>
      </c>
    </row>
    <row r="75" spans="1:71">
      <c r="A75" s="162">
        <v>74</v>
      </c>
      <c r="B75" t="s">
        <v>309</v>
      </c>
      <c r="C75" s="162">
        <v>1</v>
      </c>
      <c r="D75" s="122">
        <v>42921</v>
      </c>
      <c r="E75" t="s">
        <v>823</v>
      </c>
      <c r="F75" t="s">
        <v>515</v>
      </c>
      <c r="G75" t="s">
        <v>316</v>
      </c>
      <c r="H75" t="s">
        <v>829</v>
      </c>
      <c r="I75" s="162">
        <v>1</v>
      </c>
      <c r="J75" t="s">
        <v>1855</v>
      </c>
      <c r="K75" t="s">
        <v>3</v>
      </c>
      <c r="L75" s="165">
        <v>35026</v>
      </c>
      <c r="M75" s="166">
        <v>21</v>
      </c>
      <c r="N75" t="s">
        <v>4</v>
      </c>
      <c r="O75" t="s">
        <v>10134</v>
      </c>
      <c r="P75" t="s">
        <v>1074</v>
      </c>
      <c r="Q75" t="s">
        <v>1264</v>
      </c>
      <c r="R75" t="s">
        <v>2037</v>
      </c>
      <c r="S75" s="162">
        <v>147.5</v>
      </c>
      <c r="T75">
        <v>0</v>
      </c>
      <c r="U75" s="162">
        <v>0</v>
      </c>
      <c r="V75" t="s">
        <v>2051</v>
      </c>
      <c r="W75" s="162">
        <v>1.8</v>
      </c>
      <c r="X75">
        <v>0</v>
      </c>
      <c r="Y75" s="162">
        <v>0</v>
      </c>
      <c r="Z75">
        <v>0</v>
      </c>
      <c r="AA75" s="162">
        <v>0</v>
      </c>
      <c r="AB75">
        <v>0</v>
      </c>
      <c r="AC75" s="162" t="s">
        <v>7</v>
      </c>
      <c r="AD75" s="162" t="s">
        <v>7</v>
      </c>
      <c r="AE75" s="162" t="s">
        <v>7</v>
      </c>
      <c r="AF75" s="162" t="s">
        <v>7</v>
      </c>
      <c r="AG75" s="162" t="s">
        <v>7</v>
      </c>
      <c r="AH75" s="162" t="s">
        <v>7</v>
      </c>
      <c r="AI75" t="s">
        <v>9843</v>
      </c>
      <c r="AJ75" t="s">
        <v>7</v>
      </c>
      <c r="AK75" t="s">
        <v>1923</v>
      </c>
      <c r="AL75" t="s">
        <v>36</v>
      </c>
      <c r="AM75" s="162" t="s">
        <v>10138</v>
      </c>
      <c r="AN75" t="s">
        <v>9843</v>
      </c>
      <c r="AO75" t="s">
        <v>35</v>
      </c>
      <c r="AP75" t="s">
        <v>7</v>
      </c>
      <c r="AQ75" t="s">
        <v>9</v>
      </c>
      <c r="AR75" t="s">
        <v>7</v>
      </c>
      <c r="AS75" s="162" t="s">
        <v>7</v>
      </c>
      <c r="AT75" s="117" t="s">
        <v>7</v>
      </c>
      <c r="AU75" s="162" t="s">
        <v>7</v>
      </c>
      <c r="AV75" s="162" t="s">
        <v>7</v>
      </c>
      <c r="AW75" s="162" t="s">
        <v>9851</v>
      </c>
      <c r="AX75" s="162" t="s">
        <v>7</v>
      </c>
      <c r="AY75" s="162" t="s">
        <v>7</v>
      </c>
      <c r="AZ75" t="s">
        <v>7</v>
      </c>
      <c r="BA75" s="162" t="s">
        <v>7</v>
      </c>
      <c r="BB75" s="162" t="s">
        <v>7</v>
      </c>
      <c r="BC75" s="162" t="s">
        <v>7</v>
      </c>
      <c r="BD75" s="162" t="s">
        <v>7</v>
      </c>
      <c r="BE75" s="162" t="s">
        <v>7</v>
      </c>
      <c r="BF75" s="162" t="str">
        <f t="shared" si="2"/>
        <v>Sim</v>
      </c>
      <c r="BG75" s="162" t="str">
        <f t="shared" si="3"/>
        <v>Não</v>
      </c>
      <c r="BH75" s="162" t="s">
        <v>7</v>
      </c>
      <c r="BI75" t="s">
        <v>9870</v>
      </c>
      <c r="BJ75" s="162" t="s">
        <v>10164</v>
      </c>
      <c r="BK75" t="s">
        <v>10</v>
      </c>
      <c r="BL75" s="162">
        <v>20</v>
      </c>
      <c r="BM75" t="s">
        <v>35</v>
      </c>
      <c r="BN75" t="s">
        <v>35</v>
      </c>
      <c r="BO75" t="s">
        <v>10</v>
      </c>
      <c r="BP75" s="162">
        <v>20</v>
      </c>
      <c r="BQ75" t="s">
        <v>9851</v>
      </c>
      <c r="BR75" t="s">
        <v>35</v>
      </c>
      <c r="BS75" s="162" t="s">
        <v>35</v>
      </c>
    </row>
    <row r="76" spans="1:71">
      <c r="A76" s="162">
        <v>75</v>
      </c>
      <c r="B76" t="s">
        <v>152</v>
      </c>
      <c r="C76" s="162">
        <v>1</v>
      </c>
      <c r="D76" s="122" t="s">
        <v>558</v>
      </c>
      <c r="E76" t="s">
        <v>540</v>
      </c>
      <c r="F76" t="s">
        <v>3</v>
      </c>
      <c r="G76" t="s">
        <v>155</v>
      </c>
      <c r="H76" t="s">
        <v>562</v>
      </c>
      <c r="I76" s="162">
        <v>1</v>
      </c>
      <c r="J76" t="s">
        <v>1855</v>
      </c>
      <c r="K76" t="s">
        <v>3</v>
      </c>
      <c r="L76" s="165">
        <v>32855</v>
      </c>
      <c r="M76" s="166">
        <v>27</v>
      </c>
      <c r="N76" t="s">
        <v>4</v>
      </c>
      <c r="O76" t="s">
        <v>10134</v>
      </c>
      <c r="P76" t="s">
        <v>41</v>
      </c>
      <c r="Q76" t="s">
        <v>1186</v>
      </c>
      <c r="R76">
        <v>0</v>
      </c>
      <c r="S76" s="162">
        <v>0</v>
      </c>
      <c r="T76">
        <v>0</v>
      </c>
      <c r="U76" s="162">
        <v>0</v>
      </c>
      <c r="V76" t="s">
        <v>9894</v>
      </c>
      <c r="W76" s="162">
        <v>2.1</v>
      </c>
      <c r="X76">
        <v>0</v>
      </c>
      <c r="Y76" s="162">
        <v>0</v>
      </c>
      <c r="Z76">
        <v>0</v>
      </c>
      <c r="AA76" s="162">
        <v>0</v>
      </c>
      <c r="AB76">
        <v>0</v>
      </c>
      <c r="AC76" s="162" t="s">
        <v>7</v>
      </c>
      <c r="AD76" s="162" t="s">
        <v>7</v>
      </c>
      <c r="AE76" s="162" t="s">
        <v>7</v>
      </c>
      <c r="AF76" s="162" t="s">
        <v>7</v>
      </c>
      <c r="AG76" s="162" t="s">
        <v>7</v>
      </c>
      <c r="AH76" s="162" t="s">
        <v>7</v>
      </c>
      <c r="AI76" t="s">
        <v>9843</v>
      </c>
      <c r="AJ76" t="s">
        <v>7</v>
      </c>
      <c r="AK76" t="s">
        <v>1106</v>
      </c>
      <c r="AL76" t="s">
        <v>36</v>
      </c>
      <c r="AM76" s="162" t="s">
        <v>10138</v>
      </c>
      <c r="AN76" t="s">
        <v>9843</v>
      </c>
      <c r="AO76" t="s">
        <v>35</v>
      </c>
      <c r="AP76" t="s">
        <v>7</v>
      </c>
      <c r="AQ76" t="s">
        <v>9</v>
      </c>
      <c r="AR76" t="s">
        <v>7</v>
      </c>
      <c r="AS76" s="162" t="s">
        <v>7</v>
      </c>
      <c r="AT76" s="117" t="s">
        <v>7</v>
      </c>
      <c r="AU76" s="162" t="s">
        <v>7</v>
      </c>
      <c r="AV76" s="162" t="s">
        <v>7</v>
      </c>
      <c r="AW76" s="162" t="s">
        <v>9851</v>
      </c>
      <c r="AX76" s="162" t="s">
        <v>7</v>
      </c>
      <c r="AY76" s="162" t="s">
        <v>7</v>
      </c>
      <c r="AZ76" t="s">
        <v>7</v>
      </c>
      <c r="BA76" s="162" t="s">
        <v>7</v>
      </c>
      <c r="BB76" s="162" t="s">
        <v>7</v>
      </c>
      <c r="BC76" s="162" t="s">
        <v>7</v>
      </c>
      <c r="BD76" s="162" t="s">
        <v>7</v>
      </c>
      <c r="BE76" s="162" t="s">
        <v>7</v>
      </c>
      <c r="BF76" s="162" t="str">
        <f t="shared" si="2"/>
        <v>Sim</v>
      </c>
      <c r="BG76" s="162" t="str">
        <f t="shared" si="3"/>
        <v>Não</v>
      </c>
      <c r="BH76" s="162" t="s">
        <v>7</v>
      </c>
      <c r="BI76" t="s">
        <v>9870</v>
      </c>
      <c r="BJ76" s="162" t="s">
        <v>10164</v>
      </c>
      <c r="BK76" t="s">
        <v>10</v>
      </c>
      <c r="BL76" s="162">
        <v>20</v>
      </c>
      <c r="BM76" t="s">
        <v>35</v>
      </c>
      <c r="BN76" t="s">
        <v>35</v>
      </c>
      <c r="BO76" t="s">
        <v>10</v>
      </c>
      <c r="BP76" s="162">
        <v>20</v>
      </c>
      <c r="BQ76" t="s">
        <v>9851</v>
      </c>
      <c r="BR76" t="s">
        <v>35</v>
      </c>
      <c r="BS76" s="162" t="s">
        <v>35</v>
      </c>
    </row>
    <row r="77" spans="1:71">
      <c r="A77" s="162">
        <v>76</v>
      </c>
      <c r="B77" t="s">
        <v>456</v>
      </c>
      <c r="C77" s="162">
        <v>1</v>
      </c>
      <c r="D77" s="122" t="s">
        <v>98</v>
      </c>
      <c r="E77" t="s">
        <v>1036</v>
      </c>
      <c r="F77" t="s">
        <v>3</v>
      </c>
      <c r="G77" t="s">
        <v>461</v>
      </c>
      <c r="H77" t="s">
        <v>1041</v>
      </c>
      <c r="I77" s="162">
        <v>1</v>
      </c>
      <c r="J77" t="s">
        <v>1855</v>
      </c>
      <c r="K77" t="s">
        <v>3</v>
      </c>
      <c r="L77" s="165">
        <v>35528</v>
      </c>
      <c r="M77" s="166">
        <v>19</v>
      </c>
      <c r="N77" t="s">
        <v>1093</v>
      </c>
      <c r="O77" t="s">
        <v>10135</v>
      </c>
      <c r="P77" t="s">
        <v>1101</v>
      </c>
      <c r="Q77" t="s">
        <v>1127</v>
      </c>
      <c r="R77" t="s">
        <v>1483</v>
      </c>
      <c r="S77" s="162">
        <v>42</v>
      </c>
      <c r="T77" t="s">
        <v>1484</v>
      </c>
      <c r="U77" s="162">
        <v>22</v>
      </c>
      <c r="V77" t="s">
        <v>1151</v>
      </c>
      <c r="W77" s="162">
        <v>2.5</v>
      </c>
      <c r="X77">
        <v>0</v>
      </c>
      <c r="Y77" s="162">
        <v>0</v>
      </c>
      <c r="Z77">
        <v>0</v>
      </c>
      <c r="AA77" s="162">
        <v>0</v>
      </c>
      <c r="AB77" t="s">
        <v>1486</v>
      </c>
      <c r="AC77" s="162" t="s">
        <v>7</v>
      </c>
      <c r="AD77" s="162" t="s">
        <v>7</v>
      </c>
      <c r="AE77" s="162" t="s">
        <v>7</v>
      </c>
      <c r="AF77" s="162" t="s">
        <v>7</v>
      </c>
      <c r="AG77" s="162" t="s">
        <v>9851</v>
      </c>
      <c r="AH77" s="162" t="s">
        <v>7</v>
      </c>
      <c r="AI77" t="s">
        <v>9843</v>
      </c>
      <c r="AJ77" t="s">
        <v>7</v>
      </c>
      <c r="AK77" t="s">
        <v>1485</v>
      </c>
      <c r="AL77" t="s">
        <v>36</v>
      </c>
      <c r="AM77" s="162" t="s">
        <v>10138</v>
      </c>
      <c r="AN77" t="s">
        <v>9843</v>
      </c>
      <c r="AO77" t="s">
        <v>35</v>
      </c>
      <c r="AP77" t="s">
        <v>7</v>
      </c>
      <c r="AQ77" t="s">
        <v>9</v>
      </c>
      <c r="AR77" t="s">
        <v>7</v>
      </c>
      <c r="AS77" s="162" t="s">
        <v>7</v>
      </c>
      <c r="AT77" s="117" t="s">
        <v>7</v>
      </c>
      <c r="AU77" s="162" t="s">
        <v>7</v>
      </c>
      <c r="AV77" s="162" t="s">
        <v>7</v>
      </c>
      <c r="AW77" s="162" t="s">
        <v>9851</v>
      </c>
      <c r="AX77" s="162" t="s">
        <v>7</v>
      </c>
      <c r="AY77" s="162" t="s">
        <v>7</v>
      </c>
      <c r="AZ77" t="s">
        <v>7</v>
      </c>
      <c r="BA77" s="162" t="s">
        <v>7</v>
      </c>
      <c r="BB77" s="162" t="s">
        <v>7</v>
      </c>
      <c r="BC77" s="162" t="s">
        <v>7</v>
      </c>
      <c r="BD77" s="162" t="s">
        <v>7</v>
      </c>
      <c r="BE77" s="162" t="s">
        <v>7</v>
      </c>
      <c r="BF77" s="162" t="str">
        <f t="shared" si="2"/>
        <v>Sim</v>
      </c>
      <c r="BG77" s="162" t="str">
        <f t="shared" si="3"/>
        <v>Não</v>
      </c>
      <c r="BH77" s="162" t="s">
        <v>7</v>
      </c>
      <c r="BI77" t="s">
        <v>9870</v>
      </c>
      <c r="BJ77" s="162" t="s">
        <v>10164</v>
      </c>
      <c r="BK77" t="s">
        <v>10</v>
      </c>
      <c r="BL77" s="162">
        <v>20</v>
      </c>
      <c r="BM77" t="s">
        <v>35</v>
      </c>
      <c r="BN77" t="s">
        <v>35</v>
      </c>
      <c r="BO77" t="s">
        <v>10</v>
      </c>
      <c r="BP77" s="162">
        <v>20</v>
      </c>
      <c r="BQ77" t="s">
        <v>9851</v>
      </c>
      <c r="BR77" t="s">
        <v>35</v>
      </c>
      <c r="BS77" s="162" t="s">
        <v>35</v>
      </c>
    </row>
    <row r="78" spans="1:71">
      <c r="A78" s="162">
        <v>77</v>
      </c>
      <c r="B78" t="s">
        <v>365</v>
      </c>
      <c r="C78" s="162">
        <v>1</v>
      </c>
      <c r="D78" s="122" t="s">
        <v>505</v>
      </c>
      <c r="E78" t="s">
        <v>873</v>
      </c>
      <c r="F78" t="s">
        <v>515</v>
      </c>
      <c r="G78" t="s">
        <v>378</v>
      </c>
      <c r="H78" t="s">
        <v>874</v>
      </c>
      <c r="I78" s="162">
        <v>1</v>
      </c>
      <c r="J78" t="s">
        <v>1855</v>
      </c>
      <c r="K78" t="s">
        <v>515</v>
      </c>
      <c r="L78" s="165">
        <v>35613</v>
      </c>
      <c r="M78" s="166">
        <v>20</v>
      </c>
      <c r="N78" t="s">
        <v>5</v>
      </c>
      <c r="O78" t="s">
        <v>10135</v>
      </c>
      <c r="P78" t="s">
        <v>41</v>
      </c>
      <c r="Q78" t="s">
        <v>1776</v>
      </c>
      <c r="R78" t="s">
        <v>1777</v>
      </c>
      <c r="S78" s="162">
        <v>4.4000000000000004</v>
      </c>
      <c r="T78" t="s">
        <v>1778</v>
      </c>
      <c r="U78" s="162">
        <v>1.5</v>
      </c>
      <c r="V78" t="s">
        <v>1246</v>
      </c>
      <c r="W78" s="162">
        <v>3</v>
      </c>
      <c r="X78">
        <v>0</v>
      </c>
      <c r="Y78" s="162">
        <v>0</v>
      </c>
      <c r="Z78">
        <v>0</v>
      </c>
      <c r="AA78" s="162">
        <v>0</v>
      </c>
      <c r="AB78">
        <v>0</v>
      </c>
      <c r="AC78" s="162" t="s">
        <v>7</v>
      </c>
      <c r="AD78" s="162" t="s">
        <v>7</v>
      </c>
      <c r="AE78" s="162" t="s">
        <v>7</v>
      </c>
      <c r="AF78" s="162" t="s">
        <v>7</v>
      </c>
      <c r="AG78" s="162" t="s">
        <v>7</v>
      </c>
      <c r="AH78" s="162" t="s">
        <v>7</v>
      </c>
      <c r="AI78" t="s">
        <v>9846</v>
      </c>
      <c r="AJ78" t="s">
        <v>7</v>
      </c>
      <c r="AK78" t="s">
        <v>1783</v>
      </c>
      <c r="AL78" t="s">
        <v>78</v>
      </c>
      <c r="AM78" s="162" t="s">
        <v>10138</v>
      </c>
      <c r="AN78" t="s">
        <v>9843</v>
      </c>
      <c r="AO78" t="s">
        <v>35</v>
      </c>
      <c r="AP78" t="s">
        <v>7</v>
      </c>
      <c r="AQ78" t="s">
        <v>9</v>
      </c>
      <c r="AR78" t="s">
        <v>7</v>
      </c>
      <c r="AS78" s="162" t="s">
        <v>7</v>
      </c>
      <c r="AT78" s="117" t="s">
        <v>7</v>
      </c>
      <c r="AU78" s="162" t="s">
        <v>7</v>
      </c>
      <c r="AV78" s="162" t="s">
        <v>7</v>
      </c>
      <c r="AW78" s="162" t="s">
        <v>9851</v>
      </c>
      <c r="AX78" s="162" t="s">
        <v>7</v>
      </c>
      <c r="AY78" s="162" t="s">
        <v>7</v>
      </c>
      <c r="AZ78" t="s">
        <v>7</v>
      </c>
      <c r="BA78" s="162" t="s">
        <v>7</v>
      </c>
      <c r="BB78" s="162" t="s">
        <v>7</v>
      </c>
      <c r="BC78" s="162" t="s">
        <v>7</v>
      </c>
      <c r="BD78" s="162" t="s">
        <v>7</v>
      </c>
      <c r="BE78" s="162" t="s">
        <v>7</v>
      </c>
      <c r="BF78" s="162" t="str">
        <f t="shared" si="2"/>
        <v>Sim</v>
      </c>
      <c r="BG78" s="162" t="str">
        <f t="shared" si="3"/>
        <v>Não</v>
      </c>
      <c r="BH78" s="162" t="s">
        <v>7</v>
      </c>
      <c r="BI78" t="s">
        <v>9870</v>
      </c>
      <c r="BJ78" s="162" t="s">
        <v>10164</v>
      </c>
      <c r="BK78" t="s">
        <v>10</v>
      </c>
      <c r="BL78" s="162">
        <v>20</v>
      </c>
      <c r="BM78" t="s">
        <v>35</v>
      </c>
      <c r="BN78" t="s">
        <v>35</v>
      </c>
      <c r="BO78" t="s">
        <v>10</v>
      </c>
      <c r="BP78" s="162">
        <v>20</v>
      </c>
      <c r="BQ78" t="s">
        <v>9851</v>
      </c>
      <c r="BR78" t="s">
        <v>35</v>
      </c>
      <c r="BS78" s="162" t="s">
        <v>35</v>
      </c>
    </row>
    <row r="79" spans="1:71">
      <c r="A79" s="162">
        <v>78</v>
      </c>
      <c r="B79" t="s">
        <v>218</v>
      </c>
      <c r="C79" s="162">
        <v>1</v>
      </c>
      <c r="D79" s="122" t="s">
        <v>775</v>
      </c>
      <c r="E79" t="s">
        <v>769</v>
      </c>
      <c r="F79" t="s">
        <v>515</v>
      </c>
      <c r="G79" t="s">
        <v>225</v>
      </c>
      <c r="H79" t="s">
        <v>776</v>
      </c>
      <c r="I79" s="162">
        <v>1</v>
      </c>
      <c r="J79" t="s">
        <v>1855</v>
      </c>
      <c r="K79" t="s">
        <v>3</v>
      </c>
      <c r="L79" s="165">
        <v>36287</v>
      </c>
      <c r="M79" s="166">
        <v>18</v>
      </c>
      <c r="N79" t="s">
        <v>4</v>
      </c>
      <c r="O79" t="s">
        <v>10134</v>
      </c>
      <c r="P79" t="s">
        <v>48</v>
      </c>
      <c r="Q79" t="s">
        <v>1240</v>
      </c>
      <c r="R79" t="s">
        <v>1241</v>
      </c>
      <c r="S79" s="162">
        <v>67.5</v>
      </c>
      <c r="T79" t="s">
        <v>1242</v>
      </c>
      <c r="U79" s="162">
        <v>18.3</v>
      </c>
      <c r="V79" t="s">
        <v>1243</v>
      </c>
      <c r="W79" s="162">
        <v>2.4</v>
      </c>
      <c r="X79">
        <v>0</v>
      </c>
      <c r="Y79" s="162">
        <v>0</v>
      </c>
      <c r="Z79">
        <v>0</v>
      </c>
      <c r="AA79" s="162">
        <v>0</v>
      </c>
      <c r="AB79">
        <v>0</v>
      </c>
      <c r="AC79" s="162" t="s">
        <v>7</v>
      </c>
      <c r="AD79" s="162" t="s">
        <v>7</v>
      </c>
      <c r="AE79" s="162" t="s">
        <v>7</v>
      </c>
      <c r="AF79" s="162" t="s">
        <v>7</v>
      </c>
      <c r="AG79" s="162" t="s">
        <v>7</v>
      </c>
      <c r="AH79" s="162" t="s">
        <v>7</v>
      </c>
      <c r="AI79" t="s">
        <v>9843</v>
      </c>
      <c r="AJ79" t="s">
        <v>1272</v>
      </c>
      <c r="AK79" t="s">
        <v>1173</v>
      </c>
      <c r="AL79" t="s">
        <v>1903</v>
      </c>
      <c r="AM79" s="162" t="s">
        <v>10138</v>
      </c>
      <c r="AN79" t="s">
        <v>9843</v>
      </c>
      <c r="AO79" t="s">
        <v>7</v>
      </c>
      <c r="AP79" t="s">
        <v>9856</v>
      </c>
      <c r="AQ79" t="s">
        <v>1080</v>
      </c>
      <c r="AR79" t="s">
        <v>7</v>
      </c>
      <c r="AS79" s="162" t="s">
        <v>7</v>
      </c>
      <c r="AT79" s="117" t="s">
        <v>1244</v>
      </c>
      <c r="AU79" s="162" t="s">
        <v>7</v>
      </c>
      <c r="AV79" s="162" t="s">
        <v>9851</v>
      </c>
      <c r="AW79" s="162" t="s">
        <v>7</v>
      </c>
      <c r="AX79" s="162" t="s">
        <v>7</v>
      </c>
      <c r="AY79" s="162" t="s">
        <v>9851</v>
      </c>
      <c r="AZ79" t="s">
        <v>7</v>
      </c>
      <c r="BA79" s="162" t="s">
        <v>7</v>
      </c>
      <c r="BB79" s="162" t="s">
        <v>7</v>
      </c>
      <c r="BC79" s="162" t="s">
        <v>7</v>
      </c>
      <c r="BD79" s="162" t="s">
        <v>7</v>
      </c>
      <c r="BE79" s="162" t="s">
        <v>7</v>
      </c>
      <c r="BF79" s="162" t="str">
        <f t="shared" si="2"/>
        <v>Sim</v>
      </c>
      <c r="BG79" s="162" t="str">
        <f t="shared" si="3"/>
        <v>Não</v>
      </c>
      <c r="BH79" s="162" t="s">
        <v>7</v>
      </c>
      <c r="BI79" t="s">
        <v>9870</v>
      </c>
      <c r="BJ79" s="162" t="s">
        <v>10164</v>
      </c>
      <c r="BK79" t="s">
        <v>10</v>
      </c>
      <c r="BL79" s="162">
        <v>20</v>
      </c>
      <c r="BM79" t="s">
        <v>35</v>
      </c>
      <c r="BN79" t="s">
        <v>35</v>
      </c>
      <c r="BO79" t="s">
        <v>10</v>
      </c>
      <c r="BP79" s="162">
        <v>20</v>
      </c>
      <c r="BQ79" t="s">
        <v>7</v>
      </c>
      <c r="BR79" t="s">
        <v>1114</v>
      </c>
      <c r="BS79" s="162" t="s">
        <v>1114</v>
      </c>
    </row>
    <row r="80" spans="1:71">
      <c r="A80" s="162">
        <v>79</v>
      </c>
      <c r="B80" t="s">
        <v>408</v>
      </c>
      <c r="C80" s="162">
        <v>1</v>
      </c>
      <c r="D80" s="122" t="s">
        <v>681</v>
      </c>
      <c r="E80" t="s">
        <v>919</v>
      </c>
      <c r="F80" t="s">
        <v>3</v>
      </c>
      <c r="G80" t="s">
        <v>411</v>
      </c>
      <c r="H80" t="s">
        <v>946</v>
      </c>
      <c r="I80" s="162">
        <v>1</v>
      </c>
      <c r="J80" t="s">
        <v>1855</v>
      </c>
      <c r="K80" t="s">
        <v>3</v>
      </c>
      <c r="L80" s="165">
        <v>32975</v>
      </c>
      <c r="M80" s="166">
        <v>27</v>
      </c>
      <c r="N80" t="s">
        <v>1093</v>
      </c>
      <c r="O80" t="s">
        <v>10135</v>
      </c>
      <c r="P80" t="s">
        <v>48</v>
      </c>
      <c r="Q80" t="s">
        <v>1072</v>
      </c>
      <c r="R80" t="s">
        <v>1190</v>
      </c>
      <c r="S80" s="162">
        <v>32</v>
      </c>
      <c r="T80" t="s">
        <v>1188</v>
      </c>
      <c r="U80" s="162">
        <v>30.3</v>
      </c>
      <c r="V80" t="s">
        <v>1189</v>
      </c>
      <c r="W80" s="162">
        <v>3.7</v>
      </c>
      <c r="X80">
        <v>0</v>
      </c>
      <c r="Y80" s="162">
        <v>0</v>
      </c>
      <c r="Z80">
        <v>0</v>
      </c>
      <c r="AA80" s="162">
        <v>0</v>
      </c>
      <c r="AB80">
        <v>0</v>
      </c>
      <c r="AC80" s="162" t="s">
        <v>7</v>
      </c>
      <c r="AD80" s="162" t="s">
        <v>7</v>
      </c>
      <c r="AE80" s="162" t="s">
        <v>7</v>
      </c>
      <c r="AF80" s="162" t="s">
        <v>7</v>
      </c>
      <c r="AG80" s="162" t="s">
        <v>7</v>
      </c>
      <c r="AH80" s="162" t="s">
        <v>7</v>
      </c>
      <c r="AI80" t="s">
        <v>9843</v>
      </c>
      <c r="AJ80" t="s">
        <v>7</v>
      </c>
      <c r="AK80" t="s">
        <v>9840</v>
      </c>
      <c r="AL80" t="s">
        <v>36</v>
      </c>
      <c r="AM80" s="162" t="s">
        <v>10138</v>
      </c>
      <c r="AN80" t="s">
        <v>9843</v>
      </c>
      <c r="AO80" t="s">
        <v>35</v>
      </c>
      <c r="AP80" t="s">
        <v>7</v>
      </c>
      <c r="AQ80" t="s">
        <v>9</v>
      </c>
      <c r="AR80" t="s">
        <v>7</v>
      </c>
      <c r="AS80" s="162" t="s">
        <v>7</v>
      </c>
      <c r="AT80" s="117" t="s">
        <v>7</v>
      </c>
      <c r="AU80" s="162" t="s">
        <v>7</v>
      </c>
      <c r="AV80" s="162" t="s">
        <v>7</v>
      </c>
      <c r="AW80" s="162" t="s">
        <v>9851</v>
      </c>
      <c r="AX80" s="162" t="s">
        <v>7</v>
      </c>
      <c r="AY80" s="162" t="s">
        <v>7</v>
      </c>
      <c r="AZ80" t="s">
        <v>7</v>
      </c>
      <c r="BA80" s="162" t="s">
        <v>7</v>
      </c>
      <c r="BB80" s="162" t="s">
        <v>7</v>
      </c>
      <c r="BC80" s="162" t="s">
        <v>7</v>
      </c>
      <c r="BD80" s="162" t="s">
        <v>7</v>
      </c>
      <c r="BE80" s="162" t="s">
        <v>7</v>
      </c>
      <c r="BF80" s="162" t="str">
        <f t="shared" si="2"/>
        <v>Sim</v>
      </c>
      <c r="BG80" s="162" t="str">
        <f t="shared" si="3"/>
        <v>Não</v>
      </c>
      <c r="BH80" s="162" t="s">
        <v>7</v>
      </c>
      <c r="BI80" t="s">
        <v>9870</v>
      </c>
      <c r="BJ80" s="162" t="s">
        <v>10164</v>
      </c>
      <c r="BK80" t="s">
        <v>10</v>
      </c>
      <c r="BL80" s="162">
        <v>20</v>
      </c>
      <c r="BM80" t="s">
        <v>35</v>
      </c>
      <c r="BN80" t="s">
        <v>35</v>
      </c>
      <c r="BO80" t="s">
        <v>10</v>
      </c>
      <c r="BP80" s="162">
        <v>20</v>
      </c>
      <c r="BQ80" t="s">
        <v>9851</v>
      </c>
      <c r="BR80" t="s">
        <v>35</v>
      </c>
      <c r="BS80" s="162" t="s">
        <v>35</v>
      </c>
    </row>
    <row r="81" spans="1:71">
      <c r="A81" s="162">
        <v>80</v>
      </c>
      <c r="B81" t="s">
        <v>255</v>
      </c>
      <c r="C81" s="162">
        <v>1</v>
      </c>
      <c r="D81" s="122" t="s">
        <v>539</v>
      </c>
      <c r="E81" t="s">
        <v>728</v>
      </c>
      <c r="F81" t="s">
        <v>3</v>
      </c>
      <c r="G81" t="s">
        <v>264</v>
      </c>
      <c r="H81" t="s">
        <v>729</v>
      </c>
      <c r="I81" s="162">
        <v>1</v>
      </c>
      <c r="J81" t="s">
        <v>1855</v>
      </c>
      <c r="K81" t="s">
        <v>3</v>
      </c>
      <c r="L81" s="165">
        <v>27854</v>
      </c>
      <c r="M81" s="166">
        <v>41</v>
      </c>
      <c r="N81" t="s">
        <v>5</v>
      </c>
      <c r="O81" t="s">
        <v>10135</v>
      </c>
      <c r="P81" t="s">
        <v>1101</v>
      </c>
      <c r="Q81" t="s">
        <v>1647</v>
      </c>
      <c r="R81" t="s">
        <v>1644</v>
      </c>
      <c r="S81" s="162">
        <v>58.4</v>
      </c>
      <c r="T81" t="s">
        <v>1646</v>
      </c>
      <c r="U81" s="162">
        <v>3</v>
      </c>
      <c r="V81" t="s">
        <v>1645</v>
      </c>
      <c r="W81" s="162">
        <v>11</v>
      </c>
      <c r="X81">
        <v>0</v>
      </c>
      <c r="Y81" s="162">
        <v>0</v>
      </c>
      <c r="Z81">
        <v>0</v>
      </c>
      <c r="AA81" s="162">
        <v>0</v>
      </c>
      <c r="AB81">
        <v>0</v>
      </c>
      <c r="AC81" s="162" t="s">
        <v>7</v>
      </c>
      <c r="AD81" s="162" t="s">
        <v>7</v>
      </c>
      <c r="AE81" s="162" t="s">
        <v>7</v>
      </c>
      <c r="AF81" s="162" t="s">
        <v>7</v>
      </c>
      <c r="AG81" s="162" t="s">
        <v>7</v>
      </c>
      <c r="AH81" s="162" t="s">
        <v>7</v>
      </c>
      <c r="AI81" t="s">
        <v>9843</v>
      </c>
      <c r="AJ81" t="s">
        <v>7</v>
      </c>
      <c r="AK81" t="s">
        <v>1648</v>
      </c>
      <c r="AL81" t="s">
        <v>36</v>
      </c>
      <c r="AM81" s="162" t="s">
        <v>10138</v>
      </c>
      <c r="AN81" t="s">
        <v>9843</v>
      </c>
      <c r="AO81" t="s">
        <v>35</v>
      </c>
      <c r="AP81" t="s">
        <v>1079</v>
      </c>
      <c r="AQ81" t="s">
        <v>1080</v>
      </c>
      <c r="AR81" t="s">
        <v>7</v>
      </c>
      <c r="AS81" s="162" t="s">
        <v>7</v>
      </c>
      <c r="AT81" s="117" t="s">
        <v>1111</v>
      </c>
      <c r="AU81" s="162" t="s">
        <v>9851</v>
      </c>
      <c r="AV81" s="162" t="s">
        <v>7</v>
      </c>
      <c r="AW81" s="162" t="s">
        <v>7</v>
      </c>
      <c r="AX81" s="162" t="s">
        <v>7</v>
      </c>
      <c r="AY81" s="162" t="s">
        <v>9851</v>
      </c>
      <c r="AZ81" t="s">
        <v>7</v>
      </c>
      <c r="BA81" s="162" t="s">
        <v>7</v>
      </c>
      <c r="BB81" s="162" t="s">
        <v>7</v>
      </c>
      <c r="BC81" s="162" t="s">
        <v>7</v>
      </c>
      <c r="BD81" s="162" t="s">
        <v>7</v>
      </c>
      <c r="BE81" s="162" t="s">
        <v>7</v>
      </c>
      <c r="BF81" s="162" t="str">
        <f t="shared" si="2"/>
        <v>Sim</v>
      </c>
      <c r="BG81" s="162" t="str">
        <f t="shared" si="3"/>
        <v>Não</v>
      </c>
      <c r="BH81" s="162" t="s">
        <v>7</v>
      </c>
      <c r="BI81" t="s">
        <v>9870</v>
      </c>
      <c r="BJ81" s="162" t="s">
        <v>10164</v>
      </c>
      <c r="BK81" t="s">
        <v>10</v>
      </c>
      <c r="BL81" s="162">
        <v>20</v>
      </c>
      <c r="BM81" t="s">
        <v>35</v>
      </c>
      <c r="BN81" t="s">
        <v>35</v>
      </c>
      <c r="BO81" t="s">
        <v>10</v>
      </c>
      <c r="BP81" s="162">
        <v>20</v>
      </c>
      <c r="BQ81" t="s">
        <v>7</v>
      </c>
      <c r="BR81" t="s">
        <v>37</v>
      </c>
      <c r="BS81" s="162" t="s">
        <v>37</v>
      </c>
    </row>
    <row r="82" spans="1:71">
      <c r="A82" s="162">
        <v>81</v>
      </c>
      <c r="B82" t="s">
        <v>325</v>
      </c>
      <c r="C82" s="162">
        <v>1</v>
      </c>
      <c r="D82" s="122">
        <v>42879</v>
      </c>
      <c r="E82" t="s">
        <v>847</v>
      </c>
      <c r="F82" t="s">
        <v>515</v>
      </c>
      <c r="G82" t="s">
        <v>335</v>
      </c>
      <c r="H82" t="s">
        <v>1888</v>
      </c>
      <c r="I82" s="162">
        <v>1</v>
      </c>
      <c r="J82" t="s">
        <v>1855</v>
      </c>
      <c r="K82" t="s">
        <v>3</v>
      </c>
      <c r="L82" s="165">
        <v>34646</v>
      </c>
      <c r="M82" s="166">
        <v>22</v>
      </c>
      <c r="N82" t="s">
        <v>5</v>
      </c>
      <c r="O82" t="s">
        <v>10135</v>
      </c>
      <c r="P82" t="s">
        <v>1101</v>
      </c>
      <c r="Q82" t="s">
        <v>1127</v>
      </c>
      <c r="R82" t="s">
        <v>1978</v>
      </c>
      <c r="S82" s="162">
        <v>17.3</v>
      </c>
      <c r="T82" t="s">
        <v>1985</v>
      </c>
      <c r="U82" s="162">
        <v>24.3</v>
      </c>
      <c r="V82" t="s">
        <v>1979</v>
      </c>
      <c r="W82" s="162">
        <v>2.5</v>
      </c>
      <c r="X82">
        <v>0</v>
      </c>
      <c r="Y82" s="162">
        <v>0</v>
      </c>
      <c r="Z82">
        <v>0</v>
      </c>
      <c r="AA82" s="162">
        <v>0</v>
      </c>
      <c r="AB82">
        <v>0</v>
      </c>
      <c r="AC82" s="162" t="s">
        <v>7</v>
      </c>
      <c r="AD82" s="162" t="s">
        <v>7</v>
      </c>
      <c r="AE82" s="162" t="s">
        <v>7</v>
      </c>
      <c r="AF82" s="162" t="s">
        <v>7</v>
      </c>
      <c r="AG82" s="162" t="s">
        <v>7</v>
      </c>
      <c r="AH82" s="162" t="s">
        <v>7</v>
      </c>
      <c r="AI82" t="s">
        <v>9843</v>
      </c>
      <c r="AJ82" t="s">
        <v>7</v>
      </c>
      <c r="AK82" t="s">
        <v>1599</v>
      </c>
      <c r="AL82" t="s">
        <v>36</v>
      </c>
      <c r="AM82" s="162" t="s">
        <v>10138</v>
      </c>
      <c r="AN82" t="s">
        <v>9843</v>
      </c>
      <c r="AO82" t="s">
        <v>35</v>
      </c>
      <c r="AP82" t="s">
        <v>7</v>
      </c>
      <c r="AQ82" t="s">
        <v>9</v>
      </c>
      <c r="AR82" t="s">
        <v>7</v>
      </c>
      <c r="AS82" s="162" t="s">
        <v>7</v>
      </c>
      <c r="AT82" s="117" t="s">
        <v>7</v>
      </c>
      <c r="AU82" s="162" t="s">
        <v>7</v>
      </c>
      <c r="AV82" s="162" t="s">
        <v>7</v>
      </c>
      <c r="AW82" s="162" t="s">
        <v>9851</v>
      </c>
      <c r="AX82" s="162" t="s">
        <v>7</v>
      </c>
      <c r="AY82" s="162" t="s">
        <v>7</v>
      </c>
      <c r="AZ82" t="s">
        <v>7</v>
      </c>
      <c r="BA82" s="162" t="s">
        <v>7</v>
      </c>
      <c r="BB82" s="162" t="s">
        <v>7</v>
      </c>
      <c r="BC82" s="162" t="s">
        <v>7</v>
      </c>
      <c r="BD82" s="162" t="s">
        <v>7</v>
      </c>
      <c r="BE82" s="162" t="s">
        <v>7</v>
      </c>
      <c r="BF82" s="162" t="str">
        <f t="shared" si="2"/>
        <v>Sim</v>
      </c>
      <c r="BG82" s="162" t="str">
        <f t="shared" si="3"/>
        <v>Não</v>
      </c>
      <c r="BH82" s="162" t="s">
        <v>7</v>
      </c>
      <c r="BI82" t="s">
        <v>9870</v>
      </c>
      <c r="BJ82" s="162" t="s">
        <v>10164</v>
      </c>
      <c r="BK82" t="s">
        <v>10</v>
      </c>
      <c r="BL82" s="162">
        <v>20</v>
      </c>
      <c r="BM82" t="s">
        <v>35</v>
      </c>
      <c r="BN82" t="s">
        <v>35</v>
      </c>
      <c r="BO82" t="s">
        <v>10</v>
      </c>
      <c r="BP82" s="162">
        <v>20</v>
      </c>
      <c r="BQ82" t="s">
        <v>7</v>
      </c>
      <c r="BR82" t="s">
        <v>1849</v>
      </c>
      <c r="BS82" s="162" t="s">
        <v>10170</v>
      </c>
    </row>
    <row r="83" spans="1:71">
      <c r="A83" s="162">
        <v>82</v>
      </c>
      <c r="B83" t="s">
        <v>305</v>
      </c>
      <c r="C83" s="162">
        <v>1</v>
      </c>
      <c r="D83" s="122">
        <v>43033</v>
      </c>
      <c r="E83" t="s">
        <v>823</v>
      </c>
      <c r="F83" t="s">
        <v>515</v>
      </c>
      <c r="G83" t="s">
        <v>316</v>
      </c>
      <c r="H83" t="s">
        <v>1916</v>
      </c>
      <c r="I83" s="162">
        <v>1</v>
      </c>
      <c r="J83" t="s">
        <v>1855</v>
      </c>
      <c r="K83" t="s">
        <v>515</v>
      </c>
      <c r="L83" s="165">
        <v>34319</v>
      </c>
      <c r="M83" s="166">
        <v>23</v>
      </c>
      <c r="N83" t="s">
        <v>1093</v>
      </c>
      <c r="O83" t="s">
        <v>10135</v>
      </c>
      <c r="P83" t="s">
        <v>48</v>
      </c>
      <c r="Q83" t="s">
        <v>1917</v>
      </c>
      <c r="R83" t="s">
        <v>2033</v>
      </c>
      <c r="S83" s="162">
        <v>28.2</v>
      </c>
      <c r="T83">
        <v>0</v>
      </c>
      <c r="U83" s="162">
        <v>0</v>
      </c>
      <c r="V83" t="s">
        <v>2048</v>
      </c>
      <c r="W83" s="162">
        <v>6.2</v>
      </c>
      <c r="X83">
        <v>0</v>
      </c>
      <c r="Y83" s="162">
        <v>0</v>
      </c>
      <c r="Z83">
        <v>0</v>
      </c>
      <c r="AA83" s="162">
        <v>0</v>
      </c>
      <c r="AB83">
        <v>0</v>
      </c>
      <c r="AC83" s="162" t="s">
        <v>7</v>
      </c>
      <c r="AD83" s="162" t="s">
        <v>7</v>
      </c>
      <c r="AE83" s="162" t="s">
        <v>7</v>
      </c>
      <c r="AF83" s="162" t="s">
        <v>7</v>
      </c>
      <c r="AG83" s="162" t="s">
        <v>7</v>
      </c>
      <c r="AH83" s="162" t="s">
        <v>7</v>
      </c>
      <c r="AI83" t="s">
        <v>9843</v>
      </c>
      <c r="AJ83" t="s">
        <v>7</v>
      </c>
      <c r="AK83" t="s">
        <v>2053</v>
      </c>
      <c r="AL83" t="s">
        <v>36</v>
      </c>
      <c r="AM83" s="162" t="s">
        <v>10138</v>
      </c>
      <c r="AN83" t="s">
        <v>9843</v>
      </c>
      <c r="AO83" t="s">
        <v>35</v>
      </c>
      <c r="AP83" t="s">
        <v>7</v>
      </c>
      <c r="AQ83" t="s">
        <v>9</v>
      </c>
      <c r="AR83" t="s">
        <v>7</v>
      </c>
      <c r="AS83" s="162" t="s">
        <v>7</v>
      </c>
      <c r="AT83" s="117" t="s">
        <v>7</v>
      </c>
      <c r="AU83" s="162" t="s">
        <v>7</v>
      </c>
      <c r="AV83" s="162" t="s">
        <v>7</v>
      </c>
      <c r="AW83" s="162" t="s">
        <v>9851</v>
      </c>
      <c r="AX83" s="162" t="s">
        <v>7</v>
      </c>
      <c r="AY83" s="162" t="s">
        <v>7</v>
      </c>
      <c r="AZ83" t="s">
        <v>7</v>
      </c>
      <c r="BA83" s="162" t="s">
        <v>7</v>
      </c>
      <c r="BB83" s="162" t="s">
        <v>7</v>
      </c>
      <c r="BC83" s="162" t="s">
        <v>7</v>
      </c>
      <c r="BD83" s="162" t="s">
        <v>7</v>
      </c>
      <c r="BE83" s="162" t="s">
        <v>7</v>
      </c>
      <c r="BF83" s="162" t="str">
        <f t="shared" si="2"/>
        <v>Sim</v>
      </c>
      <c r="BG83" s="162" t="str">
        <f t="shared" si="3"/>
        <v>Não</v>
      </c>
      <c r="BH83" s="162" t="s">
        <v>7</v>
      </c>
      <c r="BI83" t="s">
        <v>9870</v>
      </c>
      <c r="BJ83" s="162" t="s">
        <v>10164</v>
      </c>
      <c r="BK83" t="s">
        <v>10</v>
      </c>
      <c r="BL83" s="162">
        <v>20</v>
      </c>
      <c r="BM83" t="s">
        <v>35</v>
      </c>
      <c r="BN83" t="s">
        <v>35</v>
      </c>
      <c r="BO83" t="s">
        <v>10</v>
      </c>
      <c r="BP83" s="162">
        <v>20</v>
      </c>
      <c r="BQ83" t="s">
        <v>9851</v>
      </c>
      <c r="BR83" t="s">
        <v>35</v>
      </c>
      <c r="BS83" s="162" t="s">
        <v>35</v>
      </c>
    </row>
    <row r="84" spans="1:71">
      <c r="A84" s="162">
        <v>83</v>
      </c>
      <c r="B84" t="s">
        <v>397</v>
      </c>
      <c r="C84" s="162">
        <v>1</v>
      </c>
      <c r="D84" s="122" t="s">
        <v>109</v>
      </c>
      <c r="E84" t="s">
        <v>922</v>
      </c>
      <c r="F84" t="s">
        <v>515</v>
      </c>
      <c r="G84" t="s">
        <v>411</v>
      </c>
      <c r="H84" t="s">
        <v>927</v>
      </c>
      <c r="I84" s="162">
        <v>1</v>
      </c>
      <c r="J84" t="s">
        <v>1855</v>
      </c>
      <c r="K84" t="s">
        <v>3</v>
      </c>
      <c r="L84" s="165">
        <v>31841</v>
      </c>
      <c r="M84" s="166">
        <v>30</v>
      </c>
      <c r="N84" t="s">
        <v>4</v>
      </c>
      <c r="O84" t="s">
        <v>10134</v>
      </c>
      <c r="P84" t="s">
        <v>48</v>
      </c>
      <c r="Q84" t="s">
        <v>1142</v>
      </c>
      <c r="R84" t="s">
        <v>1146</v>
      </c>
      <c r="S84" s="162">
        <v>23.5</v>
      </c>
      <c r="T84" t="s">
        <v>1144</v>
      </c>
      <c r="U84" s="162">
        <v>17.8</v>
      </c>
      <c r="V84" t="s">
        <v>1145</v>
      </c>
      <c r="W84" s="162">
        <v>7</v>
      </c>
      <c r="X84">
        <v>0</v>
      </c>
      <c r="Y84" s="162">
        <v>0</v>
      </c>
      <c r="Z84">
        <v>0</v>
      </c>
      <c r="AA84" s="162">
        <v>0</v>
      </c>
      <c r="AB84">
        <v>0</v>
      </c>
      <c r="AC84" s="162" t="s">
        <v>7</v>
      </c>
      <c r="AD84" s="162" t="s">
        <v>7</v>
      </c>
      <c r="AE84" s="162" t="s">
        <v>7</v>
      </c>
      <c r="AF84" s="162" t="s">
        <v>7</v>
      </c>
      <c r="AG84" s="162" t="s">
        <v>7</v>
      </c>
      <c r="AH84" s="162" t="s">
        <v>7</v>
      </c>
      <c r="AI84" t="s">
        <v>9843</v>
      </c>
      <c r="AJ84" t="s">
        <v>7</v>
      </c>
      <c r="AK84" t="s">
        <v>9809</v>
      </c>
      <c r="AL84" t="s">
        <v>36</v>
      </c>
      <c r="AM84" s="162" t="s">
        <v>10138</v>
      </c>
      <c r="AN84" t="s">
        <v>9843</v>
      </c>
      <c r="AO84" t="s">
        <v>35</v>
      </c>
      <c r="AP84" t="s">
        <v>7</v>
      </c>
      <c r="AQ84" t="s">
        <v>9</v>
      </c>
      <c r="AR84" t="s">
        <v>7</v>
      </c>
      <c r="AS84" s="162" t="s">
        <v>7</v>
      </c>
      <c r="AT84" s="117" t="s">
        <v>7</v>
      </c>
      <c r="AU84" s="162" t="s">
        <v>7</v>
      </c>
      <c r="AV84" s="162" t="s">
        <v>7</v>
      </c>
      <c r="AW84" s="162" t="s">
        <v>9851</v>
      </c>
      <c r="AX84" s="162" t="s">
        <v>7</v>
      </c>
      <c r="AY84" s="162" t="s">
        <v>7</v>
      </c>
      <c r="AZ84" t="s">
        <v>7</v>
      </c>
      <c r="BA84" s="162" t="s">
        <v>7</v>
      </c>
      <c r="BB84" s="162" t="s">
        <v>7</v>
      </c>
      <c r="BC84" s="162" t="s">
        <v>7</v>
      </c>
      <c r="BD84" s="162" t="s">
        <v>7</v>
      </c>
      <c r="BE84" s="162" t="s">
        <v>7</v>
      </c>
      <c r="BF84" s="162" t="str">
        <f t="shared" si="2"/>
        <v>Sim</v>
      </c>
      <c r="BG84" s="162" t="str">
        <f t="shared" si="3"/>
        <v>Não</v>
      </c>
      <c r="BH84" s="162" t="s">
        <v>7</v>
      </c>
      <c r="BI84" t="s">
        <v>9870</v>
      </c>
      <c r="BJ84" s="162" t="s">
        <v>10164</v>
      </c>
      <c r="BK84" t="s">
        <v>10</v>
      </c>
      <c r="BL84" s="162">
        <v>20</v>
      </c>
      <c r="BM84" t="s">
        <v>35</v>
      </c>
      <c r="BN84" t="s">
        <v>35</v>
      </c>
      <c r="BO84" t="s">
        <v>10</v>
      </c>
      <c r="BP84" s="162">
        <v>20</v>
      </c>
      <c r="BQ84" t="s">
        <v>9851</v>
      </c>
      <c r="BR84" t="s">
        <v>35</v>
      </c>
      <c r="BS84" s="162" t="s">
        <v>35</v>
      </c>
    </row>
    <row r="85" spans="1:71">
      <c r="A85" s="162">
        <v>84</v>
      </c>
      <c r="B85" t="s">
        <v>292</v>
      </c>
      <c r="C85" s="162">
        <v>1</v>
      </c>
      <c r="D85" s="122" t="s">
        <v>801</v>
      </c>
      <c r="E85" t="s">
        <v>802</v>
      </c>
      <c r="F85" t="s">
        <v>3</v>
      </c>
      <c r="G85" t="s">
        <v>304</v>
      </c>
      <c r="H85" t="s">
        <v>803</v>
      </c>
      <c r="I85" s="162">
        <v>1</v>
      </c>
      <c r="J85" t="s">
        <v>1598</v>
      </c>
      <c r="K85" t="s">
        <v>3</v>
      </c>
      <c r="L85" s="165">
        <v>32919</v>
      </c>
      <c r="M85" s="166">
        <v>27</v>
      </c>
      <c r="N85" t="s">
        <v>5</v>
      </c>
      <c r="O85" t="s">
        <v>10135</v>
      </c>
      <c r="P85" t="s">
        <v>48</v>
      </c>
      <c r="Q85" t="s">
        <v>1507</v>
      </c>
      <c r="R85" t="s">
        <v>1509</v>
      </c>
      <c r="S85" s="162">
        <v>52</v>
      </c>
      <c r="T85" t="s">
        <v>1508</v>
      </c>
      <c r="U85" s="162">
        <v>22.2</v>
      </c>
      <c r="V85" t="s">
        <v>1510</v>
      </c>
      <c r="W85" s="162">
        <v>10</v>
      </c>
      <c r="X85">
        <v>0</v>
      </c>
      <c r="Y85" s="162">
        <v>0</v>
      </c>
      <c r="Z85">
        <v>0</v>
      </c>
      <c r="AA85" s="162">
        <v>0</v>
      </c>
      <c r="AB85" t="s">
        <v>1511</v>
      </c>
      <c r="AC85" s="162" t="s">
        <v>7</v>
      </c>
      <c r="AD85" s="162" t="s">
        <v>7</v>
      </c>
      <c r="AE85" s="162" t="s">
        <v>9851</v>
      </c>
      <c r="AF85" s="162" t="s">
        <v>7</v>
      </c>
      <c r="AG85" s="162" t="s">
        <v>7</v>
      </c>
      <c r="AH85" s="162" t="s">
        <v>7</v>
      </c>
      <c r="AI85" t="s">
        <v>9843</v>
      </c>
      <c r="AJ85" t="s">
        <v>7</v>
      </c>
      <c r="AK85" t="s">
        <v>1218</v>
      </c>
      <c r="AL85" t="s">
        <v>36</v>
      </c>
      <c r="AM85" s="162" t="s">
        <v>10138</v>
      </c>
      <c r="AN85" t="s">
        <v>9843</v>
      </c>
      <c r="AO85" t="s">
        <v>35</v>
      </c>
      <c r="AP85" t="s">
        <v>7</v>
      </c>
      <c r="AQ85" t="s">
        <v>9</v>
      </c>
      <c r="AR85" t="s">
        <v>7</v>
      </c>
      <c r="AS85" s="162" t="s">
        <v>7</v>
      </c>
      <c r="AT85" s="117" t="s">
        <v>7</v>
      </c>
      <c r="AU85" s="162" t="s">
        <v>7</v>
      </c>
      <c r="AV85" s="162" t="s">
        <v>7</v>
      </c>
      <c r="AW85" s="162" t="s">
        <v>9851</v>
      </c>
      <c r="AX85" s="162" t="s">
        <v>7</v>
      </c>
      <c r="AY85" s="162" t="s">
        <v>7</v>
      </c>
      <c r="AZ85" t="s">
        <v>7</v>
      </c>
      <c r="BA85" s="162" t="s">
        <v>7</v>
      </c>
      <c r="BB85" s="162" t="s">
        <v>7</v>
      </c>
      <c r="BC85" s="162" t="s">
        <v>7</v>
      </c>
      <c r="BD85" s="162" t="s">
        <v>7</v>
      </c>
      <c r="BE85" s="162" t="s">
        <v>7</v>
      </c>
      <c r="BF85" s="162" t="str">
        <f t="shared" si="2"/>
        <v>Sim</v>
      </c>
      <c r="BG85" s="162" t="str">
        <f t="shared" si="3"/>
        <v>Não</v>
      </c>
      <c r="BH85" s="162" t="s">
        <v>7</v>
      </c>
      <c r="BI85" t="s">
        <v>9870</v>
      </c>
      <c r="BJ85" s="162" t="s">
        <v>10164</v>
      </c>
      <c r="BK85" t="s">
        <v>10</v>
      </c>
      <c r="BL85" s="162">
        <v>20</v>
      </c>
      <c r="BM85" t="s">
        <v>35</v>
      </c>
      <c r="BN85" t="s">
        <v>35</v>
      </c>
      <c r="BO85" t="s">
        <v>10</v>
      </c>
      <c r="BP85" s="162">
        <v>20</v>
      </c>
      <c r="BQ85" t="s">
        <v>7</v>
      </c>
      <c r="BR85" t="s">
        <v>37</v>
      </c>
      <c r="BS85" s="162" t="s">
        <v>37</v>
      </c>
    </row>
    <row r="86" spans="1:71">
      <c r="A86" s="162">
        <v>85</v>
      </c>
      <c r="B86" t="s">
        <v>24</v>
      </c>
      <c r="C86" s="162">
        <v>1</v>
      </c>
      <c r="D86" s="122" t="s">
        <v>29</v>
      </c>
      <c r="E86" t="s">
        <v>30</v>
      </c>
      <c r="F86" t="s">
        <v>3</v>
      </c>
      <c r="G86" t="s">
        <v>23</v>
      </c>
      <c r="H86" t="s">
        <v>31</v>
      </c>
      <c r="I86" s="162">
        <v>1</v>
      </c>
      <c r="J86" t="s">
        <v>1855</v>
      </c>
      <c r="K86" t="s">
        <v>3</v>
      </c>
      <c r="L86" s="165">
        <v>34226</v>
      </c>
      <c r="M86" s="166">
        <v>24</v>
      </c>
      <c r="N86" t="s">
        <v>5</v>
      </c>
      <c r="O86" t="s">
        <v>10135</v>
      </c>
      <c r="P86" t="s">
        <v>41</v>
      </c>
      <c r="Q86" t="s">
        <v>9815</v>
      </c>
      <c r="R86" t="s">
        <v>32</v>
      </c>
      <c r="S86" s="162">
        <v>17.899999999999999</v>
      </c>
      <c r="T86" t="s">
        <v>33</v>
      </c>
      <c r="U86" s="162">
        <v>16.600000000000001</v>
      </c>
      <c r="V86" t="s">
        <v>34</v>
      </c>
      <c r="W86" s="162">
        <v>3.95</v>
      </c>
      <c r="X86">
        <v>0</v>
      </c>
      <c r="Y86" s="162">
        <v>0</v>
      </c>
      <c r="Z86">
        <v>0</v>
      </c>
      <c r="AA86" s="162">
        <v>0</v>
      </c>
      <c r="AB86">
        <v>0</v>
      </c>
      <c r="AC86" s="162" t="s">
        <v>7</v>
      </c>
      <c r="AD86" s="162" t="s">
        <v>7</v>
      </c>
      <c r="AE86" s="162" t="s">
        <v>7</v>
      </c>
      <c r="AF86" s="162" t="s">
        <v>7</v>
      </c>
      <c r="AG86" s="162" t="s">
        <v>7</v>
      </c>
      <c r="AH86" s="162" t="s">
        <v>7</v>
      </c>
      <c r="AI86" t="s">
        <v>9843</v>
      </c>
      <c r="AJ86" t="s">
        <v>7</v>
      </c>
      <c r="AK86" t="s">
        <v>38</v>
      </c>
      <c r="AL86" t="s">
        <v>36</v>
      </c>
      <c r="AM86" s="162" t="s">
        <v>10138</v>
      </c>
      <c r="AN86" t="s">
        <v>9843</v>
      </c>
      <c r="AO86" t="s">
        <v>35</v>
      </c>
      <c r="AP86" t="s">
        <v>7</v>
      </c>
      <c r="AQ86" t="s">
        <v>9</v>
      </c>
      <c r="AR86" t="s">
        <v>7</v>
      </c>
      <c r="AS86" s="162" t="s">
        <v>7</v>
      </c>
      <c r="AT86" s="117" t="s">
        <v>7</v>
      </c>
      <c r="AU86" s="162" t="s">
        <v>7</v>
      </c>
      <c r="AV86" s="162" t="s">
        <v>7</v>
      </c>
      <c r="AW86" s="162" t="s">
        <v>9851</v>
      </c>
      <c r="AX86" s="162" t="s">
        <v>7</v>
      </c>
      <c r="AY86" s="162" t="s">
        <v>7</v>
      </c>
      <c r="AZ86" t="s">
        <v>7</v>
      </c>
      <c r="BA86" s="162" t="s">
        <v>7</v>
      </c>
      <c r="BB86" s="162" t="s">
        <v>7</v>
      </c>
      <c r="BC86" s="162" t="s">
        <v>7</v>
      </c>
      <c r="BD86" s="162" t="s">
        <v>7</v>
      </c>
      <c r="BE86" s="162" t="s">
        <v>7</v>
      </c>
      <c r="BF86" s="162" t="str">
        <f t="shared" si="2"/>
        <v>Sim</v>
      </c>
      <c r="BG86" s="162" t="str">
        <f t="shared" si="3"/>
        <v>Não</v>
      </c>
      <c r="BH86" s="162" t="s">
        <v>7</v>
      </c>
      <c r="BI86" t="s">
        <v>9870</v>
      </c>
      <c r="BJ86" s="162" t="s">
        <v>10164</v>
      </c>
      <c r="BK86" t="s">
        <v>10</v>
      </c>
      <c r="BL86" s="162">
        <v>20</v>
      </c>
      <c r="BM86" t="s">
        <v>35</v>
      </c>
      <c r="BN86" t="s">
        <v>35</v>
      </c>
      <c r="BO86" t="s">
        <v>10</v>
      </c>
      <c r="BP86" s="162">
        <v>20</v>
      </c>
      <c r="BQ86" t="s">
        <v>9851</v>
      </c>
      <c r="BR86" t="s">
        <v>35</v>
      </c>
      <c r="BS86" s="162" t="s">
        <v>35</v>
      </c>
    </row>
    <row r="87" spans="1:71">
      <c r="A87" s="162">
        <v>86</v>
      </c>
      <c r="B87" t="s">
        <v>223</v>
      </c>
      <c r="C87" s="162">
        <v>1</v>
      </c>
      <c r="D87" s="122" t="s">
        <v>688</v>
      </c>
      <c r="E87" t="s">
        <v>783</v>
      </c>
      <c r="F87" t="s">
        <v>515</v>
      </c>
      <c r="G87" t="s">
        <v>225</v>
      </c>
      <c r="H87" t="s">
        <v>784</v>
      </c>
      <c r="I87" s="162">
        <v>1</v>
      </c>
      <c r="J87" t="s">
        <v>1855</v>
      </c>
      <c r="K87" t="s">
        <v>3</v>
      </c>
      <c r="L87" s="165">
        <v>35867</v>
      </c>
      <c r="M87" s="166">
        <v>19</v>
      </c>
      <c r="N87" t="s">
        <v>5</v>
      </c>
      <c r="O87" t="s">
        <v>10135</v>
      </c>
      <c r="P87" t="s">
        <v>48</v>
      </c>
      <c r="Q87" t="s">
        <v>1255</v>
      </c>
      <c r="R87" t="s">
        <v>9925</v>
      </c>
      <c r="S87" s="162">
        <v>109.1</v>
      </c>
      <c r="T87" t="s">
        <v>9926</v>
      </c>
      <c r="U87" s="162">
        <v>48.1</v>
      </c>
      <c r="V87" t="s">
        <v>9927</v>
      </c>
      <c r="W87" s="162">
        <v>4.8</v>
      </c>
      <c r="X87">
        <v>0</v>
      </c>
      <c r="Y87" s="162">
        <v>0</v>
      </c>
      <c r="Z87">
        <v>0</v>
      </c>
      <c r="AA87" s="162">
        <v>0</v>
      </c>
      <c r="AB87">
        <v>0</v>
      </c>
      <c r="AC87" s="162" t="s">
        <v>7</v>
      </c>
      <c r="AD87" s="162" t="s">
        <v>7</v>
      </c>
      <c r="AE87" s="162" t="s">
        <v>7</v>
      </c>
      <c r="AF87" s="162" t="s">
        <v>7</v>
      </c>
      <c r="AG87" s="162" t="s">
        <v>7</v>
      </c>
      <c r="AH87" s="162" t="s">
        <v>7</v>
      </c>
      <c r="AI87" t="s">
        <v>9843</v>
      </c>
      <c r="AJ87" t="s">
        <v>7</v>
      </c>
      <c r="AK87" t="s">
        <v>1141</v>
      </c>
      <c r="AL87" t="s">
        <v>36</v>
      </c>
      <c r="AM87" s="162" t="s">
        <v>10138</v>
      </c>
      <c r="AN87" t="s">
        <v>9843</v>
      </c>
      <c r="AO87" t="s">
        <v>35</v>
      </c>
      <c r="AP87" t="s">
        <v>7</v>
      </c>
      <c r="AQ87" t="s">
        <v>9</v>
      </c>
      <c r="AR87" t="s">
        <v>7</v>
      </c>
      <c r="AS87" s="162" t="s">
        <v>7</v>
      </c>
      <c r="AT87" s="117" t="s">
        <v>7</v>
      </c>
      <c r="AU87" s="162" t="s">
        <v>7</v>
      </c>
      <c r="AV87" s="162" t="s">
        <v>7</v>
      </c>
      <c r="AW87" s="162" t="s">
        <v>9851</v>
      </c>
      <c r="AX87" s="162" t="s">
        <v>7</v>
      </c>
      <c r="AY87" s="162" t="s">
        <v>7</v>
      </c>
      <c r="AZ87" t="s">
        <v>7</v>
      </c>
      <c r="BA87" s="162" t="s">
        <v>7</v>
      </c>
      <c r="BB87" s="162" t="s">
        <v>7</v>
      </c>
      <c r="BC87" s="162" t="s">
        <v>7</v>
      </c>
      <c r="BD87" s="162" t="s">
        <v>7</v>
      </c>
      <c r="BE87" s="162" t="s">
        <v>7</v>
      </c>
      <c r="BF87" s="162" t="str">
        <f t="shared" si="2"/>
        <v>Sim</v>
      </c>
      <c r="BG87" s="162" t="str">
        <f t="shared" si="3"/>
        <v>Não</v>
      </c>
      <c r="BH87" s="162" t="s">
        <v>7</v>
      </c>
      <c r="BI87" t="s">
        <v>9870</v>
      </c>
      <c r="BJ87" s="162" t="s">
        <v>10164</v>
      </c>
      <c r="BK87" t="s">
        <v>10</v>
      </c>
      <c r="BL87" s="162">
        <v>20</v>
      </c>
      <c r="BM87" t="s">
        <v>35</v>
      </c>
      <c r="BN87" t="s">
        <v>35</v>
      </c>
      <c r="BO87" t="s">
        <v>10</v>
      </c>
      <c r="BP87" s="162">
        <v>20</v>
      </c>
      <c r="BQ87" t="s">
        <v>7</v>
      </c>
      <c r="BR87" t="s">
        <v>1849</v>
      </c>
      <c r="BS87" s="162" t="s">
        <v>10170</v>
      </c>
    </row>
    <row r="88" spans="1:71">
      <c r="A88" s="162">
        <v>87</v>
      </c>
      <c r="B88" t="s">
        <v>141</v>
      </c>
      <c r="C88" s="162">
        <v>1</v>
      </c>
      <c r="D88" s="122" t="s">
        <v>536</v>
      </c>
      <c r="E88" t="s">
        <v>537</v>
      </c>
      <c r="F88" t="s">
        <v>515</v>
      </c>
      <c r="G88" t="s">
        <v>155</v>
      </c>
      <c r="H88" t="s">
        <v>538</v>
      </c>
      <c r="I88" s="162">
        <v>1</v>
      </c>
      <c r="J88" t="s">
        <v>1855</v>
      </c>
      <c r="K88" t="s">
        <v>3</v>
      </c>
      <c r="L88" s="165">
        <v>34568</v>
      </c>
      <c r="M88" s="166">
        <v>22</v>
      </c>
      <c r="N88" t="s">
        <v>5</v>
      </c>
      <c r="O88" t="s">
        <v>10135</v>
      </c>
      <c r="P88" t="s">
        <v>1101</v>
      </c>
      <c r="Q88" t="s">
        <v>1186</v>
      </c>
      <c r="R88" t="s">
        <v>1743</v>
      </c>
      <c r="S88" s="162">
        <v>13.5</v>
      </c>
      <c r="T88">
        <v>0</v>
      </c>
      <c r="U88" s="162">
        <v>0</v>
      </c>
      <c r="V88" t="s">
        <v>1744</v>
      </c>
      <c r="W88" s="162">
        <v>5.7</v>
      </c>
      <c r="X88">
        <v>0</v>
      </c>
      <c r="Y88" s="162">
        <v>0</v>
      </c>
      <c r="Z88">
        <v>0</v>
      </c>
      <c r="AA88" s="162">
        <v>0</v>
      </c>
      <c r="AB88">
        <v>0</v>
      </c>
      <c r="AC88" s="162" t="s">
        <v>7</v>
      </c>
      <c r="AD88" s="162" t="s">
        <v>7</v>
      </c>
      <c r="AE88" s="162" t="s">
        <v>7</v>
      </c>
      <c r="AF88" s="162" t="s">
        <v>7</v>
      </c>
      <c r="AG88" s="162" t="s">
        <v>7</v>
      </c>
      <c r="AH88" s="162" t="s">
        <v>7</v>
      </c>
      <c r="AI88" t="s">
        <v>9843</v>
      </c>
      <c r="AJ88" t="s">
        <v>7</v>
      </c>
      <c r="AK88" t="s">
        <v>1599</v>
      </c>
      <c r="AL88" t="s">
        <v>36</v>
      </c>
      <c r="AM88" s="162" t="s">
        <v>10138</v>
      </c>
      <c r="AN88" t="s">
        <v>9843</v>
      </c>
      <c r="AO88" t="s">
        <v>35</v>
      </c>
      <c r="AP88" t="s">
        <v>7</v>
      </c>
      <c r="AQ88" t="s">
        <v>9</v>
      </c>
      <c r="AR88" t="s">
        <v>7</v>
      </c>
      <c r="AS88" s="162" t="s">
        <v>7</v>
      </c>
      <c r="AT88" s="117" t="s">
        <v>7</v>
      </c>
      <c r="AU88" s="162" t="s">
        <v>7</v>
      </c>
      <c r="AV88" s="162" t="s">
        <v>7</v>
      </c>
      <c r="AW88" s="162" t="s">
        <v>9851</v>
      </c>
      <c r="AX88" s="162" t="s">
        <v>7</v>
      </c>
      <c r="AY88" s="162" t="s">
        <v>7</v>
      </c>
      <c r="AZ88" t="s">
        <v>7</v>
      </c>
      <c r="BA88" s="162" t="s">
        <v>7</v>
      </c>
      <c r="BB88" s="162" t="s">
        <v>7</v>
      </c>
      <c r="BC88" s="162" t="s">
        <v>7</v>
      </c>
      <c r="BD88" s="162" t="s">
        <v>7</v>
      </c>
      <c r="BE88" s="162" t="s">
        <v>7</v>
      </c>
      <c r="BF88" s="162" t="str">
        <f t="shared" si="2"/>
        <v>Sim</v>
      </c>
      <c r="BG88" s="162" t="str">
        <f t="shared" si="3"/>
        <v>Não</v>
      </c>
      <c r="BH88" s="162" t="s">
        <v>7</v>
      </c>
      <c r="BI88" t="s">
        <v>9870</v>
      </c>
      <c r="BJ88" s="162" t="s">
        <v>10164</v>
      </c>
      <c r="BK88" t="s">
        <v>10</v>
      </c>
      <c r="BL88" s="162">
        <v>20</v>
      </c>
      <c r="BM88" t="s">
        <v>35</v>
      </c>
      <c r="BN88" t="s">
        <v>35</v>
      </c>
      <c r="BO88" t="s">
        <v>10</v>
      </c>
      <c r="BP88" s="162">
        <v>20</v>
      </c>
      <c r="BQ88" t="s">
        <v>9851</v>
      </c>
      <c r="BR88" t="s">
        <v>35</v>
      </c>
      <c r="BS88" s="162" t="s">
        <v>35</v>
      </c>
    </row>
    <row r="89" spans="1:71">
      <c r="A89" s="162">
        <v>88</v>
      </c>
      <c r="B89" t="s">
        <v>91</v>
      </c>
      <c r="C89" s="162">
        <v>1</v>
      </c>
      <c r="D89" s="122" t="s">
        <v>104</v>
      </c>
      <c r="E89" t="s">
        <v>96</v>
      </c>
      <c r="F89" t="s">
        <v>515</v>
      </c>
      <c r="G89" t="s">
        <v>87</v>
      </c>
      <c r="H89" t="s">
        <v>105</v>
      </c>
      <c r="I89" s="162">
        <v>1</v>
      </c>
      <c r="J89" t="s">
        <v>1855</v>
      </c>
      <c r="K89" t="s">
        <v>3</v>
      </c>
      <c r="L89" s="165">
        <v>32784</v>
      </c>
      <c r="M89" s="166">
        <v>27</v>
      </c>
      <c r="N89" t="s">
        <v>4</v>
      </c>
      <c r="O89" t="s">
        <v>10134</v>
      </c>
      <c r="P89" t="s">
        <v>1074</v>
      </c>
      <c r="Q89" t="s">
        <v>1143</v>
      </c>
      <c r="R89">
        <v>0</v>
      </c>
      <c r="S89" s="162">
        <v>0</v>
      </c>
      <c r="T89" t="s">
        <v>1851</v>
      </c>
      <c r="U89" s="162">
        <v>5.5</v>
      </c>
      <c r="V89" t="s">
        <v>1962</v>
      </c>
      <c r="W89" s="162">
        <v>13.6</v>
      </c>
      <c r="X89">
        <v>0</v>
      </c>
      <c r="Y89" s="162">
        <v>0</v>
      </c>
      <c r="Z89">
        <v>0</v>
      </c>
      <c r="AA89" s="162">
        <v>0</v>
      </c>
      <c r="AB89">
        <v>0</v>
      </c>
      <c r="AC89" s="162" t="s">
        <v>7</v>
      </c>
      <c r="AD89" s="162" t="s">
        <v>7</v>
      </c>
      <c r="AE89" s="162" t="s">
        <v>7</v>
      </c>
      <c r="AF89" s="162" t="s">
        <v>7</v>
      </c>
      <c r="AG89" s="162" t="s">
        <v>7</v>
      </c>
      <c r="AH89" s="162" t="s">
        <v>7</v>
      </c>
      <c r="AI89" t="s">
        <v>9843</v>
      </c>
      <c r="AJ89" t="s">
        <v>7</v>
      </c>
      <c r="AK89" t="s">
        <v>1150</v>
      </c>
      <c r="AL89" t="s">
        <v>36</v>
      </c>
      <c r="AM89" s="162" t="s">
        <v>10138</v>
      </c>
      <c r="AN89" t="s">
        <v>9843</v>
      </c>
      <c r="AO89" t="s">
        <v>35</v>
      </c>
      <c r="AP89" t="s">
        <v>7</v>
      </c>
      <c r="AQ89" t="s">
        <v>9</v>
      </c>
      <c r="AR89" t="s">
        <v>7</v>
      </c>
      <c r="AS89" s="162" t="s">
        <v>7</v>
      </c>
      <c r="AT89" s="117" t="s">
        <v>7</v>
      </c>
      <c r="AU89" s="162" t="s">
        <v>7</v>
      </c>
      <c r="AV89" s="162" t="s">
        <v>7</v>
      </c>
      <c r="AW89" s="162" t="s">
        <v>9851</v>
      </c>
      <c r="AX89" s="162" t="s">
        <v>7</v>
      </c>
      <c r="AY89" s="162" t="s">
        <v>7</v>
      </c>
      <c r="AZ89" t="s">
        <v>7</v>
      </c>
      <c r="BA89" s="162" t="s">
        <v>7</v>
      </c>
      <c r="BB89" s="162" t="s">
        <v>7</v>
      </c>
      <c r="BC89" s="162" t="s">
        <v>7</v>
      </c>
      <c r="BD89" s="162" t="s">
        <v>7</v>
      </c>
      <c r="BE89" s="162" t="s">
        <v>7</v>
      </c>
      <c r="BF89" s="162" t="str">
        <f t="shared" si="2"/>
        <v>Sim</v>
      </c>
      <c r="BG89" s="162" t="str">
        <f t="shared" si="3"/>
        <v>Não</v>
      </c>
      <c r="BH89" s="162" t="s">
        <v>7</v>
      </c>
      <c r="BI89" t="s">
        <v>9870</v>
      </c>
      <c r="BJ89" s="162" t="s">
        <v>10164</v>
      </c>
      <c r="BK89" t="s">
        <v>10</v>
      </c>
      <c r="BL89" s="162">
        <v>20</v>
      </c>
      <c r="BM89" t="s">
        <v>35</v>
      </c>
      <c r="BN89" t="s">
        <v>35</v>
      </c>
      <c r="BO89" t="s">
        <v>10</v>
      </c>
      <c r="BP89" s="162">
        <v>20</v>
      </c>
      <c r="BQ89" t="s">
        <v>7</v>
      </c>
      <c r="BR89" t="s">
        <v>1849</v>
      </c>
      <c r="BS89" s="162" t="s">
        <v>10170</v>
      </c>
    </row>
    <row r="90" spans="1:71">
      <c r="A90" s="162">
        <v>89</v>
      </c>
      <c r="B90" t="s">
        <v>373</v>
      </c>
      <c r="C90" s="162">
        <v>1</v>
      </c>
      <c r="D90" s="122" t="s">
        <v>889</v>
      </c>
      <c r="E90" t="s">
        <v>876</v>
      </c>
      <c r="F90" t="s">
        <v>515</v>
      </c>
      <c r="G90" t="s">
        <v>378</v>
      </c>
      <c r="H90" t="s">
        <v>890</v>
      </c>
      <c r="I90" s="162">
        <v>1</v>
      </c>
      <c r="J90" t="s">
        <v>1855</v>
      </c>
      <c r="K90" t="s">
        <v>3</v>
      </c>
      <c r="L90" s="165">
        <v>35730</v>
      </c>
      <c r="M90" s="166">
        <v>19</v>
      </c>
      <c r="N90" t="s">
        <v>4</v>
      </c>
      <c r="O90" t="s">
        <v>10134</v>
      </c>
      <c r="P90" t="s">
        <v>1074</v>
      </c>
      <c r="Q90" t="s">
        <v>1687</v>
      </c>
      <c r="R90">
        <v>0</v>
      </c>
      <c r="S90" s="162">
        <v>0</v>
      </c>
      <c r="T90">
        <v>0</v>
      </c>
      <c r="U90" s="162">
        <v>0</v>
      </c>
      <c r="V90" t="s">
        <v>10009</v>
      </c>
      <c r="W90" s="162">
        <v>17.100000000000001</v>
      </c>
      <c r="X90">
        <v>0</v>
      </c>
      <c r="Y90" s="162">
        <v>0</v>
      </c>
      <c r="Z90">
        <v>0</v>
      </c>
      <c r="AA90" s="162">
        <v>0</v>
      </c>
      <c r="AB90">
        <v>0</v>
      </c>
      <c r="AC90" s="162" t="s">
        <v>7</v>
      </c>
      <c r="AD90" s="162" t="s">
        <v>7</v>
      </c>
      <c r="AE90" s="162" t="s">
        <v>7</v>
      </c>
      <c r="AF90" s="162" t="s">
        <v>7</v>
      </c>
      <c r="AG90" s="162" t="s">
        <v>7</v>
      </c>
      <c r="AH90" s="162" t="s">
        <v>7</v>
      </c>
      <c r="AI90" t="s">
        <v>9843</v>
      </c>
      <c r="AJ90" t="s">
        <v>7</v>
      </c>
      <c r="AK90" t="s">
        <v>1098</v>
      </c>
      <c r="AL90" t="s">
        <v>36</v>
      </c>
      <c r="AM90" s="162" t="s">
        <v>10138</v>
      </c>
      <c r="AN90" t="s">
        <v>9843</v>
      </c>
      <c r="AO90" t="s">
        <v>35</v>
      </c>
      <c r="AP90" t="s">
        <v>7</v>
      </c>
      <c r="AQ90" t="s">
        <v>9</v>
      </c>
      <c r="AR90" t="s">
        <v>7</v>
      </c>
      <c r="AS90" s="162" t="s">
        <v>7</v>
      </c>
      <c r="AT90" s="117" t="s">
        <v>7</v>
      </c>
      <c r="AU90" s="162" t="s">
        <v>7</v>
      </c>
      <c r="AV90" s="162" t="s">
        <v>7</v>
      </c>
      <c r="AW90" s="162" t="s">
        <v>9851</v>
      </c>
      <c r="AX90" s="162" t="s">
        <v>7</v>
      </c>
      <c r="AY90" s="162" t="s">
        <v>7</v>
      </c>
      <c r="AZ90" t="s">
        <v>7</v>
      </c>
      <c r="BA90" s="162" t="s">
        <v>7</v>
      </c>
      <c r="BB90" s="162" t="s">
        <v>7</v>
      </c>
      <c r="BC90" s="162" t="s">
        <v>7</v>
      </c>
      <c r="BD90" s="162" t="s">
        <v>7</v>
      </c>
      <c r="BE90" s="162" t="s">
        <v>7</v>
      </c>
      <c r="BF90" s="162" t="str">
        <f t="shared" si="2"/>
        <v>Sim</v>
      </c>
      <c r="BG90" s="162" t="str">
        <f t="shared" si="3"/>
        <v>Não</v>
      </c>
      <c r="BH90" s="162" t="s">
        <v>7</v>
      </c>
      <c r="BI90" t="s">
        <v>9870</v>
      </c>
      <c r="BJ90" s="162" t="s">
        <v>10164</v>
      </c>
      <c r="BK90" t="s">
        <v>10</v>
      </c>
      <c r="BL90" s="162">
        <v>20</v>
      </c>
      <c r="BM90" t="s">
        <v>35</v>
      </c>
      <c r="BN90" t="s">
        <v>35</v>
      </c>
      <c r="BO90" t="s">
        <v>10</v>
      </c>
      <c r="BP90" s="162">
        <v>20</v>
      </c>
      <c r="BQ90" t="s">
        <v>7</v>
      </c>
      <c r="BR90" t="s">
        <v>37</v>
      </c>
      <c r="BS90" s="162" t="s">
        <v>37</v>
      </c>
    </row>
    <row r="91" spans="1:71">
      <c r="A91" s="162">
        <v>90</v>
      </c>
      <c r="B91" t="s">
        <v>246</v>
      </c>
      <c r="C91" s="162">
        <v>1</v>
      </c>
      <c r="D91" s="122" t="s">
        <v>712</v>
      </c>
      <c r="E91" t="s">
        <v>703</v>
      </c>
      <c r="F91" t="s">
        <v>515</v>
      </c>
      <c r="G91" t="s">
        <v>251</v>
      </c>
      <c r="H91" t="s">
        <v>713</v>
      </c>
      <c r="I91" s="162">
        <v>1</v>
      </c>
      <c r="J91" t="s">
        <v>1855</v>
      </c>
      <c r="K91" t="s">
        <v>3</v>
      </c>
      <c r="L91" s="165">
        <v>34854</v>
      </c>
      <c r="M91" s="166">
        <v>21</v>
      </c>
      <c r="N91" t="s">
        <v>5</v>
      </c>
      <c r="O91" t="s">
        <v>10135</v>
      </c>
      <c r="P91" t="s">
        <v>18</v>
      </c>
      <c r="Q91" t="s">
        <v>1334</v>
      </c>
      <c r="R91" t="s">
        <v>1336</v>
      </c>
      <c r="S91" s="162">
        <v>549.1</v>
      </c>
      <c r="T91" t="s">
        <v>1335</v>
      </c>
      <c r="U91" s="162">
        <v>110</v>
      </c>
      <c r="V91" t="s">
        <v>9823</v>
      </c>
      <c r="W91" s="162">
        <v>317</v>
      </c>
      <c r="X91">
        <v>0</v>
      </c>
      <c r="Y91" s="162">
        <v>0</v>
      </c>
      <c r="Z91">
        <v>0</v>
      </c>
      <c r="AA91" s="162">
        <v>0</v>
      </c>
      <c r="AB91" t="s">
        <v>9822</v>
      </c>
      <c r="AC91" s="162" t="s">
        <v>7</v>
      </c>
      <c r="AD91" s="162" t="s">
        <v>7</v>
      </c>
      <c r="AE91" s="162" t="s">
        <v>7</v>
      </c>
      <c r="AF91" s="162" t="s">
        <v>7</v>
      </c>
      <c r="AG91" s="162" t="s">
        <v>9851</v>
      </c>
      <c r="AH91" s="162" t="s">
        <v>7</v>
      </c>
      <c r="AI91" t="s">
        <v>9846</v>
      </c>
      <c r="AJ91" t="s">
        <v>7</v>
      </c>
      <c r="AK91" t="s">
        <v>9821</v>
      </c>
      <c r="AL91" t="s">
        <v>78</v>
      </c>
      <c r="AM91" s="162" t="s">
        <v>10138</v>
      </c>
      <c r="AN91" t="s">
        <v>9843</v>
      </c>
      <c r="AO91" t="s">
        <v>35</v>
      </c>
      <c r="AP91" t="s">
        <v>7</v>
      </c>
      <c r="AQ91" t="s">
        <v>9</v>
      </c>
      <c r="AR91" t="s">
        <v>7</v>
      </c>
      <c r="AS91" s="162" t="s">
        <v>7</v>
      </c>
      <c r="AT91" s="117" t="s">
        <v>7</v>
      </c>
      <c r="AU91" s="162" t="s">
        <v>7</v>
      </c>
      <c r="AV91" s="162" t="s">
        <v>7</v>
      </c>
      <c r="AW91" s="162" t="s">
        <v>9851</v>
      </c>
      <c r="AX91" s="162" t="s">
        <v>7</v>
      </c>
      <c r="AY91" s="162" t="s">
        <v>7</v>
      </c>
      <c r="AZ91" t="s">
        <v>7</v>
      </c>
      <c r="BA91" s="162" t="s">
        <v>7</v>
      </c>
      <c r="BB91" s="162" t="s">
        <v>7</v>
      </c>
      <c r="BC91" s="162" t="s">
        <v>7</v>
      </c>
      <c r="BD91" s="162" t="s">
        <v>7</v>
      </c>
      <c r="BE91" s="162" t="s">
        <v>7</v>
      </c>
      <c r="BF91" s="162" t="str">
        <f t="shared" si="2"/>
        <v>Sim</v>
      </c>
      <c r="BG91" s="162" t="str">
        <f t="shared" si="3"/>
        <v>Não</v>
      </c>
      <c r="BH91" s="162" t="s">
        <v>7</v>
      </c>
      <c r="BI91" t="s">
        <v>9870</v>
      </c>
      <c r="BJ91" s="162" t="s">
        <v>10164</v>
      </c>
      <c r="BK91" t="s">
        <v>10</v>
      </c>
      <c r="BL91" s="162">
        <v>20</v>
      </c>
      <c r="BM91" t="s">
        <v>35</v>
      </c>
      <c r="BN91" t="s">
        <v>35</v>
      </c>
      <c r="BO91" t="s">
        <v>10</v>
      </c>
      <c r="BP91" s="162">
        <v>20</v>
      </c>
      <c r="BQ91" t="s">
        <v>7</v>
      </c>
      <c r="BR91" t="s">
        <v>1849</v>
      </c>
      <c r="BS91" s="162" t="s">
        <v>10170</v>
      </c>
    </row>
    <row r="92" spans="1:71">
      <c r="A92" s="162">
        <v>91</v>
      </c>
      <c r="B92" t="s">
        <v>246</v>
      </c>
      <c r="C92" s="162">
        <v>0</v>
      </c>
      <c r="D92" s="122" t="s">
        <v>712</v>
      </c>
      <c r="E92" t="s">
        <v>703</v>
      </c>
      <c r="F92" t="s">
        <v>515</v>
      </c>
      <c r="G92" t="s">
        <v>251</v>
      </c>
      <c r="H92" t="s">
        <v>714</v>
      </c>
      <c r="I92" s="162">
        <v>1</v>
      </c>
      <c r="J92" t="s">
        <v>1855</v>
      </c>
      <c r="K92" t="s">
        <v>3</v>
      </c>
      <c r="L92" s="165">
        <v>33541</v>
      </c>
      <c r="M92" s="166">
        <v>25</v>
      </c>
      <c r="N92" t="s">
        <v>5</v>
      </c>
      <c r="O92" t="s">
        <v>10135</v>
      </c>
      <c r="P92" t="s">
        <v>1074</v>
      </c>
      <c r="Q92" t="s">
        <v>1334</v>
      </c>
      <c r="R92" t="s">
        <v>1336</v>
      </c>
      <c r="S92" s="162">
        <v>549.1</v>
      </c>
      <c r="T92" t="s">
        <v>1335</v>
      </c>
      <c r="U92" s="162">
        <v>110</v>
      </c>
      <c r="V92" t="s">
        <v>9823</v>
      </c>
      <c r="W92" s="162">
        <v>317</v>
      </c>
      <c r="X92">
        <v>0</v>
      </c>
      <c r="Y92" s="162">
        <v>0</v>
      </c>
      <c r="Z92">
        <v>0</v>
      </c>
      <c r="AA92" s="162">
        <v>0</v>
      </c>
      <c r="AB92" t="s">
        <v>9822</v>
      </c>
      <c r="AC92" s="162" t="s">
        <v>7</v>
      </c>
      <c r="AD92" s="162" t="s">
        <v>7</v>
      </c>
      <c r="AE92" s="162" t="s">
        <v>7</v>
      </c>
      <c r="AF92" s="162" t="s">
        <v>7</v>
      </c>
      <c r="AG92" s="162" t="s">
        <v>9851</v>
      </c>
      <c r="AH92" s="162" t="s">
        <v>7</v>
      </c>
      <c r="AI92" t="s">
        <v>9846</v>
      </c>
      <c r="AJ92" t="s">
        <v>7</v>
      </c>
      <c r="AK92" t="s">
        <v>9821</v>
      </c>
      <c r="AL92" t="s">
        <v>78</v>
      </c>
      <c r="AM92" s="162" t="s">
        <v>10138</v>
      </c>
      <c r="AN92" t="s">
        <v>9843</v>
      </c>
      <c r="AO92" t="s">
        <v>35</v>
      </c>
      <c r="AP92" t="s">
        <v>7</v>
      </c>
      <c r="AQ92" t="s">
        <v>9</v>
      </c>
      <c r="AR92" t="s">
        <v>7</v>
      </c>
      <c r="AS92" s="162" t="s">
        <v>7</v>
      </c>
      <c r="AT92" s="117" t="s">
        <v>7</v>
      </c>
      <c r="AU92" s="162" t="s">
        <v>7</v>
      </c>
      <c r="AV92" s="162" t="s">
        <v>7</v>
      </c>
      <c r="AW92" s="162" t="s">
        <v>9851</v>
      </c>
      <c r="AX92" s="162" t="s">
        <v>7</v>
      </c>
      <c r="AY92" s="162" t="s">
        <v>7</v>
      </c>
      <c r="AZ92" t="s">
        <v>7</v>
      </c>
      <c r="BA92" s="162" t="s">
        <v>7</v>
      </c>
      <c r="BB92" s="162" t="s">
        <v>7</v>
      </c>
      <c r="BC92" s="162" t="s">
        <v>7</v>
      </c>
      <c r="BD92" s="162" t="s">
        <v>7</v>
      </c>
      <c r="BE92" s="162" t="s">
        <v>7</v>
      </c>
      <c r="BF92" s="162" t="str">
        <f t="shared" si="2"/>
        <v>Sim</v>
      </c>
      <c r="BG92" s="162" t="str">
        <f t="shared" si="3"/>
        <v>Não</v>
      </c>
      <c r="BH92" s="162" t="s">
        <v>7</v>
      </c>
      <c r="BI92" t="s">
        <v>9870</v>
      </c>
      <c r="BJ92" s="162" t="s">
        <v>10164</v>
      </c>
      <c r="BK92" t="s">
        <v>10</v>
      </c>
      <c r="BL92" s="162">
        <v>20</v>
      </c>
      <c r="BM92" t="s">
        <v>35</v>
      </c>
      <c r="BN92" t="s">
        <v>35</v>
      </c>
      <c r="BO92" t="s">
        <v>10</v>
      </c>
      <c r="BP92" s="162">
        <v>20</v>
      </c>
      <c r="BQ92" t="s">
        <v>7</v>
      </c>
      <c r="BR92" t="s">
        <v>1849</v>
      </c>
      <c r="BS92" s="162" t="s">
        <v>10170</v>
      </c>
    </row>
    <row r="93" spans="1:71">
      <c r="A93" s="162">
        <v>92</v>
      </c>
      <c r="B93" t="s">
        <v>329</v>
      </c>
      <c r="C93" s="162">
        <v>1</v>
      </c>
      <c r="D93" s="122">
        <v>42976</v>
      </c>
      <c r="E93" t="s">
        <v>847</v>
      </c>
      <c r="F93" t="s">
        <v>515</v>
      </c>
      <c r="G93" t="s">
        <v>335</v>
      </c>
      <c r="H93" t="s">
        <v>851</v>
      </c>
      <c r="I93" s="162">
        <v>1</v>
      </c>
      <c r="J93" t="s">
        <v>1855</v>
      </c>
      <c r="K93" t="s">
        <v>3</v>
      </c>
      <c r="L93" s="165">
        <v>31657</v>
      </c>
      <c r="M93" s="166">
        <v>31</v>
      </c>
      <c r="N93" t="s">
        <v>5</v>
      </c>
      <c r="O93" t="s">
        <v>10135</v>
      </c>
      <c r="P93" t="s">
        <v>48</v>
      </c>
      <c r="Q93" t="s">
        <v>1671</v>
      </c>
      <c r="R93" t="s">
        <v>9983</v>
      </c>
      <c r="S93" s="162">
        <v>40</v>
      </c>
      <c r="T93" t="s">
        <v>1989</v>
      </c>
      <c r="U93" s="162">
        <v>8</v>
      </c>
      <c r="V93" t="s">
        <v>1993</v>
      </c>
      <c r="W93" s="162">
        <v>6</v>
      </c>
      <c r="X93">
        <v>0</v>
      </c>
      <c r="Y93" s="162">
        <v>0</v>
      </c>
      <c r="Z93">
        <v>0</v>
      </c>
      <c r="AA93" s="162">
        <v>0</v>
      </c>
      <c r="AB93">
        <v>0</v>
      </c>
      <c r="AC93" s="162" t="s">
        <v>7</v>
      </c>
      <c r="AD93" s="162" t="s">
        <v>7</v>
      </c>
      <c r="AE93" s="162" t="s">
        <v>7</v>
      </c>
      <c r="AF93" s="162" t="s">
        <v>7</v>
      </c>
      <c r="AG93" s="162" t="s">
        <v>7</v>
      </c>
      <c r="AH93" s="162" t="s">
        <v>7</v>
      </c>
      <c r="AI93" t="s">
        <v>9843</v>
      </c>
      <c r="AJ93" t="s">
        <v>7</v>
      </c>
      <c r="AK93" t="s">
        <v>1893</v>
      </c>
      <c r="AL93" t="s">
        <v>36</v>
      </c>
      <c r="AM93" s="162" t="s">
        <v>10138</v>
      </c>
      <c r="AN93" t="s">
        <v>9843</v>
      </c>
      <c r="AO93" t="s">
        <v>35</v>
      </c>
      <c r="AP93" t="s">
        <v>7</v>
      </c>
      <c r="AQ93" t="s">
        <v>9</v>
      </c>
      <c r="AR93" t="s">
        <v>7</v>
      </c>
      <c r="AS93" s="162" t="s">
        <v>7</v>
      </c>
      <c r="AT93" s="117" t="s">
        <v>7</v>
      </c>
      <c r="AU93" s="162" t="s">
        <v>7</v>
      </c>
      <c r="AV93" s="162" t="s">
        <v>7</v>
      </c>
      <c r="AW93" s="162" t="s">
        <v>9851</v>
      </c>
      <c r="AX93" s="162" t="s">
        <v>7</v>
      </c>
      <c r="AY93" s="162" t="s">
        <v>7</v>
      </c>
      <c r="AZ93" t="s">
        <v>7</v>
      </c>
      <c r="BA93" s="162" t="s">
        <v>7</v>
      </c>
      <c r="BB93" s="162" t="s">
        <v>7</v>
      </c>
      <c r="BC93" s="162" t="s">
        <v>7</v>
      </c>
      <c r="BD93" s="162" t="s">
        <v>7</v>
      </c>
      <c r="BE93" s="162" t="s">
        <v>7</v>
      </c>
      <c r="BF93" s="162" t="str">
        <f t="shared" si="2"/>
        <v>Sim</v>
      </c>
      <c r="BG93" s="162" t="str">
        <f t="shared" si="3"/>
        <v>Não</v>
      </c>
      <c r="BH93" s="162" t="s">
        <v>7</v>
      </c>
      <c r="BI93" t="s">
        <v>9870</v>
      </c>
      <c r="BJ93" s="162" t="s">
        <v>10164</v>
      </c>
      <c r="BK93" t="s">
        <v>10</v>
      </c>
      <c r="BL93" s="162">
        <v>20</v>
      </c>
      <c r="BM93" t="s">
        <v>35</v>
      </c>
      <c r="BN93" t="s">
        <v>35</v>
      </c>
      <c r="BO93" t="s">
        <v>10</v>
      </c>
      <c r="BP93" s="162">
        <v>20</v>
      </c>
      <c r="BQ93" t="s">
        <v>7</v>
      </c>
      <c r="BR93" t="s">
        <v>1849</v>
      </c>
      <c r="BS93" s="162" t="s">
        <v>10170</v>
      </c>
    </row>
    <row r="94" spans="1:71">
      <c r="A94" s="162">
        <v>93</v>
      </c>
      <c r="B94" t="s">
        <v>188</v>
      </c>
      <c r="C94" s="162">
        <v>1</v>
      </c>
      <c r="D94" s="122" t="s">
        <v>631</v>
      </c>
      <c r="E94" t="s">
        <v>632</v>
      </c>
      <c r="F94" t="s">
        <v>515</v>
      </c>
      <c r="G94" t="s">
        <v>198</v>
      </c>
      <c r="H94" t="s">
        <v>633</v>
      </c>
      <c r="I94" s="162">
        <v>1</v>
      </c>
      <c r="J94" t="s">
        <v>1855</v>
      </c>
      <c r="K94" t="s">
        <v>3</v>
      </c>
      <c r="L94" s="165">
        <v>35339</v>
      </c>
      <c r="M94" s="166">
        <v>20</v>
      </c>
      <c r="N94" t="s">
        <v>18</v>
      </c>
      <c r="O94" t="s">
        <v>10135</v>
      </c>
      <c r="P94" t="s">
        <v>48</v>
      </c>
      <c r="Q94" t="s">
        <v>1592</v>
      </c>
      <c r="R94">
        <v>0</v>
      </c>
      <c r="S94" s="162">
        <v>0</v>
      </c>
      <c r="T94" t="s">
        <v>9901</v>
      </c>
      <c r="U94" s="162">
        <v>3.1</v>
      </c>
      <c r="V94" t="s">
        <v>9902</v>
      </c>
      <c r="W94" s="162">
        <v>9.9</v>
      </c>
      <c r="X94">
        <v>0</v>
      </c>
      <c r="Y94" s="162">
        <v>0</v>
      </c>
      <c r="Z94">
        <v>0</v>
      </c>
      <c r="AA94" s="162">
        <v>0</v>
      </c>
      <c r="AB94">
        <v>0</v>
      </c>
      <c r="AC94" s="162" t="s">
        <v>7</v>
      </c>
      <c r="AD94" s="162" t="s">
        <v>7</v>
      </c>
      <c r="AE94" s="162" t="s">
        <v>7</v>
      </c>
      <c r="AF94" s="162" t="s">
        <v>7</v>
      </c>
      <c r="AG94" s="162" t="s">
        <v>7</v>
      </c>
      <c r="AH94" s="162" t="s">
        <v>7</v>
      </c>
      <c r="AI94" t="s">
        <v>9843</v>
      </c>
      <c r="AJ94" t="s">
        <v>7</v>
      </c>
      <c r="AK94" t="s">
        <v>1277</v>
      </c>
      <c r="AL94" t="s">
        <v>36</v>
      </c>
      <c r="AM94" s="162" t="s">
        <v>10138</v>
      </c>
      <c r="AN94" t="s">
        <v>9843</v>
      </c>
      <c r="AO94" t="s">
        <v>35</v>
      </c>
      <c r="AP94" t="s">
        <v>7</v>
      </c>
      <c r="AQ94" t="s">
        <v>9</v>
      </c>
      <c r="AR94" t="s">
        <v>7</v>
      </c>
      <c r="AS94" s="162" t="s">
        <v>7</v>
      </c>
      <c r="AT94" s="117" t="s">
        <v>7</v>
      </c>
      <c r="AU94" s="162" t="s">
        <v>7</v>
      </c>
      <c r="AV94" s="162" t="s">
        <v>7</v>
      </c>
      <c r="AW94" s="162" t="s">
        <v>9851</v>
      </c>
      <c r="AX94" s="162" t="s">
        <v>7</v>
      </c>
      <c r="AY94" s="162" t="s">
        <v>7</v>
      </c>
      <c r="AZ94" t="s">
        <v>7</v>
      </c>
      <c r="BA94" s="162" t="s">
        <v>7</v>
      </c>
      <c r="BB94" s="162" t="s">
        <v>7</v>
      </c>
      <c r="BC94" s="162" t="s">
        <v>7</v>
      </c>
      <c r="BD94" s="162" t="s">
        <v>7</v>
      </c>
      <c r="BE94" s="162" t="s">
        <v>7</v>
      </c>
      <c r="BF94" s="162" t="str">
        <f t="shared" si="2"/>
        <v>Sim</v>
      </c>
      <c r="BG94" s="162" t="str">
        <f t="shared" si="3"/>
        <v>Não</v>
      </c>
      <c r="BH94" s="162" t="s">
        <v>7</v>
      </c>
      <c r="BI94" t="s">
        <v>9870</v>
      </c>
      <c r="BJ94" s="162" t="s">
        <v>10164</v>
      </c>
      <c r="BK94" t="s">
        <v>10</v>
      </c>
      <c r="BL94" s="162">
        <v>20</v>
      </c>
      <c r="BM94" t="s">
        <v>35</v>
      </c>
      <c r="BN94" t="s">
        <v>35</v>
      </c>
      <c r="BO94" t="s">
        <v>10</v>
      </c>
      <c r="BP94" s="162">
        <v>20</v>
      </c>
      <c r="BQ94" t="s">
        <v>9851</v>
      </c>
      <c r="BR94" t="s">
        <v>35</v>
      </c>
      <c r="BS94" s="162" t="s">
        <v>35</v>
      </c>
    </row>
    <row r="95" spans="1:71">
      <c r="A95" s="162">
        <v>94</v>
      </c>
      <c r="B95" t="s">
        <v>222</v>
      </c>
      <c r="C95" s="162">
        <v>1</v>
      </c>
      <c r="D95" s="122" t="s">
        <v>781</v>
      </c>
      <c r="E95" t="s">
        <v>769</v>
      </c>
      <c r="F95" t="s">
        <v>515</v>
      </c>
      <c r="G95" t="s">
        <v>225</v>
      </c>
      <c r="H95" t="s">
        <v>782</v>
      </c>
      <c r="I95" s="162">
        <v>1</v>
      </c>
      <c r="J95" t="s">
        <v>1855</v>
      </c>
      <c r="K95" t="s">
        <v>3</v>
      </c>
      <c r="L95" s="165">
        <v>34963</v>
      </c>
      <c r="M95" s="166">
        <v>21</v>
      </c>
      <c r="N95" t="s">
        <v>4</v>
      </c>
      <c r="O95" t="s">
        <v>10134</v>
      </c>
      <c r="P95" t="s">
        <v>41</v>
      </c>
      <c r="Q95" t="s">
        <v>1254</v>
      </c>
      <c r="R95" t="s">
        <v>9924</v>
      </c>
      <c r="S95" s="162">
        <v>66.099999999999994</v>
      </c>
      <c r="T95" t="s">
        <v>9955</v>
      </c>
      <c r="U95" s="162">
        <v>33.5</v>
      </c>
      <c r="V95" t="s">
        <v>9956</v>
      </c>
      <c r="W95" s="162">
        <v>6.4</v>
      </c>
      <c r="X95">
        <v>0</v>
      </c>
      <c r="Y95" s="162">
        <v>0</v>
      </c>
      <c r="Z95">
        <v>0</v>
      </c>
      <c r="AA95" s="162">
        <v>0</v>
      </c>
      <c r="AB95">
        <v>0</v>
      </c>
      <c r="AC95" s="162" t="s">
        <v>7</v>
      </c>
      <c r="AD95" s="162" t="s">
        <v>7</v>
      </c>
      <c r="AE95" s="162" t="s">
        <v>7</v>
      </c>
      <c r="AF95" s="162" t="s">
        <v>7</v>
      </c>
      <c r="AG95" s="162" t="s">
        <v>7</v>
      </c>
      <c r="AH95" s="162" t="s">
        <v>7</v>
      </c>
      <c r="AI95" t="s">
        <v>9843</v>
      </c>
      <c r="AJ95" t="s">
        <v>7</v>
      </c>
      <c r="AK95" t="s">
        <v>9774</v>
      </c>
      <c r="AL95" t="s">
        <v>36</v>
      </c>
      <c r="AM95" s="162" t="s">
        <v>10138</v>
      </c>
      <c r="AN95" t="s">
        <v>9843</v>
      </c>
      <c r="AO95" t="s">
        <v>35</v>
      </c>
      <c r="AP95" t="s">
        <v>1278</v>
      </c>
      <c r="AQ95" t="s">
        <v>1080</v>
      </c>
      <c r="AR95" t="s">
        <v>7</v>
      </c>
      <c r="AS95" s="162" t="s">
        <v>7</v>
      </c>
      <c r="AT95" s="117" t="s">
        <v>1111</v>
      </c>
      <c r="AU95" s="162" t="s">
        <v>9851</v>
      </c>
      <c r="AV95" s="162" t="s">
        <v>7</v>
      </c>
      <c r="AW95" s="162" t="s">
        <v>7</v>
      </c>
      <c r="AX95" s="162" t="s">
        <v>7</v>
      </c>
      <c r="AY95" s="162" t="s">
        <v>9851</v>
      </c>
      <c r="AZ95" t="s">
        <v>7</v>
      </c>
      <c r="BA95" s="162" t="s">
        <v>7</v>
      </c>
      <c r="BB95" s="162" t="s">
        <v>7</v>
      </c>
      <c r="BC95" s="162" t="s">
        <v>7</v>
      </c>
      <c r="BD95" s="162" t="s">
        <v>7</v>
      </c>
      <c r="BE95" s="162" t="s">
        <v>7</v>
      </c>
      <c r="BF95" s="162" t="str">
        <f t="shared" si="2"/>
        <v>Sim</v>
      </c>
      <c r="BG95" s="162" t="str">
        <f t="shared" si="3"/>
        <v>Não</v>
      </c>
      <c r="BH95" s="162" t="s">
        <v>7</v>
      </c>
      <c r="BI95" t="s">
        <v>9870</v>
      </c>
      <c r="BJ95" s="162" t="s">
        <v>10164</v>
      </c>
      <c r="BK95" t="s">
        <v>10</v>
      </c>
      <c r="BL95" s="162">
        <v>20</v>
      </c>
      <c r="BM95" t="s">
        <v>35</v>
      </c>
      <c r="BN95" t="s">
        <v>35</v>
      </c>
      <c r="BO95" t="s">
        <v>10</v>
      </c>
      <c r="BP95" s="162">
        <v>20</v>
      </c>
      <c r="BQ95" t="s">
        <v>7</v>
      </c>
      <c r="BR95" t="s">
        <v>37</v>
      </c>
      <c r="BS95" s="162" t="s">
        <v>37</v>
      </c>
    </row>
    <row r="96" spans="1:71">
      <c r="A96" s="162">
        <v>95</v>
      </c>
      <c r="B96" t="s">
        <v>382</v>
      </c>
      <c r="C96" s="162">
        <v>1</v>
      </c>
      <c r="D96" s="122" t="s">
        <v>765</v>
      </c>
      <c r="E96" t="s">
        <v>896</v>
      </c>
      <c r="F96" t="s">
        <v>3</v>
      </c>
      <c r="G96" t="s">
        <v>392</v>
      </c>
      <c r="H96" t="s">
        <v>902</v>
      </c>
      <c r="I96" s="162">
        <v>1</v>
      </c>
      <c r="J96" t="s">
        <v>1855</v>
      </c>
      <c r="K96" t="s">
        <v>3</v>
      </c>
      <c r="L96" s="165">
        <v>33401</v>
      </c>
      <c r="M96" s="166">
        <v>26</v>
      </c>
      <c r="N96" t="s">
        <v>1093</v>
      </c>
      <c r="O96" t="s">
        <v>10135</v>
      </c>
      <c r="P96" t="s">
        <v>48</v>
      </c>
      <c r="Q96" t="s">
        <v>1186</v>
      </c>
      <c r="R96" t="s">
        <v>1816</v>
      </c>
      <c r="S96" s="162">
        <v>12.2</v>
      </c>
      <c r="T96" t="s">
        <v>1815</v>
      </c>
      <c r="U96" s="162">
        <v>5.8</v>
      </c>
      <c r="V96" t="s">
        <v>1817</v>
      </c>
      <c r="W96" s="162">
        <v>4.2</v>
      </c>
      <c r="X96">
        <v>0</v>
      </c>
      <c r="Y96" s="162">
        <v>0</v>
      </c>
      <c r="Z96">
        <v>0</v>
      </c>
      <c r="AA96" s="162">
        <v>0</v>
      </c>
      <c r="AB96">
        <v>0</v>
      </c>
      <c r="AC96" s="162" t="s">
        <v>7</v>
      </c>
      <c r="AD96" s="162" t="s">
        <v>7</v>
      </c>
      <c r="AE96" s="162" t="s">
        <v>7</v>
      </c>
      <c r="AF96" s="162" t="s">
        <v>7</v>
      </c>
      <c r="AG96" s="162" t="s">
        <v>7</v>
      </c>
      <c r="AH96" s="162" t="s">
        <v>7</v>
      </c>
      <c r="AI96" t="s">
        <v>9843</v>
      </c>
      <c r="AJ96" t="s">
        <v>7</v>
      </c>
      <c r="AK96" t="s">
        <v>1122</v>
      </c>
      <c r="AL96" t="s">
        <v>36</v>
      </c>
      <c r="AM96" s="162" t="s">
        <v>10138</v>
      </c>
      <c r="AN96" t="s">
        <v>9843</v>
      </c>
      <c r="AO96" t="s">
        <v>35</v>
      </c>
      <c r="AP96" t="s">
        <v>7</v>
      </c>
      <c r="AQ96" t="s">
        <v>9</v>
      </c>
      <c r="AR96" t="s">
        <v>7</v>
      </c>
      <c r="AS96" s="162" t="s">
        <v>7</v>
      </c>
      <c r="AT96" s="117" t="s">
        <v>7</v>
      </c>
      <c r="AU96" s="162" t="s">
        <v>7</v>
      </c>
      <c r="AV96" s="162" t="s">
        <v>7</v>
      </c>
      <c r="AW96" s="162" t="s">
        <v>9851</v>
      </c>
      <c r="AX96" s="162" t="s">
        <v>7</v>
      </c>
      <c r="AY96" s="162" t="s">
        <v>7</v>
      </c>
      <c r="AZ96" t="s">
        <v>7</v>
      </c>
      <c r="BA96" s="162" t="s">
        <v>7</v>
      </c>
      <c r="BB96" s="162" t="s">
        <v>7</v>
      </c>
      <c r="BC96" s="162" t="s">
        <v>7</v>
      </c>
      <c r="BD96" s="162" t="s">
        <v>7</v>
      </c>
      <c r="BE96" s="162" t="s">
        <v>7</v>
      </c>
      <c r="BF96" s="162" t="str">
        <f t="shared" si="2"/>
        <v>Sim</v>
      </c>
      <c r="BG96" s="162" t="str">
        <f t="shared" si="3"/>
        <v>Não</v>
      </c>
      <c r="BH96" s="162" t="s">
        <v>7</v>
      </c>
      <c r="BI96" t="s">
        <v>9870</v>
      </c>
      <c r="BJ96" s="162" t="s">
        <v>10164</v>
      </c>
      <c r="BK96" t="s">
        <v>10</v>
      </c>
      <c r="BL96" s="162">
        <v>20</v>
      </c>
      <c r="BM96" t="s">
        <v>35</v>
      </c>
      <c r="BN96" t="s">
        <v>35</v>
      </c>
      <c r="BO96" t="s">
        <v>10</v>
      </c>
      <c r="BP96" s="162">
        <v>20</v>
      </c>
      <c r="BQ96" t="s">
        <v>7</v>
      </c>
      <c r="BR96" t="s">
        <v>1849</v>
      </c>
      <c r="BS96" s="162" t="s">
        <v>10170</v>
      </c>
    </row>
    <row r="97" spans="1:71">
      <c r="A97" s="162">
        <v>96</v>
      </c>
      <c r="B97" t="s">
        <v>310</v>
      </c>
      <c r="C97" s="162">
        <v>1</v>
      </c>
      <c r="D97" s="122">
        <v>42976</v>
      </c>
      <c r="E97" t="s">
        <v>823</v>
      </c>
      <c r="F97" t="s">
        <v>515</v>
      </c>
      <c r="G97" t="s">
        <v>316</v>
      </c>
      <c r="H97" t="s">
        <v>830</v>
      </c>
      <c r="I97" s="162">
        <v>1</v>
      </c>
      <c r="J97" t="s">
        <v>1855</v>
      </c>
      <c r="K97" t="s">
        <v>3</v>
      </c>
      <c r="L97" s="165">
        <v>34081</v>
      </c>
      <c r="M97" s="166">
        <v>24</v>
      </c>
      <c r="N97" t="s">
        <v>5</v>
      </c>
      <c r="O97" t="s">
        <v>10135</v>
      </c>
      <c r="P97" t="s">
        <v>48</v>
      </c>
      <c r="Q97" t="s">
        <v>1186</v>
      </c>
      <c r="R97" t="s">
        <v>9977</v>
      </c>
      <c r="S97" s="162">
        <v>12</v>
      </c>
      <c r="T97" t="s">
        <v>9978</v>
      </c>
      <c r="U97" s="162">
        <v>47.8</v>
      </c>
      <c r="V97" t="s">
        <v>9979</v>
      </c>
      <c r="W97" s="162">
        <v>4.0999999999999996</v>
      </c>
      <c r="X97">
        <v>0</v>
      </c>
      <c r="Y97" s="162">
        <v>0</v>
      </c>
      <c r="Z97">
        <v>0</v>
      </c>
      <c r="AA97" s="162">
        <v>0</v>
      </c>
      <c r="AB97">
        <v>0</v>
      </c>
      <c r="AC97" s="162" t="s">
        <v>7</v>
      </c>
      <c r="AD97" s="162" t="s">
        <v>7</v>
      </c>
      <c r="AE97" s="162" t="s">
        <v>7</v>
      </c>
      <c r="AF97" s="162" t="s">
        <v>7</v>
      </c>
      <c r="AG97" s="162" t="s">
        <v>7</v>
      </c>
      <c r="AH97" s="162" t="s">
        <v>7</v>
      </c>
      <c r="AI97" t="s">
        <v>9843</v>
      </c>
      <c r="AJ97" t="s">
        <v>7</v>
      </c>
      <c r="AK97" t="s">
        <v>1809</v>
      </c>
      <c r="AL97" t="s">
        <v>36</v>
      </c>
      <c r="AM97" s="162" t="s">
        <v>10138</v>
      </c>
      <c r="AN97" t="s">
        <v>9843</v>
      </c>
      <c r="AO97" t="s">
        <v>35</v>
      </c>
      <c r="AP97" t="s">
        <v>7</v>
      </c>
      <c r="AQ97" t="s">
        <v>9</v>
      </c>
      <c r="AR97" t="s">
        <v>7</v>
      </c>
      <c r="AS97" s="162" t="s">
        <v>7</v>
      </c>
      <c r="AT97" s="117" t="s">
        <v>7</v>
      </c>
      <c r="AU97" s="162" t="s">
        <v>7</v>
      </c>
      <c r="AV97" s="162" t="s">
        <v>7</v>
      </c>
      <c r="AW97" s="162" t="s">
        <v>9851</v>
      </c>
      <c r="AX97" s="162" t="s">
        <v>7</v>
      </c>
      <c r="AY97" s="162" t="s">
        <v>7</v>
      </c>
      <c r="AZ97" t="s">
        <v>7</v>
      </c>
      <c r="BA97" s="162" t="s">
        <v>7</v>
      </c>
      <c r="BB97" s="162" t="s">
        <v>7</v>
      </c>
      <c r="BC97" s="162" t="s">
        <v>7</v>
      </c>
      <c r="BD97" s="162" t="s">
        <v>7</v>
      </c>
      <c r="BE97" s="162" t="s">
        <v>7</v>
      </c>
      <c r="BF97" s="162" t="str">
        <f t="shared" si="2"/>
        <v>Sim</v>
      </c>
      <c r="BG97" s="162" t="str">
        <f t="shared" si="3"/>
        <v>Não</v>
      </c>
      <c r="BH97" s="162" t="s">
        <v>7</v>
      </c>
      <c r="BI97" t="s">
        <v>9870</v>
      </c>
      <c r="BJ97" s="162" t="s">
        <v>10164</v>
      </c>
      <c r="BK97" t="s">
        <v>10</v>
      </c>
      <c r="BL97" s="162">
        <v>20</v>
      </c>
      <c r="BM97" t="s">
        <v>35</v>
      </c>
      <c r="BN97" t="s">
        <v>35</v>
      </c>
      <c r="BO97" t="s">
        <v>10</v>
      </c>
      <c r="BP97" s="162">
        <v>20</v>
      </c>
      <c r="BQ97" t="s">
        <v>7</v>
      </c>
      <c r="BR97" t="s">
        <v>1849</v>
      </c>
      <c r="BS97" s="162" t="s">
        <v>10170</v>
      </c>
    </row>
    <row r="98" spans="1:71">
      <c r="A98" s="162">
        <v>97</v>
      </c>
      <c r="B98" t="s">
        <v>396</v>
      </c>
      <c r="C98" s="162">
        <v>1</v>
      </c>
      <c r="D98" s="122" t="s">
        <v>623</v>
      </c>
      <c r="E98" t="s">
        <v>922</v>
      </c>
      <c r="F98" t="s">
        <v>515</v>
      </c>
      <c r="G98" t="s">
        <v>411</v>
      </c>
      <c r="H98" t="s">
        <v>926</v>
      </c>
      <c r="I98" s="162">
        <v>1</v>
      </c>
      <c r="J98" t="s">
        <v>1855</v>
      </c>
      <c r="K98" t="s">
        <v>3</v>
      </c>
      <c r="L98" s="165">
        <v>34570</v>
      </c>
      <c r="M98" s="166">
        <v>23</v>
      </c>
      <c r="N98" t="s">
        <v>5</v>
      </c>
      <c r="O98" t="s">
        <v>10135</v>
      </c>
      <c r="P98" t="s">
        <v>48</v>
      </c>
      <c r="Q98" t="s">
        <v>1127</v>
      </c>
      <c r="R98" t="s">
        <v>10025</v>
      </c>
      <c r="S98" s="162">
        <v>29.2</v>
      </c>
      <c r="T98" t="s">
        <v>10026</v>
      </c>
      <c r="U98" s="162">
        <v>17.8</v>
      </c>
      <c r="V98" t="s">
        <v>1947</v>
      </c>
      <c r="W98" s="162">
        <v>1</v>
      </c>
      <c r="X98">
        <v>0</v>
      </c>
      <c r="Y98" s="162">
        <v>0</v>
      </c>
      <c r="Z98">
        <v>0</v>
      </c>
      <c r="AA98" s="162">
        <v>0</v>
      </c>
      <c r="AB98">
        <v>0</v>
      </c>
      <c r="AC98" s="162" t="s">
        <v>7</v>
      </c>
      <c r="AD98" s="162" t="s">
        <v>7</v>
      </c>
      <c r="AE98" s="162" t="s">
        <v>7</v>
      </c>
      <c r="AF98" s="162" t="s">
        <v>7</v>
      </c>
      <c r="AG98" s="162" t="s">
        <v>7</v>
      </c>
      <c r="AH98" s="162" t="s">
        <v>7</v>
      </c>
      <c r="AI98" t="s">
        <v>9843</v>
      </c>
      <c r="AJ98" t="s">
        <v>7</v>
      </c>
      <c r="AK98" t="s">
        <v>1936</v>
      </c>
      <c r="AL98" t="s">
        <v>36</v>
      </c>
      <c r="AM98" s="162" t="s">
        <v>10138</v>
      </c>
      <c r="AN98" t="s">
        <v>9843</v>
      </c>
      <c r="AO98" t="s">
        <v>35</v>
      </c>
      <c r="AP98" t="s">
        <v>7</v>
      </c>
      <c r="AQ98" t="s">
        <v>9</v>
      </c>
      <c r="AR98" t="s">
        <v>7</v>
      </c>
      <c r="AS98" s="162" t="s">
        <v>7</v>
      </c>
      <c r="AT98" s="117" t="s">
        <v>7</v>
      </c>
      <c r="AU98" s="162" t="s">
        <v>7</v>
      </c>
      <c r="AV98" s="162" t="s">
        <v>7</v>
      </c>
      <c r="AW98" s="162" t="s">
        <v>9851</v>
      </c>
      <c r="AX98" s="162" t="s">
        <v>7</v>
      </c>
      <c r="AY98" s="162" t="s">
        <v>7</v>
      </c>
      <c r="AZ98" t="s">
        <v>7</v>
      </c>
      <c r="BA98" s="162" t="s">
        <v>7</v>
      </c>
      <c r="BB98" s="162" t="s">
        <v>7</v>
      </c>
      <c r="BC98" s="162" t="s">
        <v>7</v>
      </c>
      <c r="BD98" s="162" t="s">
        <v>7</v>
      </c>
      <c r="BE98" s="162" t="s">
        <v>7</v>
      </c>
      <c r="BF98" s="162" t="str">
        <f t="shared" si="2"/>
        <v>Sim</v>
      </c>
      <c r="BG98" s="162" t="str">
        <f t="shared" si="3"/>
        <v>Não</v>
      </c>
      <c r="BH98" s="162" t="s">
        <v>7</v>
      </c>
      <c r="BI98" t="s">
        <v>9870</v>
      </c>
      <c r="BJ98" s="162" t="s">
        <v>10164</v>
      </c>
      <c r="BK98" t="s">
        <v>10</v>
      </c>
      <c r="BL98" s="162">
        <v>20</v>
      </c>
      <c r="BM98" t="s">
        <v>35</v>
      </c>
      <c r="BN98" t="s">
        <v>35</v>
      </c>
      <c r="BO98" t="s">
        <v>10</v>
      </c>
      <c r="BP98" s="162">
        <v>20</v>
      </c>
      <c r="BQ98" t="s">
        <v>9851</v>
      </c>
      <c r="BR98" t="s">
        <v>35</v>
      </c>
      <c r="BS98" s="162" t="s">
        <v>35</v>
      </c>
    </row>
    <row r="99" spans="1:71">
      <c r="A99" s="162">
        <v>98</v>
      </c>
      <c r="B99" t="s">
        <v>330</v>
      </c>
      <c r="C99" s="162">
        <v>1</v>
      </c>
      <c r="D99" s="122">
        <v>42853</v>
      </c>
      <c r="E99" t="s">
        <v>846</v>
      </c>
      <c r="F99" t="s">
        <v>3</v>
      </c>
      <c r="G99" t="s">
        <v>335</v>
      </c>
      <c r="H99" t="s">
        <v>852</v>
      </c>
      <c r="I99" s="162">
        <v>1</v>
      </c>
      <c r="J99" t="s">
        <v>1855</v>
      </c>
      <c r="K99" t="s">
        <v>3</v>
      </c>
      <c r="L99" s="165">
        <v>35310</v>
      </c>
      <c r="M99" s="166">
        <v>20</v>
      </c>
      <c r="N99" t="s">
        <v>1093</v>
      </c>
      <c r="O99" t="s">
        <v>10135</v>
      </c>
      <c r="P99" t="s">
        <v>1101</v>
      </c>
      <c r="Q99" t="s">
        <v>1127</v>
      </c>
      <c r="R99" t="s">
        <v>10050</v>
      </c>
      <c r="S99" s="162">
        <v>20</v>
      </c>
      <c r="T99" t="s">
        <v>1990</v>
      </c>
      <c r="U99" s="162">
        <v>138</v>
      </c>
      <c r="V99" t="s">
        <v>1994</v>
      </c>
      <c r="W99" s="162">
        <v>48</v>
      </c>
      <c r="X99">
        <v>0</v>
      </c>
      <c r="Y99" s="162">
        <v>0</v>
      </c>
      <c r="Z99">
        <v>0</v>
      </c>
      <c r="AA99" s="162">
        <v>0</v>
      </c>
      <c r="AB99">
        <v>0</v>
      </c>
      <c r="AC99" s="162" t="s">
        <v>7</v>
      </c>
      <c r="AD99" s="162" t="s">
        <v>7</v>
      </c>
      <c r="AE99" s="162" t="s">
        <v>7</v>
      </c>
      <c r="AF99" s="162" t="s">
        <v>7</v>
      </c>
      <c r="AG99" s="162" t="s">
        <v>7</v>
      </c>
      <c r="AH99" s="162" t="s">
        <v>7</v>
      </c>
      <c r="AI99" t="s">
        <v>9843</v>
      </c>
      <c r="AJ99" t="s">
        <v>7</v>
      </c>
      <c r="AK99" t="s">
        <v>1996</v>
      </c>
      <c r="AL99" t="s">
        <v>36</v>
      </c>
      <c r="AM99" s="162" t="s">
        <v>10138</v>
      </c>
      <c r="AN99" t="s">
        <v>9843</v>
      </c>
      <c r="AO99" t="s">
        <v>35</v>
      </c>
      <c r="AP99" t="s">
        <v>7</v>
      </c>
      <c r="AQ99" t="s">
        <v>9</v>
      </c>
      <c r="AR99" t="s">
        <v>7</v>
      </c>
      <c r="AS99" s="162" t="s">
        <v>7</v>
      </c>
      <c r="AT99" s="117" t="s">
        <v>7</v>
      </c>
      <c r="AU99" s="162" t="s">
        <v>7</v>
      </c>
      <c r="AV99" s="162" t="s">
        <v>7</v>
      </c>
      <c r="AW99" s="162" t="s">
        <v>9851</v>
      </c>
      <c r="AX99" s="162" t="s">
        <v>7</v>
      </c>
      <c r="AY99" s="162" t="s">
        <v>7</v>
      </c>
      <c r="AZ99" t="s">
        <v>7</v>
      </c>
      <c r="BA99" s="162" t="s">
        <v>7</v>
      </c>
      <c r="BB99" s="162" t="s">
        <v>7</v>
      </c>
      <c r="BC99" s="162" t="s">
        <v>7</v>
      </c>
      <c r="BD99" s="162" t="s">
        <v>7</v>
      </c>
      <c r="BE99" s="162" t="s">
        <v>7</v>
      </c>
      <c r="BF99" s="162" t="str">
        <f t="shared" si="2"/>
        <v>Sim</v>
      </c>
      <c r="BG99" s="162" t="str">
        <f t="shared" si="3"/>
        <v>Não</v>
      </c>
      <c r="BH99" s="162" t="s">
        <v>7</v>
      </c>
      <c r="BI99" t="s">
        <v>9870</v>
      </c>
      <c r="BJ99" s="162" t="s">
        <v>10164</v>
      </c>
      <c r="BK99" t="s">
        <v>10</v>
      </c>
      <c r="BL99" s="162">
        <v>20</v>
      </c>
      <c r="BM99" t="s">
        <v>35</v>
      </c>
      <c r="BN99" t="s">
        <v>35</v>
      </c>
      <c r="BO99" t="s">
        <v>10</v>
      </c>
      <c r="BP99" s="162">
        <v>20</v>
      </c>
      <c r="BQ99" t="s">
        <v>7</v>
      </c>
      <c r="BR99" t="s">
        <v>1849</v>
      </c>
      <c r="BS99" s="162" t="s">
        <v>10170</v>
      </c>
    </row>
    <row r="100" spans="1:71">
      <c r="A100" s="162">
        <v>99</v>
      </c>
      <c r="B100" t="s">
        <v>330</v>
      </c>
      <c r="C100" s="162">
        <v>0</v>
      </c>
      <c r="D100" s="122">
        <v>42853</v>
      </c>
      <c r="E100" t="s">
        <v>846</v>
      </c>
      <c r="F100" t="s">
        <v>3</v>
      </c>
      <c r="G100" t="s">
        <v>335</v>
      </c>
      <c r="H100" t="s">
        <v>853</v>
      </c>
      <c r="I100" s="162">
        <v>1</v>
      </c>
      <c r="J100" t="s">
        <v>1855</v>
      </c>
      <c r="K100" t="s">
        <v>3</v>
      </c>
      <c r="L100" s="165">
        <v>35937</v>
      </c>
      <c r="M100" s="166">
        <v>18</v>
      </c>
      <c r="N100" t="s">
        <v>1093</v>
      </c>
      <c r="O100" t="s">
        <v>10135</v>
      </c>
      <c r="P100" t="s">
        <v>1101</v>
      </c>
      <c r="Q100" t="s">
        <v>1186</v>
      </c>
      <c r="R100" t="s">
        <v>10050</v>
      </c>
      <c r="S100" s="162">
        <v>20</v>
      </c>
      <c r="T100" t="s">
        <v>1990</v>
      </c>
      <c r="U100" s="162">
        <v>138</v>
      </c>
      <c r="V100" t="s">
        <v>1994</v>
      </c>
      <c r="W100" s="162">
        <v>48</v>
      </c>
      <c r="X100">
        <v>0</v>
      </c>
      <c r="Y100" s="162">
        <v>0</v>
      </c>
      <c r="Z100">
        <v>0</v>
      </c>
      <c r="AA100" s="162">
        <v>0</v>
      </c>
      <c r="AB100">
        <v>0</v>
      </c>
      <c r="AC100" s="162" t="s">
        <v>7</v>
      </c>
      <c r="AD100" s="162" t="s">
        <v>7</v>
      </c>
      <c r="AE100" s="162" t="s">
        <v>7</v>
      </c>
      <c r="AF100" s="162" t="s">
        <v>7</v>
      </c>
      <c r="AG100" s="162" t="s">
        <v>7</v>
      </c>
      <c r="AH100" s="162" t="s">
        <v>7</v>
      </c>
      <c r="AI100" t="s">
        <v>9843</v>
      </c>
      <c r="AJ100" t="s">
        <v>7</v>
      </c>
      <c r="AK100" t="s">
        <v>1996</v>
      </c>
      <c r="AL100" t="s">
        <v>36</v>
      </c>
      <c r="AM100" s="162" t="s">
        <v>10138</v>
      </c>
      <c r="AN100" t="s">
        <v>9843</v>
      </c>
      <c r="AO100" t="s">
        <v>35</v>
      </c>
      <c r="AP100" t="s">
        <v>7</v>
      </c>
      <c r="AQ100" t="s">
        <v>9</v>
      </c>
      <c r="AR100" t="s">
        <v>7</v>
      </c>
      <c r="AS100" s="162" t="s">
        <v>7</v>
      </c>
      <c r="AT100" s="117" t="s">
        <v>7</v>
      </c>
      <c r="AU100" s="162" t="s">
        <v>7</v>
      </c>
      <c r="AV100" s="162" t="s">
        <v>7</v>
      </c>
      <c r="AW100" s="162" t="s">
        <v>9851</v>
      </c>
      <c r="AX100" s="162" t="s">
        <v>7</v>
      </c>
      <c r="AY100" s="162" t="s">
        <v>7</v>
      </c>
      <c r="AZ100" t="s">
        <v>7</v>
      </c>
      <c r="BA100" s="162" t="s">
        <v>7</v>
      </c>
      <c r="BB100" s="162" t="s">
        <v>7</v>
      </c>
      <c r="BC100" s="162" t="s">
        <v>7</v>
      </c>
      <c r="BD100" s="162" t="s">
        <v>7</v>
      </c>
      <c r="BE100" s="162" t="s">
        <v>7</v>
      </c>
      <c r="BF100" s="162" t="str">
        <f t="shared" si="2"/>
        <v>Sim</v>
      </c>
      <c r="BG100" s="162" t="str">
        <f t="shared" si="3"/>
        <v>Não</v>
      </c>
      <c r="BH100" s="162" t="s">
        <v>7</v>
      </c>
      <c r="BI100" t="s">
        <v>9870</v>
      </c>
      <c r="BJ100" s="162" t="s">
        <v>10164</v>
      </c>
      <c r="BK100" t="s">
        <v>10</v>
      </c>
      <c r="BL100" s="162">
        <v>20</v>
      </c>
      <c r="BM100" t="s">
        <v>35</v>
      </c>
      <c r="BN100" t="s">
        <v>35</v>
      </c>
      <c r="BO100" t="s">
        <v>10</v>
      </c>
      <c r="BP100" s="162">
        <v>20</v>
      </c>
      <c r="BQ100" t="s">
        <v>7</v>
      </c>
      <c r="BR100" t="s">
        <v>1849</v>
      </c>
      <c r="BS100" s="162" t="s">
        <v>10170</v>
      </c>
    </row>
    <row r="101" spans="1:71">
      <c r="A101" s="162">
        <v>100</v>
      </c>
      <c r="B101" t="s">
        <v>137</v>
      </c>
      <c r="C101" s="162">
        <v>1</v>
      </c>
      <c r="D101" s="122" t="s">
        <v>528</v>
      </c>
      <c r="E101" t="s">
        <v>516</v>
      </c>
      <c r="F101" t="s">
        <v>3</v>
      </c>
      <c r="G101" t="s">
        <v>140</v>
      </c>
      <c r="H101" t="s">
        <v>529</v>
      </c>
      <c r="I101" s="162">
        <v>1</v>
      </c>
      <c r="J101" t="s">
        <v>1855</v>
      </c>
      <c r="K101" t="s">
        <v>3</v>
      </c>
      <c r="L101" s="165">
        <v>31904</v>
      </c>
      <c r="M101" s="166">
        <v>30</v>
      </c>
      <c r="N101" t="s">
        <v>5</v>
      </c>
      <c r="O101" t="s">
        <v>10135</v>
      </c>
      <c r="P101" t="s">
        <v>48</v>
      </c>
      <c r="Q101" t="s">
        <v>1123</v>
      </c>
      <c r="R101" t="s">
        <v>1126</v>
      </c>
      <c r="S101" s="162">
        <v>150.1</v>
      </c>
      <c r="T101" t="s">
        <v>1125</v>
      </c>
      <c r="U101" s="162">
        <v>334.4</v>
      </c>
      <c r="V101" t="s">
        <v>1124</v>
      </c>
      <c r="W101" s="162">
        <v>256.10000000000002</v>
      </c>
      <c r="X101">
        <v>0</v>
      </c>
      <c r="Y101" s="162">
        <v>0</v>
      </c>
      <c r="Z101">
        <v>0</v>
      </c>
      <c r="AA101" s="162">
        <v>0</v>
      </c>
      <c r="AB101">
        <v>0</v>
      </c>
      <c r="AC101" s="162" t="s">
        <v>7</v>
      </c>
      <c r="AD101" s="162" t="s">
        <v>7</v>
      </c>
      <c r="AE101" s="162" t="s">
        <v>7</v>
      </c>
      <c r="AF101" s="162" t="s">
        <v>7</v>
      </c>
      <c r="AG101" s="162" t="s">
        <v>7</v>
      </c>
      <c r="AH101" s="162" t="s">
        <v>7</v>
      </c>
      <c r="AI101" t="s">
        <v>9843</v>
      </c>
      <c r="AJ101" t="s">
        <v>7</v>
      </c>
      <c r="AK101" t="s">
        <v>9796</v>
      </c>
      <c r="AL101" t="s">
        <v>36</v>
      </c>
      <c r="AM101" s="162" t="s">
        <v>10138</v>
      </c>
      <c r="AN101" t="s">
        <v>9843</v>
      </c>
      <c r="AO101" t="s">
        <v>35</v>
      </c>
      <c r="AP101" t="s">
        <v>7</v>
      </c>
      <c r="AQ101" t="s">
        <v>9</v>
      </c>
      <c r="AR101" t="s">
        <v>7</v>
      </c>
      <c r="AS101" s="162" t="s">
        <v>7</v>
      </c>
      <c r="AT101" s="117" t="s">
        <v>7</v>
      </c>
      <c r="AU101" s="162" t="s">
        <v>7</v>
      </c>
      <c r="AV101" s="162" t="s">
        <v>7</v>
      </c>
      <c r="AW101" s="162" t="s">
        <v>9851</v>
      </c>
      <c r="AX101" s="162" t="s">
        <v>7</v>
      </c>
      <c r="AY101" s="162" t="s">
        <v>7</v>
      </c>
      <c r="AZ101" t="s">
        <v>7</v>
      </c>
      <c r="BA101" s="162" t="s">
        <v>7</v>
      </c>
      <c r="BB101" s="162" t="s">
        <v>7</v>
      </c>
      <c r="BC101" s="162" t="s">
        <v>7</v>
      </c>
      <c r="BD101" s="162" t="s">
        <v>7</v>
      </c>
      <c r="BE101" s="162" t="s">
        <v>7</v>
      </c>
      <c r="BF101" s="162" t="str">
        <f t="shared" si="2"/>
        <v>Sim</v>
      </c>
      <c r="BG101" s="162" t="str">
        <f t="shared" si="3"/>
        <v>Não</v>
      </c>
      <c r="BH101" s="162" t="s">
        <v>7</v>
      </c>
      <c r="BI101" t="s">
        <v>9870</v>
      </c>
      <c r="BJ101" s="162" t="s">
        <v>10164</v>
      </c>
      <c r="BK101" t="s">
        <v>10</v>
      </c>
      <c r="BL101" s="162">
        <v>20</v>
      </c>
      <c r="BM101" t="s">
        <v>35</v>
      </c>
      <c r="BN101" t="s">
        <v>35</v>
      </c>
      <c r="BO101" t="s">
        <v>10</v>
      </c>
      <c r="BP101" s="162">
        <v>20</v>
      </c>
      <c r="BQ101" t="s">
        <v>7</v>
      </c>
      <c r="BR101" t="s">
        <v>1114</v>
      </c>
      <c r="BS101" s="162" t="s">
        <v>1114</v>
      </c>
    </row>
    <row r="102" spans="1:71">
      <c r="A102" s="162">
        <v>101</v>
      </c>
      <c r="B102" t="s">
        <v>394</v>
      </c>
      <c r="C102" s="162">
        <v>1</v>
      </c>
      <c r="D102" s="122" t="s">
        <v>921</v>
      </c>
      <c r="E102" t="s">
        <v>922</v>
      </c>
      <c r="F102" t="s">
        <v>515</v>
      </c>
      <c r="G102" t="s">
        <v>411</v>
      </c>
      <c r="H102" t="s">
        <v>923</v>
      </c>
      <c r="I102" s="162">
        <v>1</v>
      </c>
      <c r="J102" t="s">
        <v>1855</v>
      </c>
      <c r="K102" t="s">
        <v>3</v>
      </c>
      <c r="L102" s="165">
        <v>35026</v>
      </c>
      <c r="M102" s="166">
        <v>21</v>
      </c>
      <c r="N102" t="s">
        <v>1093</v>
      </c>
      <c r="O102" t="s">
        <v>10135</v>
      </c>
      <c r="P102" t="s">
        <v>1101</v>
      </c>
      <c r="Q102" t="s">
        <v>1133</v>
      </c>
      <c r="R102" t="s">
        <v>1134</v>
      </c>
      <c r="S102" s="162">
        <v>57.1</v>
      </c>
      <c r="T102" t="s">
        <v>10023</v>
      </c>
      <c r="U102" s="162">
        <v>40.700000000000003</v>
      </c>
      <c r="V102" t="s">
        <v>10024</v>
      </c>
      <c r="W102" s="162">
        <v>21.1</v>
      </c>
      <c r="X102">
        <v>0</v>
      </c>
      <c r="Y102" s="162">
        <v>0</v>
      </c>
      <c r="Z102">
        <v>0</v>
      </c>
      <c r="AA102" s="162">
        <v>0</v>
      </c>
      <c r="AB102">
        <v>0</v>
      </c>
      <c r="AC102" s="162" t="s">
        <v>7</v>
      </c>
      <c r="AD102" s="162" t="s">
        <v>7</v>
      </c>
      <c r="AE102" s="162" t="s">
        <v>7</v>
      </c>
      <c r="AF102" s="162" t="s">
        <v>7</v>
      </c>
      <c r="AG102" s="162" t="s">
        <v>7</v>
      </c>
      <c r="AH102" s="162" t="s">
        <v>7</v>
      </c>
      <c r="AI102" t="s">
        <v>9843</v>
      </c>
      <c r="AJ102" t="s">
        <v>7</v>
      </c>
      <c r="AK102" t="s">
        <v>9820</v>
      </c>
      <c r="AL102" t="s">
        <v>36</v>
      </c>
      <c r="AM102" s="162" t="s">
        <v>10138</v>
      </c>
      <c r="AN102" t="s">
        <v>9843</v>
      </c>
      <c r="AO102" t="s">
        <v>35</v>
      </c>
      <c r="AP102" t="s">
        <v>7</v>
      </c>
      <c r="AQ102" t="s">
        <v>9</v>
      </c>
      <c r="AR102" t="s">
        <v>7</v>
      </c>
      <c r="AS102" s="162" t="s">
        <v>7</v>
      </c>
      <c r="AT102" s="117" t="s">
        <v>7</v>
      </c>
      <c r="AU102" s="162" t="s">
        <v>7</v>
      </c>
      <c r="AV102" s="162" t="s">
        <v>7</v>
      </c>
      <c r="AW102" s="162" t="s">
        <v>9851</v>
      </c>
      <c r="AX102" s="162" t="s">
        <v>7</v>
      </c>
      <c r="AY102" s="162" t="s">
        <v>7</v>
      </c>
      <c r="AZ102" t="s">
        <v>7</v>
      </c>
      <c r="BA102" s="162" t="s">
        <v>7</v>
      </c>
      <c r="BB102" s="162" t="s">
        <v>7</v>
      </c>
      <c r="BC102" s="162" t="s">
        <v>7</v>
      </c>
      <c r="BD102" s="162" t="s">
        <v>7</v>
      </c>
      <c r="BE102" s="162" t="s">
        <v>7</v>
      </c>
      <c r="BF102" s="162" t="str">
        <f t="shared" si="2"/>
        <v>Sim</v>
      </c>
      <c r="BG102" s="162" t="str">
        <f t="shared" si="3"/>
        <v>Não</v>
      </c>
      <c r="BH102" s="162" t="s">
        <v>7</v>
      </c>
      <c r="BI102" t="s">
        <v>9870</v>
      </c>
      <c r="BJ102" s="162" t="s">
        <v>10164</v>
      </c>
      <c r="BK102" t="s">
        <v>10</v>
      </c>
      <c r="BL102" s="162">
        <v>20</v>
      </c>
      <c r="BM102" t="s">
        <v>35</v>
      </c>
      <c r="BN102" t="s">
        <v>35</v>
      </c>
      <c r="BO102" t="s">
        <v>10</v>
      </c>
      <c r="BP102" s="162">
        <v>20</v>
      </c>
      <c r="BQ102" t="s">
        <v>9851</v>
      </c>
      <c r="BR102" t="s">
        <v>35</v>
      </c>
      <c r="BS102" s="162" t="s">
        <v>35</v>
      </c>
    </row>
    <row r="103" spans="1:71">
      <c r="A103" s="162">
        <v>102</v>
      </c>
      <c r="B103" t="s">
        <v>427</v>
      </c>
      <c r="C103" s="162">
        <v>1</v>
      </c>
      <c r="D103" s="122" t="s">
        <v>921</v>
      </c>
      <c r="E103" t="s">
        <v>994</v>
      </c>
      <c r="F103" t="s">
        <v>515</v>
      </c>
      <c r="G103" t="s">
        <v>433</v>
      </c>
      <c r="H103" t="s">
        <v>995</v>
      </c>
      <c r="I103" s="162">
        <v>1</v>
      </c>
      <c r="J103" t="s">
        <v>1855</v>
      </c>
      <c r="K103" t="s">
        <v>3</v>
      </c>
      <c r="L103" s="165">
        <v>35693</v>
      </c>
      <c r="M103" s="166">
        <v>19</v>
      </c>
      <c r="N103" t="s">
        <v>18</v>
      </c>
      <c r="O103" t="s">
        <v>10135</v>
      </c>
      <c r="P103" t="s">
        <v>48</v>
      </c>
      <c r="Q103" t="s">
        <v>1883</v>
      </c>
      <c r="R103" t="s">
        <v>10033</v>
      </c>
      <c r="S103" s="162">
        <v>137.5</v>
      </c>
      <c r="T103">
        <v>0</v>
      </c>
      <c r="U103" s="162">
        <v>0</v>
      </c>
      <c r="V103">
        <v>0</v>
      </c>
      <c r="W103" s="162">
        <v>0</v>
      </c>
      <c r="X103" t="s">
        <v>10034</v>
      </c>
      <c r="Y103" s="162">
        <v>2.7</v>
      </c>
      <c r="Z103">
        <v>0</v>
      </c>
      <c r="AA103" s="162">
        <v>0</v>
      </c>
      <c r="AB103">
        <v>0</v>
      </c>
      <c r="AC103" s="162" t="s">
        <v>7</v>
      </c>
      <c r="AD103" s="162" t="s">
        <v>7</v>
      </c>
      <c r="AE103" s="162" t="s">
        <v>7</v>
      </c>
      <c r="AF103" s="162" t="s">
        <v>7</v>
      </c>
      <c r="AG103" s="162" t="s">
        <v>7</v>
      </c>
      <c r="AH103" s="162" t="s">
        <v>7</v>
      </c>
      <c r="AI103" t="s">
        <v>9843</v>
      </c>
      <c r="AJ103" t="s">
        <v>1974</v>
      </c>
      <c r="AK103" t="s">
        <v>1122</v>
      </c>
      <c r="AL103" t="s">
        <v>36</v>
      </c>
      <c r="AM103" s="162" t="s">
        <v>10138</v>
      </c>
      <c r="AN103" t="s">
        <v>9843</v>
      </c>
      <c r="AO103" t="s">
        <v>1974</v>
      </c>
      <c r="AP103" t="s">
        <v>7</v>
      </c>
      <c r="AQ103" t="s">
        <v>9</v>
      </c>
      <c r="AR103" t="s">
        <v>7</v>
      </c>
      <c r="AS103" s="162" t="s">
        <v>7</v>
      </c>
      <c r="AT103" s="117" t="s">
        <v>7</v>
      </c>
      <c r="AU103" s="162" t="s">
        <v>7</v>
      </c>
      <c r="AV103" s="162" t="s">
        <v>7</v>
      </c>
      <c r="AW103" s="162" t="s">
        <v>9851</v>
      </c>
      <c r="AX103" s="162" t="s">
        <v>7</v>
      </c>
      <c r="AY103" s="162" t="s">
        <v>7</v>
      </c>
      <c r="AZ103" t="s">
        <v>7</v>
      </c>
      <c r="BA103" s="162" t="s">
        <v>7</v>
      </c>
      <c r="BB103" s="162" t="s">
        <v>7</v>
      </c>
      <c r="BC103" s="162" t="s">
        <v>7</v>
      </c>
      <c r="BD103" s="162" t="s">
        <v>7</v>
      </c>
      <c r="BE103" s="162" t="s">
        <v>7</v>
      </c>
      <c r="BF103" s="162" t="str">
        <f t="shared" si="2"/>
        <v>Sim</v>
      </c>
      <c r="BG103" s="162" t="str">
        <f t="shared" si="3"/>
        <v>Não</v>
      </c>
      <c r="BH103" s="162" t="s">
        <v>7</v>
      </c>
      <c r="BI103" t="s">
        <v>9870</v>
      </c>
      <c r="BJ103" s="162" t="s">
        <v>10164</v>
      </c>
      <c r="BK103" t="s">
        <v>10</v>
      </c>
      <c r="BL103" s="162">
        <v>20</v>
      </c>
      <c r="BM103" t="s">
        <v>35</v>
      </c>
      <c r="BN103" t="s">
        <v>7</v>
      </c>
      <c r="BO103" t="s">
        <v>10</v>
      </c>
      <c r="BP103" s="162">
        <v>20</v>
      </c>
      <c r="BQ103" t="s">
        <v>9851</v>
      </c>
      <c r="BR103" t="s">
        <v>35</v>
      </c>
      <c r="BS103" s="162" t="s">
        <v>35</v>
      </c>
    </row>
    <row r="104" spans="1:71">
      <c r="A104" s="162">
        <v>103</v>
      </c>
      <c r="B104" t="s">
        <v>270</v>
      </c>
      <c r="C104" s="162">
        <v>1</v>
      </c>
      <c r="D104" s="122" t="s">
        <v>757</v>
      </c>
      <c r="E104" t="s">
        <v>746</v>
      </c>
      <c r="F104" t="s">
        <v>3</v>
      </c>
      <c r="G104" t="s">
        <v>277</v>
      </c>
      <c r="H104" t="s">
        <v>758</v>
      </c>
      <c r="I104" s="162">
        <v>1</v>
      </c>
      <c r="J104" t="s">
        <v>1855</v>
      </c>
      <c r="K104" t="s">
        <v>3</v>
      </c>
      <c r="L104" s="165">
        <v>31401</v>
      </c>
      <c r="M104" s="166">
        <v>31</v>
      </c>
      <c r="N104" t="s">
        <v>1093</v>
      </c>
      <c r="O104" t="s">
        <v>10135</v>
      </c>
      <c r="P104" t="s">
        <v>48</v>
      </c>
      <c r="Q104" t="s">
        <v>1393</v>
      </c>
      <c r="R104" t="s">
        <v>1394</v>
      </c>
      <c r="S104" s="162">
        <v>63.8</v>
      </c>
      <c r="T104">
        <v>0</v>
      </c>
      <c r="U104" s="162">
        <v>0</v>
      </c>
      <c r="V104">
        <v>0</v>
      </c>
      <c r="W104" s="162">
        <v>0</v>
      </c>
      <c r="X104">
        <v>0</v>
      </c>
      <c r="Y104" s="162">
        <v>0</v>
      </c>
      <c r="Z104">
        <v>0</v>
      </c>
      <c r="AA104" s="162">
        <v>0</v>
      </c>
      <c r="AB104">
        <v>0</v>
      </c>
      <c r="AC104" s="162" t="s">
        <v>7</v>
      </c>
      <c r="AD104" s="162" t="s">
        <v>7</v>
      </c>
      <c r="AE104" s="162" t="s">
        <v>7</v>
      </c>
      <c r="AF104" s="162" t="s">
        <v>7</v>
      </c>
      <c r="AG104" s="162" t="s">
        <v>7</v>
      </c>
      <c r="AH104" s="162" t="s">
        <v>7</v>
      </c>
      <c r="AI104" t="s">
        <v>9843</v>
      </c>
      <c r="AJ104" t="s">
        <v>7</v>
      </c>
      <c r="AK104" t="s">
        <v>1395</v>
      </c>
      <c r="AL104" t="s">
        <v>36</v>
      </c>
      <c r="AM104" s="162" t="s">
        <v>10138</v>
      </c>
      <c r="AN104" t="s">
        <v>9843</v>
      </c>
      <c r="AO104" t="s">
        <v>35</v>
      </c>
      <c r="AP104" t="s">
        <v>7</v>
      </c>
      <c r="AQ104" t="s">
        <v>9</v>
      </c>
      <c r="AR104" t="s">
        <v>7</v>
      </c>
      <c r="AS104" s="162" t="s">
        <v>7</v>
      </c>
      <c r="AT104" s="117" t="s">
        <v>7</v>
      </c>
      <c r="AU104" s="162" t="s">
        <v>7</v>
      </c>
      <c r="AV104" s="162" t="s">
        <v>7</v>
      </c>
      <c r="AW104" s="162" t="s">
        <v>9851</v>
      </c>
      <c r="AX104" s="162" t="s">
        <v>7</v>
      </c>
      <c r="AY104" s="162" t="s">
        <v>7</v>
      </c>
      <c r="AZ104" t="s">
        <v>7</v>
      </c>
      <c r="BA104" s="162" t="s">
        <v>7</v>
      </c>
      <c r="BB104" s="162" t="s">
        <v>7</v>
      </c>
      <c r="BC104" s="162" t="s">
        <v>7</v>
      </c>
      <c r="BD104" s="162" t="s">
        <v>7</v>
      </c>
      <c r="BE104" s="162" t="s">
        <v>7</v>
      </c>
      <c r="BF104" s="162" t="str">
        <f t="shared" si="2"/>
        <v>Sim</v>
      </c>
      <c r="BG104" s="162" t="str">
        <f t="shared" si="3"/>
        <v>Não</v>
      </c>
      <c r="BH104" s="162" t="s">
        <v>7</v>
      </c>
      <c r="BI104" t="s">
        <v>9870</v>
      </c>
      <c r="BJ104" s="162" t="s">
        <v>10164</v>
      </c>
      <c r="BK104" t="s">
        <v>1384</v>
      </c>
      <c r="BL104" s="162">
        <v>20</v>
      </c>
      <c r="BM104" t="s">
        <v>35</v>
      </c>
      <c r="BN104" t="s">
        <v>35</v>
      </c>
      <c r="BO104" t="s">
        <v>1384</v>
      </c>
      <c r="BP104" s="162">
        <v>20</v>
      </c>
      <c r="BQ104" t="s">
        <v>7</v>
      </c>
      <c r="BR104" t="s">
        <v>1849</v>
      </c>
      <c r="BS104" s="162" t="s">
        <v>10170</v>
      </c>
    </row>
    <row r="105" spans="1:71">
      <c r="A105" s="162">
        <v>104</v>
      </c>
      <c r="B105" t="s">
        <v>271</v>
      </c>
      <c r="C105" s="162">
        <v>1</v>
      </c>
      <c r="D105" s="122" t="s">
        <v>759</v>
      </c>
      <c r="E105" t="s">
        <v>746</v>
      </c>
      <c r="F105" t="s">
        <v>3</v>
      </c>
      <c r="G105" t="s">
        <v>277</v>
      </c>
      <c r="H105" t="s">
        <v>760</v>
      </c>
      <c r="I105" s="162">
        <v>1</v>
      </c>
      <c r="J105" t="s">
        <v>1855</v>
      </c>
      <c r="K105" t="s">
        <v>3</v>
      </c>
      <c r="L105" s="165">
        <v>35667</v>
      </c>
      <c r="M105" s="166">
        <v>19</v>
      </c>
      <c r="N105" t="s">
        <v>5</v>
      </c>
      <c r="O105" t="s">
        <v>10135</v>
      </c>
      <c r="P105" t="s">
        <v>48</v>
      </c>
      <c r="Q105" t="s">
        <v>1186</v>
      </c>
      <c r="R105">
        <v>0</v>
      </c>
      <c r="S105" s="162">
        <v>0</v>
      </c>
      <c r="T105" t="s">
        <v>1396</v>
      </c>
      <c r="U105" s="162">
        <v>21.6</v>
      </c>
      <c r="V105">
        <v>0</v>
      </c>
      <c r="W105" s="162">
        <v>0</v>
      </c>
      <c r="X105">
        <v>0</v>
      </c>
      <c r="Y105" s="162">
        <v>0</v>
      </c>
      <c r="Z105">
        <v>0</v>
      </c>
      <c r="AA105" s="162">
        <v>0</v>
      </c>
      <c r="AB105">
        <v>0</v>
      </c>
      <c r="AC105" s="162" t="s">
        <v>7</v>
      </c>
      <c r="AD105" s="162" t="s">
        <v>7</v>
      </c>
      <c r="AE105" s="162" t="s">
        <v>7</v>
      </c>
      <c r="AF105" s="162" t="s">
        <v>7</v>
      </c>
      <c r="AG105" s="162" t="s">
        <v>7</v>
      </c>
      <c r="AH105" s="162" t="s">
        <v>7</v>
      </c>
      <c r="AI105" t="s">
        <v>9843</v>
      </c>
      <c r="AJ105" t="s">
        <v>7</v>
      </c>
      <c r="AK105" t="s">
        <v>1397</v>
      </c>
      <c r="AL105" t="s">
        <v>36</v>
      </c>
      <c r="AM105" s="162" t="s">
        <v>10138</v>
      </c>
      <c r="AN105" t="s">
        <v>9843</v>
      </c>
      <c r="AO105" t="s">
        <v>35</v>
      </c>
      <c r="AP105" t="s">
        <v>7</v>
      </c>
      <c r="AQ105" t="s">
        <v>9</v>
      </c>
      <c r="AR105" t="s">
        <v>7</v>
      </c>
      <c r="AS105" s="162" t="s">
        <v>7</v>
      </c>
      <c r="AT105" s="117" t="s">
        <v>7</v>
      </c>
      <c r="AU105" s="162" t="s">
        <v>7</v>
      </c>
      <c r="AV105" s="162" t="s">
        <v>7</v>
      </c>
      <c r="AW105" s="162" t="s">
        <v>9851</v>
      </c>
      <c r="AX105" s="162" t="s">
        <v>7</v>
      </c>
      <c r="AY105" s="162" t="s">
        <v>7</v>
      </c>
      <c r="AZ105" t="s">
        <v>7</v>
      </c>
      <c r="BA105" s="162" t="s">
        <v>7</v>
      </c>
      <c r="BB105" s="162" t="s">
        <v>7</v>
      </c>
      <c r="BC105" s="162" t="s">
        <v>7</v>
      </c>
      <c r="BD105" s="162" t="s">
        <v>7</v>
      </c>
      <c r="BE105" s="162" t="s">
        <v>7</v>
      </c>
      <c r="BF105" s="162" t="str">
        <f t="shared" si="2"/>
        <v>Sim</v>
      </c>
      <c r="BG105" s="162" t="str">
        <f t="shared" si="3"/>
        <v>Não</v>
      </c>
      <c r="BH105" s="162" t="s">
        <v>7</v>
      </c>
      <c r="BI105" t="s">
        <v>9870</v>
      </c>
      <c r="BJ105" s="162" t="s">
        <v>10164</v>
      </c>
      <c r="BK105" t="s">
        <v>1384</v>
      </c>
      <c r="BL105" s="162">
        <v>20</v>
      </c>
      <c r="BM105" t="s">
        <v>35</v>
      </c>
      <c r="BN105" t="s">
        <v>35</v>
      </c>
      <c r="BO105" t="s">
        <v>1384</v>
      </c>
      <c r="BP105" s="162">
        <v>20</v>
      </c>
      <c r="BQ105" t="s">
        <v>7</v>
      </c>
      <c r="BR105" t="s">
        <v>1849</v>
      </c>
      <c r="BS105" s="162" t="s">
        <v>10170</v>
      </c>
    </row>
    <row r="106" spans="1:71">
      <c r="A106" s="162">
        <v>105</v>
      </c>
      <c r="B106" t="s">
        <v>266</v>
      </c>
      <c r="C106" s="162">
        <v>1</v>
      </c>
      <c r="D106" s="122" t="s">
        <v>748</v>
      </c>
      <c r="E106" t="s">
        <v>746</v>
      </c>
      <c r="F106" t="s">
        <v>3</v>
      </c>
      <c r="G106" t="s">
        <v>277</v>
      </c>
      <c r="H106" t="s">
        <v>749</v>
      </c>
      <c r="I106" s="162">
        <v>1</v>
      </c>
      <c r="J106" t="s">
        <v>1855</v>
      </c>
      <c r="K106" t="s">
        <v>3</v>
      </c>
      <c r="L106" s="165">
        <v>35590</v>
      </c>
      <c r="M106" s="166">
        <v>20</v>
      </c>
      <c r="N106" t="s">
        <v>4</v>
      </c>
      <c r="O106" t="s">
        <v>10134</v>
      </c>
      <c r="P106" t="s">
        <v>48</v>
      </c>
      <c r="Q106" t="s">
        <v>1383</v>
      </c>
      <c r="R106">
        <v>0</v>
      </c>
      <c r="S106" s="162">
        <v>0</v>
      </c>
      <c r="T106" t="s">
        <v>10067</v>
      </c>
      <c r="U106" s="162">
        <v>5.9</v>
      </c>
      <c r="V106">
        <v>0</v>
      </c>
      <c r="W106" s="162">
        <v>0</v>
      </c>
      <c r="X106">
        <v>0</v>
      </c>
      <c r="Y106" s="162">
        <v>0</v>
      </c>
      <c r="Z106">
        <v>0</v>
      </c>
      <c r="AA106" s="162">
        <v>0</v>
      </c>
      <c r="AB106">
        <v>0</v>
      </c>
      <c r="AC106" s="162" t="s">
        <v>7</v>
      </c>
      <c r="AD106" s="162" t="s">
        <v>7</v>
      </c>
      <c r="AE106" s="162" t="s">
        <v>7</v>
      </c>
      <c r="AF106" s="162" t="s">
        <v>7</v>
      </c>
      <c r="AG106" s="162" t="s">
        <v>7</v>
      </c>
      <c r="AH106" s="162" t="s">
        <v>7</v>
      </c>
      <c r="AI106" t="s">
        <v>9846</v>
      </c>
      <c r="AJ106" t="s">
        <v>7</v>
      </c>
      <c r="AK106" t="s">
        <v>1098</v>
      </c>
      <c r="AL106" t="s">
        <v>78</v>
      </c>
      <c r="AM106" s="162" t="s">
        <v>10138</v>
      </c>
      <c r="AN106" t="s">
        <v>9843</v>
      </c>
      <c r="AO106" t="s">
        <v>35</v>
      </c>
      <c r="AP106" t="s">
        <v>7</v>
      </c>
      <c r="AQ106" t="s">
        <v>9</v>
      </c>
      <c r="AR106" t="s">
        <v>7</v>
      </c>
      <c r="AS106" s="162" t="s">
        <v>7</v>
      </c>
      <c r="AT106" s="117" t="s">
        <v>7</v>
      </c>
      <c r="AU106" s="162" t="s">
        <v>7</v>
      </c>
      <c r="AV106" s="162" t="s">
        <v>7</v>
      </c>
      <c r="AW106" s="162" t="s">
        <v>9851</v>
      </c>
      <c r="AX106" s="162" t="s">
        <v>7</v>
      </c>
      <c r="AY106" s="162" t="s">
        <v>7</v>
      </c>
      <c r="AZ106" t="s">
        <v>7</v>
      </c>
      <c r="BA106" s="162" t="s">
        <v>7</v>
      </c>
      <c r="BB106" s="162" t="s">
        <v>7</v>
      </c>
      <c r="BC106" s="162" t="s">
        <v>7</v>
      </c>
      <c r="BD106" s="162" t="s">
        <v>7</v>
      </c>
      <c r="BE106" s="162" t="s">
        <v>7</v>
      </c>
      <c r="BF106" s="162" t="str">
        <f t="shared" si="2"/>
        <v>Sim</v>
      </c>
      <c r="BG106" s="162" t="str">
        <f t="shared" si="3"/>
        <v>Não</v>
      </c>
      <c r="BH106" s="162" t="s">
        <v>7</v>
      </c>
      <c r="BI106" t="s">
        <v>9870</v>
      </c>
      <c r="BJ106" s="162" t="s">
        <v>10164</v>
      </c>
      <c r="BK106" t="s">
        <v>1384</v>
      </c>
      <c r="BL106" s="162">
        <v>20</v>
      </c>
      <c r="BM106" t="s">
        <v>35</v>
      </c>
      <c r="BN106" t="s">
        <v>35</v>
      </c>
      <c r="BO106" t="s">
        <v>1384</v>
      </c>
      <c r="BP106" s="162">
        <v>20</v>
      </c>
      <c r="BQ106" t="s">
        <v>7</v>
      </c>
      <c r="BR106" t="s">
        <v>1849</v>
      </c>
      <c r="BS106" s="162" t="s">
        <v>10170</v>
      </c>
    </row>
    <row r="107" spans="1:71">
      <c r="A107" s="162">
        <v>106</v>
      </c>
      <c r="B107" t="s">
        <v>266</v>
      </c>
      <c r="C107" s="162">
        <v>0</v>
      </c>
      <c r="D107" s="122" t="s">
        <v>748</v>
      </c>
      <c r="E107" t="s">
        <v>746</v>
      </c>
      <c r="F107" t="s">
        <v>3</v>
      </c>
      <c r="G107" t="s">
        <v>277</v>
      </c>
      <c r="H107" t="s">
        <v>750</v>
      </c>
      <c r="I107" s="162">
        <v>1</v>
      </c>
      <c r="J107" t="s">
        <v>1855</v>
      </c>
      <c r="K107" t="s">
        <v>3</v>
      </c>
      <c r="L107" s="165">
        <v>33050</v>
      </c>
      <c r="M107" s="166">
        <v>27</v>
      </c>
      <c r="N107" t="s">
        <v>5</v>
      </c>
      <c r="O107" t="s">
        <v>10135</v>
      </c>
      <c r="P107" t="s">
        <v>48</v>
      </c>
      <c r="Q107" t="s">
        <v>1186</v>
      </c>
      <c r="R107">
        <v>0</v>
      </c>
      <c r="S107" s="162">
        <v>0</v>
      </c>
      <c r="T107" t="s">
        <v>10067</v>
      </c>
      <c r="U107" s="162">
        <v>5.9</v>
      </c>
      <c r="V107" t="s">
        <v>10069</v>
      </c>
      <c r="W107" s="162">
        <v>3.9</v>
      </c>
      <c r="X107">
        <v>0</v>
      </c>
      <c r="Y107" s="162">
        <v>0</v>
      </c>
      <c r="Z107">
        <v>0</v>
      </c>
      <c r="AA107" s="162">
        <v>0</v>
      </c>
      <c r="AB107">
        <v>0</v>
      </c>
      <c r="AC107" s="162" t="s">
        <v>7</v>
      </c>
      <c r="AD107" s="162" t="s">
        <v>7</v>
      </c>
      <c r="AE107" s="162" t="s">
        <v>7</v>
      </c>
      <c r="AF107" s="162" t="s">
        <v>7</v>
      </c>
      <c r="AG107" s="162" t="s">
        <v>7</v>
      </c>
      <c r="AH107" s="162" t="s">
        <v>7</v>
      </c>
      <c r="AI107" t="s">
        <v>9846</v>
      </c>
      <c r="AJ107" t="s">
        <v>7</v>
      </c>
      <c r="AK107" t="s">
        <v>1098</v>
      </c>
      <c r="AL107" t="s">
        <v>78</v>
      </c>
      <c r="AM107" s="162" t="s">
        <v>10138</v>
      </c>
      <c r="AN107" t="s">
        <v>9843</v>
      </c>
      <c r="AO107" t="s">
        <v>35</v>
      </c>
      <c r="AP107" t="s">
        <v>7</v>
      </c>
      <c r="AQ107" t="s">
        <v>9</v>
      </c>
      <c r="AR107" t="s">
        <v>7</v>
      </c>
      <c r="AS107" s="162" t="s">
        <v>7</v>
      </c>
      <c r="AT107" s="117" t="s">
        <v>7</v>
      </c>
      <c r="AU107" s="162" t="s">
        <v>7</v>
      </c>
      <c r="AV107" s="162" t="s">
        <v>7</v>
      </c>
      <c r="AW107" s="162" t="s">
        <v>9851</v>
      </c>
      <c r="AX107" s="162" t="s">
        <v>7</v>
      </c>
      <c r="AY107" s="162" t="s">
        <v>7</v>
      </c>
      <c r="AZ107" t="s">
        <v>7</v>
      </c>
      <c r="BA107" s="162" t="s">
        <v>7</v>
      </c>
      <c r="BB107" s="162" t="s">
        <v>7</v>
      </c>
      <c r="BC107" s="162" t="s">
        <v>7</v>
      </c>
      <c r="BD107" s="162" t="s">
        <v>7</v>
      </c>
      <c r="BE107" s="162" t="s">
        <v>7</v>
      </c>
      <c r="BF107" s="162" t="str">
        <f t="shared" si="2"/>
        <v>Sim</v>
      </c>
      <c r="BG107" s="162" t="str">
        <f t="shared" si="3"/>
        <v>Não</v>
      </c>
      <c r="BH107" s="162" t="s">
        <v>7</v>
      </c>
      <c r="BI107" t="s">
        <v>9870</v>
      </c>
      <c r="BJ107" s="162" t="s">
        <v>10164</v>
      </c>
      <c r="BK107" t="s">
        <v>1384</v>
      </c>
      <c r="BL107" s="162">
        <v>20</v>
      </c>
      <c r="BM107" t="s">
        <v>35</v>
      </c>
      <c r="BN107" t="s">
        <v>35</v>
      </c>
      <c r="BO107" t="s">
        <v>1384</v>
      </c>
      <c r="BP107" s="162">
        <v>20</v>
      </c>
      <c r="BQ107" t="s">
        <v>7</v>
      </c>
      <c r="BR107" t="s">
        <v>1849</v>
      </c>
      <c r="BS107" s="162" t="s">
        <v>10170</v>
      </c>
    </row>
    <row r="108" spans="1:71">
      <c r="A108" s="162">
        <v>107</v>
      </c>
      <c r="B108" t="s">
        <v>25</v>
      </c>
      <c r="C108" s="162">
        <v>1</v>
      </c>
      <c r="D108" s="122" t="s">
        <v>39</v>
      </c>
      <c r="E108" t="s">
        <v>30</v>
      </c>
      <c r="F108" t="s">
        <v>3</v>
      </c>
      <c r="G108" t="s">
        <v>23</v>
      </c>
      <c r="H108" t="s">
        <v>40</v>
      </c>
      <c r="I108" s="162">
        <v>1</v>
      </c>
      <c r="J108" t="s">
        <v>1864</v>
      </c>
      <c r="K108" t="s">
        <v>3</v>
      </c>
      <c r="L108" s="165">
        <v>36283</v>
      </c>
      <c r="M108" s="166">
        <v>18</v>
      </c>
      <c r="N108" t="s">
        <v>5</v>
      </c>
      <c r="O108" t="s">
        <v>10135</v>
      </c>
      <c r="P108" t="s">
        <v>18</v>
      </c>
      <c r="Q108" t="s">
        <v>9816</v>
      </c>
      <c r="R108" t="s">
        <v>42</v>
      </c>
      <c r="S108" s="162">
        <v>180</v>
      </c>
      <c r="T108" t="s">
        <v>43</v>
      </c>
      <c r="U108" s="162">
        <v>198</v>
      </c>
      <c r="V108">
        <v>0</v>
      </c>
      <c r="W108" s="162">
        <v>0</v>
      </c>
      <c r="X108">
        <v>0</v>
      </c>
      <c r="Y108" s="162">
        <v>0</v>
      </c>
      <c r="Z108">
        <v>0</v>
      </c>
      <c r="AA108" s="162">
        <v>0</v>
      </c>
      <c r="AB108">
        <v>0</v>
      </c>
      <c r="AC108" s="162" t="s">
        <v>7</v>
      </c>
      <c r="AD108" s="162" t="s">
        <v>7</v>
      </c>
      <c r="AE108" s="162" t="s">
        <v>7</v>
      </c>
      <c r="AF108" s="162" t="s">
        <v>7</v>
      </c>
      <c r="AG108" s="162" t="s">
        <v>7</v>
      </c>
      <c r="AH108" s="162" t="s">
        <v>7</v>
      </c>
      <c r="AI108" t="s">
        <v>9843</v>
      </c>
      <c r="AJ108" t="s">
        <v>7</v>
      </c>
      <c r="AK108" t="s">
        <v>45</v>
      </c>
      <c r="AL108" t="s">
        <v>36</v>
      </c>
      <c r="AM108" s="162" t="s">
        <v>10138</v>
      </c>
      <c r="AN108" t="s">
        <v>9843</v>
      </c>
      <c r="AO108" t="s">
        <v>35</v>
      </c>
      <c r="AP108" t="s">
        <v>7</v>
      </c>
      <c r="AQ108" t="s">
        <v>9</v>
      </c>
      <c r="AR108" t="s">
        <v>7</v>
      </c>
      <c r="AS108" s="162" t="s">
        <v>7</v>
      </c>
      <c r="AT108" s="117" t="s">
        <v>7</v>
      </c>
      <c r="AU108" s="162" t="s">
        <v>7</v>
      </c>
      <c r="AV108" s="162" t="s">
        <v>7</v>
      </c>
      <c r="AW108" s="162" t="s">
        <v>9851</v>
      </c>
      <c r="AX108" s="162" t="s">
        <v>7</v>
      </c>
      <c r="AY108" s="162" t="s">
        <v>7</v>
      </c>
      <c r="AZ108" t="s">
        <v>7</v>
      </c>
      <c r="BA108" s="162" t="s">
        <v>7</v>
      </c>
      <c r="BB108" s="162" t="s">
        <v>7</v>
      </c>
      <c r="BC108" s="162" t="s">
        <v>7</v>
      </c>
      <c r="BD108" s="162" t="s">
        <v>7</v>
      </c>
      <c r="BE108" s="162" t="s">
        <v>7</v>
      </c>
      <c r="BF108" s="162" t="str">
        <f t="shared" si="2"/>
        <v>Sim</v>
      </c>
      <c r="BG108" s="162" t="str">
        <f t="shared" si="3"/>
        <v>Não</v>
      </c>
      <c r="BH108" s="162" t="s">
        <v>7</v>
      </c>
      <c r="BI108" t="s">
        <v>9871</v>
      </c>
      <c r="BJ108" s="162" t="s">
        <v>10164</v>
      </c>
      <c r="BK108" t="s">
        <v>44</v>
      </c>
      <c r="BL108" s="162">
        <v>24</v>
      </c>
      <c r="BM108" t="s">
        <v>35</v>
      </c>
      <c r="BN108" t="s">
        <v>35</v>
      </c>
      <c r="BO108" t="s">
        <v>44</v>
      </c>
      <c r="BP108" s="162">
        <v>24</v>
      </c>
      <c r="BQ108" t="s">
        <v>9851</v>
      </c>
      <c r="BR108" t="s">
        <v>35</v>
      </c>
      <c r="BS108" s="162" t="s">
        <v>35</v>
      </c>
    </row>
    <row r="109" spans="1:71">
      <c r="A109" s="162">
        <v>108</v>
      </c>
      <c r="B109" t="s">
        <v>210</v>
      </c>
      <c r="C109" s="162">
        <v>1</v>
      </c>
      <c r="D109" s="122" t="s">
        <v>597</v>
      </c>
      <c r="E109" t="s">
        <v>652</v>
      </c>
      <c r="F109" t="s">
        <v>3</v>
      </c>
      <c r="G109" t="s">
        <v>214</v>
      </c>
      <c r="H109" t="s">
        <v>670</v>
      </c>
      <c r="I109" s="162">
        <v>1</v>
      </c>
      <c r="J109" t="s">
        <v>1855</v>
      </c>
      <c r="K109" t="s">
        <v>3</v>
      </c>
      <c r="L109" s="165">
        <v>35484</v>
      </c>
      <c r="M109" s="166">
        <v>20</v>
      </c>
      <c r="N109" t="s">
        <v>5</v>
      </c>
      <c r="O109" t="s">
        <v>10135</v>
      </c>
      <c r="P109" t="s">
        <v>48</v>
      </c>
      <c r="Q109" t="s">
        <v>1070</v>
      </c>
      <c r="R109">
        <v>0</v>
      </c>
      <c r="S109" s="162">
        <v>0</v>
      </c>
      <c r="T109" t="s">
        <v>1733</v>
      </c>
      <c r="U109" s="162">
        <v>44.5</v>
      </c>
      <c r="V109">
        <v>0</v>
      </c>
      <c r="W109" s="162">
        <v>0</v>
      </c>
      <c r="X109">
        <v>0</v>
      </c>
      <c r="Y109" s="162">
        <v>0</v>
      </c>
      <c r="Z109">
        <v>0</v>
      </c>
      <c r="AA109" s="162">
        <v>0</v>
      </c>
      <c r="AB109">
        <v>0</v>
      </c>
      <c r="AC109" s="162" t="s">
        <v>7</v>
      </c>
      <c r="AD109" s="162" t="s">
        <v>7</v>
      </c>
      <c r="AE109" s="162" t="s">
        <v>7</v>
      </c>
      <c r="AF109" s="162" t="s">
        <v>7</v>
      </c>
      <c r="AG109" s="162" t="s">
        <v>7</v>
      </c>
      <c r="AH109" s="162" t="s">
        <v>7</v>
      </c>
      <c r="AI109" t="s">
        <v>9843</v>
      </c>
      <c r="AJ109" t="s">
        <v>7</v>
      </c>
      <c r="AK109" t="s">
        <v>1106</v>
      </c>
      <c r="AL109" t="s">
        <v>36</v>
      </c>
      <c r="AM109" s="162" t="s">
        <v>10138</v>
      </c>
      <c r="AN109" t="s">
        <v>9843</v>
      </c>
      <c r="AO109" t="s">
        <v>35</v>
      </c>
      <c r="AP109" t="s">
        <v>7</v>
      </c>
      <c r="AQ109" t="s">
        <v>9</v>
      </c>
      <c r="AR109" t="s">
        <v>7</v>
      </c>
      <c r="AS109" s="162" t="s">
        <v>7</v>
      </c>
      <c r="AT109" s="117" t="s">
        <v>7</v>
      </c>
      <c r="AU109" s="162" t="s">
        <v>7</v>
      </c>
      <c r="AV109" s="162" t="s">
        <v>7</v>
      </c>
      <c r="AW109" s="162" t="s">
        <v>9851</v>
      </c>
      <c r="AX109" s="162" t="s">
        <v>7</v>
      </c>
      <c r="AY109" s="162" t="s">
        <v>7</v>
      </c>
      <c r="AZ109" t="s">
        <v>7</v>
      </c>
      <c r="BA109" s="162" t="s">
        <v>7</v>
      </c>
      <c r="BB109" s="162" t="s">
        <v>7</v>
      </c>
      <c r="BC109" s="162" t="s">
        <v>7</v>
      </c>
      <c r="BD109" s="162" t="s">
        <v>7</v>
      </c>
      <c r="BE109" s="162" t="s">
        <v>7</v>
      </c>
      <c r="BF109" s="162" t="str">
        <f t="shared" si="2"/>
        <v>Sim</v>
      </c>
      <c r="BG109" s="162" t="str">
        <f t="shared" si="3"/>
        <v>Não</v>
      </c>
      <c r="BH109" s="162" t="s">
        <v>7</v>
      </c>
      <c r="BI109" t="s">
        <v>9871</v>
      </c>
      <c r="BJ109" s="162" t="s">
        <v>10164</v>
      </c>
      <c r="BK109" t="s">
        <v>44</v>
      </c>
      <c r="BL109" s="162">
        <v>24</v>
      </c>
      <c r="BM109" t="s">
        <v>35</v>
      </c>
      <c r="BN109" t="s">
        <v>35</v>
      </c>
      <c r="BO109" t="s">
        <v>44</v>
      </c>
      <c r="BP109" s="162">
        <v>24</v>
      </c>
      <c r="BQ109" t="s">
        <v>7</v>
      </c>
      <c r="BR109" t="s">
        <v>1849</v>
      </c>
      <c r="BS109" s="162" t="s">
        <v>10170</v>
      </c>
    </row>
    <row r="110" spans="1:71">
      <c r="A110" s="162">
        <v>109</v>
      </c>
      <c r="B110" t="s">
        <v>212</v>
      </c>
      <c r="C110" s="162">
        <v>0</v>
      </c>
      <c r="D110" s="122" t="s">
        <v>638</v>
      </c>
      <c r="E110" t="s">
        <v>652</v>
      </c>
      <c r="F110" t="s">
        <v>3</v>
      </c>
      <c r="G110" t="s">
        <v>214</v>
      </c>
      <c r="H110" t="s">
        <v>673</v>
      </c>
      <c r="I110" s="162">
        <v>1</v>
      </c>
      <c r="J110" t="s">
        <v>1864</v>
      </c>
      <c r="K110" t="s">
        <v>3</v>
      </c>
      <c r="L110" s="165">
        <v>28937</v>
      </c>
      <c r="M110" s="166">
        <v>38</v>
      </c>
      <c r="N110" t="s">
        <v>5</v>
      </c>
      <c r="O110" t="s">
        <v>10135</v>
      </c>
      <c r="P110" t="s">
        <v>1074</v>
      </c>
      <c r="Q110" t="s">
        <v>9814</v>
      </c>
      <c r="R110">
        <v>0</v>
      </c>
      <c r="S110" s="162">
        <v>0</v>
      </c>
      <c r="T110" t="s">
        <v>1736</v>
      </c>
      <c r="U110" s="162">
        <v>142.4</v>
      </c>
      <c r="V110">
        <v>0</v>
      </c>
      <c r="W110" s="162">
        <v>0</v>
      </c>
      <c r="X110">
        <v>0</v>
      </c>
      <c r="Y110" s="162">
        <v>0</v>
      </c>
      <c r="Z110">
        <v>0</v>
      </c>
      <c r="AA110" s="162">
        <v>0</v>
      </c>
      <c r="AB110">
        <v>0</v>
      </c>
      <c r="AC110" s="162" t="s">
        <v>7</v>
      </c>
      <c r="AD110" s="162" t="s">
        <v>7</v>
      </c>
      <c r="AE110" s="162" t="s">
        <v>7</v>
      </c>
      <c r="AF110" s="162" t="s">
        <v>7</v>
      </c>
      <c r="AG110" s="162" t="s">
        <v>7</v>
      </c>
      <c r="AH110" s="162" t="s">
        <v>7</v>
      </c>
      <c r="AI110" t="s">
        <v>9846</v>
      </c>
      <c r="AJ110" t="s">
        <v>7</v>
      </c>
      <c r="AK110" t="s">
        <v>1428</v>
      </c>
      <c r="AL110" t="s">
        <v>78</v>
      </c>
      <c r="AM110" s="162" t="s">
        <v>10138</v>
      </c>
      <c r="AN110" t="s">
        <v>9843</v>
      </c>
      <c r="AO110" t="s">
        <v>35</v>
      </c>
      <c r="AP110" t="s">
        <v>7</v>
      </c>
      <c r="AQ110" t="s">
        <v>9</v>
      </c>
      <c r="AR110" t="s">
        <v>7</v>
      </c>
      <c r="AS110" s="162" t="s">
        <v>7</v>
      </c>
      <c r="AT110" s="117" t="s">
        <v>7</v>
      </c>
      <c r="AU110" s="162" t="s">
        <v>7</v>
      </c>
      <c r="AV110" s="162" t="s">
        <v>7</v>
      </c>
      <c r="AW110" s="162" t="s">
        <v>9851</v>
      </c>
      <c r="AX110" s="162" t="s">
        <v>7</v>
      </c>
      <c r="AY110" s="162" t="s">
        <v>7</v>
      </c>
      <c r="AZ110" t="s">
        <v>7</v>
      </c>
      <c r="BA110" s="162" t="s">
        <v>7</v>
      </c>
      <c r="BB110" s="162" t="s">
        <v>7</v>
      </c>
      <c r="BC110" s="162" t="s">
        <v>7</v>
      </c>
      <c r="BD110" s="162" t="s">
        <v>7</v>
      </c>
      <c r="BE110" s="162" t="s">
        <v>7</v>
      </c>
      <c r="BF110" s="162" t="str">
        <f t="shared" si="2"/>
        <v>Sim</v>
      </c>
      <c r="BG110" s="162" t="str">
        <f t="shared" si="3"/>
        <v>Não</v>
      </c>
      <c r="BH110" s="162" t="s">
        <v>7</v>
      </c>
      <c r="BI110" t="s">
        <v>9871</v>
      </c>
      <c r="BJ110" s="162" t="s">
        <v>10164</v>
      </c>
      <c r="BK110" t="s">
        <v>44</v>
      </c>
      <c r="BL110" s="162">
        <v>24</v>
      </c>
      <c r="BM110" t="s">
        <v>35</v>
      </c>
      <c r="BN110" t="s">
        <v>35</v>
      </c>
      <c r="BO110" t="s">
        <v>44</v>
      </c>
      <c r="BP110" s="162">
        <v>24</v>
      </c>
      <c r="BQ110" t="s">
        <v>7</v>
      </c>
      <c r="BR110" t="s">
        <v>1114</v>
      </c>
      <c r="BS110" s="162" t="s">
        <v>1114</v>
      </c>
    </row>
    <row r="111" spans="1:71">
      <c r="A111" s="162">
        <v>110</v>
      </c>
      <c r="B111" t="s">
        <v>215</v>
      </c>
      <c r="C111" s="162">
        <v>1</v>
      </c>
      <c r="D111" s="122" t="s">
        <v>761</v>
      </c>
      <c r="E111" t="s">
        <v>769</v>
      </c>
      <c r="F111" t="s">
        <v>515</v>
      </c>
      <c r="G111" t="s">
        <v>225</v>
      </c>
      <c r="H111" t="s">
        <v>770</v>
      </c>
      <c r="I111" s="162">
        <v>1</v>
      </c>
      <c r="J111" t="s">
        <v>1855</v>
      </c>
      <c r="K111" t="s">
        <v>3</v>
      </c>
      <c r="L111" s="165">
        <v>30921</v>
      </c>
      <c r="M111" s="166">
        <v>33</v>
      </c>
      <c r="N111" t="s">
        <v>4</v>
      </c>
      <c r="O111" t="s">
        <v>10134</v>
      </c>
      <c r="P111" t="s">
        <v>1074</v>
      </c>
      <c r="Q111" t="s">
        <v>9772</v>
      </c>
      <c r="R111">
        <v>0</v>
      </c>
      <c r="S111" s="162">
        <v>0</v>
      </c>
      <c r="T111">
        <v>0</v>
      </c>
      <c r="U111" s="162">
        <v>0</v>
      </c>
      <c r="V111" t="s">
        <v>1234</v>
      </c>
      <c r="W111" s="162">
        <v>76.099999999999994</v>
      </c>
      <c r="X111">
        <v>0</v>
      </c>
      <c r="Y111" s="162">
        <v>0</v>
      </c>
      <c r="Z111">
        <v>0</v>
      </c>
      <c r="AA111" s="162">
        <v>0</v>
      </c>
      <c r="AB111">
        <v>0</v>
      </c>
      <c r="AC111" s="162" t="s">
        <v>7</v>
      </c>
      <c r="AD111" s="162" t="s">
        <v>7</v>
      </c>
      <c r="AE111" s="162" t="s">
        <v>7</v>
      </c>
      <c r="AF111" s="162" t="s">
        <v>7</v>
      </c>
      <c r="AG111" s="162" t="s">
        <v>7</v>
      </c>
      <c r="AH111" s="162" t="s">
        <v>7</v>
      </c>
      <c r="AI111" t="s">
        <v>9843</v>
      </c>
      <c r="AJ111" t="s">
        <v>7</v>
      </c>
      <c r="AK111" t="s">
        <v>1132</v>
      </c>
      <c r="AL111" t="s">
        <v>36</v>
      </c>
      <c r="AM111" s="162" t="s">
        <v>10138</v>
      </c>
      <c r="AN111" t="s">
        <v>9843</v>
      </c>
      <c r="AO111" t="s">
        <v>35</v>
      </c>
      <c r="AP111" t="s">
        <v>9856</v>
      </c>
      <c r="AQ111" t="s">
        <v>1080</v>
      </c>
      <c r="AR111" t="s">
        <v>7</v>
      </c>
      <c r="AS111" s="162" t="s">
        <v>7</v>
      </c>
      <c r="AT111" s="117" t="s">
        <v>7</v>
      </c>
      <c r="AU111" s="162" t="s">
        <v>7</v>
      </c>
      <c r="AV111" s="162" t="s">
        <v>7</v>
      </c>
      <c r="AW111" s="162" t="s">
        <v>9851</v>
      </c>
      <c r="AX111" s="162" t="s">
        <v>7</v>
      </c>
      <c r="AY111" s="162" t="s">
        <v>7</v>
      </c>
      <c r="AZ111" t="s">
        <v>7</v>
      </c>
      <c r="BA111" s="162" t="s">
        <v>7</v>
      </c>
      <c r="BB111" s="162" t="s">
        <v>7</v>
      </c>
      <c r="BC111" s="162" t="s">
        <v>7</v>
      </c>
      <c r="BD111" s="162" t="s">
        <v>7</v>
      </c>
      <c r="BE111" s="162" t="s">
        <v>7</v>
      </c>
      <c r="BF111" s="162" t="str">
        <f t="shared" si="2"/>
        <v>Sim</v>
      </c>
      <c r="BG111" s="162" t="str">
        <f t="shared" si="3"/>
        <v>Não</v>
      </c>
      <c r="BH111" s="162" t="s">
        <v>7</v>
      </c>
      <c r="BI111" t="s">
        <v>9870</v>
      </c>
      <c r="BJ111" s="162" t="s">
        <v>10164</v>
      </c>
      <c r="BK111" t="s">
        <v>44</v>
      </c>
      <c r="BL111" s="162">
        <v>24</v>
      </c>
      <c r="BM111" t="s">
        <v>35</v>
      </c>
      <c r="BN111" t="s">
        <v>35</v>
      </c>
      <c r="BO111" t="s">
        <v>44</v>
      </c>
      <c r="BP111" s="162">
        <v>24</v>
      </c>
      <c r="BQ111" t="s">
        <v>7</v>
      </c>
      <c r="BR111" t="s">
        <v>37</v>
      </c>
      <c r="BS111" s="162" t="s">
        <v>37</v>
      </c>
    </row>
    <row r="112" spans="1:71">
      <c r="A112" s="162">
        <v>111</v>
      </c>
      <c r="B112" t="s">
        <v>268</v>
      </c>
      <c r="C112" s="162">
        <v>1</v>
      </c>
      <c r="D112" s="122" t="s">
        <v>708</v>
      </c>
      <c r="E112" t="s">
        <v>754</v>
      </c>
      <c r="F112" t="s">
        <v>515</v>
      </c>
      <c r="G112" t="s">
        <v>277</v>
      </c>
      <c r="H112" t="s">
        <v>755</v>
      </c>
      <c r="I112" s="162">
        <v>1</v>
      </c>
      <c r="J112" t="s">
        <v>1855</v>
      </c>
      <c r="K112" t="s">
        <v>515</v>
      </c>
      <c r="L112" s="165">
        <v>31158</v>
      </c>
      <c r="M112" s="166">
        <v>32</v>
      </c>
      <c r="N112" t="s">
        <v>5</v>
      </c>
      <c r="O112" t="s">
        <v>10135</v>
      </c>
      <c r="P112" t="s">
        <v>48</v>
      </c>
      <c r="Q112" t="s">
        <v>1388</v>
      </c>
      <c r="R112" t="s">
        <v>1389</v>
      </c>
      <c r="S112" s="162">
        <v>27.3</v>
      </c>
      <c r="T112" t="s">
        <v>1390</v>
      </c>
      <c r="U112" s="162">
        <v>31.6</v>
      </c>
      <c r="V112">
        <v>0</v>
      </c>
      <c r="W112" s="162">
        <v>0</v>
      </c>
      <c r="X112">
        <v>0</v>
      </c>
      <c r="Y112" s="162">
        <v>0</v>
      </c>
      <c r="Z112">
        <v>0</v>
      </c>
      <c r="AA112" s="162">
        <v>0</v>
      </c>
      <c r="AB112">
        <v>0</v>
      </c>
      <c r="AC112" s="162" t="s">
        <v>7</v>
      </c>
      <c r="AD112" s="162" t="s">
        <v>7</v>
      </c>
      <c r="AE112" s="162" t="s">
        <v>7</v>
      </c>
      <c r="AF112" s="162" t="s">
        <v>7</v>
      </c>
      <c r="AG112" s="162" t="s">
        <v>7</v>
      </c>
      <c r="AH112" s="162" t="s">
        <v>7</v>
      </c>
      <c r="AI112" t="s">
        <v>9843</v>
      </c>
      <c r="AJ112" t="s">
        <v>7</v>
      </c>
      <c r="AK112" t="s">
        <v>1150</v>
      </c>
      <c r="AL112" t="s">
        <v>36</v>
      </c>
      <c r="AM112" s="162" t="s">
        <v>10138</v>
      </c>
      <c r="AN112" t="s">
        <v>9843</v>
      </c>
      <c r="AO112" t="s">
        <v>35</v>
      </c>
      <c r="AP112" t="s">
        <v>7</v>
      </c>
      <c r="AQ112" t="s">
        <v>9</v>
      </c>
      <c r="AR112" t="s">
        <v>7</v>
      </c>
      <c r="AS112" s="162" t="s">
        <v>7</v>
      </c>
      <c r="AT112" s="117" t="s">
        <v>7</v>
      </c>
      <c r="AU112" s="162" t="s">
        <v>7</v>
      </c>
      <c r="AV112" s="162" t="s">
        <v>7</v>
      </c>
      <c r="AW112" s="162" t="s">
        <v>9851</v>
      </c>
      <c r="AX112" s="162" t="s">
        <v>7</v>
      </c>
      <c r="AY112" s="162" t="s">
        <v>7</v>
      </c>
      <c r="AZ112" t="s">
        <v>1937</v>
      </c>
      <c r="BA112" s="162" t="s">
        <v>9851</v>
      </c>
      <c r="BB112" s="162" t="s">
        <v>7</v>
      </c>
      <c r="BC112" s="162" t="s">
        <v>7</v>
      </c>
      <c r="BD112" s="162" t="s">
        <v>7</v>
      </c>
      <c r="BE112" s="162" t="s">
        <v>7</v>
      </c>
      <c r="BF112" s="162" t="str">
        <f t="shared" si="2"/>
        <v>Não</v>
      </c>
      <c r="BG112" s="162" t="str">
        <f t="shared" si="3"/>
        <v>Não</v>
      </c>
      <c r="BH112" s="162" t="s">
        <v>9851</v>
      </c>
      <c r="BI112" t="s">
        <v>9871</v>
      </c>
      <c r="BJ112" s="162" t="s">
        <v>10164</v>
      </c>
      <c r="BK112" t="s">
        <v>1197</v>
      </c>
      <c r="BL112" s="162">
        <v>35</v>
      </c>
      <c r="BM112" t="s">
        <v>35</v>
      </c>
      <c r="BN112" t="s">
        <v>35</v>
      </c>
      <c r="BO112" t="s">
        <v>1197</v>
      </c>
      <c r="BP112" s="162">
        <v>35</v>
      </c>
      <c r="BQ112" t="s">
        <v>7</v>
      </c>
      <c r="BR112" t="s">
        <v>1114</v>
      </c>
      <c r="BS112" s="162" t="s">
        <v>1114</v>
      </c>
    </row>
    <row r="113" spans="1:71">
      <c r="A113" s="162">
        <v>112</v>
      </c>
      <c r="B113" t="s">
        <v>127</v>
      </c>
      <c r="C113" s="162">
        <v>1</v>
      </c>
      <c r="D113" s="122" t="s">
        <v>505</v>
      </c>
      <c r="E113" t="s">
        <v>495</v>
      </c>
      <c r="F113" t="s">
        <v>3</v>
      </c>
      <c r="G113" t="s">
        <v>131</v>
      </c>
      <c r="H113" t="s">
        <v>506</v>
      </c>
      <c r="I113" s="162">
        <v>1</v>
      </c>
      <c r="J113" t="s">
        <v>1855</v>
      </c>
      <c r="K113" t="s">
        <v>515</v>
      </c>
      <c r="L113" s="165">
        <v>35584</v>
      </c>
      <c r="M113" s="166">
        <v>20</v>
      </c>
      <c r="N113" t="s">
        <v>5</v>
      </c>
      <c r="O113" t="s">
        <v>10135</v>
      </c>
      <c r="P113" t="s">
        <v>48</v>
      </c>
      <c r="Q113" t="s">
        <v>1300</v>
      </c>
      <c r="R113" t="s">
        <v>1302</v>
      </c>
      <c r="S113" s="162">
        <v>20.8</v>
      </c>
      <c r="T113" t="s">
        <v>1301</v>
      </c>
      <c r="U113" s="162">
        <v>20.6</v>
      </c>
      <c r="V113">
        <v>0</v>
      </c>
      <c r="W113" s="162">
        <v>0</v>
      </c>
      <c r="X113">
        <v>0</v>
      </c>
      <c r="Y113" s="162">
        <v>0</v>
      </c>
      <c r="Z113">
        <v>0</v>
      </c>
      <c r="AA113" s="162">
        <v>0</v>
      </c>
      <c r="AB113">
        <v>0</v>
      </c>
      <c r="AC113" s="162" t="s">
        <v>7</v>
      </c>
      <c r="AD113" s="162" t="s">
        <v>7</v>
      </c>
      <c r="AE113" s="162" t="s">
        <v>7</v>
      </c>
      <c r="AF113" s="162" t="s">
        <v>7</v>
      </c>
      <c r="AG113" s="162" t="s">
        <v>7</v>
      </c>
      <c r="AH113" s="162" t="s">
        <v>7</v>
      </c>
      <c r="AI113" t="s">
        <v>9843</v>
      </c>
      <c r="AJ113" t="s">
        <v>7</v>
      </c>
      <c r="AK113" t="s">
        <v>1303</v>
      </c>
      <c r="AL113" t="s">
        <v>36</v>
      </c>
      <c r="AM113" s="162" t="s">
        <v>10138</v>
      </c>
      <c r="AN113" t="s">
        <v>9843</v>
      </c>
      <c r="AO113" t="s">
        <v>35</v>
      </c>
      <c r="AP113" t="s">
        <v>7</v>
      </c>
      <c r="AQ113" t="s">
        <v>9</v>
      </c>
      <c r="AR113" t="s">
        <v>7</v>
      </c>
      <c r="AS113" s="162" t="s">
        <v>7</v>
      </c>
      <c r="AT113" s="117" t="s">
        <v>7</v>
      </c>
      <c r="AU113" s="162" t="s">
        <v>7</v>
      </c>
      <c r="AV113" s="162" t="s">
        <v>7</v>
      </c>
      <c r="AW113" s="162" t="s">
        <v>9851</v>
      </c>
      <c r="AX113" s="162" t="s">
        <v>7</v>
      </c>
      <c r="AY113" s="162" t="s">
        <v>7</v>
      </c>
      <c r="AZ113" t="s">
        <v>1937</v>
      </c>
      <c r="BA113" s="162" t="s">
        <v>9851</v>
      </c>
      <c r="BB113" s="162" t="s">
        <v>7</v>
      </c>
      <c r="BC113" s="162" t="s">
        <v>7</v>
      </c>
      <c r="BD113" s="162" t="s">
        <v>7</v>
      </c>
      <c r="BE113" s="162" t="s">
        <v>7</v>
      </c>
      <c r="BF113" s="162" t="str">
        <f t="shared" si="2"/>
        <v>Não</v>
      </c>
      <c r="BG113" s="162" t="str">
        <f t="shared" si="3"/>
        <v>Não</v>
      </c>
      <c r="BH113" s="162" t="s">
        <v>9851</v>
      </c>
      <c r="BI113" t="s">
        <v>9871</v>
      </c>
      <c r="BJ113" s="162" t="s">
        <v>10164</v>
      </c>
      <c r="BK113" t="s">
        <v>1197</v>
      </c>
      <c r="BL113" s="162">
        <v>35</v>
      </c>
      <c r="BM113" t="s">
        <v>35</v>
      </c>
      <c r="BN113" t="s">
        <v>35</v>
      </c>
      <c r="BO113" t="s">
        <v>1197</v>
      </c>
      <c r="BP113" s="162">
        <v>35</v>
      </c>
      <c r="BQ113" t="s">
        <v>7</v>
      </c>
      <c r="BR113" t="s">
        <v>1849</v>
      </c>
      <c r="BS113" s="162" t="s">
        <v>10170</v>
      </c>
    </row>
    <row r="114" spans="1:71">
      <c r="A114" s="162">
        <v>113</v>
      </c>
      <c r="B114" t="s">
        <v>130</v>
      </c>
      <c r="C114" s="162">
        <v>1</v>
      </c>
      <c r="D114" s="122" t="s">
        <v>510</v>
      </c>
      <c r="E114" t="s">
        <v>490</v>
      </c>
      <c r="F114" t="s">
        <v>515</v>
      </c>
      <c r="G114" t="s">
        <v>131</v>
      </c>
      <c r="H114" t="s">
        <v>511</v>
      </c>
      <c r="I114" s="162">
        <v>1</v>
      </c>
      <c r="J114" t="s">
        <v>1855</v>
      </c>
      <c r="K114" t="s">
        <v>515</v>
      </c>
      <c r="L114" s="165">
        <v>35336</v>
      </c>
      <c r="M114" s="166">
        <v>20</v>
      </c>
      <c r="N114" t="s">
        <v>5</v>
      </c>
      <c r="O114" t="s">
        <v>10135</v>
      </c>
      <c r="P114" t="s">
        <v>48</v>
      </c>
      <c r="Q114" t="s">
        <v>1306</v>
      </c>
      <c r="R114">
        <v>0</v>
      </c>
      <c r="S114" s="162">
        <v>0</v>
      </c>
      <c r="T114" t="s">
        <v>9884</v>
      </c>
      <c r="U114" s="162">
        <v>28.9</v>
      </c>
      <c r="V114">
        <v>0</v>
      </c>
      <c r="W114" s="162">
        <v>0</v>
      </c>
      <c r="X114">
        <v>0</v>
      </c>
      <c r="Y114" s="162">
        <v>0</v>
      </c>
      <c r="Z114">
        <v>0</v>
      </c>
      <c r="AA114" s="162">
        <v>0</v>
      </c>
      <c r="AB114">
        <v>0</v>
      </c>
      <c r="AC114" s="162" t="s">
        <v>7</v>
      </c>
      <c r="AD114" s="162" t="s">
        <v>7</v>
      </c>
      <c r="AE114" s="162" t="s">
        <v>7</v>
      </c>
      <c r="AF114" s="162" t="s">
        <v>7</v>
      </c>
      <c r="AG114" s="162" t="s">
        <v>7</v>
      </c>
      <c r="AH114" s="162" t="s">
        <v>7</v>
      </c>
      <c r="AI114" t="s">
        <v>9843</v>
      </c>
      <c r="AJ114" t="s">
        <v>7</v>
      </c>
      <c r="AK114" t="s">
        <v>1111</v>
      </c>
      <c r="AL114" t="s">
        <v>36</v>
      </c>
      <c r="AM114" s="162" t="s">
        <v>10138</v>
      </c>
      <c r="AN114" t="s">
        <v>9843</v>
      </c>
      <c r="AO114" t="s">
        <v>35</v>
      </c>
      <c r="AP114" t="s">
        <v>7</v>
      </c>
      <c r="AQ114" t="s">
        <v>9</v>
      </c>
      <c r="AR114" t="s">
        <v>7</v>
      </c>
      <c r="AS114" s="162" t="s">
        <v>7</v>
      </c>
      <c r="AT114" s="117" t="s">
        <v>7</v>
      </c>
      <c r="AU114" s="162" t="s">
        <v>7</v>
      </c>
      <c r="AV114" s="162" t="s">
        <v>7</v>
      </c>
      <c r="AW114" s="162" t="s">
        <v>9851</v>
      </c>
      <c r="AX114" s="162" t="s">
        <v>7</v>
      </c>
      <c r="AY114" s="162" t="s">
        <v>7</v>
      </c>
      <c r="AZ114" t="s">
        <v>1937</v>
      </c>
      <c r="BA114" s="162" t="s">
        <v>9851</v>
      </c>
      <c r="BB114" s="162" t="s">
        <v>7</v>
      </c>
      <c r="BC114" s="162" t="s">
        <v>7</v>
      </c>
      <c r="BD114" s="162" t="s">
        <v>7</v>
      </c>
      <c r="BE114" s="162" t="s">
        <v>7</v>
      </c>
      <c r="BF114" s="162" t="str">
        <f t="shared" si="2"/>
        <v>Não</v>
      </c>
      <c r="BG114" s="162" t="str">
        <f t="shared" si="3"/>
        <v>Não</v>
      </c>
      <c r="BH114" s="162" t="s">
        <v>9851</v>
      </c>
      <c r="BI114" t="s">
        <v>9871</v>
      </c>
      <c r="BJ114" s="162" t="s">
        <v>10164</v>
      </c>
      <c r="BK114" t="s">
        <v>1197</v>
      </c>
      <c r="BL114" s="162">
        <v>35</v>
      </c>
      <c r="BM114" t="s">
        <v>35</v>
      </c>
      <c r="BN114" t="s">
        <v>35</v>
      </c>
      <c r="BO114" t="s">
        <v>1197</v>
      </c>
      <c r="BP114" s="162">
        <v>35</v>
      </c>
      <c r="BQ114" t="s">
        <v>9851</v>
      </c>
      <c r="BR114" t="s">
        <v>35</v>
      </c>
      <c r="BS114" s="162" t="s">
        <v>35</v>
      </c>
    </row>
    <row r="115" spans="1:71">
      <c r="A115" s="162">
        <v>114</v>
      </c>
      <c r="B115" t="s">
        <v>349</v>
      </c>
      <c r="C115" s="162">
        <v>1</v>
      </c>
      <c r="D115" s="122" t="s">
        <v>95</v>
      </c>
      <c r="E115" t="s">
        <v>949</v>
      </c>
      <c r="F115" t="s">
        <v>3</v>
      </c>
      <c r="G115" t="s">
        <v>364</v>
      </c>
      <c r="H115" t="s">
        <v>950</v>
      </c>
      <c r="I115" s="162">
        <v>1</v>
      </c>
      <c r="J115" t="s">
        <v>1855</v>
      </c>
      <c r="K115" t="s">
        <v>3</v>
      </c>
      <c r="L115" s="165">
        <v>35585</v>
      </c>
      <c r="M115" s="166">
        <v>19</v>
      </c>
      <c r="N115" t="s">
        <v>4</v>
      </c>
      <c r="O115" t="s">
        <v>10134</v>
      </c>
      <c r="P115" t="s">
        <v>48</v>
      </c>
      <c r="Q115" t="s">
        <v>1264</v>
      </c>
      <c r="R115" t="s">
        <v>9992</v>
      </c>
      <c r="S115" s="162">
        <v>52.4</v>
      </c>
      <c r="T115" t="s">
        <v>9993</v>
      </c>
      <c r="U115" s="162">
        <v>56.6</v>
      </c>
      <c r="V115">
        <v>0</v>
      </c>
      <c r="W115" s="162">
        <v>0</v>
      </c>
      <c r="X115">
        <v>0</v>
      </c>
      <c r="Y115" s="162">
        <v>0</v>
      </c>
      <c r="Z115">
        <v>0</v>
      </c>
      <c r="AA115" s="162">
        <v>0</v>
      </c>
      <c r="AB115">
        <v>0</v>
      </c>
      <c r="AC115" s="162" t="s">
        <v>7</v>
      </c>
      <c r="AD115" s="162" t="s">
        <v>7</v>
      </c>
      <c r="AE115" s="162" t="s">
        <v>7</v>
      </c>
      <c r="AF115" s="162" t="s">
        <v>7</v>
      </c>
      <c r="AG115" s="162" t="s">
        <v>7</v>
      </c>
      <c r="AH115" s="162" t="s">
        <v>7</v>
      </c>
      <c r="AI115" t="s">
        <v>9843</v>
      </c>
      <c r="AJ115" t="s">
        <v>7</v>
      </c>
      <c r="AK115" t="s">
        <v>1111</v>
      </c>
      <c r="AL115" t="s">
        <v>36</v>
      </c>
      <c r="AM115" s="162" t="s">
        <v>10138</v>
      </c>
      <c r="AN115" t="s">
        <v>9843</v>
      </c>
      <c r="AO115" t="s">
        <v>35</v>
      </c>
      <c r="AP115" t="s">
        <v>1079</v>
      </c>
      <c r="AQ115" t="s">
        <v>1069</v>
      </c>
      <c r="AR115" t="s">
        <v>7</v>
      </c>
      <c r="AS115" s="162" t="s">
        <v>7</v>
      </c>
      <c r="AT115" s="117" t="s">
        <v>1677</v>
      </c>
      <c r="AU115" s="162" t="s">
        <v>9851</v>
      </c>
      <c r="AV115" s="162" t="s">
        <v>9851</v>
      </c>
      <c r="AW115" s="162" t="s">
        <v>7</v>
      </c>
      <c r="AX115" s="162" t="s">
        <v>7</v>
      </c>
      <c r="AY115" s="162" t="s">
        <v>9851</v>
      </c>
      <c r="AZ115" t="s">
        <v>1937</v>
      </c>
      <c r="BA115" s="162" t="s">
        <v>9851</v>
      </c>
      <c r="BB115" s="162" t="s">
        <v>7</v>
      </c>
      <c r="BC115" s="162" t="s">
        <v>7</v>
      </c>
      <c r="BD115" s="162" t="s">
        <v>7</v>
      </c>
      <c r="BE115" s="162" t="s">
        <v>7</v>
      </c>
      <c r="BF115" s="162" t="str">
        <f t="shared" si="2"/>
        <v>Não</v>
      </c>
      <c r="BG115" s="162" t="str">
        <f t="shared" si="3"/>
        <v>Não</v>
      </c>
      <c r="BH115" s="162" t="s">
        <v>9851</v>
      </c>
      <c r="BI115" t="s">
        <v>9871</v>
      </c>
      <c r="BJ115" s="162" t="s">
        <v>10164</v>
      </c>
      <c r="BK115" t="s">
        <v>1197</v>
      </c>
      <c r="BL115" s="162">
        <v>35</v>
      </c>
      <c r="BM115" t="s">
        <v>35</v>
      </c>
      <c r="BN115" t="s">
        <v>35</v>
      </c>
      <c r="BO115" t="s">
        <v>1197</v>
      </c>
      <c r="BP115" s="162">
        <v>35</v>
      </c>
      <c r="BQ115" t="s">
        <v>9851</v>
      </c>
      <c r="BR115" t="s">
        <v>35</v>
      </c>
      <c r="BS115" s="162" t="s">
        <v>35</v>
      </c>
    </row>
    <row r="116" spans="1:71">
      <c r="A116" s="162">
        <v>115</v>
      </c>
      <c r="B116" t="s">
        <v>202</v>
      </c>
      <c r="C116" s="162">
        <v>1</v>
      </c>
      <c r="D116" s="122" t="s">
        <v>651</v>
      </c>
      <c r="E116" t="s">
        <v>656</v>
      </c>
      <c r="F116" t="s">
        <v>515</v>
      </c>
      <c r="G116" t="s">
        <v>214</v>
      </c>
      <c r="H116" t="s">
        <v>659</v>
      </c>
      <c r="I116" s="162">
        <v>1</v>
      </c>
      <c r="J116" t="s">
        <v>1855</v>
      </c>
      <c r="K116" t="s">
        <v>3</v>
      </c>
      <c r="L116" s="165">
        <v>34944</v>
      </c>
      <c r="M116" s="166">
        <v>21</v>
      </c>
      <c r="N116" t="s">
        <v>5</v>
      </c>
      <c r="O116" t="s">
        <v>10135</v>
      </c>
      <c r="P116" t="s">
        <v>1101</v>
      </c>
      <c r="Q116" t="s">
        <v>1186</v>
      </c>
      <c r="R116" t="s">
        <v>1711</v>
      </c>
      <c r="S116" s="162">
        <v>35.5</v>
      </c>
      <c r="T116" t="s">
        <v>1710</v>
      </c>
      <c r="U116" s="162">
        <v>94.5</v>
      </c>
      <c r="V116" t="s">
        <v>1712</v>
      </c>
      <c r="W116" s="162">
        <v>44.7</v>
      </c>
      <c r="X116">
        <v>0</v>
      </c>
      <c r="Y116" s="162">
        <v>0</v>
      </c>
      <c r="Z116">
        <v>0</v>
      </c>
      <c r="AA116" s="162">
        <v>0</v>
      </c>
      <c r="AB116">
        <v>0</v>
      </c>
      <c r="AC116" s="162" t="s">
        <v>7</v>
      </c>
      <c r="AD116" s="162" t="s">
        <v>7</v>
      </c>
      <c r="AE116" s="162" t="s">
        <v>7</v>
      </c>
      <c r="AF116" s="162" t="s">
        <v>7</v>
      </c>
      <c r="AG116" s="162" t="s">
        <v>7</v>
      </c>
      <c r="AH116" s="162" t="s">
        <v>7</v>
      </c>
      <c r="AI116" t="s">
        <v>9843</v>
      </c>
      <c r="AJ116" t="s">
        <v>7</v>
      </c>
      <c r="AK116" t="s">
        <v>80</v>
      </c>
      <c r="AL116" t="s">
        <v>36</v>
      </c>
      <c r="AM116" s="162" t="s">
        <v>10138</v>
      </c>
      <c r="AN116" t="s">
        <v>9843</v>
      </c>
      <c r="AO116" t="s">
        <v>35</v>
      </c>
      <c r="AP116" t="s">
        <v>7</v>
      </c>
      <c r="AQ116" t="s">
        <v>9</v>
      </c>
      <c r="AR116" t="s">
        <v>7</v>
      </c>
      <c r="AS116" s="162" t="s">
        <v>7</v>
      </c>
      <c r="AT116" s="117" t="s">
        <v>7</v>
      </c>
      <c r="AU116" s="162" t="s">
        <v>7</v>
      </c>
      <c r="AV116" s="162" t="s">
        <v>7</v>
      </c>
      <c r="AW116" s="162" t="s">
        <v>9851</v>
      </c>
      <c r="AX116" s="162" t="s">
        <v>7</v>
      </c>
      <c r="AY116" s="162" t="s">
        <v>7</v>
      </c>
      <c r="AZ116" t="s">
        <v>1937</v>
      </c>
      <c r="BA116" s="162" t="s">
        <v>9851</v>
      </c>
      <c r="BB116" s="162" t="s">
        <v>7</v>
      </c>
      <c r="BC116" s="162" t="s">
        <v>7</v>
      </c>
      <c r="BD116" s="162" t="s">
        <v>7</v>
      </c>
      <c r="BE116" s="162" t="s">
        <v>7</v>
      </c>
      <c r="BF116" s="162" t="str">
        <f t="shared" si="2"/>
        <v>Não</v>
      </c>
      <c r="BG116" s="162" t="str">
        <f t="shared" si="3"/>
        <v>Não</v>
      </c>
      <c r="BH116" s="162" t="s">
        <v>9851</v>
      </c>
      <c r="BI116" t="s">
        <v>9871</v>
      </c>
      <c r="BJ116" s="162" t="s">
        <v>10164</v>
      </c>
      <c r="BK116" t="s">
        <v>1197</v>
      </c>
      <c r="BL116" s="162">
        <v>35</v>
      </c>
      <c r="BM116" t="s">
        <v>35</v>
      </c>
      <c r="BN116" t="s">
        <v>35</v>
      </c>
      <c r="BO116" t="s">
        <v>1197</v>
      </c>
      <c r="BP116" s="162">
        <v>35</v>
      </c>
      <c r="BQ116" t="s">
        <v>7</v>
      </c>
      <c r="BR116" t="s">
        <v>1849</v>
      </c>
      <c r="BS116" s="162" t="s">
        <v>10170</v>
      </c>
    </row>
    <row r="117" spans="1:71">
      <c r="A117" s="162">
        <v>116</v>
      </c>
      <c r="B117" t="s">
        <v>406</v>
      </c>
      <c r="C117" s="162">
        <v>0</v>
      </c>
      <c r="D117" s="122" t="s">
        <v>642</v>
      </c>
      <c r="E117" t="s">
        <v>922</v>
      </c>
      <c r="F117" t="s">
        <v>515</v>
      </c>
      <c r="G117" t="s">
        <v>411</v>
      </c>
      <c r="H117" t="s">
        <v>944</v>
      </c>
      <c r="I117" s="162">
        <v>1</v>
      </c>
      <c r="J117" t="s">
        <v>1855</v>
      </c>
      <c r="K117" t="s">
        <v>3</v>
      </c>
      <c r="L117" s="165">
        <v>24334</v>
      </c>
      <c r="M117" s="166">
        <v>51</v>
      </c>
      <c r="N117" t="s">
        <v>5</v>
      </c>
      <c r="O117" t="s">
        <v>10135</v>
      </c>
      <c r="P117" t="s">
        <v>48</v>
      </c>
      <c r="Q117" t="s">
        <v>1186</v>
      </c>
      <c r="R117">
        <v>0</v>
      </c>
      <c r="S117" s="162">
        <v>0</v>
      </c>
      <c r="T117">
        <v>0</v>
      </c>
      <c r="U117" s="162">
        <v>0</v>
      </c>
      <c r="V117">
        <v>0</v>
      </c>
      <c r="W117" s="162">
        <v>0</v>
      </c>
      <c r="X117">
        <v>0</v>
      </c>
      <c r="Y117" s="162">
        <v>0</v>
      </c>
      <c r="Z117">
        <v>0</v>
      </c>
      <c r="AA117" s="162">
        <v>0</v>
      </c>
      <c r="AB117">
        <v>0</v>
      </c>
      <c r="AC117" s="162" t="s">
        <v>7</v>
      </c>
      <c r="AD117" s="162" t="s">
        <v>7</v>
      </c>
      <c r="AE117" s="162" t="s">
        <v>7</v>
      </c>
      <c r="AF117" s="162" t="s">
        <v>7</v>
      </c>
      <c r="AG117" s="162" t="s">
        <v>7</v>
      </c>
      <c r="AH117" s="162" t="s">
        <v>7</v>
      </c>
      <c r="AI117" t="s">
        <v>9846</v>
      </c>
      <c r="AJ117" t="s">
        <v>7</v>
      </c>
      <c r="AK117" t="s">
        <v>9839</v>
      </c>
      <c r="AL117" t="s">
        <v>78</v>
      </c>
      <c r="AM117" s="162" t="s">
        <v>10138</v>
      </c>
      <c r="AN117" t="s">
        <v>9843</v>
      </c>
      <c r="AO117" t="s">
        <v>35</v>
      </c>
      <c r="AP117" t="s">
        <v>7</v>
      </c>
      <c r="AQ117" t="s">
        <v>9</v>
      </c>
      <c r="AR117" t="s">
        <v>7</v>
      </c>
      <c r="AS117" s="162" t="s">
        <v>7</v>
      </c>
      <c r="AT117" s="117" t="s">
        <v>7</v>
      </c>
      <c r="AU117" s="162" t="s">
        <v>7</v>
      </c>
      <c r="AV117" s="162" t="s">
        <v>7</v>
      </c>
      <c r="AW117" s="162" t="s">
        <v>9851</v>
      </c>
      <c r="AX117" s="162" t="s">
        <v>7</v>
      </c>
      <c r="AY117" s="162" t="s">
        <v>7</v>
      </c>
      <c r="AZ117" t="s">
        <v>7</v>
      </c>
      <c r="BA117" s="162" t="s">
        <v>7</v>
      </c>
      <c r="BB117" s="162" t="s">
        <v>7</v>
      </c>
      <c r="BC117" s="162" t="s">
        <v>7</v>
      </c>
      <c r="BD117" s="162" t="s">
        <v>7</v>
      </c>
      <c r="BE117" s="162" t="s">
        <v>7</v>
      </c>
      <c r="BF117" s="162" t="str">
        <f t="shared" si="2"/>
        <v>Sim</v>
      </c>
      <c r="BG117" s="162" t="str">
        <f t="shared" si="3"/>
        <v>Não</v>
      </c>
      <c r="BH117" s="162" t="s">
        <v>7</v>
      </c>
      <c r="BI117" t="s">
        <v>9871</v>
      </c>
      <c r="BJ117" s="162" t="s">
        <v>10164</v>
      </c>
      <c r="BK117" t="s">
        <v>1185</v>
      </c>
      <c r="BL117" s="162">
        <v>30</v>
      </c>
      <c r="BM117" t="s">
        <v>35</v>
      </c>
      <c r="BN117" t="s">
        <v>35</v>
      </c>
      <c r="BO117" t="s">
        <v>1185</v>
      </c>
      <c r="BP117" s="162">
        <v>30</v>
      </c>
      <c r="BQ117" t="s">
        <v>9851</v>
      </c>
      <c r="BR117" t="s">
        <v>35</v>
      </c>
      <c r="BS117" s="162" t="s">
        <v>35</v>
      </c>
    </row>
    <row r="118" spans="1:71">
      <c r="A118" s="162">
        <v>117</v>
      </c>
      <c r="B118" t="s">
        <v>375</v>
      </c>
      <c r="C118" s="162">
        <v>1</v>
      </c>
      <c r="D118" s="122" t="s">
        <v>619</v>
      </c>
      <c r="E118" t="s">
        <v>873</v>
      </c>
      <c r="F118" t="s">
        <v>515</v>
      </c>
      <c r="G118" t="s">
        <v>378</v>
      </c>
      <c r="H118" t="s">
        <v>892</v>
      </c>
      <c r="I118" s="162">
        <v>1</v>
      </c>
      <c r="J118" t="s">
        <v>1864</v>
      </c>
      <c r="K118" t="s">
        <v>3</v>
      </c>
      <c r="L118" s="165">
        <v>35874</v>
      </c>
      <c r="M118" s="166">
        <v>18</v>
      </c>
      <c r="N118" t="s">
        <v>5</v>
      </c>
      <c r="O118" t="s">
        <v>10135</v>
      </c>
      <c r="P118" t="s">
        <v>1101</v>
      </c>
      <c r="Q118" t="s">
        <v>1671</v>
      </c>
      <c r="R118">
        <v>0</v>
      </c>
      <c r="S118" s="162">
        <v>0</v>
      </c>
      <c r="T118">
        <v>0</v>
      </c>
      <c r="U118" s="162">
        <v>0</v>
      </c>
      <c r="V118">
        <v>0</v>
      </c>
      <c r="W118" s="162">
        <v>0</v>
      </c>
      <c r="X118">
        <v>0</v>
      </c>
      <c r="Y118" s="162">
        <v>0</v>
      </c>
      <c r="Z118">
        <v>0</v>
      </c>
      <c r="AA118" s="162">
        <v>0</v>
      </c>
      <c r="AB118">
        <v>0</v>
      </c>
      <c r="AC118" s="162" t="s">
        <v>7</v>
      </c>
      <c r="AD118" s="162" t="s">
        <v>7</v>
      </c>
      <c r="AE118" s="162" t="s">
        <v>7</v>
      </c>
      <c r="AF118" s="162" t="s">
        <v>7</v>
      </c>
      <c r="AG118" s="162" t="s">
        <v>7</v>
      </c>
      <c r="AH118" s="162" t="s">
        <v>7</v>
      </c>
      <c r="AI118" t="s">
        <v>9843</v>
      </c>
      <c r="AJ118" t="s">
        <v>7</v>
      </c>
      <c r="AK118" t="s">
        <v>1800</v>
      </c>
      <c r="AL118" t="s">
        <v>36</v>
      </c>
      <c r="AM118" s="162" t="s">
        <v>10138</v>
      </c>
      <c r="AN118" t="s">
        <v>9843</v>
      </c>
      <c r="AO118" t="s">
        <v>35</v>
      </c>
      <c r="AP118" t="s">
        <v>7</v>
      </c>
      <c r="AQ118" t="s">
        <v>9</v>
      </c>
      <c r="AR118" t="s">
        <v>7</v>
      </c>
      <c r="AS118" s="162" t="s">
        <v>7</v>
      </c>
      <c r="AT118" s="117" t="s">
        <v>7</v>
      </c>
      <c r="AU118" s="162" t="s">
        <v>7</v>
      </c>
      <c r="AV118" s="162" t="s">
        <v>7</v>
      </c>
      <c r="AW118" s="162" t="s">
        <v>9851</v>
      </c>
      <c r="AX118" s="162" t="s">
        <v>7</v>
      </c>
      <c r="AY118" s="162" t="s">
        <v>7</v>
      </c>
      <c r="AZ118" t="s">
        <v>7</v>
      </c>
      <c r="BA118" s="162" t="s">
        <v>7</v>
      </c>
      <c r="BB118" s="162" t="s">
        <v>7</v>
      </c>
      <c r="BC118" s="162" t="s">
        <v>7</v>
      </c>
      <c r="BD118" s="162" t="s">
        <v>7</v>
      </c>
      <c r="BE118" s="162" t="s">
        <v>7</v>
      </c>
      <c r="BF118" s="162" t="str">
        <f t="shared" si="2"/>
        <v>Sim</v>
      </c>
      <c r="BG118" s="162" t="str">
        <f t="shared" si="3"/>
        <v>Não</v>
      </c>
      <c r="BH118" s="162" t="s">
        <v>7</v>
      </c>
      <c r="BI118" t="s">
        <v>9871</v>
      </c>
      <c r="BJ118" s="162" t="s">
        <v>10164</v>
      </c>
      <c r="BK118" t="s">
        <v>1185</v>
      </c>
      <c r="BL118" s="162">
        <v>30</v>
      </c>
      <c r="BM118" t="s">
        <v>35</v>
      </c>
      <c r="BN118" t="s">
        <v>35</v>
      </c>
      <c r="BO118" t="s">
        <v>1185</v>
      </c>
      <c r="BP118" s="162">
        <v>30</v>
      </c>
      <c r="BQ118" t="s">
        <v>9851</v>
      </c>
      <c r="BR118" t="s">
        <v>35</v>
      </c>
      <c r="BS118" s="162" t="s">
        <v>35</v>
      </c>
    </row>
    <row r="119" spans="1:71">
      <c r="A119" s="162">
        <v>118</v>
      </c>
      <c r="B119" t="s">
        <v>359</v>
      </c>
      <c r="C119" s="162">
        <v>1</v>
      </c>
      <c r="D119" s="122" t="s">
        <v>528</v>
      </c>
      <c r="E119" t="s">
        <v>949</v>
      </c>
      <c r="F119" t="s">
        <v>3</v>
      </c>
      <c r="G119" t="s">
        <v>364</v>
      </c>
      <c r="H119" t="s">
        <v>966</v>
      </c>
      <c r="I119" s="162">
        <v>1</v>
      </c>
      <c r="J119" t="s">
        <v>76</v>
      </c>
      <c r="K119" t="s">
        <v>515</v>
      </c>
      <c r="L119" s="165">
        <v>35810</v>
      </c>
      <c r="M119" s="166">
        <v>19</v>
      </c>
      <c r="N119" t="s">
        <v>4</v>
      </c>
      <c r="O119" t="s">
        <v>10134</v>
      </c>
      <c r="P119" t="s">
        <v>77</v>
      </c>
      <c r="Q119" t="s">
        <v>1210</v>
      </c>
      <c r="R119" t="s">
        <v>1219</v>
      </c>
      <c r="S119" s="162">
        <v>80000</v>
      </c>
      <c r="T119">
        <v>0</v>
      </c>
      <c r="U119" s="162">
        <v>0</v>
      </c>
      <c r="V119">
        <v>0</v>
      </c>
      <c r="W119" s="162">
        <v>0</v>
      </c>
      <c r="X119">
        <v>0</v>
      </c>
      <c r="Y119" s="162">
        <v>0</v>
      </c>
      <c r="Z119">
        <v>0</v>
      </c>
      <c r="AA119" s="162">
        <v>0</v>
      </c>
      <c r="AB119">
        <v>0</v>
      </c>
      <c r="AC119" s="162" t="s">
        <v>7</v>
      </c>
      <c r="AD119" s="162" t="s">
        <v>7</v>
      </c>
      <c r="AE119" s="162" t="s">
        <v>7</v>
      </c>
      <c r="AF119" s="162" t="s">
        <v>7</v>
      </c>
      <c r="AG119" s="162" t="s">
        <v>7</v>
      </c>
      <c r="AH119" s="162" t="s">
        <v>7</v>
      </c>
      <c r="AI119" t="s">
        <v>9843</v>
      </c>
      <c r="AJ119" t="s">
        <v>7</v>
      </c>
      <c r="AK119" t="s">
        <v>9779</v>
      </c>
      <c r="AL119" t="s">
        <v>36</v>
      </c>
      <c r="AM119" s="162" t="s">
        <v>10138</v>
      </c>
      <c r="AN119" t="s">
        <v>9843</v>
      </c>
      <c r="AO119" t="s">
        <v>35</v>
      </c>
      <c r="AP119" t="s">
        <v>1104</v>
      </c>
      <c r="AQ119" t="s">
        <v>1166</v>
      </c>
      <c r="AR119" t="s">
        <v>7</v>
      </c>
      <c r="AS119" s="162" t="s">
        <v>7</v>
      </c>
      <c r="AT119" s="117" t="s">
        <v>1677</v>
      </c>
      <c r="AU119" s="162" t="s">
        <v>9851</v>
      </c>
      <c r="AV119" s="162" t="s">
        <v>9851</v>
      </c>
      <c r="AW119" s="162" t="s">
        <v>7</v>
      </c>
      <c r="AX119" s="162" t="s">
        <v>7</v>
      </c>
      <c r="AY119" s="162" t="s">
        <v>9851</v>
      </c>
      <c r="AZ119" t="s">
        <v>7</v>
      </c>
      <c r="BA119" s="162" t="s">
        <v>7</v>
      </c>
      <c r="BB119" s="162" t="s">
        <v>7</v>
      </c>
      <c r="BC119" s="162" t="s">
        <v>7</v>
      </c>
      <c r="BD119" s="162" t="s">
        <v>7</v>
      </c>
      <c r="BE119" s="162" t="s">
        <v>7</v>
      </c>
      <c r="BF119" s="162" t="str">
        <f t="shared" si="2"/>
        <v>Sim</v>
      </c>
      <c r="BG119" s="162" t="str">
        <f t="shared" si="3"/>
        <v>Não</v>
      </c>
      <c r="BH119" s="162" t="s">
        <v>7</v>
      </c>
      <c r="BI119" t="s">
        <v>9871</v>
      </c>
      <c r="BJ119" s="162" t="s">
        <v>10164</v>
      </c>
      <c r="BK119" t="s">
        <v>1185</v>
      </c>
      <c r="BL119" s="162">
        <v>30</v>
      </c>
      <c r="BM119" t="s">
        <v>35</v>
      </c>
      <c r="BN119" t="s">
        <v>35</v>
      </c>
      <c r="BO119" t="s">
        <v>1185</v>
      </c>
      <c r="BP119" s="162">
        <v>30</v>
      </c>
      <c r="BQ119" t="s">
        <v>9851</v>
      </c>
      <c r="BR119" t="s">
        <v>35</v>
      </c>
      <c r="BS119" s="162" t="s">
        <v>35</v>
      </c>
    </row>
    <row r="120" spans="1:71">
      <c r="A120" s="162">
        <v>119</v>
      </c>
      <c r="B120" t="s">
        <v>455</v>
      </c>
      <c r="C120" s="162">
        <v>1</v>
      </c>
      <c r="D120" s="122" t="s">
        <v>1039</v>
      </c>
      <c r="E120" t="s">
        <v>1036</v>
      </c>
      <c r="F120" t="s">
        <v>3</v>
      </c>
      <c r="G120" t="s">
        <v>461</v>
      </c>
      <c r="H120" t="s">
        <v>1040</v>
      </c>
      <c r="I120" s="162">
        <v>1</v>
      </c>
      <c r="J120" t="s">
        <v>1855</v>
      </c>
      <c r="K120" t="s">
        <v>515</v>
      </c>
      <c r="L120" s="165">
        <v>28893</v>
      </c>
      <c r="M120" s="166">
        <v>38</v>
      </c>
      <c r="N120" t="s">
        <v>4</v>
      </c>
      <c r="O120" t="s">
        <v>10134</v>
      </c>
      <c r="P120" t="s">
        <v>48</v>
      </c>
      <c r="Q120" t="s">
        <v>1481</v>
      </c>
      <c r="R120">
        <v>0</v>
      </c>
      <c r="S120" s="162">
        <v>0</v>
      </c>
      <c r="T120" t="s">
        <v>1482</v>
      </c>
      <c r="U120" s="162">
        <v>1489.9</v>
      </c>
      <c r="V120">
        <v>0</v>
      </c>
      <c r="W120" s="162">
        <v>0</v>
      </c>
      <c r="X120">
        <v>0</v>
      </c>
      <c r="Y120" s="162">
        <v>0</v>
      </c>
      <c r="Z120">
        <v>0</v>
      </c>
      <c r="AA120" s="162">
        <v>0</v>
      </c>
      <c r="AB120">
        <v>0</v>
      </c>
      <c r="AC120" s="162" t="s">
        <v>7</v>
      </c>
      <c r="AD120" s="162" t="s">
        <v>7</v>
      </c>
      <c r="AE120" s="162" t="s">
        <v>7</v>
      </c>
      <c r="AF120" s="162" t="s">
        <v>7</v>
      </c>
      <c r="AG120" s="162" t="s">
        <v>7</v>
      </c>
      <c r="AH120" s="162" t="s">
        <v>7</v>
      </c>
      <c r="AI120" t="s">
        <v>9843</v>
      </c>
      <c r="AJ120" t="s">
        <v>7</v>
      </c>
      <c r="AK120" t="s">
        <v>1317</v>
      </c>
      <c r="AL120" t="s">
        <v>36</v>
      </c>
      <c r="AM120" s="162" t="s">
        <v>10138</v>
      </c>
      <c r="AN120" t="s">
        <v>9843</v>
      </c>
      <c r="AO120" t="s">
        <v>35</v>
      </c>
      <c r="AP120" t="s">
        <v>7</v>
      </c>
      <c r="AQ120" t="s">
        <v>9</v>
      </c>
      <c r="AR120" t="s">
        <v>7</v>
      </c>
      <c r="AS120" s="162" t="s">
        <v>7</v>
      </c>
      <c r="AT120" s="117" t="s">
        <v>7</v>
      </c>
      <c r="AU120" s="162" t="s">
        <v>7</v>
      </c>
      <c r="AV120" s="162" t="s">
        <v>7</v>
      </c>
      <c r="AW120" s="162" t="s">
        <v>9851</v>
      </c>
      <c r="AX120" s="162" t="s">
        <v>7</v>
      </c>
      <c r="AY120" s="162" t="s">
        <v>7</v>
      </c>
      <c r="AZ120" t="s">
        <v>7</v>
      </c>
      <c r="BA120" s="162" t="s">
        <v>7</v>
      </c>
      <c r="BB120" s="162" t="s">
        <v>7</v>
      </c>
      <c r="BC120" s="162" t="s">
        <v>7</v>
      </c>
      <c r="BD120" s="162" t="s">
        <v>7</v>
      </c>
      <c r="BE120" s="162" t="s">
        <v>7</v>
      </c>
      <c r="BF120" s="162" t="str">
        <f t="shared" si="2"/>
        <v>Sim</v>
      </c>
      <c r="BG120" s="162" t="str">
        <f t="shared" si="3"/>
        <v>Não</v>
      </c>
      <c r="BH120" s="162" t="s">
        <v>7</v>
      </c>
      <c r="BI120" t="s">
        <v>9871</v>
      </c>
      <c r="BJ120" s="162" t="s">
        <v>10164</v>
      </c>
      <c r="BK120" t="s">
        <v>1185</v>
      </c>
      <c r="BL120" s="162">
        <v>30</v>
      </c>
      <c r="BM120" t="s">
        <v>35</v>
      </c>
      <c r="BN120" t="s">
        <v>35</v>
      </c>
      <c r="BO120" t="s">
        <v>1185</v>
      </c>
      <c r="BP120" s="162">
        <v>30</v>
      </c>
      <c r="BQ120" t="s">
        <v>7</v>
      </c>
      <c r="BR120" t="s">
        <v>1114</v>
      </c>
      <c r="BS120" s="162" t="s">
        <v>1114</v>
      </c>
    </row>
    <row r="121" spans="1:71">
      <c r="A121" s="162">
        <v>120</v>
      </c>
      <c r="B121" t="s">
        <v>358</v>
      </c>
      <c r="C121" s="162">
        <v>1</v>
      </c>
      <c r="D121" s="122" t="s">
        <v>503</v>
      </c>
      <c r="E121" t="s">
        <v>951</v>
      </c>
      <c r="F121" t="s">
        <v>515</v>
      </c>
      <c r="G121" t="s">
        <v>364</v>
      </c>
      <c r="H121" t="s">
        <v>965</v>
      </c>
      <c r="I121" s="162">
        <v>1</v>
      </c>
      <c r="J121" t="s">
        <v>1311</v>
      </c>
      <c r="K121" t="s">
        <v>3</v>
      </c>
      <c r="L121" s="165">
        <v>35689</v>
      </c>
      <c r="M121" s="166">
        <v>19</v>
      </c>
      <c r="N121" t="s">
        <v>5</v>
      </c>
      <c r="O121" t="s">
        <v>10135</v>
      </c>
      <c r="P121" t="s">
        <v>48</v>
      </c>
      <c r="Q121" t="s">
        <v>1186</v>
      </c>
      <c r="R121">
        <v>0</v>
      </c>
      <c r="S121" s="162">
        <v>0</v>
      </c>
      <c r="T121" t="s">
        <v>1217</v>
      </c>
      <c r="U121" s="162">
        <v>75.099999999999994</v>
      </c>
      <c r="V121">
        <v>0</v>
      </c>
      <c r="W121" s="162">
        <v>0</v>
      </c>
      <c r="X121">
        <v>0</v>
      </c>
      <c r="Y121" s="162">
        <v>0</v>
      </c>
      <c r="Z121">
        <v>0</v>
      </c>
      <c r="AA121" s="162">
        <v>0</v>
      </c>
      <c r="AB121">
        <v>0</v>
      </c>
      <c r="AC121" s="162" t="s">
        <v>7</v>
      </c>
      <c r="AD121" s="162" t="s">
        <v>7</v>
      </c>
      <c r="AE121" s="162" t="s">
        <v>7</v>
      </c>
      <c r="AF121" s="162" t="s">
        <v>7</v>
      </c>
      <c r="AG121" s="162" t="s">
        <v>7</v>
      </c>
      <c r="AH121" s="162" t="s">
        <v>7</v>
      </c>
      <c r="AI121" t="s">
        <v>9843</v>
      </c>
      <c r="AJ121" t="s">
        <v>7</v>
      </c>
      <c r="AK121" t="s">
        <v>1218</v>
      </c>
      <c r="AL121" t="s">
        <v>36</v>
      </c>
      <c r="AM121" s="162" t="s">
        <v>10138</v>
      </c>
      <c r="AN121" t="s">
        <v>9843</v>
      </c>
      <c r="AO121" t="s">
        <v>35</v>
      </c>
      <c r="AP121" t="s">
        <v>7</v>
      </c>
      <c r="AQ121" t="s">
        <v>9</v>
      </c>
      <c r="AR121" t="s">
        <v>7</v>
      </c>
      <c r="AS121" s="162" t="s">
        <v>7</v>
      </c>
      <c r="AT121" s="117" t="s">
        <v>7</v>
      </c>
      <c r="AU121" s="162" t="s">
        <v>7</v>
      </c>
      <c r="AV121" s="162" t="s">
        <v>7</v>
      </c>
      <c r="AW121" s="162" t="s">
        <v>9851</v>
      </c>
      <c r="AX121" s="162" t="s">
        <v>7</v>
      </c>
      <c r="AY121" s="162" t="s">
        <v>7</v>
      </c>
      <c r="AZ121" t="s">
        <v>7</v>
      </c>
      <c r="BA121" s="162" t="s">
        <v>7</v>
      </c>
      <c r="BB121" s="162" t="s">
        <v>7</v>
      </c>
      <c r="BC121" s="162" t="s">
        <v>7</v>
      </c>
      <c r="BD121" s="162" t="s">
        <v>7</v>
      </c>
      <c r="BE121" s="162" t="s">
        <v>7</v>
      </c>
      <c r="BF121" s="162" t="str">
        <f t="shared" si="2"/>
        <v>Sim</v>
      </c>
      <c r="BG121" s="162" t="str">
        <f t="shared" si="3"/>
        <v>Não</v>
      </c>
      <c r="BH121" s="162" t="s">
        <v>7</v>
      </c>
      <c r="BI121" t="s">
        <v>9871</v>
      </c>
      <c r="BJ121" s="162" t="s">
        <v>10164</v>
      </c>
      <c r="BK121" t="s">
        <v>1185</v>
      </c>
      <c r="BL121" s="162">
        <v>30</v>
      </c>
      <c r="BM121" t="s">
        <v>35</v>
      </c>
      <c r="BN121" t="s">
        <v>35</v>
      </c>
      <c r="BO121" t="s">
        <v>1185</v>
      </c>
      <c r="BP121" s="162">
        <v>30</v>
      </c>
      <c r="BQ121" t="s">
        <v>9851</v>
      </c>
      <c r="BR121" t="s">
        <v>35</v>
      </c>
      <c r="BS121" s="162" t="s">
        <v>35</v>
      </c>
    </row>
    <row r="122" spans="1:71">
      <c r="A122" s="162">
        <v>121</v>
      </c>
      <c r="B122" t="s">
        <v>191</v>
      </c>
      <c r="C122" s="162">
        <v>1</v>
      </c>
      <c r="D122" s="122" t="s">
        <v>638</v>
      </c>
      <c r="E122" t="s">
        <v>632</v>
      </c>
      <c r="F122" t="s">
        <v>515</v>
      </c>
      <c r="G122" t="s">
        <v>198</v>
      </c>
      <c r="H122" t="s">
        <v>639</v>
      </c>
      <c r="I122" s="162">
        <v>1</v>
      </c>
      <c r="J122" t="s">
        <v>1855</v>
      </c>
      <c r="K122" t="s">
        <v>3</v>
      </c>
      <c r="L122" s="165">
        <v>36071</v>
      </c>
      <c r="M122" s="166">
        <v>18</v>
      </c>
      <c r="N122" t="s">
        <v>5</v>
      </c>
      <c r="O122" t="s">
        <v>10135</v>
      </c>
      <c r="P122" t="s">
        <v>48</v>
      </c>
      <c r="Q122" t="s">
        <v>1596</v>
      </c>
      <c r="R122" t="s">
        <v>9905</v>
      </c>
      <c r="S122" s="162">
        <v>40</v>
      </c>
      <c r="T122" t="s">
        <v>9906</v>
      </c>
      <c r="U122" s="162">
        <v>10</v>
      </c>
      <c r="V122">
        <v>0</v>
      </c>
      <c r="W122" s="162">
        <v>0</v>
      </c>
      <c r="X122">
        <v>0</v>
      </c>
      <c r="Y122" s="162">
        <v>0</v>
      </c>
      <c r="Z122">
        <v>0</v>
      </c>
      <c r="AA122" s="162">
        <v>0</v>
      </c>
      <c r="AB122">
        <v>0</v>
      </c>
      <c r="AC122" s="162" t="s">
        <v>7</v>
      </c>
      <c r="AD122" s="162" t="s">
        <v>7</v>
      </c>
      <c r="AE122" s="162" t="s">
        <v>7</v>
      </c>
      <c r="AF122" s="162" t="s">
        <v>7</v>
      </c>
      <c r="AG122" s="162" t="s">
        <v>7</v>
      </c>
      <c r="AH122" s="162" t="s">
        <v>7</v>
      </c>
      <c r="AI122" t="s">
        <v>9843</v>
      </c>
      <c r="AJ122" t="s">
        <v>7</v>
      </c>
      <c r="AK122" t="s">
        <v>1106</v>
      </c>
      <c r="AL122" t="s">
        <v>36</v>
      </c>
      <c r="AM122" s="162" t="s">
        <v>10138</v>
      </c>
      <c r="AN122" t="s">
        <v>9843</v>
      </c>
      <c r="AO122" t="s">
        <v>35</v>
      </c>
      <c r="AP122" t="s">
        <v>7</v>
      </c>
      <c r="AQ122" t="s">
        <v>9</v>
      </c>
      <c r="AR122" t="s">
        <v>7</v>
      </c>
      <c r="AS122" s="162" t="s">
        <v>7</v>
      </c>
      <c r="AT122" s="117" t="s">
        <v>7</v>
      </c>
      <c r="AU122" s="162" t="s">
        <v>7</v>
      </c>
      <c r="AV122" s="162" t="s">
        <v>7</v>
      </c>
      <c r="AW122" s="162" t="s">
        <v>9851</v>
      </c>
      <c r="AX122" s="162" t="s">
        <v>7</v>
      </c>
      <c r="AY122" s="162" t="s">
        <v>7</v>
      </c>
      <c r="AZ122" t="s">
        <v>7</v>
      </c>
      <c r="BA122" s="162" t="s">
        <v>7</v>
      </c>
      <c r="BB122" s="162" t="s">
        <v>7</v>
      </c>
      <c r="BC122" s="162" t="s">
        <v>7</v>
      </c>
      <c r="BD122" s="162" t="s">
        <v>7</v>
      </c>
      <c r="BE122" s="162" t="s">
        <v>7</v>
      </c>
      <c r="BF122" s="162" t="str">
        <f t="shared" si="2"/>
        <v>Sim</v>
      </c>
      <c r="BG122" s="162" t="str">
        <f t="shared" si="3"/>
        <v>Não</v>
      </c>
      <c r="BH122" s="162" t="s">
        <v>7</v>
      </c>
      <c r="BI122" t="s">
        <v>9871</v>
      </c>
      <c r="BJ122" s="162" t="s">
        <v>10164</v>
      </c>
      <c r="BK122" t="s">
        <v>1185</v>
      </c>
      <c r="BL122" s="162">
        <v>30</v>
      </c>
      <c r="BM122" t="s">
        <v>35</v>
      </c>
      <c r="BN122" t="s">
        <v>35</v>
      </c>
      <c r="BO122" t="s">
        <v>1185</v>
      </c>
      <c r="BP122" s="162">
        <v>30</v>
      </c>
      <c r="BQ122" t="s">
        <v>9851</v>
      </c>
      <c r="BR122" t="s">
        <v>35</v>
      </c>
      <c r="BS122" s="162" t="s">
        <v>35</v>
      </c>
    </row>
    <row r="123" spans="1:71">
      <c r="A123" s="162">
        <v>122</v>
      </c>
      <c r="B123" t="s">
        <v>379</v>
      </c>
      <c r="C123" s="162">
        <v>1</v>
      </c>
      <c r="D123" s="122" t="s">
        <v>712</v>
      </c>
      <c r="E123" t="s">
        <v>896</v>
      </c>
      <c r="F123" t="s">
        <v>3</v>
      </c>
      <c r="G123" t="s">
        <v>392</v>
      </c>
      <c r="H123" t="s">
        <v>897</v>
      </c>
      <c r="I123" s="162">
        <v>1</v>
      </c>
      <c r="J123" t="s">
        <v>1085</v>
      </c>
      <c r="K123" t="s">
        <v>3</v>
      </c>
      <c r="L123" s="165">
        <v>31879</v>
      </c>
      <c r="M123" s="166">
        <v>29</v>
      </c>
      <c r="N123" t="s">
        <v>5</v>
      </c>
      <c r="O123" t="s">
        <v>10135</v>
      </c>
      <c r="P123" t="s">
        <v>77</v>
      </c>
      <c r="Q123" t="s">
        <v>1810</v>
      </c>
      <c r="R123">
        <v>0</v>
      </c>
      <c r="S123" s="162">
        <v>0</v>
      </c>
      <c r="T123" t="s">
        <v>10017</v>
      </c>
      <c r="U123" s="162">
        <v>141.1</v>
      </c>
      <c r="V123">
        <v>0</v>
      </c>
      <c r="W123" s="162">
        <v>0</v>
      </c>
      <c r="X123">
        <v>0</v>
      </c>
      <c r="Y123" s="162">
        <v>0</v>
      </c>
      <c r="Z123">
        <v>0</v>
      </c>
      <c r="AA123" s="162">
        <v>0</v>
      </c>
      <c r="AB123">
        <v>0</v>
      </c>
      <c r="AC123" s="162" t="s">
        <v>7</v>
      </c>
      <c r="AD123" s="162" t="s">
        <v>7</v>
      </c>
      <c r="AE123" s="162" t="s">
        <v>7</v>
      </c>
      <c r="AF123" s="162" t="s">
        <v>7</v>
      </c>
      <c r="AG123" s="162" t="s">
        <v>7</v>
      </c>
      <c r="AH123" s="162" t="s">
        <v>7</v>
      </c>
      <c r="AI123" t="s">
        <v>9843</v>
      </c>
      <c r="AJ123" t="s">
        <v>7</v>
      </c>
      <c r="AK123" t="s">
        <v>1233</v>
      </c>
      <c r="AL123" t="s">
        <v>36</v>
      </c>
      <c r="AM123" s="162" t="s">
        <v>10138</v>
      </c>
      <c r="AN123" t="s">
        <v>9843</v>
      </c>
      <c r="AO123" t="s">
        <v>35</v>
      </c>
      <c r="AP123" t="s">
        <v>7</v>
      </c>
      <c r="AQ123" t="s">
        <v>9</v>
      </c>
      <c r="AR123" t="s">
        <v>7</v>
      </c>
      <c r="AS123" s="162" t="s">
        <v>7</v>
      </c>
      <c r="AT123" s="117" t="s">
        <v>7</v>
      </c>
      <c r="AU123" s="162" t="s">
        <v>7</v>
      </c>
      <c r="AV123" s="162" t="s">
        <v>7</v>
      </c>
      <c r="AW123" s="162" t="s">
        <v>9851</v>
      </c>
      <c r="AX123" s="162" t="s">
        <v>7</v>
      </c>
      <c r="AY123" s="162" t="s">
        <v>7</v>
      </c>
      <c r="AZ123" t="s">
        <v>7</v>
      </c>
      <c r="BA123" s="162" t="s">
        <v>7</v>
      </c>
      <c r="BB123" s="162" t="s">
        <v>7</v>
      </c>
      <c r="BC123" s="162" t="s">
        <v>7</v>
      </c>
      <c r="BD123" s="162" t="s">
        <v>7</v>
      </c>
      <c r="BE123" s="162" t="s">
        <v>7</v>
      </c>
      <c r="BF123" s="162" t="str">
        <f t="shared" si="2"/>
        <v>Sim</v>
      </c>
      <c r="BG123" s="162" t="str">
        <f t="shared" si="3"/>
        <v>Não</v>
      </c>
      <c r="BH123" s="162" t="s">
        <v>7</v>
      </c>
      <c r="BI123" t="s">
        <v>9871</v>
      </c>
      <c r="BJ123" s="162" t="s">
        <v>10164</v>
      </c>
      <c r="BK123" t="s">
        <v>1185</v>
      </c>
      <c r="BL123" s="162">
        <v>30</v>
      </c>
      <c r="BM123" t="s">
        <v>35</v>
      </c>
      <c r="BN123" t="s">
        <v>35</v>
      </c>
      <c r="BO123" t="s">
        <v>1185</v>
      </c>
      <c r="BP123" s="162">
        <v>30</v>
      </c>
      <c r="BQ123" t="s">
        <v>9851</v>
      </c>
      <c r="BR123" t="s">
        <v>35</v>
      </c>
      <c r="BS123" s="162" t="s">
        <v>35</v>
      </c>
    </row>
    <row r="124" spans="1:71">
      <c r="A124" s="162">
        <v>123</v>
      </c>
      <c r="B124" t="s">
        <v>295</v>
      </c>
      <c r="C124" s="162">
        <v>1</v>
      </c>
      <c r="D124" s="122" t="s">
        <v>809</v>
      </c>
      <c r="E124" t="s">
        <v>807</v>
      </c>
      <c r="F124" t="s">
        <v>3</v>
      </c>
      <c r="G124" t="s">
        <v>304</v>
      </c>
      <c r="H124" t="s">
        <v>810</v>
      </c>
      <c r="I124" s="162">
        <v>1</v>
      </c>
      <c r="J124" t="s">
        <v>1855</v>
      </c>
      <c r="K124" t="s">
        <v>3</v>
      </c>
      <c r="L124" s="165">
        <v>31414</v>
      </c>
      <c r="M124" s="166">
        <v>31</v>
      </c>
      <c r="N124" t="s">
        <v>4</v>
      </c>
      <c r="O124" t="s">
        <v>10134</v>
      </c>
      <c r="P124" t="s">
        <v>48</v>
      </c>
      <c r="Q124" t="s">
        <v>1210</v>
      </c>
      <c r="R124">
        <v>0</v>
      </c>
      <c r="S124" s="162">
        <v>0</v>
      </c>
      <c r="T124" t="s">
        <v>1516</v>
      </c>
      <c r="U124" s="162">
        <v>23.9</v>
      </c>
      <c r="V124">
        <v>0</v>
      </c>
      <c r="W124" s="162">
        <v>0</v>
      </c>
      <c r="X124">
        <v>0</v>
      </c>
      <c r="Y124" s="162">
        <v>0</v>
      </c>
      <c r="Z124">
        <v>0</v>
      </c>
      <c r="AA124" s="162">
        <v>0</v>
      </c>
      <c r="AB124">
        <v>0</v>
      </c>
      <c r="AC124" s="162" t="s">
        <v>7</v>
      </c>
      <c r="AD124" s="162" t="s">
        <v>7</v>
      </c>
      <c r="AE124" s="162" t="s">
        <v>7</v>
      </c>
      <c r="AF124" s="162" t="s">
        <v>7</v>
      </c>
      <c r="AG124" s="162" t="s">
        <v>7</v>
      </c>
      <c r="AH124" s="162" t="s">
        <v>7</v>
      </c>
      <c r="AI124" t="s">
        <v>9843</v>
      </c>
      <c r="AJ124" t="s">
        <v>7</v>
      </c>
      <c r="AK124" t="s">
        <v>80</v>
      </c>
      <c r="AL124" t="s">
        <v>36</v>
      </c>
      <c r="AM124" s="162" t="s">
        <v>10138</v>
      </c>
      <c r="AN124" t="s">
        <v>9843</v>
      </c>
      <c r="AO124" t="s">
        <v>35</v>
      </c>
      <c r="AP124" t="s">
        <v>7</v>
      </c>
      <c r="AQ124" t="s">
        <v>9</v>
      </c>
      <c r="AR124" t="s">
        <v>7</v>
      </c>
      <c r="AS124" s="162" t="s">
        <v>7</v>
      </c>
      <c r="AT124" s="117" t="s">
        <v>7</v>
      </c>
      <c r="AU124" s="162" t="s">
        <v>7</v>
      </c>
      <c r="AV124" s="162" t="s">
        <v>7</v>
      </c>
      <c r="AW124" s="162" t="s">
        <v>9851</v>
      </c>
      <c r="AX124" s="162" t="s">
        <v>7</v>
      </c>
      <c r="AY124" s="162" t="s">
        <v>7</v>
      </c>
      <c r="AZ124" t="s">
        <v>7</v>
      </c>
      <c r="BA124" s="162" t="s">
        <v>7</v>
      </c>
      <c r="BB124" s="162" t="s">
        <v>7</v>
      </c>
      <c r="BC124" s="162" t="s">
        <v>7</v>
      </c>
      <c r="BD124" s="162" t="s">
        <v>7</v>
      </c>
      <c r="BE124" s="162" t="s">
        <v>7</v>
      </c>
      <c r="BF124" s="162" t="str">
        <f t="shared" si="2"/>
        <v>Sim</v>
      </c>
      <c r="BG124" s="162" t="str">
        <f t="shared" si="3"/>
        <v>Não</v>
      </c>
      <c r="BH124" s="162" t="s">
        <v>7</v>
      </c>
      <c r="BI124" t="s">
        <v>9871</v>
      </c>
      <c r="BJ124" s="162" t="s">
        <v>10164</v>
      </c>
      <c r="BK124" t="s">
        <v>1185</v>
      </c>
      <c r="BL124" s="162">
        <v>30</v>
      </c>
      <c r="BM124" t="s">
        <v>35</v>
      </c>
      <c r="BN124" t="s">
        <v>35</v>
      </c>
      <c r="BO124" t="s">
        <v>1185</v>
      </c>
      <c r="BP124" s="162">
        <v>30</v>
      </c>
      <c r="BQ124" t="s">
        <v>7</v>
      </c>
      <c r="BR124" t="s">
        <v>1849</v>
      </c>
      <c r="BS124" s="162" t="s">
        <v>10170</v>
      </c>
    </row>
    <row r="125" spans="1:71">
      <c r="A125" s="162">
        <v>124</v>
      </c>
      <c r="B125" t="s">
        <v>194</v>
      </c>
      <c r="C125" s="162">
        <v>1</v>
      </c>
      <c r="D125" s="122" t="s">
        <v>644</v>
      </c>
      <c r="E125" t="s">
        <v>626</v>
      </c>
      <c r="F125" t="s">
        <v>3</v>
      </c>
      <c r="G125" t="s">
        <v>198</v>
      </c>
      <c r="H125" t="s">
        <v>645</v>
      </c>
      <c r="I125" s="162">
        <v>1</v>
      </c>
      <c r="J125" t="s">
        <v>1855</v>
      </c>
      <c r="K125" t="s">
        <v>3</v>
      </c>
      <c r="L125" s="165">
        <v>35621</v>
      </c>
      <c r="M125" s="166">
        <v>20</v>
      </c>
      <c r="N125" t="s">
        <v>4</v>
      </c>
      <c r="O125" t="s">
        <v>10134</v>
      </c>
      <c r="P125" t="s">
        <v>48</v>
      </c>
      <c r="Q125" t="s">
        <v>1070</v>
      </c>
      <c r="R125" t="s">
        <v>9912</v>
      </c>
      <c r="S125" s="162">
        <v>43.2</v>
      </c>
      <c r="T125" t="s">
        <v>9913</v>
      </c>
      <c r="U125" s="162">
        <v>41</v>
      </c>
      <c r="V125">
        <v>0</v>
      </c>
      <c r="W125" s="162">
        <v>0</v>
      </c>
      <c r="X125">
        <v>0</v>
      </c>
      <c r="Y125" s="162">
        <v>0</v>
      </c>
      <c r="Z125">
        <v>0</v>
      </c>
      <c r="AA125" s="162">
        <v>0</v>
      </c>
      <c r="AB125">
        <v>0</v>
      </c>
      <c r="AC125" s="162" t="s">
        <v>7</v>
      </c>
      <c r="AD125" s="162" t="s">
        <v>7</v>
      </c>
      <c r="AE125" s="162" t="s">
        <v>7</v>
      </c>
      <c r="AF125" s="162" t="s">
        <v>7</v>
      </c>
      <c r="AG125" s="162" t="s">
        <v>7</v>
      </c>
      <c r="AH125" s="162" t="s">
        <v>7</v>
      </c>
      <c r="AI125" t="s">
        <v>9843</v>
      </c>
      <c r="AJ125" t="s">
        <v>7</v>
      </c>
      <c r="AK125" t="s">
        <v>1599</v>
      </c>
      <c r="AL125" t="s">
        <v>36</v>
      </c>
      <c r="AM125" s="162" t="s">
        <v>10138</v>
      </c>
      <c r="AN125" t="s">
        <v>9843</v>
      </c>
      <c r="AO125" t="s">
        <v>35</v>
      </c>
      <c r="AP125" t="s">
        <v>7</v>
      </c>
      <c r="AQ125" t="s">
        <v>9</v>
      </c>
      <c r="AR125" t="s">
        <v>7</v>
      </c>
      <c r="AS125" s="162" t="s">
        <v>7</v>
      </c>
      <c r="AT125" s="117" t="s">
        <v>7</v>
      </c>
      <c r="AU125" s="162" t="s">
        <v>7</v>
      </c>
      <c r="AV125" s="162" t="s">
        <v>7</v>
      </c>
      <c r="AW125" s="162" t="s">
        <v>9851</v>
      </c>
      <c r="AX125" s="162" t="s">
        <v>7</v>
      </c>
      <c r="AY125" s="162" t="s">
        <v>7</v>
      </c>
      <c r="AZ125" t="s">
        <v>7</v>
      </c>
      <c r="BA125" s="162" t="s">
        <v>7</v>
      </c>
      <c r="BB125" s="162" t="s">
        <v>7</v>
      </c>
      <c r="BC125" s="162" t="s">
        <v>7</v>
      </c>
      <c r="BD125" s="162" t="s">
        <v>7</v>
      </c>
      <c r="BE125" s="162" t="s">
        <v>7</v>
      </c>
      <c r="BF125" s="162" t="str">
        <f t="shared" si="2"/>
        <v>Sim</v>
      </c>
      <c r="BG125" s="162" t="str">
        <f t="shared" si="3"/>
        <v>Não</v>
      </c>
      <c r="BH125" s="162" t="s">
        <v>7</v>
      </c>
      <c r="BI125" t="s">
        <v>9871</v>
      </c>
      <c r="BJ125" s="162" t="s">
        <v>10164</v>
      </c>
      <c r="BK125" t="s">
        <v>1185</v>
      </c>
      <c r="BL125" s="162">
        <v>30</v>
      </c>
      <c r="BM125" t="s">
        <v>35</v>
      </c>
      <c r="BN125" t="s">
        <v>35</v>
      </c>
      <c r="BO125" t="s">
        <v>1185</v>
      </c>
      <c r="BP125" s="162">
        <v>30</v>
      </c>
      <c r="BQ125" t="s">
        <v>7</v>
      </c>
      <c r="BR125" t="s">
        <v>1114</v>
      </c>
      <c r="BS125" s="162" t="s">
        <v>1114</v>
      </c>
    </row>
    <row r="126" spans="1:71">
      <c r="A126" s="162">
        <v>125</v>
      </c>
      <c r="B126" t="s">
        <v>194</v>
      </c>
      <c r="C126" s="162">
        <v>0</v>
      </c>
      <c r="D126" s="122" t="s">
        <v>644</v>
      </c>
      <c r="E126" t="s">
        <v>626</v>
      </c>
      <c r="F126" t="s">
        <v>3</v>
      </c>
      <c r="G126" t="s">
        <v>198</v>
      </c>
      <c r="H126" t="s">
        <v>646</v>
      </c>
      <c r="I126" s="162">
        <v>1</v>
      </c>
      <c r="J126" t="s">
        <v>1855</v>
      </c>
      <c r="K126" t="s">
        <v>3</v>
      </c>
      <c r="L126" s="165">
        <v>35631</v>
      </c>
      <c r="M126" s="166">
        <v>20</v>
      </c>
      <c r="N126" t="s">
        <v>4</v>
      </c>
      <c r="O126" t="s">
        <v>10134</v>
      </c>
      <c r="P126" t="s">
        <v>48</v>
      </c>
      <c r="Q126" t="s">
        <v>1070</v>
      </c>
      <c r="R126" t="s">
        <v>9912</v>
      </c>
      <c r="S126" s="162">
        <v>43.2</v>
      </c>
      <c r="T126" t="s">
        <v>9913</v>
      </c>
      <c r="U126" s="162">
        <v>41</v>
      </c>
      <c r="V126">
        <v>0</v>
      </c>
      <c r="W126" s="162">
        <v>0</v>
      </c>
      <c r="X126">
        <v>0</v>
      </c>
      <c r="Y126" s="162">
        <v>0</v>
      </c>
      <c r="Z126">
        <v>0</v>
      </c>
      <c r="AA126" s="162">
        <v>0</v>
      </c>
      <c r="AB126">
        <v>0</v>
      </c>
      <c r="AC126" s="162" t="s">
        <v>7</v>
      </c>
      <c r="AD126" s="162" t="s">
        <v>7</v>
      </c>
      <c r="AE126" s="162" t="s">
        <v>7</v>
      </c>
      <c r="AF126" s="162" t="s">
        <v>7</v>
      </c>
      <c r="AG126" s="162" t="s">
        <v>7</v>
      </c>
      <c r="AH126" s="162" t="s">
        <v>7</v>
      </c>
      <c r="AI126" t="s">
        <v>9843</v>
      </c>
      <c r="AJ126" t="s">
        <v>7</v>
      </c>
      <c r="AK126" t="s">
        <v>1599</v>
      </c>
      <c r="AL126" t="s">
        <v>36</v>
      </c>
      <c r="AM126" s="162" t="s">
        <v>10138</v>
      </c>
      <c r="AN126" t="s">
        <v>9843</v>
      </c>
      <c r="AO126" t="s">
        <v>35</v>
      </c>
      <c r="AP126" t="s">
        <v>7</v>
      </c>
      <c r="AQ126" t="s">
        <v>9</v>
      </c>
      <c r="AR126" t="s">
        <v>7</v>
      </c>
      <c r="AS126" s="162" t="s">
        <v>7</v>
      </c>
      <c r="AT126" s="117" t="s">
        <v>7</v>
      </c>
      <c r="AU126" s="162" t="s">
        <v>7</v>
      </c>
      <c r="AV126" s="162" t="s">
        <v>7</v>
      </c>
      <c r="AW126" s="162" t="s">
        <v>9851</v>
      </c>
      <c r="AX126" s="162" t="s">
        <v>7</v>
      </c>
      <c r="AY126" s="162" t="s">
        <v>7</v>
      </c>
      <c r="AZ126" t="s">
        <v>7</v>
      </c>
      <c r="BA126" s="162" t="s">
        <v>7</v>
      </c>
      <c r="BB126" s="162" t="s">
        <v>7</v>
      </c>
      <c r="BC126" s="162" t="s">
        <v>7</v>
      </c>
      <c r="BD126" s="162" t="s">
        <v>7</v>
      </c>
      <c r="BE126" s="162" t="s">
        <v>7</v>
      </c>
      <c r="BF126" s="162" t="str">
        <f t="shared" si="2"/>
        <v>Sim</v>
      </c>
      <c r="BG126" s="162" t="str">
        <f t="shared" si="3"/>
        <v>Não</v>
      </c>
      <c r="BH126" s="162" t="s">
        <v>7</v>
      </c>
      <c r="BI126" t="s">
        <v>9871</v>
      </c>
      <c r="BJ126" s="162" t="s">
        <v>10164</v>
      </c>
      <c r="BK126" t="s">
        <v>1185</v>
      </c>
      <c r="BL126" s="162">
        <v>30</v>
      </c>
      <c r="BM126" t="s">
        <v>35</v>
      </c>
      <c r="BN126" t="s">
        <v>35</v>
      </c>
      <c r="BO126" t="s">
        <v>1185</v>
      </c>
      <c r="BP126" s="162">
        <v>30</v>
      </c>
      <c r="BQ126" t="s">
        <v>7</v>
      </c>
      <c r="BR126" t="s">
        <v>1114</v>
      </c>
      <c r="BS126" s="162" t="s">
        <v>1114</v>
      </c>
    </row>
    <row r="127" spans="1:71">
      <c r="A127" s="162">
        <v>126</v>
      </c>
      <c r="B127" t="s">
        <v>384</v>
      </c>
      <c r="C127" s="162">
        <v>1</v>
      </c>
      <c r="D127" s="122" t="s">
        <v>904</v>
      </c>
      <c r="E127" t="s">
        <v>896</v>
      </c>
      <c r="F127" t="s">
        <v>3</v>
      </c>
      <c r="G127" t="s">
        <v>392</v>
      </c>
      <c r="H127" t="s">
        <v>905</v>
      </c>
      <c r="I127" s="162">
        <v>1</v>
      </c>
      <c r="J127" t="s">
        <v>1855</v>
      </c>
      <c r="K127" t="s">
        <v>3</v>
      </c>
      <c r="L127" s="165">
        <v>35818</v>
      </c>
      <c r="M127" s="166">
        <v>19</v>
      </c>
      <c r="N127" t="s">
        <v>5</v>
      </c>
      <c r="O127" t="s">
        <v>10135</v>
      </c>
      <c r="P127" t="s">
        <v>48</v>
      </c>
      <c r="Q127" t="s">
        <v>1822</v>
      </c>
      <c r="R127">
        <v>0</v>
      </c>
      <c r="S127" s="162">
        <v>0</v>
      </c>
      <c r="T127" t="s">
        <v>10021</v>
      </c>
      <c r="U127" s="162">
        <v>21.3</v>
      </c>
      <c r="V127">
        <v>0</v>
      </c>
      <c r="W127" s="162">
        <v>0</v>
      </c>
      <c r="X127">
        <v>0</v>
      </c>
      <c r="Y127" s="162">
        <v>0</v>
      </c>
      <c r="Z127">
        <v>0</v>
      </c>
      <c r="AA127" s="162">
        <v>0</v>
      </c>
      <c r="AB127">
        <v>0</v>
      </c>
      <c r="AC127" s="162" t="s">
        <v>7</v>
      </c>
      <c r="AD127" s="162" t="s">
        <v>7</v>
      </c>
      <c r="AE127" s="162" t="s">
        <v>7</v>
      </c>
      <c r="AF127" s="162" t="s">
        <v>7</v>
      </c>
      <c r="AG127" s="162" t="s">
        <v>7</v>
      </c>
      <c r="AH127" s="162" t="s">
        <v>7</v>
      </c>
      <c r="AI127" t="s">
        <v>9843</v>
      </c>
      <c r="AJ127" t="s">
        <v>7</v>
      </c>
      <c r="AK127" t="s">
        <v>1098</v>
      </c>
      <c r="AL127" t="s">
        <v>36</v>
      </c>
      <c r="AM127" s="162" t="s">
        <v>10138</v>
      </c>
      <c r="AN127" t="s">
        <v>9843</v>
      </c>
      <c r="AO127" t="s">
        <v>35</v>
      </c>
      <c r="AP127" t="s">
        <v>7</v>
      </c>
      <c r="AQ127" t="s">
        <v>9</v>
      </c>
      <c r="AR127" t="s">
        <v>7</v>
      </c>
      <c r="AS127" s="162" t="s">
        <v>7</v>
      </c>
      <c r="AT127" s="117" t="s">
        <v>7</v>
      </c>
      <c r="AU127" s="162" t="s">
        <v>7</v>
      </c>
      <c r="AV127" s="162" t="s">
        <v>7</v>
      </c>
      <c r="AW127" s="162" t="s">
        <v>9851</v>
      </c>
      <c r="AX127" s="162" t="s">
        <v>7</v>
      </c>
      <c r="AY127" s="162" t="s">
        <v>7</v>
      </c>
      <c r="AZ127" t="s">
        <v>7</v>
      </c>
      <c r="BA127" s="162" t="s">
        <v>7</v>
      </c>
      <c r="BB127" s="162" t="s">
        <v>7</v>
      </c>
      <c r="BC127" s="162" t="s">
        <v>7</v>
      </c>
      <c r="BD127" s="162" t="s">
        <v>7</v>
      </c>
      <c r="BE127" s="162" t="s">
        <v>7</v>
      </c>
      <c r="BF127" s="162" t="str">
        <f t="shared" si="2"/>
        <v>Sim</v>
      </c>
      <c r="BG127" s="162" t="str">
        <f t="shared" si="3"/>
        <v>Não</v>
      </c>
      <c r="BH127" s="162" t="s">
        <v>7</v>
      </c>
      <c r="BI127" t="s">
        <v>9871</v>
      </c>
      <c r="BJ127" s="162" t="s">
        <v>10164</v>
      </c>
      <c r="BK127" t="s">
        <v>1185</v>
      </c>
      <c r="BL127" s="162">
        <v>30</v>
      </c>
      <c r="BM127" t="s">
        <v>35</v>
      </c>
      <c r="BN127" t="s">
        <v>35</v>
      </c>
      <c r="BO127" t="s">
        <v>1185</v>
      </c>
      <c r="BP127" s="162">
        <v>30</v>
      </c>
      <c r="BQ127" t="s">
        <v>9851</v>
      </c>
      <c r="BR127" t="s">
        <v>35</v>
      </c>
      <c r="BS127" s="162" t="s">
        <v>35</v>
      </c>
    </row>
    <row r="128" spans="1:71">
      <c r="A128" s="162">
        <v>127</v>
      </c>
      <c r="B128" t="s">
        <v>459</v>
      </c>
      <c r="C128" s="162">
        <v>1</v>
      </c>
      <c r="D128" s="122" t="s">
        <v>505</v>
      </c>
      <c r="E128" t="s">
        <v>1036</v>
      </c>
      <c r="F128" t="s">
        <v>3</v>
      </c>
      <c r="G128" t="s">
        <v>461</v>
      </c>
      <c r="H128" t="s">
        <v>1045</v>
      </c>
      <c r="I128" s="162">
        <v>1</v>
      </c>
      <c r="J128" t="s">
        <v>76</v>
      </c>
      <c r="K128" t="s">
        <v>3</v>
      </c>
      <c r="L128" s="165">
        <v>32518</v>
      </c>
      <c r="M128" s="166">
        <v>28</v>
      </c>
      <c r="N128" t="s">
        <v>5</v>
      </c>
      <c r="O128" t="s">
        <v>10135</v>
      </c>
      <c r="P128" t="s">
        <v>77</v>
      </c>
      <c r="Q128" t="s">
        <v>9790</v>
      </c>
      <c r="R128" t="s">
        <v>1496</v>
      </c>
      <c r="S128" s="162">
        <v>2</v>
      </c>
      <c r="T128" t="s">
        <v>1495</v>
      </c>
      <c r="U128" s="162">
        <v>22.5</v>
      </c>
      <c r="V128">
        <v>0</v>
      </c>
      <c r="W128" s="162">
        <v>0</v>
      </c>
      <c r="X128">
        <v>0</v>
      </c>
      <c r="Y128" s="162">
        <v>0</v>
      </c>
      <c r="Z128">
        <v>0</v>
      </c>
      <c r="AA128" s="162">
        <v>0</v>
      </c>
      <c r="AB128">
        <v>0</v>
      </c>
      <c r="AC128" s="162" t="s">
        <v>7</v>
      </c>
      <c r="AD128" s="162" t="s">
        <v>7</v>
      </c>
      <c r="AE128" s="162" t="s">
        <v>7</v>
      </c>
      <c r="AF128" s="162" t="s">
        <v>7</v>
      </c>
      <c r="AG128" s="162" t="s">
        <v>7</v>
      </c>
      <c r="AH128" s="162" t="s">
        <v>7</v>
      </c>
      <c r="AI128" t="s">
        <v>9843</v>
      </c>
      <c r="AJ128" t="s">
        <v>9848</v>
      </c>
      <c r="AK128" t="s">
        <v>1497</v>
      </c>
      <c r="AL128" t="s">
        <v>36</v>
      </c>
      <c r="AM128" s="162" t="s">
        <v>10138</v>
      </c>
      <c r="AN128" t="s">
        <v>9843</v>
      </c>
      <c r="AO128" t="s">
        <v>9848</v>
      </c>
      <c r="AP128" t="s">
        <v>7</v>
      </c>
      <c r="AQ128" t="s">
        <v>9</v>
      </c>
      <c r="AR128" t="s">
        <v>7</v>
      </c>
      <c r="AS128" s="162" t="s">
        <v>7</v>
      </c>
      <c r="AT128" s="117" t="s">
        <v>7</v>
      </c>
      <c r="AU128" s="162" t="s">
        <v>7</v>
      </c>
      <c r="AV128" s="162" t="s">
        <v>7</v>
      </c>
      <c r="AW128" s="162" t="s">
        <v>9851</v>
      </c>
      <c r="AX128" s="162" t="s">
        <v>7</v>
      </c>
      <c r="AY128" s="162" t="s">
        <v>7</v>
      </c>
      <c r="AZ128" t="s">
        <v>7</v>
      </c>
      <c r="BA128" s="162" t="s">
        <v>7</v>
      </c>
      <c r="BB128" s="162" t="s">
        <v>7</v>
      </c>
      <c r="BC128" s="162" t="s">
        <v>7</v>
      </c>
      <c r="BD128" s="162" t="s">
        <v>7</v>
      </c>
      <c r="BE128" s="162" t="s">
        <v>7</v>
      </c>
      <c r="BF128" s="162" t="str">
        <f t="shared" si="2"/>
        <v>Sim</v>
      </c>
      <c r="BG128" s="162" t="str">
        <f t="shared" si="3"/>
        <v>Não</v>
      </c>
      <c r="BH128" s="162" t="s">
        <v>7</v>
      </c>
      <c r="BI128" t="s">
        <v>9871</v>
      </c>
      <c r="BJ128" s="162" t="s">
        <v>10164</v>
      </c>
      <c r="BK128" t="s">
        <v>1185</v>
      </c>
      <c r="BL128" s="162">
        <v>30</v>
      </c>
      <c r="BM128" t="s">
        <v>35</v>
      </c>
      <c r="BN128" t="s">
        <v>1162</v>
      </c>
      <c r="BO128" t="s">
        <v>1215</v>
      </c>
      <c r="BP128" s="162">
        <v>66</v>
      </c>
      <c r="BQ128" t="s">
        <v>35</v>
      </c>
      <c r="BR128" t="s">
        <v>1114</v>
      </c>
      <c r="BS128" s="162" t="s">
        <v>1114</v>
      </c>
    </row>
    <row r="129" spans="1:71">
      <c r="A129" s="162">
        <v>128</v>
      </c>
      <c r="B129" t="s">
        <v>390</v>
      </c>
      <c r="C129" s="162">
        <v>1</v>
      </c>
      <c r="D129" s="122" t="s">
        <v>909</v>
      </c>
      <c r="E129" t="s">
        <v>910</v>
      </c>
      <c r="F129" t="s">
        <v>3</v>
      </c>
      <c r="G129" t="s">
        <v>392</v>
      </c>
      <c r="H129" t="s">
        <v>916</v>
      </c>
      <c r="I129" s="162">
        <v>1</v>
      </c>
      <c r="J129" t="s">
        <v>1855</v>
      </c>
      <c r="K129" t="s">
        <v>3</v>
      </c>
      <c r="L129" s="165">
        <v>32255</v>
      </c>
      <c r="M129" s="166">
        <v>29</v>
      </c>
      <c r="N129" t="s">
        <v>4</v>
      </c>
      <c r="O129" t="s">
        <v>10134</v>
      </c>
      <c r="P129" t="s">
        <v>41</v>
      </c>
      <c r="Q129" t="s">
        <v>1838</v>
      </c>
      <c r="R129" t="s">
        <v>1839</v>
      </c>
      <c r="S129" s="162">
        <v>82</v>
      </c>
      <c r="T129" t="s">
        <v>1840</v>
      </c>
      <c r="U129" s="162">
        <v>22.6</v>
      </c>
      <c r="V129">
        <v>0</v>
      </c>
      <c r="W129" s="162">
        <v>0</v>
      </c>
      <c r="X129">
        <v>0</v>
      </c>
      <c r="Y129" s="162">
        <v>0</v>
      </c>
      <c r="Z129">
        <v>0</v>
      </c>
      <c r="AA129" s="162">
        <v>0</v>
      </c>
      <c r="AB129">
        <v>0</v>
      </c>
      <c r="AC129" s="162" t="s">
        <v>7</v>
      </c>
      <c r="AD129" s="162" t="s">
        <v>7</v>
      </c>
      <c r="AE129" s="162" t="s">
        <v>7</v>
      </c>
      <c r="AF129" s="162" t="s">
        <v>7</v>
      </c>
      <c r="AG129" s="162" t="s">
        <v>7</v>
      </c>
      <c r="AH129" s="162" t="s">
        <v>7</v>
      </c>
      <c r="AI129" t="s">
        <v>9843</v>
      </c>
      <c r="AJ129" t="s">
        <v>7</v>
      </c>
      <c r="AK129" t="s">
        <v>72</v>
      </c>
      <c r="AL129" t="s">
        <v>36</v>
      </c>
      <c r="AM129" s="162" t="s">
        <v>10138</v>
      </c>
      <c r="AN129" t="s">
        <v>9843</v>
      </c>
      <c r="AO129" t="s">
        <v>35</v>
      </c>
      <c r="AP129" t="s">
        <v>7</v>
      </c>
      <c r="AQ129" t="s">
        <v>9</v>
      </c>
      <c r="AR129" t="s">
        <v>7</v>
      </c>
      <c r="AS129" s="162" t="s">
        <v>7</v>
      </c>
      <c r="AT129" s="117" t="s">
        <v>7</v>
      </c>
      <c r="AU129" s="162" t="s">
        <v>7</v>
      </c>
      <c r="AV129" s="162" t="s">
        <v>7</v>
      </c>
      <c r="AW129" s="162" t="s">
        <v>9851</v>
      </c>
      <c r="AX129" s="162" t="s">
        <v>7</v>
      </c>
      <c r="AY129" s="162" t="s">
        <v>7</v>
      </c>
      <c r="AZ129" t="s">
        <v>7</v>
      </c>
      <c r="BA129" s="162" t="s">
        <v>7</v>
      </c>
      <c r="BB129" s="162" t="s">
        <v>7</v>
      </c>
      <c r="BC129" s="162" t="s">
        <v>7</v>
      </c>
      <c r="BD129" s="162" t="s">
        <v>7</v>
      </c>
      <c r="BE129" s="162" t="s">
        <v>7</v>
      </c>
      <c r="BF129" s="162" t="str">
        <f t="shared" si="2"/>
        <v>Sim</v>
      </c>
      <c r="BG129" s="162" t="str">
        <f t="shared" si="3"/>
        <v>Não</v>
      </c>
      <c r="BH129" s="162" t="s">
        <v>7</v>
      </c>
      <c r="BI129" t="s">
        <v>9871</v>
      </c>
      <c r="BJ129" s="162" t="s">
        <v>10164</v>
      </c>
      <c r="BK129" t="s">
        <v>1185</v>
      </c>
      <c r="BL129" s="162">
        <v>30</v>
      </c>
      <c r="BM129" t="s">
        <v>35</v>
      </c>
      <c r="BN129" t="s">
        <v>35</v>
      </c>
      <c r="BO129" t="s">
        <v>1185</v>
      </c>
      <c r="BP129" s="162">
        <v>30</v>
      </c>
      <c r="BQ129" t="s">
        <v>7</v>
      </c>
      <c r="BR129" t="s">
        <v>1849</v>
      </c>
      <c r="BS129" s="162" t="s">
        <v>10170</v>
      </c>
    </row>
    <row r="130" spans="1:71">
      <c r="A130" s="162">
        <v>129</v>
      </c>
      <c r="B130" t="s">
        <v>406</v>
      </c>
      <c r="C130" s="162">
        <v>1</v>
      </c>
      <c r="D130" s="122" t="s">
        <v>642</v>
      </c>
      <c r="E130" t="s">
        <v>922</v>
      </c>
      <c r="F130" t="s">
        <v>515</v>
      </c>
      <c r="G130" t="s">
        <v>411</v>
      </c>
      <c r="H130" t="s">
        <v>943</v>
      </c>
      <c r="I130" s="162">
        <v>1</v>
      </c>
      <c r="J130" t="s">
        <v>1855</v>
      </c>
      <c r="K130" t="s">
        <v>3</v>
      </c>
      <c r="L130" s="165">
        <v>30750</v>
      </c>
      <c r="M130" s="166">
        <v>33</v>
      </c>
      <c r="N130" t="s">
        <v>4</v>
      </c>
      <c r="O130" t="s">
        <v>10134</v>
      </c>
      <c r="P130" t="s">
        <v>48</v>
      </c>
      <c r="Q130" t="s">
        <v>1267</v>
      </c>
      <c r="R130">
        <v>0</v>
      </c>
      <c r="S130" s="162">
        <v>0</v>
      </c>
      <c r="T130" t="s">
        <v>1184</v>
      </c>
      <c r="U130" s="162">
        <v>19.5</v>
      </c>
      <c r="V130" t="s">
        <v>1183</v>
      </c>
      <c r="W130" s="162">
        <v>82.6</v>
      </c>
      <c r="X130">
        <v>0</v>
      </c>
      <c r="Y130" s="162">
        <v>0</v>
      </c>
      <c r="Z130">
        <v>0</v>
      </c>
      <c r="AA130" s="162">
        <v>0</v>
      </c>
      <c r="AB130">
        <v>0</v>
      </c>
      <c r="AC130" s="162" t="s">
        <v>7</v>
      </c>
      <c r="AD130" s="162" t="s">
        <v>7</v>
      </c>
      <c r="AE130" s="162" t="s">
        <v>7</v>
      </c>
      <c r="AF130" s="162" t="s">
        <v>7</v>
      </c>
      <c r="AG130" s="162" t="s">
        <v>7</v>
      </c>
      <c r="AH130" s="162" t="s">
        <v>7</v>
      </c>
      <c r="AI130" t="s">
        <v>9846</v>
      </c>
      <c r="AJ130" t="s">
        <v>7</v>
      </c>
      <c r="AK130" t="s">
        <v>9839</v>
      </c>
      <c r="AL130" t="s">
        <v>78</v>
      </c>
      <c r="AM130" s="162" t="s">
        <v>10138</v>
      </c>
      <c r="AN130" t="s">
        <v>9843</v>
      </c>
      <c r="AO130" t="s">
        <v>35</v>
      </c>
      <c r="AP130" t="s">
        <v>7</v>
      </c>
      <c r="AQ130" t="s">
        <v>9</v>
      </c>
      <c r="AR130" t="s">
        <v>7</v>
      </c>
      <c r="AS130" s="162" t="s">
        <v>7</v>
      </c>
      <c r="AT130" s="117" t="s">
        <v>7</v>
      </c>
      <c r="AU130" s="162" t="s">
        <v>7</v>
      </c>
      <c r="AV130" s="162" t="s">
        <v>7</v>
      </c>
      <c r="AW130" s="162" t="s">
        <v>9851</v>
      </c>
      <c r="AX130" s="162" t="s">
        <v>7</v>
      </c>
      <c r="AY130" s="162" t="s">
        <v>7</v>
      </c>
      <c r="AZ130" t="s">
        <v>7</v>
      </c>
      <c r="BA130" s="162" t="s">
        <v>7</v>
      </c>
      <c r="BB130" s="162" t="s">
        <v>7</v>
      </c>
      <c r="BC130" s="162" t="s">
        <v>7</v>
      </c>
      <c r="BD130" s="162" t="s">
        <v>7</v>
      </c>
      <c r="BE130" s="162" t="s">
        <v>7</v>
      </c>
      <c r="BF130" s="162" t="str">
        <f t="shared" ref="BF130:BF193" si="4">IF(AZ130="Não","Sim","Não")</f>
        <v>Sim</v>
      </c>
      <c r="BG130" s="162" t="str">
        <f t="shared" ref="BG130:BG193" si="5">IF(AZ130="NA","Sim","Não")</f>
        <v>Não</v>
      </c>
      <c r="BH130" s="162" t="s">
        <v>7</v>
      </c>
      <c r="BI130" t="s">
        <v>9871</v>
      </c>
      <c r="BJ130" s="162" t="s">
        <v>10164</v>
      </c>
      <c r="BK130" t="s">
        <v>1185</v>
      </c>
      <c r="BL130" s="162">
        <v>30</v>
      </c>
      <c r="BM130" t="s">
        <v>35</v>
      </c>
      <c r="BN130" t="s">
        <v>35</v>
      </c>
      <c r="BO130" t="s">
        <v>1185</v>
      </c>
      <c r="BP130" s="162">
        <v>30</v>
      </c>
      <c r="BQ130" t="s">
        <v>9851</v>
      </c>
      <c r="BR130" t="s">
        <v>35</v>
      </c>
      <c r="BS130" s="162" t="s">
        <v>35</v>
      </c>
    </row>
    <row r="131" spans="1:71">
      <c r="A131" s="162">
        <v>130</v>
      </c>
      <c r="B131" t="s">
        <v>371</v>
      </c>
      <c r="C131" s="162">
        <v>1</v>
      </c>
      <c r="D131" s="122" t="s">
        <v>885</v>
      </c>
      <c r="E131" t="s">
        <v>873</v>
      </c>
      <c r="F131" t="s">
        <v>515</v>
      </c>
      <c r="G131" t="s">
        <v>378</v>
      </c>
      <c r="H131" t="s">
        <v>886</v>
      </c>
      <c r="I131" s="162">
        <v>1</v>
      </c>
      <c r="J131" t="s">
        <v>1855</v>
      </c>
      <c r="K131" t="s">
        <v>3</v>
      </c>
      <c r="L131" s="165">
        <v>35765</v>
      </c>
      <c r="M131" s="166">
        <v>19</v>
      </c>
      <c r="N131" t="s">
        <v>4</v>
      </c>
      <c r="O131" t="s">
        <v>10134</v>
      </c>
      <c r="P131" t="s">
        <v>77</v>
      </c>
      <c r="Q131" t="s">
        <v>1186</v>
      </c>
      <c r="R131" t="s">
        <v>1795</v>
      </c>
      <c r="S131" s="162">
        <v>41.7</v>
      </c>
      <c r="T131" t="s">
        <v>1796</v>
      </c>
      <c r="U131" s="162">
        <v>28.5</v>
      </c>
      <c r="V131" t="s">
        <v>1797</v>
      </c>
      <c r="W131" s="162">
        <v>3.1</v>
      </c>
      <c r="X131">
        <v>0</v>
      </c>
      <c r="Y131" s="162">
        <v>0</v>
      </c>
      <c r="Z131">
        <v>0</v>
      </c>
      <c r="AA131" s="162">
        <v>0</v>
      </c>
      <c r="AB131">
        <v>0</v>
      </c>
      <c r="AC131" s="162" t="s">
        <v>7</v>
      </c>
      <c r="AD131" s="162" t="s">
        <v>7</v>
      </c>
      <c r="AE131" s="162" t="s">
        <v>7</v>
      </c>
      <c r="AF131" s="162" t="s">
        <v>7</v>
      </c>
      <c r="AG131" s="162" t="s">
        <v>7</v>
      </c>
      <c r="AH131" s="162" t="s">
        <v>7</v>
      </c>
      <c r="AI131" t="s">
        <v>9843</v>
      </c>
      <c r="AJ131" t="s">
        <v>7</v>
      </c>
      <c r="AK131" t="s">
        <v>1599</v>
      </c>
      <c r="AL131" t="s">
        <v>36</v>
      </c>
      <c r="AM131" s="162" t="s">
        <v>10138</v>
      </c>
      <c r="AN131" t="s">
        <v>9843</v>
      </c>
      <c r="AO131" t="s">
        <v>35</v>
      </c>
      <c r="AP131" t="s">
        <v>7</v>
      </c>
      <c r="AQ131" t="s">
        <v>9</v>
      </c>
      <c r="AR131" t="s">
        <v>7</v>
      </c>
      <c r="AS131" s="162" t="s">
        <v>7</v>
      </c>
      <c r="AT131" s="117" t="s">
        <v>7</v>
      </c>
      <c r="AU131" s="162" t="s">
        <v>7</v>
      </c>
      <c r="AV131" s="162" t="s">
        <v>7</v>
      </c>
      <c r="AW131" s="162" t="s">
        <v>9851</v>
      </c>
      <c r="AX131" s="162" t="s">
        <v>7</v>
      </c>
      <c r="AY131" s="162" t="s">
        <v>7</v>
      </c>
      <c r="AZ131" t="s">
        <v>7</v>
      </c>
      <c r="BA131" s="162" t="s">
        <v>7</v>
      </c>
      <c r="BB131" s="162" t="s">
        <v>7</v>
      </c>
      <c r="BC131" s="162" t="s">
        <v>7</v>
      </c>
      <c r="BD131" s="162" t="s">
        <v>7</v>
      </c>
      <c r="BE131" s="162" t="s">
        <v>7</v>
      </c>
      <c r="BF131" s="162" t="str">
        <f t="shared" si="4"/>
        <v>Sim</v>
      </c>
      <c r="BG131" s="162" t="str">
        <f t="shared" si="5"/>
        <v>Não</v>
      </c>
      <c r="BH131" s="162" t="s">
        <v>7</v>
      </c>
      <c r="BI131" t="s">
        <v>9871</v>
      </c>
      <c r="BJ131" s="162" t="s">
        <v>10164</v>
      </c>
      <c r="BK131" t="s">
        <v>1185</v>
      </c>
      <c r="BL131" s="162">
        <v>30</v>
      </c>
      <c r="BM131" t="s">
        <v>35</v>
      </c>
      <c r="BN131" t="s">
        <v>35</v>
      </c>
      <c r="BO131" t="s">
        <v>1185</v>
      </c>
      <c r="BP131" s="162">
        <v>30</v>
      </c>
      <c r="BQ131" t="s">
        <v>9851</v>
      </c>
      <c r="BR131" t="s">
        <v>35</v>
      </c>
      <c r="BS131" s="162" t="s">
        <v>35</v>
      </c>
    </row>
    <row r="132" spans="1:71">
      <c r="A132" s="162">
        <v>131</v>
      </c>
      <c r="B132" t="s">
        <v>284</v>
      </c>
      <c r="C132" s="162">
        <v>1</v>
      </c>
      <c r="D132" s="122">
        <v>43003</v>
      </c>
      <c r="E132" t="s">
        <v>788</v>
      </c>
      <c r="F132" t="s">
        <v>515</v>
      </c>
      <c r="G132" t="s">
        <v>291</v>
      </c>
      <c r="H132" t="s">
        <v>794</v>
      </c>
      <c r="I132" s="162">
        <v>1</v>
      </c>
      <c r="J132" t="s">
        <v>1855</v>
      </c>
      <c r="K132" t="s">
        <v>3</v>
      </c>
      <c r="L132" s="165">
        <v>36166</v>
      </c>
      <c r="M132" s="166">
        <v>18</v>
      </c>
      <c r="N132" t="s">
        <v>1093</v>
      </c>
      <c r="O132" t="s">
        <v>10135</v>
      </c>
      <c r="P132" t="s">
        <v>48</v>
      </c>
      <c r="Q132" t="s">
        <v>1070</v>
      </c>
      <c r="R132" t="s">
        <v>9958</v>
      </c>
      <c r="S132" s="162">
        <v>236.6</v>
      </c>
      <c r="T132" t="s">
        <v>9959</v>
      </c>
      <c r="U132" s="162">
        <v>25.8</v>
      </c>
      <c r="V132" t="s">
        <v>9960</v>
      </c>
      <c r="W132" s="162">
        <v>5.8</v>
      </c>
      <c r="X132">
        <v>0</v>
      </c>
      <c r="Y132" s="162">
        <v>0</v>
      </c>
      <c r="Z132">
        <v>0</v>
      </c>
      <c r="AA132" s="162">
        <v>0</v>
      </c>
      <c r="AB132" t="s">
        <v>9961</v>
      </c>
      <c r="AC132" s="162" t="s">
        <v>7</v>
      </c>
      <c r="AD132" s="162" t="s">
        <v>7</v>
      </c>
      <c r="AE132" s="162" t="s">
        <v>7</v>
      </c>
      <c r="AF132" s="162" t="s">
        <v>7</v>
      </c>
      <c r="AG132" s="162" t="s">
        <v>9851</v>
      </c>
      <c r="AH132" s="162" t="s">
        <v>7</v>
      </c>
      <c r="AI132" t="s">
        <v>9843</v>
      </c>
      <c r="AJ132" t="s">
        <v>7</v>
      </c>
      <c r="AK132" t="s">
        <v>1333</v>
      </c>
      <c r="AL132" t="s">
        <v>36</v>
      </c>
      <c r="AM132" s="162" t="s">
        <v>10138</v>
      </c>
      <c r="AN132" t="s">
        <v>9843</v>
      </c>
      <c r="AO132" t="s">
        <v>35</v>
      </c>
      <c r="AP132" t="s">
        <v>7</v>
      </c>
      <c r="AQ132" t="s">
        <v>9</v>
      </c>
      <c r="AR132" t="s">
        <v>7</v>
      </c>
      <c r="AS132" s="162" t="s">
        <v>7</v>
      </c>
      <c r="AT132" s="117" t="s">
        <v>7</v>
      </c>
      <c r="AU132" s="162" t="s">
        <v>7</v>
      </c>
      <c r="AV132" s="162" t="s">
        <v>7</v>
      </c>
      <c r="AW132" s="162" t="s">
        <v>9851</v>
      </c>
      <c r="AX132" s="162" t="s">
        <v>7</v>
      </c>
      <c r="AY132" s="162" t="s">
        <v>7</v>
      </c>
      <c r="AZ132" t="s">
        <v>7</v>
      </c>
      <c r="BA132" s="162" t="s">
        <v>7</v>
      </c>
      <c r="BB132" s="162" t="s">
        <v>7</v>
      </c>
      <c r="BC132" s="162" t="s">
        <v>7</v>
      </c>
      <c r="BD132" s="162" t="s">
        <v>7</v>
      </c>
      <c r="BE132" s="162" t="s">
        <v>7</v>
      </c>
      <c r="BF132" s="162" t="str">
        <f t="shared" si="4"/>
        <v>Sim</v>
      </c>
      <c r="BG132" s="162" t="str">
        <f t="shared" si="5"/>
        <v>Não</v>
      </c>
      <c r="BH132" s="162" t="s">
        <v>7</v>
      </c>
      <c r="BI132" t="s">
        <v>9871</v>
      </c>
      <c r="BJ132" s="162" t="s">
        <v>10164</v>
      </c>
      <c r="BK132" t="s">
        <v>1185</v>
      </c>
      <c r="BL132" s="162">
        <v>30</v>
      </c>
      <c r="BM132" t="s">
        <v>35</v>
      </c>
      <c r="BN132" t="s">
        <v>35</v>
      </c>
      <c r="BO132" t="s">
        <v>1185</v>
      </c>
      <c r="BP132" s="162">
        <v>30</v>
      </c>
      <c r="BQ132" t="s">
        <v>7</v>
      </c>
      <c r="BR132" t="s">
        <v>1849</v>
      </c>
      <c r="BS132" s="162" t="s">
        <v>10170</v>
      </c>
    </row>
    <row r="133" spans="1:71">
      <c r="A133" s="162">
        <v>132</v>
      </c>
      <c r="B133" t="s">
        <v>193</v>
      </c>
      <c r="C133" s="162">
        <v>1</v>
      </c>
      <c r="D133" s="122" t="s">
        <v>642</v>
      </c>
      <c r="E133" t="s">
        <v>632</v>
      </c>
      <c r="F133" t="s">
        <v>515</v>
      </c>
      <c r="G133" t="s">
        <v>198</v>
      </c>
      <c r="H133" t="s">
        <v>643</v>
      </c>
      <c r="I133" s="162">
        <v>1</v>
      </c>
      <c r="J133" t="s">
        <v>1598</v>
      </c>
      <c r="K133" t="s">
        <v>3</v>
      </c>
      <c r="L133" s="165">
        <v>32274</v>
      </c>
      <c r="M133" s="166">
        <v>29</v>
      </c>
      <c r="N133" t="s">
        <v>4</v>
      </c>
      <c r="O133" t="s">
        <v>10134</v>
      </c>
      <c r="P133" t="s">
        <v>48</v>
      </c>
      <c r="Q133" t="s">
        <v>1186</v>
      </c>
      <c r="R133" t="s">
        <v>9909</v>
      </c>
      <c r="S133" s="162">
        <v>72.599999999999994</v>
      </c>
      <c r="T133" t="s">
        <v>9910</v>
      </c>
      <c r="U133" s="162">
        <v>42.5</v>
      </c>
      <c r="V133" t="s">
        <v>9911</v>
      </c>
      <c r="W133" s="162">
        <v>14.3</v>
      </c>
      <c r="X133">
        <v>0</v>
      </c>
      <c r="Y133" s="162">
        <v>0</v>
      </c>
      <c r="Z133">
        <v>0</v>
      </c>
      <c r="AA133" s="162">
        <v>0</v>
      </c>
      <c r="AB133">
        <v>0</v>
      </c>
      <c r="AC133" s="162" t="s">
        <v>7</v>
      </c>
      <c r="AD133" s="162" t="s">
        <v>7</v>
      </c>
      <c r="AE133" s="162" t="s">
        <v>7</v>
      </c>
      <c r="AF133" s="162" t="s">
        <v>7</v>
      </c>
      <c r="AG133" s="162" t="s">
        <v>7</v>
      </c>
      <c r="AH133" s="162" t="s">
        <v>7</v>
      </c>
      <c r="AI133" t="s">
        <v>9843</v>
      </c>
      <c r="AJ133" t="s">
        <v>7</v>
      </c>
      <c r="AK133" t="s">
        <v>1098</v>
      </c>
      <c r="AL133" t="s">
        <v>36</v>
      </c>
      <c r="AM133" s="162" t="s">
        <v>10138</v>
      </c>
      <c r="AN133" t="s">
        <v>9843</v>
      </c>
      <c r="AO133" t="s">
        <v>35</v>
      </c>
      <c r="AP133" t="s">
        <v>7</v>
      </c>
      <c r="AQ133" t="s">
        <v>9</v>
      </c>
      <c r="AR133" t="s">
        <v>7</v>
      </c>
      <c r="AS133" s="162" t="s">
        <v>7</v>
      </c>
      <c r="AT133" s="117" t="s">
        <v>7</v>
      </c>
      <c r="AU133" s="162" t="s">
        <v>7</v>
      </c>
      <c r="AV133" s="162" t="s">
        <v>7</v>
      </c>
      <c r="AW133" s="162" t="s">
        <v>9851</v>
      </c>
      <c r="AX133" s="162" t="s">
        <v>7</v>
      </c>
      <c r="AY133" s="162" t="s">
        <v>7</v>
      </c>
      <c r="AZ133" t="s">
        <v>7</v>
      </c>
      <c r="BA133" s="162" t="s">
        <v>7</v>
      </c>
      <c r="BB133" s="162" t="s">
        <v>7</v>
      </c>
      <c r="BC133" s="162" t="s">
        <v>7</v>
      </c>
      <c r="BD133" s="162" t="s">
        <v>7</v>
      </c>
      <c r="BE133" s="162" t="s">
        <v>7</v>
      </c>
      <c r="BF133" s="162" t="str">
        <f t="shared" si="4"/>
        <v>Sim</v>
      </c>
      <c r="BG133" s="162" t="str">
        <f t="shared" si="5"/>
        <v>Não</v>
      </c>
      <c r="BH133" s="162" t="s">
        <v>7</v>
      </c>
      <c r="BI133" t="s">
        <v>9871</v>
      </c>
      <c r="BJ133" s="162" t="s">
        <v>10164</v>
      </c>
      <c r="BK133" t="s">
        <v>1185</v>
      </c>
      <c r="BL133" s="162">
        <v>30</v>
      </c>
      <c r="BM133" t="s">
        <v>35</v>
      </c>
      <c r="BN133" t="s">
        <v>35</v>
      </c>
      <c r="BO133" t="s">
        <v>1185</v>
      </c>
      <c r="BP133" s="162">
        <v>30</v>
      </c>
      <c r="BQ133" t="s">
        <v>9851</v>
      </c>
      <c r="BR133" t="s">
        <v>35</v>
      </c>
      <c r="BS133" s="162" t="s">
        <v>35</v>
      </c>
    </row>
    <row r="134" spans="1:71">
      <c r="A134" s="162">
        <v>133</v>
      </c>
      <c r="B134" t="s">
        <v>460</v>
      </c>
      <c r="C134" s="162">
        <v>1</v>
      </c>
      <c r="D134" s="122" t="s">
        <v>690</v>
      </c>
      <c r="E134" t="s">
        <v>1036</v>
      </c>
      <c r="F134" t="s">
        <v>3</v>
      </c>
      <c r="G134" t="s">
        <v>461</v>
      </c>
      <c r="H134" t="s">
        <v>1046</v>
      </c>
      <c r="I134" s="162">
        <v>1</v>
      </c>
      <c r="J134" t="s">
        <v>1855</v>
      </c>
      <c r="K134" t="s">
        <v>3</v>
      </c>
      <c r="L134" s="165">
        <v>32314</v>
      </c>
      <c r="M134" s="166">
        <v>29</v>
      </c>
      <c r="N134" t="s">
        <v>4</v>
      </c>
      <c r="O134" t="s">
        <v>10134</v>
      </c>
      <c r="P134" t="s">
        <v>48</v>
      </c>
      <c r="Q134" t="s">
        <v>1120</v>
      </c>
      <c r="R134" t="s">
        <v>1498</v>
      </c>
      <c r="S134" s="162">
        <v>1938.7</v>
      </c>
      <c r="T134">
        <v>0</v>
      </c>
      <c r="U134" s="162">
        <v>0</v>
      </c>
      <c r="V134" t="s">
        <v>1499</v>
      </c>
      <c r="W134" s="162">
        <v>13.5</v>
      </c>
      <c r="X134">
        <v>0</v>
      </c>
      <c r="Y134" s="162">
        <v>0</v>
      </c>
      <c r="Z134">
        <v>0</v>
      </c>
      <c r="AA134" s="162">
        <v>0</v>
      </c>
      <c r="AB134">
        <v>0</v>
      </c>
      <c r="AC134" s="162" t="s">
        <v>7</v>
      </c>
      <c r="AD134" s="162" t="s">
        <v>7</v>
      </c>
      <c r="AE134" s="162" t="s">
        <v>7</v>
      </c>
      <c r="AF134" s="162" t="s">
        <v>7</v>
      </c>
      <c r="AG134" s="162" t="s">
        <v>7</v>
      </c>
      <c r="AH134" s="162" t="s">
        <v>7</v>
      </c>
      <c r="AI134" t="s">
        <v>9843</v>
      </c>
      <c r="AJ134" t="s">
        <v>1271</v>
      </c>
      <c r="AK134" t="s">
        <v>1370</v>
      </c>
      <c r="AL134" t="s">
        <v>78</v>
      </c>
      <c r="AM134" s="162" t="s">
        <v>10138</v>
      </c>
      <c r="AN134" t="s">
        <v>9843</v>
      </c>
      <c r="AO134" t="s">
        <v>7</v>
      </c>
      <c r="AP134" t="s">
        <v>7</v>
      </c>
      <c r="AQ134" t="s">
        <v>9</v>
      </c>
      <c r="AR134" t="s">
        <v>7</v>
      </c>
      <c r="AS134" s="162" t="s">
        <v>7</v>
      </c>
      <c r="AT134" s="117" t="s">
        <v>7</v>
      </c>
      <c r="AU134" s="162" t="s">
        <v>7</v>
      </c>
      <c r="AV134" s="162" t="s">
        <v>7</v>
      </c>
      <c r="AW134" s="162" t="s">
        <v>9851</v>
      </c>
      <c r="AX134" s="162" t="s">
        <v>7</v>
      </c>
      <c r="AY134" s="162" t="s">
        <v>7</v>
      </c>
      <c r="AZ134" t="s">
        <v>7</v>
      </c>
      <c r="BA134" s="162" t="s">
        <v>7</v>
      </c>
      <c r="BB134" s="162" t="s">
        <v>7</v>
      </c>
      <c r="BC134" s="162" t="s">
        <v>7</v>
      </c>
      <c r="BD134" s="162" t="s">
        <v>7</v>
      </c>
      <c r="BE134" s="162" t="s">
        <v>7</v>
      </c>
      <c r="BF134" s="162" t="str">
        <f t="shared" si="4"/>
        <v>Sim</v>
      </c>
      <c r="BG134" s="162" t="str">
        <f t="shared" si="5"/>
        <v>Não</v>
      </c>
      <c r="BH134" s="162" t="s">
        <v>7</v>
      </c>
      <c r="BI134" t="s">
        <v>9871</v>
      </c>
      <c r="BJ134" s="162" t="s">
        <v>10164</v>
      </c>
      <c r="BK134" t="s">
        <v>1185</v>
      </c>
      <c r="BL134" s="162">
        <v>30</v>
      </c>
      <c r="BM134" t="s">
        <v>35</v>
      </c>
      <c r="BN134" t="s">
        <v>35</v>
      </c>
      <c r="BO134" t="s">
        <v>1185</v>
      </c>
      <c r="BP134" s="162">
        <v>30</v>
      </c>
      <c r="BQ134" t="s">
        <v>7</v>
      </c>
      <c r="BR134" t="s">
        <v>1114</v>
      </c>
      <c r="BS134" s="162" t="s">
        <v>1114</v>
      </c>
    </row>
    <row r="135" spans="1:71">
      <c r="A135" s="162">
        <v>134</v>
      </c>
      <c r="B135" t="s">
        <v>201</v>
      </c>
      <c r="C135" s="162">
        <v>1</v>
      </c>
      <c r="D135" s="122" t="s">
        <v>544</v>
      </c>
      <c r="E135" t="s">
        <v>656</v>
      </c>
      <c r="F135" t="s">
        <v>515</v>
      </c>
      <c r="G135" t="s">
        <v>214</v>
      </c>
      <c r="H135" t="s">
        <v>657</v>
      </c>
      <c r="I135" s="162">
        <v>1</v>
      </c>
      <c r="J135" t="s">
        <v>1864</v>
      </c>
      <c r="K135" t="s">
        <v>3</v>
      </c>
      <c r="L135" s="165">
        <v>34420</v>
      </c>
      <c r="M135" s="166">
        <v>23</v>
      </c>
      <c r="N135" t="s">
        <v>4</v>
      </c>
      <c r="O135" t="s">
        <v>10134</v>
      </c>
      <c r="P135" t="s">
        <v>18</v>
      </c>
      <c r="Q135" t="s">
        <v>1709</v>
      </c>
      <c r="R135" t="s">
        <v>1707</v>
      </c>
      <c r="S135" s="162">
        <v>14</v>
      </c>
      <c r="T135" t="s">
        <v>1706</v>
      </c>
      <c r="U135" s="162">
        <v>45.9</v>
      </c>
      <c r="V135" t="s">
        <v>1708</v>
      </c>
      <c r="W135" s="162">
        <v>14</v>
      </c>
      <c r="X135">
        <v>0</v>
      </c>
      <c r="Y135" s="162">
        <v>0</v>
      </c>
      <c r="Z135">
        <v>0</v>
      </c>
      <c r="AA135" s="162">
        <v>0</v>
      </c>
      <c r="AB135">
        <v>0</v>
      </c>
      <c r="AC135" s="162" t="s">
        <v>7</v>
      </c>
      <c r="AD135" s="162" t="s">
        <v>7</v>
      </c>
      <c r="AE135" s="162" t="s">
        <v>7</v>
      </c>
      <c r="AF135" s="162" t="s">
        <v>7</v>
      </c>
      <c r="AG135" s="162" t="s">
        <v>7</v>
      </c>
      <c r="AH135" s="162" t="s">
        <v>7</v>
      </c>
      <c r="AI135" t="s">
        <v>9846</v>
      </c>
      <c r="AJ135" t="s">
        <v>7</v>
      </c>
      <c r="AK135" t="s">
        <v>1098</v>
      </c>
      <c r="AL135" t="s">
        <v>78</v>
      </c>
      <c r="AM135" s="162" t="s">
        <v>10138</v>
      </c>
      <c r="AN135" t="s">
        <v>9843</v>
      </c>
      <c r="AO135" t="s">
        <v>35</v>
      </c>
      <c r="AP135" t="s">
        <v>7</v>
      </c>
      <c r="AQ135" t="s">
        <v>9</v>
      </c>
      <c r="AR135" t="s">
        <v>7</v>
      </c>
      <c r="AS135" s="162" t="s">
        <v>7</v>
      </c>
      <c r="AT135" s="117" t="s">
        <v>7</v>
      </c>
      <c r="AU135" s="162" t="s">
        <v>7</v>
      </c>
      <c r="AV135" s="162" t="s">
        <v>7</v>
      </c>
      <c r="AW135" s="162" t="s">
        <v>9851</v>
      </c>
      <c r="AX135" s="162" t="s">
        <v>7</v>
      </c>
      <c r="AY135" s="162" t="s">
        <v>7</v>
      </c>
      <c r="AZ135" t="s">
        <v>7</v>
      </c>
      <c r="BA135" s="162" t="s">
        <v>7</v>
      </c>
      <c r="BB135" s="162" t="s">
        <v>7</v>
      </c>
      <c r="BC135" s="162" t="s">
        <v>7</v>
      </c>
      <c r="BD135" s="162" t="s">
        <v>7</v>
      </c>
      <c r="BE135" s="162" t="s">
        <v>7</v>
      </c>
      <c r="BF135" s="162" t="str">
        <f t="shared" si="4"/>
        <v>Sim</v>
      </c>
      <c r="BG135" s="162" t="str">
        <f t="shared" si="5"/>
        <v>Não</v>
      </c>
      <c r="BH135" s="162" t="s">
        <v>7</v>
      </c>
      <c r="BI135" t="s">
        <v>9871</v>
      </c>
      <c r="BJ135" s="162" t="s">
        <v>10164</v>
      </c>
      <c r="BK135" t="s">
        <v>1185</v>
      </c>
      <c r="BL135" s="162">
        <v>30</v>
      </c>
      <c r="BM135" t="s">
        <v>35</v>
      </c>
      <c r="BN135" t="s">
        <v>35</v>
      </c>
      <c r="BO135" t="s">
        <v>1185</v>
      </c>
      <c r="BP135" s="162">
        <v>30</v>
      </c>
      <c r="BQ135" t="s">
        <v>7</v>
      </c>
      <c r="BR135" t="s">
        <v>1849</v>
      </c>
      <c r="BS135" s="162" t="s">
        <v>10170</v>
      </c>
    </row>
    <row r="136" spans="1:71">
      <c r="A136" s="162">
        <v>135</v>
      </c>
      <c r="B136" t="s">
        <v>383</v>
      </c>
      <c r="C136" s="162">
        <v>1</v>
      </c>
      <c r="D136" s="122" t="s">
        <v>640</v>
      </c>
      <c r="E136" t="s">
        <v>898</v>
      </c>
      <c r="F136" t="s">
        <v>3</v>
      </c>
      <c r="G136" t="s">
        <v>392</v>
      </c>
      <c r="H136" t="s">
        <v>903</v>
      </c>
      <c r="I136" s="162">
        <v>1</v>
      </c>
      <c r="J136" t="s">
        <v>1855</v>
      </c>
      <c r="K136" t="s">
        <v>3</v>
      </c>
      <c r="L136" s="165">
        <v>33500</v>
      </c>
      <c r="M136" s="166">
        <v>26</v>
      </c>
      <c r="N136" t="s">
        <v>5</v>
      </c>
      <c r="O136" t="s">
        <v>10135</v>
      </c>
      <c r="P136" t="s">
        <v>77</v>
      </c>
      <c r="Q136" t="s">
        <v>1820</v>
      </c>
      <c r="R136" t="s">
        <v>10020</v>
      </c>
      <c r="S136" s="162">
        <v>91.7</v>
      </c>
      <c r="T136" t="s">
        <v>1818</v>
      </c>
      <c r="U136" s="162">
        <v>83</v>
      </c>
      <c r="V136" t="s">
        <v>1819</v>
      </c>
      <c r="W136" s="162">
        <v>5.7</v>
      </c>
      <c r="X136">
        <v>0</v>
      </c>
      <c r="Y136" s="162">
        <v>0</v>
      </c>
      <c r="Z136">
        <v>0</v>
      </c>
      <c r="AA136" s="162">
        <v>0</v>
      </c>
      <c r="AB136" t="s">
        <v>10086</v>
      </c>
      <c r="AC136" s="162" t="s">
        <v>7</v>
      </c>
      <c r="AD136" s="162" t="s">
        <v>7</v>
      </c>
      <c r="AE136" s="162" t="s">
        <v>7</v>
      </c>
      <c r="AF136" s="162" t="s">
        <v>7</v>
      </c>
      <c r="AG136" s="162" t="s">
        <v>9851</v>
      </c>
      <c r="AH136" s="162" t="s">
        <v>7</v>
      </c>
      <c r="AI136" t="s">
        <v>9843</v>
      </c>
      <c r="AJ136" t="s">
        <v>7</v>
      </c>
      <c r="AK136" t="s">
        <v>1821</v>
      </c>
      <c r="AL136" t="s">
        <v>36</v>
      </c>
      <c r="AM136" s="162" t="s">
        <v>10138</v>
      </c>
      <c r="AN136" t="s">
        <v>9843</v>
      </c>
      <c r="AO136" t="s">
        <v>35</v>
      </c>
      <c r="AP136" t="s">
        <v>7</v>
      </c>
      <c r="AQ136" t="s">
        <v>9</v>
      </c>
      <c r="AR136" t="s">
        <v>7</v>
      </c>
      <c r="AS136" s="162" t="s">
        <v>7</v>
      </c>
      <c r="AT136" s="117" t="s">
        <v>7</v>
      </c>
      <c r="AU136" s="162" t="s">
        <v>7</v>
      </c>
      <c r="AV136" s="162" t="s">
        <v>7</v>
      </c>
      <c r="AW136" s="162" t="s">
        <v>9851</v>
      </c>
      <c r="AX136" s="162" t="s">
        <v>7</v>
      </c>
      <c r="AY136" s="162" t="s">
        <v>7</v>
      </c>
      <c r="AZ136" t="s">
        <v>7</v>
      </c>
      <c r="BA136" s="162" t="s">
        <v>7</v>
      </c>
      <c r="BB136" s="162" t="s">
        <v>7</v>
      </c>
      <c r="BC136" s="162" t="s">
        <v>7</v>
      </c>
      <c r="BD136" s="162" t="s">
        <v>7</v>
      </c>
      <c r="BE136" s="162" t="s">
        <v>7</v>
      </c>
      <c r="BF136" s="162" t="str">
        <f t="shared" si="4"/>
        <v>Sim</v>
      </c>
      <c r="BG136" s="162" t="str">
        <f t="shared" si="5"/>
        <v>Não</v>
      </c>
      <c r="BH136" s="162" t="s">
        <v>7</v>
      </c>
      <c r="BI136" t="s">
        <v>9871</v>
      </c>
      <c r="BJ136" s="162" t="s">
        <v>10164</v>
      </c>
      <c r="BK136" t="s">
        <v>1185</v>
      </c>
      <c r="BL136" s="162">
        <v>30</v>
      </c>
      <c r="BM136" t="s">
        <v>35</v>
      </c>
      <c r="BN136" t="s">
        <v>35</v>
      </c>
      <c r="BO136" t="s">
        <v>1185</v>
      </c>
      <c r="BP136" s="162">
        <v>30</v>
      </c>
      <c r="BQ136" t="s">
        <v>7</v>
      </c>
      <c r="BR136" t="s">
        <v>37</v>
      </c>
      <c r="BS136" s="162" t="s">
        <v>37</v>
      </c>
    </row>
    <row r="137" spans="1:71">
      <c r="A137" s="162">
        <v>136</v>
      </c>
      <c r="B137" t="s">
        <v>122</v>
      </c>
      <c r="C137" s="162">
        <v>1</v>
      </c>
      <c r="D137" s="122" t="s">
        <v>492</v>
      </c>
      <c r="E137" t="s">
        <v>490</v>
      </c>
      <c r="F137" t="s">
        <v>515</v>
      </c>
      <c r="G137" t="s">
        <v>131</v>
      </c>
      <c r="H137" t="s">
        <v>493</v>
      </c>
      <c r="I137" s="162">
        <v>1</v>
      </c>
      <c r="J137" t="s">
        <v>1855</v>
      </c>
      <c r="K137" t="s">
        <v>3</v>
      </c>
      <c r="L137" s="165">
        <v>35234</v>
      </c>
      <c r="M137" s="166">
        <v>20</v>
      </c>
      <c r="N137" t="s">
        <v>5</v>
      </c>
      <c r="O137" t="s">
        <v>10135</v>
      </c>
      <c r="P137" t="s">
        <v>48</v>
      </c>
      <c r="Q137" t="s">
        <v>1285</v>
      </c>
      <c r="R137">
        <v>0</v>
      </c>
      <c r="S137" s="162">
        <v>0</v>
      </c>
      <c r="T137" t="s">
        <v>1287</v>
      </c>
      <c r="U137" s="162">
        <v>16.8</v>
      </c>
      <c r="V137" t="s">
        <v>1286</v>
      </c>
      <c r="W137" s="162">
        <v>18.600000000000001</v>
      </c>
      <c r="X137">
        <v>0</v>
      </c>
      <c r="Y137" s="162">
        <v>0</v>
      </c>
      <c r="Z137">
        <v>0</v>
      </c>
      <c r="AA137" s="162">
        <v>0</v>
      </c>
      <c r="AB137">
        <v>0</v>
      </c>
      <c r="AC137" s="162" t="s">
        <v>7</v>
      </c>
      <c r="AD137" s="162" t="s">
        <v>7</v>
      </c>
      <c r="AE137" s="162" t="s">
        <v>7</v>
      </c>
      <c r="AF137" s="162" t="s">
        <v>7</v>
      </c>
      <c r="AG137" s="162" t="s">
        <v>7</v>
      </c>
      <c r="AH137" s="162" t="s">
        <v>7</v>
      </c>
      <c r="AI137" t="s">
        <v>9843</v>
      </c>
      <c r="AJ137" t="s">
        <v>7</v>
      </c>
      <c r="AK137" t="s">
        <v>9796</v>
      </c>
      <c r="AL137" t="s">
        <v>36</v>
      </c>
      <c r="AM137" s="162" t="s">
        <v>10138</v>
      </c>
      <c r="AN137" t="s">
        <v>9843</v>
      </c>
      <c r="AO137" t="s">
        <v>35</v>
      </c>
      <c r="AP137" t="s">
        <v>7</v>
      </c>
      <c r="AQ137" t="s">
        <v>9</v>
      </c>
      <c r="AR137" t="s">
        <v>7</v>
      </c>
      <c r="AS137" s="162" t="s">
        <v>7</v>
      </c>
      <c r="AT137" s="117" t="s">
        <v>7</v>
      </c>
      <c r="AU137" s="162" t="s">
        <v>7</v>
      </c>
      <c r="AV137" s="162" t="s">
        <v>7</v>
      </c>
      <c r="AW137" s="162" t="s">
        <v>9851</v>
      </c>
      <c r="AX137" s="162" t="s">
        <v>7</v>
      </c>
      <c r="AY137" s="162" t="s">
        <v>7</v>
      </c>
      <c r="AZ137" t="s">
        <v>7</v>
      </c>
      <c r="BA137" s="162" t="s">
        <v>7</v>
      </c>
      <c r="BB137" s="162" t="s">
        <v>7</v>
      </c>
      <c r="BC137" s="162" t="s">
        <v>7</v>
      </c>
      <c r="BD137" s="162" t="s">
        <v>7</v>
      </c>
      <c r="BE137" s="162" t="s">
        <v>7</v>
      </c>
      <c r="BF137" s="162" t="str">
        <f t="shared" si="4"/>
        <v>Sim</v>
      </c>
      <c r="BG137" s="162" t="str">
        <f t="shared" si="5"/>
        <v>Não</v>
      </c>
      <c r="BH137" s="162" t="s">
        <v>7</v>
      </c>
      <c r="BI137" t="s">
        <v>9871</v>
      </c>
      <c r="BJ137" s="162" t="s">
        <v>10164</v>
      </c>
      <c r="BK137" t="s">
        <v>1185</v>
      </c>
      <c r="BL137" s="162">
        <v>30</v>
      </c>
      <c r="BM137" t="s">
        <v>35</v>
      </c>
      <c r="BN137" t="s">
        <v>35</v>
      </c>
      <c r="BO137" t="s">
        <v>1185</v>
      </c>
      <c r="BP137" s="162">
        <v>30</v>
      </c>
      <c r="BQ137" t="s">
        <v>7</v>
      </c>
      <c r="BR137" t="s">
        <v>1849</v>
      </c>
      <c r="BS137" s="162" t="s">
        <v>10170</v>
      </c>
    </row>
    <row r="138" spans="1:71">
      <c r="A138" s="162">
        <v>137</v>
      </c>
      <c r="B138" t="s">
        <v>370</v>
      </c>
      <c r="C138" s="162">
        <v>1</v>
      </c>
      <c r="D138" s="122" t="s">
        <v>798</v>
      </c>
      <c r="E138" t="s">
        <v>873</v>
      </c>
      <c r="F138" t="s">
        <v>515</v>
      </c>
      <c r="G138" t="s">
        <v>378</v>
      </c>
      <c r="H138" t="s">
        <v>883</v>
      </c>
      <c r="I138" s="162">
        <v>1</v>
      </c>
      <c r="J138" t="s">
        <v>1855</v>
      </c>
      <c r="K138" t="s">
        <v>3</v>
      </c>
      <c r="L138" s="165">
        <v>35858</v>
      </c>
      <c r="M138" s="166">
        <v>19</v>
      </c>
      <c r="N138" t="s">
        <v>1093</v>
      </c>
      <c r="O138" t="s">
        <v>10135</v>
      </c>
      <c r="P138" t="s">
        <v>1074</v>
      </c>
      <c r="Q138" t="s">
        <v>1449</v>
      </c>
      <c r="R138" t="s">
        <v>1791</v>
      </c>
      <c r="S138" s="162">
        <v>138.5</v>
      </c>
      <c r="T138" t="s">
        <v>1792</v>
      </c>
      <c r="U138" s="162">
        <v>12</v>
      </c>
      <c r="V138" t="s">
        <v>1793</v>
      </c>
      <c r="W138" s="162">
        <v>7.7</v>
      </c>
      <c r="X138">
        <v>0</v>
      </c>
      <c r="Y138" s="162">
        <v>0</v>
      </c>
      <c r="Z138">
        <v>0</v>
      </c>
      <c r="AA138" s="162">
        <v>0</v>
      </c>
      <c r="AB138" t="s">
        <v>1794</v>
      </c>
      <c r="AC138" s="162" t="s">
        <v>7</v>
      </c>
      <c r="AD138" s="162" t="s">
        <v>7</v>
      </c>
      <c r="AE138" s="162" t="s">
        <v>7</v>
      </c>
      <c r="AF138" s="162" t="s">
        <v>7</v>
      </c>
      <c r="AG138" s="162" t="s">
        <v>9851</v>
      </c>
      <c r="AH138" s="162" t="s">
        <v>7</v>
      </c>
      <c r="AI138" t="s">
        <v>9843</v>
      </c>
      <c r="AJ138" t="s">
        <v>7</v>
      </c>
      <c r="AK138" t="s">
        <v>1137</v>
      </c>
      <c r="AL138" t="s">
        <v>36</v>
      </c>
      <c r="AM138" s="162" t="s">
        <v>10138</v>
      </c>
      <c r="AN138" t="s">
        <v>9843</v>
      </c>
      <c r="AO138" t="s">
        <v>35</v>
      </c>
      <c r="AP138" t="s">
        <v>1350</v>
      </c>
      <c r="AQ138" t="s">
        <v>1100</v>
      </c>
      <c r="AR138" t="s">
        <v>7</v>
      </c>
      <c r="AS138" s="162" t="s">
        <v>7</v>
      </c>
      <c r="AT138" s="117" t="s">
        <v>1244</v>
      </c>
      <c r="AU138" s="162" t="s">
        <v>7</v>
      </c>
      <c r="AV138" s="162" t="s">
        <v>9851</v>
      </c>
      <c r="AW138" s="162" t="s">
        <v>7</v>
      </c>
      <c r="AX138" s="162" t="s">
        <v>7</v>
      </c>
      <c r="AY138" s="162" t="s">
        <v>9851</v>
      </c>
      <c r="AZ138" t="s">
        <v>7</v>
      </c>
      <c r="BA138" s="162" t="s">
        <v>7</v>
      </c>
      <c r="BB138" s="162" t="s">
        <v>7</v>
      </c>
      <c r="BC138" s="162" t="s">
        <v>7</v>
      </c>
      <c r="BD138" s="162" t="s">
        <v>7</v>
      </c>
      <c r="BE138" s="162" t="s">
        <v>7</v>
      </c>
      <c r="BF138" s="162" t="str">
        <f t="shared" si="4"/>
        <v>Sim</v>
      </c>
      <c r="BG138" s="162" t="str">
        <f t="shared" si="5"/>
        <v>Não</v>
      </c>
      <c r="BH138" s="162" t="s">
        <v>7</v>
      </c>
      <c r="BI138" t="s">
        <v>9871</v>
      </c>
      <c r="BJ138" s="162" t="s">
        <v>10164</v>
      </c>
      <c r="BK138" t="s">
        <v>1185</v>
      </c>
      <c r="BL138" s="162">
        <v>30</v>
      </c>
      <c r="BM138" t="s">
        <v>35</v>
      </c>
      <c r="BN138" t="s">
        <v>35</v>
      </c>
      <c r="BO138" t="s">
        <v>1185</v>
      </c>
      <c r="BP138" s="162">
        <v>30</v>
      </c>
      <c r="BQ138" t="s">
        <v>7</v>
      </c>
      <c r="BR138" t="s">
        <v>1849</v>
      </c>
      <c r="BS138" s="162" t="s">
        <v>10170</v>
      </c>
    </row>
    <row r="139" spans="1:71">
      <c r="A139" s="162">
        <v>138</v>
      </c>
      <c r="B139" t="s">
        <v>387</v>
      </c>
      <c r="C139" s="162">
        <v>1</v>
      </c>
      <c r="D139" s="122" t="s">
        <v>909</v>
      </c>
      <c r="E139" t="s">
        <v>910</v>
      </c>
      <c r="F139" t="s">
        <v>3</v>
      </c>
      <c r="G139" t="s">
        <v>392</v>
      </c>
      <c r="H139" t="s">
        <v>911</v>
      </c>
      <c r="I139" s="162">
        <v>1</v>
      </c>
      <c r="J139" t="s">
        <v>1855</v>
      </c>
      <c r="K139" t="s">
        <v>3</v>
      </c>
      <c r="L139" s="165">
        <v>34641</v>
      </c>
      <c r="M139" s="166">
        <v>23</v>
      </c>
      <c r="N139" t="s">
        <v>5</v>
      </c>
      <c r="O139" t="s">
        <v>10135</v>
      </c>
      <c r="P139" t="s">
        <v>48</v>
      </c>
      <c r="Q139" t="s">
        <v>1829</v>
      </c>
      <c r="R139" t="s">
        <v>1831</v>
      </c>
      <c r="S139" s="162">
        <v>41.5</v>
      </c>
      <c r="T139">
        <v>0</v>
      </c>
      <c r="U139" s="162">
        <v>0</v>
      </c>
      <c r="V139" t="s">
        <v>1830</v>
      </c>
      <c r="W139" s="162">
        <v>30.9</v>
      </c>
      <c r="X139">
        <v>0</v>
      </c>
      <c r="Y139" s="162">
        <v>0</v>
      </c>
      <c r="Z139">
        <v>0</v>
      </c>
      <c r="AA139" s="162">
        <v>0</v>
      </c>
      <c r="AB139" t="s">
        <v>10022</v>
      </c>
      <c r="AC139" s="162" t="s">
        <v>7</v>
      </c>
      <c r="AD139" s="162" t="s">
        <v>7</v>
      </c>
      <c r="AE139" s="162" t="s">
        <v>7</v>
      </c>
      <c r="AF139" s="162" t="s">
        <v>7</v>
      </c>
      <c r="AG139" s="162" t="s">
        <v>9851</v>
      </c>
      <c r="AH139" s="162" t="s">
        <v>7</v>
      </c>
      <c r="AI139" t="s">
        <v>9843</v>
      </c>
      <c r="AJ139" t="s">
        <v>7</v>
      </c>
      <c r="AK139" t="s">
        <v>72</v>
      </c>
      <c r="AL139" t="s">
        <v>36</v>
      </c>
      <c r="AM139" s="162" t="s">
        <v>10138</v>
      </c>
      <c r="AN139" t="s">
        <v>9843</v>
      </c>
      <c r="AO139" t="s">
        <v>35</v>
      </c>
      <c r="AP139" t="s">
        <v>7</v>
      </c>
      <c r="AQ139" t="s">
        <v>9</v>
      </c>
      <c r="AR139" t="s">
        <v>7</v>
      </c>
      <c r="AS139" s="162" t="s">
        <v>7</v>
      </c>
      <c r="AT139" s="117" t="s">
        <v>7</v>
      </c>
      <c r="AU139" s="162" t="s">
        <v>7</v>
      </c>
      <c r="AV139" s="162" t="s">
        <v>7</v>
      </c>
      <c r="AW139" s="162" t="s">
        <v>9851</v>
      </c>
      <c r="AX139" s="162" t="s">
        <v>7</v>
      </c>
      <c r="AY139" s="162" t="s">
        <v>7</v>
      </c>
      <c r="AZ139" t="s">
        <v>7</v>
      </c>
      <c r="BA139" s="162" t="s">
        <v>7</v>
      </c>
      <c r="BB139" s="162" t="s">
        <v>7</v>
      </c>
      <c r="BC139" s="162" t="s">
        <v>7</v>
      </c>
      <c r="BD139" s="162" t="s">
        <v>7</v>
      </c>
      <c r="BE139" s="162" t="s">
        <v>7</v>
      </c>
      <c r="BF139" s="162" t="str">
        <f t="shared" si="4"/>
        <v>Sim</v>
      </c>
      <c r="BG139" s="162" t="str">
        <f t="shared" si="5"/>
        <v>Não</v>
      </c>
      <c r="BH139" s="162" t="s">
        <v>7</v>
      </c>
      <c r="BI139" t="s">
        <v>9871</v>
      </c>
      <c r="BJ139" s="162" t="s">
        <v>10164</v>
      </c>
      <c r="BK139" t="s">
        <v>1185</v>
      </c>
      <c r="BL139" s="162">
        <v>30</v>
      </c>
      <c r="BM139" t="s">
        <v>35</v>
      </c>
      <c r="BN139" t="s">
        <v>35</v>
      </c>
      <c r="BO139" t="s">
        <v>1185</v>
      </c>
      <c r="BP139" s="162">
        <v>30</v>
      </c>
      <c r="BQ139" t="s">
        <v>7</v>
      </c>
      <c r="BR139" t="s">
        <v>1849</v>
      </c>
      <c r="BS139" s="162" t="s">
        <v>10170</v>
      </c>
    </row>
    <row r="140" spans="1:71">
      <c r="A140" s="162">
        <v>139</v>
      </c>
      <c r="B140" t="s">
        <v>253</v>
      </c>
      <c r="C140" s="162">
        <v>1</v>
      </c>
      <c r="D140" s="122" t="s">
        <v>725</v>
      </c>
      <c r="E140" t="s">
        <v>723</v>
      </c>
      <c r="F140" t="s">
        <v>3</v>
      </c>
      <c r="G140" t="s">
        <v>264</v>
      </c>
      <c r="H140" t="s">
        <v>726</v>
      </c>
      <c r="I140" s="162">
        <v>1</v>
      </c>
      <c r="J140" t="s">
        <v>1855</v>
      </c>
      <c r="K140" t="s">
        <v>3</v>
      </c>
      <c r="L140" s="165">
        <v>30038</v>
      </c>
      <c r="M140" s="166">
        <v>35</v>
      </c>
      <c r="N140" t="s">
        <v>4</v>
      </c>
      <c r="O140" t="s">
        <v>10134</v>
      </c>
      <c r="P140" t="s">
        <v>1074</v>
      </c>
      <c r="Q140" t="s">
        <v>1449</v>
      </c>
      <c r="R140">
        <v>0</v>
      </c>
      <c r="S140" s="162">
        <v>0</v>
      </c>
      <c r="T140" t="s">
        <v>9939</v>
      </c>
      <c r="U140" s="162">
        <v>29.4</v>
      </c>
      <c r="V140" t="s">
        <v>9940</v>
      </c>
      <c r="W140" s="162">
        <v>12.8</v>
      </c>
      <c r="X140">
        <v>0</v>
      </c>
      <c r="Y140" s="162">
        <v>0</v>
      </c>
      <c r="Z140">
        <v>0</v>
      </c>
      <c r="AA140" s="162">
        <v>0</v>
      </c>
      <c r="AB140">
        <v>0</v>
      </c>
      <c r="AC140" s="162" t="s">
        <v>7</v>
      </c>
      <c r="AD140" s="162" t="s">
        <v>7</v>
      </c>
      <c r="AE140" s="162" t="s">
        <v>7</v>
      </c>
      <c r="AF140" s="162" t="s">
        <v>7</v>
      </c>
      <c r="AG140" s="162" t="s">
        <v>7</v>
      </c>
      <c r="AH140" s="162" t="s">
        <v>7</v>
      </c>
      <c r="AI140" t="s">
        <v>9843</v>
      </c>
      <c r="AJ140" t="s">
        <v>7</v>
      </c>
      <c r="AK140" t="s">
        <v>1641</v>
      </c>
      <c r="AL140" t="s">
        <v>36</v>
      </c>
      <c r="AM140" s="162" t="s">
        <v>10138</v>
      </c>
      <c r="AN140" t="s">
        <v>9843</v>
      </c>
      <c r="AO140" t="s">
        <v>35</v>
      </c>
      <c r="AP140" t="s">
        <v>7</v>
      </c>
      <c r="AQ140" t="s">
        <v>9</v>
      </c>
      <c r="AR140" t="s">
        <v>7</v>
      </c>
      <c r="AS140" s="162" t="s">
        <v>7</v>
      </c>
      <c r="AT140" s="117" t="s">
        <v>7</v>
      </c>
      <c r="AU140" s="162" t="s">
        <v>7</v>
      </c>
      <c r="AV140" s="162" t="s">
        <v>7</v>
      </c>
      <c r="AW140" s="162" t="s">
        <v>9851</v>
      </c>
      <c r="AX140" s="162" t="s">
        <v>7</v>
      </c>
      <c r="AY140" s="162" t="s">
        <v>7</v>
      </c>
      <c r="AZ140" t="s">
        <v>7</v>
      </c>
      <c r="BA140" s="162" t="s">
        <v>7</v>
      </c>
      <c r="BB140" s="162" t="s">
        <v>7</v>
      </c>
      <c r="BC140" s="162" t="s">
        <v>7</v>
      </c>
      <c r="BD140" s="162" t="s">
        <v>7</v>
      </c>
      <c r="BE140" s="162" t="s">
        <v>7</v>
      </c>
      <c r="BF140" s="162" t="str">
        <f t="shared" si="4"/>
        <v>Sim</v>
      </c>
      <c r="BG140" s="162" t="str">
        <f t="shared" si="5"/>
        <v>Não</v>
      </c>
      <c r="BH140" s="162" t="s">
        <v>7</v>
      </c>
      <c r="BI140" t="s">
        <v>9871</v>
      </c>
      <c r="BJ140" s="162" t="s">
        <v>10164</v>
      </c>
      <c r="BK140" t="s">
        <v>1185</v>
      </c>
      <c r="BL140" s="162">
        <v>30</v>
      </c>
      <c r="BM140" t="s">
        <v>35</v>
      </c>
      <c r="BN140" t="s">
        <v>35</v>
      </c>
      <c r="BO140" t="s">
        <v>1185</v>
      </c>
      <c r="BP140" s="162">
        <v>30</v>
      </c>
      <c r="BQ140" t="s">
        <v>7</v>
      </c>
      <c r="BR140" t="s">
        <v>1849</v>
      </c>
      <c r="BS140" s="162" t="s">
        <v>10170</v>
      </c>
    </row>
    <row r="141" spans="1:71">
      <c r="A141" s="162">
        <v>140</v>
      </c>
      <c r="B141" t="s">
        <v>301</v>
      </c>
      <c r="C141" s="162">
        <v>0</v>
      </c>
      <c r="D141" s="122" t="s">
        <v>662</v>
      </c>
      <c r="E141" t="s">
        <v>802</v>
      </c>
      <c r="F141" t="s">
        <v>3</v>
      </c>
      <c r="G141" t="s">
        <v>304</v>
      </c>
      <c r="H141" t="s">
        <v>820</v>
      </c>
      <c r="I141" s="162">
        <v>1</v>
      </c>
      <c r="J141" t="s">
        <v>76</v>
      </c>
      <c r="K141" t="s">
        <v>515</v>
      </c>
      <c r="L141" s="165">
        <v>35620</v>
      </c>
      <c r="M141" s="166">
        <v>19</v>
      </c>
      <c r="N141" t="s">
        <v>4</v>
      </c>
      <c r="O141" t="s">
        <v>10134</v>
      </c>
      <c r="P141" t="s">
        <v>48</v>
      </c>
      <c r="Q141" t="s">
        <v>1186</v>
      </c>
      <c r="R141">
        <v>0</v>
      </c>
      <c r="S141" s="162">
        <v>0</v>
      </c>
      <c r="T141" t="s">
        <v>1531</v>
      </c>
      <c r="U141" s="162">
        <v>153.4</v>
      </c>
      <c r="V141">
        <v>0</v>
      </c>
      <c r="W141" s="162">
        <v>0</v>
      </c>
      <c r="X141">
        <v>0</v>
      </c>
      <c r="Y141" s="162">
        <v>0</v>
      </c>
      <c r="Z141" t="s">
        <v>9972</v>
      </c>
      <c r="AA141" s="162">
        <v>0.1</v>
      </c>
      <c r="AB141">
        <v>0</v>
      </c>
      <c r="AC141" s="162" t="s">
        <v>7</v>
      </c>
      <c r="AD141" s="162" t="s">
        <v>7</v>
      </c>
      <c r="AE141" s="162" t="s">
        <v>7</v>
      </c>
      <c r="AF141" s="162" t="s">
        <v>7</v>
      </c>
      <c r="AG141" s="162" t="s">
        <v>7</v>
      </c>
      <c r="AH141" s="162" t="s">
        <v>7</v>
      </c>
      <c r="AI141" t="s">
        <v>9846</v>
      </c>
      <c r="AJ141" t="s">
        <v>7</v>
      </c>
      <c r="AK141" t="s">
        <v>1532</v>
      </c>
      <c r="AL141" t="s">
        <v>78</v>
      </c>
      <c r="AM141" s="162" t="s">
        <v>10138</v>
      </c>
      <c r="AN141" t="s">
        <v>9843</v>
      </c>
      <c r="AO141" t="s">
        <v>35</v>
      </c>
      <c r="AP141" t="s">
        <v>7</v>
      </c>
      <c r="AQ141" t="s">
        <v>9</v>
      </c>
      <c r="AR141" t="s">
        <v>7</v>
      </c>
      <c r="AS141" s="162" t="s">
        <v>7</v>
      </c>
      <c r="AT141" s="117" t="s">
        <v>7</v>
      </c>
      <c r="AU141" s="162" t="s">
        <v>7</v>
      </c>
      <c r="AV141" s="162" t="s">
        <v>7</v>
      </c>
      <c r="AW141" s="162" t="s">
        <v>9851</v>
      </c>
      <c r="AX141" s="162" t="s">
        <v>7</v>
      </c>
      <c r="AY141" s="162" t="s">
        <v>7</v>
      </c>
      <c r="AZ141" t="s">
        <v>7</v>
      </c>
      <c r="BA141" s="162" t="s">
        <v>7</v>
      </c>
      <c r="BB141" s="162" t="s">
        <v>7</v>
      </c>
      <c r="BC141" s="162" t="s">
        <v>7</v>
      </c>
      <c r="BD141" s="162" t="s">
        <v>7</v>
      </c>
      <c r="BE141" s="162" t="s">
        <v>7</v>
      </c>
      <c r="BF141" s="162" t="str">
        <f t="shared" si="4"/>
        <v>Sim</v>
      </c>
      <c r="BG141" s="162" t="str">
        <f t="shared" si="5"/>
        <v>Não</v>
      </c>
      <c r="BH141" s="162" t="s">
        <v>7</v>
      </c>
      <c r="BI141" t="s">
        <v>9871</v>
      </c>
      <c r="BJ141" s="162" t="s">
        <v>10164</v>
      </c>
      <c r="BK141" t="s">
        <v>1185</v>
      </c>
      <c r="BL141" s="162">
        <v>30</v>
      </c>
      <c r="BM141" t="s">
        <v>35</v>
      </c>
      <c r="BN141" t="s">
        <v>35</v>
      </c>
      <c r="BO141" t="s">
        <v>1185</v>
      </c>
      <c r="BP141" s="162">
        <v>30</v>
      </c>
      <c r="BQ141" t="s">
        <v>7</v>
      </c>
      <c r="BR141" t="s">
        <v>1114</v>
      </c>
      <c r="BS141" s="162" t="s">
        <v>1114</v>
      </c>
    </row>
    <row r="142" spans="1:71">
      <c r="A142" s="162">
        <v>141</v>
      </c>
      <c r="B142" t="s">
        <v>301</v>
      </c>
      <c r="C142" s="162">
        <v>1</v>
      </c>
      <c r="D142" s="122" t="s">
        <v>662</v>
      </c>
      <c r="E142" t="s">
        <v>802</v>
      </c>
      <c r="F142" t="s">
        <v>3</v>
      </c>
      <c r="G142" t="s">
        <v>304</v>
      </c>
      <c r="H142" t="s">
        <v>819</v>
      </c>
      <c r="I142" s="162">
        <v>1</v>
      </c>
      <c r="J142" t="s">
        <v>76</v>
      </c>
      <c r="K142" t="s">
        <v>3</v>
      </c>
      <c r="L142" s="165">
        <v>34452</v>
      </c>
      <c r="M142" s="166">
        <v>22</v>
      </c>
      <c r="N142" t="s">
        <v>5</v>
      </c>
      <c r="O142" t="s">
        <v>10135</v>
      </c>
      <c r="P142" t="s">
        <v>48</v>
      </c>
      <c r="Q142" t="s">
        <v>1210</v>
      </c>
      <c r="R142">
        <v>0</v>
      </c>
      <c r="S142" s="162">
        <v>0</v>
      </c>
      <c r="T142" t="s">
        <v>1531</v>
      </c>
      <c r="U142" s="162">
        <v>153.4</v>
      </c>
      <c r="V142">
        <v>0</v>
      </c>
      <c r="W142" s="162">
        <v>0</v>
      </c>
      <c r="X142">
        <v>0</v>
      </c>
      <c r="Y142" s="162">
        <v>0</v>
      </c>
      <c r="Z142" t="s">
        <v>9972</v>
      </c>
      <c r="AA142" s="162">
        <v>0.1</v>
      </c>
      <c r="AB142">
        <v>0</v>
      </c>
      <c r="AC142" s="162" t="s">
        <v>7</v>
      </c>
      <c r="AD142" s="162" t="s">
        <v>7</v>
      </c>
      <c r="AE142" s="162" t="s">
        <v>7</v>
      </c>
      <c r="AF142" s="162" t="s">
        <v>7</v>
      </c>
      <c r="AG142" s="162" t="s">
        <v>7</v>
      </c>
      <c r="AH142" s="162" t="s">
        <v>7</v>
      </c>
      <c r="AI142" t="s">
        <v>9846</v>
      </c>
      <c r="AJ142" t="s">
        <v>7</v>
      </c>
      <c r="AK142" t="s">
        <v>1532</v>
      </c>
      <c r="AL142" t="s">
        <v>78</v>
      </c>
      <c r="AM142" s="162" t="s">
        <v>10138</v>
      </c>
      <c r="AN142" t="s">
        <v>9843</v>
      </c>
      <c r="AO142" t="s">
        <v>35</v>
      </c>
      <c r="AP142" t="s">
        <v>7</v>
      </c>
      <c r="AQ142" t="s">
        <v>9</v>
      </c>
      <c r="AR142" t="s">
        <v>7</v>
      </c>
      <c r="AS142" s="162" t="s">
        <v>7</v>
      </c>
      <c r="AT142" s="117" t="s">
        <v>7</v>
      </c>
      <c r="AU142" s="162" t="s">
        <v>7</v>
      </c>
      <c r="AV142" s="162" t="s">
        <v>7</v>
      </c>
      <c r="AW142" s="162" t="s">
        <v>9851</v>
      </c>
      <c r="AX142" s="162" t="s">
        <v>7</v>
      </c>
      <c r="AY142" s="162" t="s">
        <v>7</v>
      </c>
      <c r="AZ142" t="s">
        <v>7</v>
      </c>
      <c r="BA142" s="162" t="s">
        <v>7</v>
      </c>
      <c r="BB142" s="162" t="s">
        <v>7</v>
      </c>
      <c r="BC142" s="162" t="s">
        <v>7</v>
      </c>
      <c r="BD142" s="162" t="s">
        <v>7</v>
      </c>
      <c r="BE142" s="162" t="s">
        <v>7</v>
      </c>
      <c r="BF142" s="162" t="str">
        <f t="shared" si="4"/>
        <v>Sim</v>
      </c>
      <c r="BG142" s="162" t="str">
        <f t="shared" si="5"/>
        <v>Não</v>
      </c>
      <c r="BH142" s="162" t="s">
        <v>7</v>
      </c>
      <c r="BI142" t="s">
        <v>9871</v>
      </c>
      <c r="BJ142" s="162" t="s">
        <v>10164</v>
      </c>
      <c r="BK142" t="s">
        <v>1185</v>
      </c>
      <c r="BL142" s="162">
        <v>30</v>
      </c>
      <c r="BM142" t="s">
        <v>35</v>
      </c>
      <c r="BN142" t="s">
        <v>35</v>
      </c>
      <c r="BO142" t="s">
        <v>1185</v>
      </c>
      <c r="BP142" s="162">
        <v>30</v>
      </c>
      <c r="BQ142" t="s">
        <v>7</v>
      </c>
      <c r="BR142" t="s">
        <v>1114</v>
      </c>
      <c r="BS142" s="162" t="s">
        <v>1114</v>
      </c>
    </row>
    <row r="143" spans="1:71">
      <c r="A143" s="162">
        <v>142</v>
      </c>
      <c r="B143" t="s">
        <v>458</v>
      </c>
      <c r="C143" s="162">
        <v>1</v>
      </c>
      <c r="D143" s="122" t="s">
        <v>857</v>
      </c>
      <c r="E143" t="s">
        <v>1036</v>
      </c>
      <c r="F143" t="s">
        <v>3</v>
      </c>
      <c r="G143" t="s">
        <v>461</v>
      </c>
      <c r="H143" t="s">
        <v>1044</v>
      </c>
      <c r="I143" s="162">
        <v>1</v>
      </c>
      <c r="J143" t="s">
        <v>1855</v>
      </c>
      <c r="K143" t="s">
        <v>3</v>
      </c>
      <c r="L143" s="165">
        <v>35620</v>
      </c>
      <c r="M143" s="166">
        <v>20</v>
      </c>
      <c r="N143" t="s">
        <v>5</v>
      </c>
      <c r="O143" t="s">
        <v>10135</v>
      </c>
      <c r="P143" t="s">
        <v>1101</v>
      </c>
      <c r="Q143" t="s">
        <v>9792</v>
      </c>
      <c r="R143" t="s">
        <v>1492</v>
      </c>
      <c r="S143" s="162">
        <v>123.3</v>
      </c>
      <c r="T143" t="s">
        <v>1491</v>
      </c>
      <c r="U143" s="162">
        <v>42.4</v>
      </c>
      <c r="V143" t="s">
        <v>1493</v>
      </c>
      <c r="W143" s="162">
        <v>23.5</v>
      </c>
      <c r="X143" t="s">
        <v>10043</v>
      </c>
      <c r="Y143" s="162">
        <v>3.7</v>
      </c>
      <c r="Z143" t="s">
        <v>10044</v>
      </c>
      <c r="AA143" s="162">
        <v>0.1</v>
      </c>
      <c r="AB143">
        <v>0</v>
      </c>
      <c r="AC143" s="162" t="s">
        <v>7</v>
      </c>
      <c r="AD143" s="162" t="s">
        <v>7</v>
      </c>
      <c r="AE143" s="162" t="s">
        <v>7</v>
      </c>
      <c r="AF143" s="162" t="s">
        <v>7</v>
      </c>
      <c r="AG143" s="162" t="s">
        <v>7</v>
      </c>
      <c r="AH143" s="162" t="s">
        <v>7</v>
      </c>
      <c r="AI143" t="s">
        <v>9843</v>
      </c>
      <c r="AJ143" t="s">
        <v>1272</v>
      </c>
      <c r="AK143" t="s">
        <v>1494</v>
      </c>
      <c r="AL143" t="s">
        <v>78</v>
      </c>
      <c r="AM143" s="162" t="s">
        <v>10138</v>
      </c>
      <c r="AN143" t="s">
        <v>9843</v>
      </c>
      <c r="AO143" t="s">
        <v>7</v>
      </c>
      <c r="AP143" t="s">
        <v>7</v>
      </c>
      <c r="AQ143" t="s">
        <v>9</v>
      </c>
      <c r="AR143" t="s">
        <v>7</v>
      </c>
      <c r="AS143" s="162" t="s">
        <v>7</v>
      </c>
      <c r="AT143" s="117" t="s">
        <v>7</v>
      </c>
      <c r="AU143" s="162" t="s">
        <v>7</v>
      </c>
      <c r="AV143" s="162" t="s">
        <v>7</v>
      </c>
      <c r="AW143" s="162" t="s">
        <v>9851</v>
      </c>
      <c r="AX143" s="162" t="s">
        <v>7</v>
      </c>
      <c r="AY143" s="162" t="s">
        <v>7</v>
      </c>
      <c r="AZ143" t="s">
        <v>7</v>
      </c>
      <c r="BA143" s="162" t="s">
        <v>7</v>
      </c>
      <c r="BB143" s="162" t="s">
        <v>7</v>
      </c>
      <c r="BC143" s="162" t="s">
        <v>7</v>
      </c>
      <c r="BD143" s="162" t="s">
        <v>7</v>
      </c>
      <c r="BE143" s="162" t="s">
        <v>7</v>
      </c>
      <c r="BF143" s="162" t="str">
        <f t="shared" si="4"/>
        <v>Sim</v>
      </c>
      <c r="BG143" s="162" t="str">
        <f t="shared" si="5"/>
        <v>Não</v>
      </c>
      <c r="BH143" s="162" t="s">
        <v>7</v>
      </c>
      <c r="BI143" t="s">
        <v>9871</v>
      </c>
      <c r="BJ143" s="162" t="s">
        <v>10164</v>
      </c>
      <c r="BK143" t="s">
        <v>1185</v>
      </c>
      <c r="BL143" s="162">
        <v>30</v>
      </c>
      <c r="BM143" t="s">
        <v>35</v>
      </c>
      <c r="BN143" t="s">
        <v>35</v>
      </c>
      <c r="BO143" t="s">
        <v>1185</v>
      </c>
      <c r="BP143" s="162">
        <v>30</v>
      </c>
      <c r="BQ143" t="s">
        <v>7</v>
      </c>
      <c r="BR143" t="s">
        <v>1114</v>
      </c>
      <c r="BS143" s="162" t="s">
        <v>1114</v>
      </c>
    </row>
    <row r="144" spans="1:71">
      <c r="A144" s="162">
        <v>143</v>
      </c>
      <c r="B144" t="s">
        <v>357</v>
      </c>
      <c r="C144" s="162">
        <v>1</v>
      </c>
      <c r="D144" s="122" t="s">
        <v>940</v>
      </c>
      <c r="E144" t="s">
        <v>949</v>
      </c>
      <c r="F144" t="s">
        <v>3</v>
      </c>
      <c r="G144" t="s">
        <v>364</v>
      </c>
      <c r="H144" t="s">
        <v>964</v>
      </c>
      <c r="I144" s="162">
        <v>1</v>
      </c>
      <c r="J144" t="s">
        <v>1855</v>
      </c>
      <c r="K144" t="s">
        <v>3</v>
      </c>
      <c r="L144" s="165">
        <v>34047</v>
      </c>
      <c r="M144" s="166">
        <v>23</v>
      </c>
      <c r="N144" t="s">
        <v>4</v>
      </c>
      <c r="O144" t="s">
        <v>10134</v>
      </c>
      <c r="P144" t="s">
        <v>48</v>
      </c>
      <c r="Q144" t="s">
        <v>1213</v>
      </c>
      <c r="R144">
        <v>0</v>
      </c>
      <c r="S144" s="162">
        <v>0</v>
      </c>
      <c r="T144" t="s">
        <v>9996</v>
      </c>
      <c r="U144" s="162">
        <v>9.4</v>
      </c>
      <c r="V144" t="s">
        <v>1618</v>
      </c>
      <c r="W144" s="162">
        <v>0.1</v>
      </c>
      <c r="X144">
        <v>0</v>
      </c>
      <c r="Y144" s="162">
        <v>0</v>
      </c>
      <c r="Z144">
        <v>0</v>
      </c>
      <c r="AA144" s="162">
        <v>0</v>
      </c>
      <c r="AB144">
        <v>0</v>
      </c>
      <c r="AC144" s="162" t="s">
        <v>7</v>
      </c>
      <c r="AD144" s="162" t="s">
        <v>7</v>
      </c>
      <c r="AE144" s="162" t="s">
        <v>7</v>
      </c>
      <c r="AF144" s="162" t="s">
        <v>7</v>
      </c>
      <c r="AG144" s="162" t="s">
        <v>7</v>
      </c>
      <c r="AH144" s="162" t="s">
        <v>7</v>
      </c>
      <c r="AI144" t="s">
        <v>9843</v>
      </c>
      <c r="AJ144" t="s">
        <v>7</v>
      </c>
      <c r="AK144" t="s">
        <v>1150</v>
      </c>
      <c r="AL144" t="s">
        <v>36</v>
      </c>
      <c r="AM144" s="162" t="s">
        <v>10138</v>
      </c>
      <c r="AN144" t="s">
        <v>9843</v>
      </c>
      <c r="AO144" t="s">
        <v>35</v>
      </c>
      <c r="AP144" t="s">
        <v>1214</v>
      </c>
      <c r="AQ144" t="s">
        <v>1215</v>
      </c>
      <c r="AR144" t="s">
        <v>7</v>
      </c>
      <c r="AS144" s="162" t="s">
        <v>7</v>
      </c>
      <c r="AT144" s="117" t="s">
        <v>7</v>
      </c>
      <c r="AU144" s="162" t="s">
        <v>7</v>
      </c>
      <c r="AV144" s="162" t="s">
        <v>7</v>
      </c>
      <c r="AW144" s="162" t="s">
        <v>9851</v>
      </c>
      <c r="AX144" s="162" t="s">
        <v>7</v>
      </c>
      <c r="AY144" s="162" t="s">
        <v>7</v>
      </c>
      <c r="AZ144" t="s">
        <v>7</v>
      </c>
      <c r="BA144" s="162" t="s">
        <v>7</v>
      </c>
      <c r="BB144" s="162" t="s">
        <v>7</v>
      </c>
      <c r="BC144" s="162" t="s">
        <v>7</v>
      </c>
      <c r="BD144" s="162" t="s">
        <v>7</v>
      </c>
      <c r="BE144" s="162" t="s">
        <v>7</v>
      </c>
      <c r="BF144" s="162" t="str">
        <f t="shared" si="4"/>
        <v>Sim</v>
      </c>
      <c r="BG144" s="162" t="str">
        <f t="shared" si="5"/>
        <v>Não</v>
      </c>
      <c r="BH144" s="162" t="s">
        <v>7</v>
      </c>
      <c r="BI144" t="s">
        <v>9871</v>
      </c>
      <c r="BJ144" s="162" t="s">
        <v>10164</v>
      </c>
      <c r="BK144" t="s">
        <v>1216</v>
      </c>
      <c r="BL144" s="162">
        <v>33</v>
      </c>
      <c r="BM144" t="s">
        <v>35</v>
      </c>
      <c r="BN144" t="s">
        <v>35</v>
      </c>
      <c r="BO144" t="s">
        <v>1216</v>
      </c>
      <c r="BP144" s="162">
        <v>33</v>
      </c>
      <c r="BQ144" t="s">
        <v>7</v>
      </c>
      <c r="BR144" t="s">
        <v>1849</v>
      </c>
      <c r="BS144" s="162" t="s">
        <v>10170</v>
      </c>
    </row>
    <row r="145" spans="1:71">
      <c r="A145" s="162">
        <v>144</v>
      </c>
      <c r="B145" t="s">
        <v>114</v>
      </c>
      <c r="C145" s="162">
        <v>1</v>
      </c>
      <c r="D145" s="122">
        <v>43069</v>
      </c>
      <c r="E145" t="s">
        <v>476</v>
      </c>
      <c r="F145" t="s">
        <v>3</v>
      </c>
      <c r="G145" t="s">
        <v>120</v>
      </c>
      <c r="H145" t="s">
        <v>481</v>
      </c>
      <c r="I145" s="162">
        <v>1</v>
      </c>
      <c r="J145" t="s">
        <v>1855</v>
      </c>
      <c r="K145" t="s">
        <v>3</v>
      </c>
      <c r="L145" s="165">
        <v>34118</v>
      </c>
      <c r="M145" s="166">
        <v>24</v>
      </c>
      <c r="N145" t="s">
        <v>1093</v>
      </c>
      <c r="O145" t="s">
        <v>10135</v>
      </c>
      <c r="P145" t="s">
        <v>48</v>
      </c>
      <c r="Q145" t="s">
        <v>9791</v>
      </c>
      <c r="R145" t="s">
        <v>9768</v>
      </c>
      <c r="S145" s="162">
        <v>271.3</v>
      </c>
      <c r="T145" t="s">
        <v>1167</v>
      </c>
      <c r="U145" s="162">
        <v>211.5</v>
      </c>
      <c r="V145">
        <v>0</v>
      </c>
      <c r="W145" s="162">
        <v>0</v>
      </c>
      <c r="X145">
        <v>0</v>
      </c>
      <c r="Y145" s="162">
        <v>0</v>
      </c>
      <c r="Z145">
        <v>0</v>
      </c>
      <c r="AA145" s="162">
        <v>0</v>
      </c>
      <c r="AB145">
        <v>0</v>
      </c>
      <c r="AC145" s="162" t="s">
        <v>7</v>
      </c>
      <c r="AD145" s="162" t="s">
        <v>7</v>
      </c>
      <c r="AE145" s="162" t="s">
        <v>7</v>
      </c>
      <c r="AF145" s="162" t="s">
        <v>7</v>
      </c>
      <c r="AG145" s="162" t="s">
        <v>7</v>
      </c>
      <c r="AH145" s="162" t="s">
        <v>7</v>
      </c>
      <c r="AI145" t="s">
        <v>9843</v>
      </c>
      <c r="AJ145" t="s">
        <v>7</v>
      </c>
      <c r="AK145" t="s">
        <v>1527</v>
      </c>
      <c r="AL145" t="s">
        <v>36</v>
      </c>
      <c r="AM145" s="162" t="s">
        <v>10138</v>
      </c>
      <c r="AN145" t="s">
        <v>9843</v>
      </c>
      <c r="AO145" t="s">
        <v>35</v>
      </c>
      <c r="AP145" t="s">
        <v>7</v>
      </c>
      <c r="AQ145" t="s">
        <v>9</v>
      </c>
      <c r="AR145" t="s">
        <v>7</v>
      </c>
      <c r="AS145" s="162" t="s">
        <v>7</v>
      </c>
      <c r="AT145" s="117" t="s">
        <v>7</v>
      </c>
      <c r="AU145" s="162" t="s">
        <v>7</v>
      </c>
      <c r="AV145" s="162" t="s">
        <v>7</v>
      </c>
      <c r="AW145" s="162" t="s">
        <v>9851</v>
      </c>
      <c r="AX145" s="162" t="s">
        <v>7</v>
      </c>
      <c r="AY145" s="162" t="s">
        <v>7</v>
      </c>
      <c r="AZ145" t="s">
        <v>7</v>
      </c>
      <c r="BA145" s="162" t="s">
        <v>7</v>
      </c>
      <c r="BB145" s="162" t="s">
        <v>7</v>
      </c>
      <c r="BC145" s="162" t="s">
        <v>7</v>
      </c>
      <c r="BD145" s="162" t="s">
        <v>7</v>
      </c>
      <c r="BE145" s="162" t="s">
        <v>7</v>
      </c>
      <c r="BF145" s="162" t="str">
        <f t="shared" si="4"/>
        <v>Sim</v>
      </c>
      <c r="BG145" s="162" t="str">
        <f t="shared" si="5"/>
        <v>Não</v>
      </c>
      <c r="BH145" s="162" t="s">
        <v>7</v>
      </c>
      <c r="BI145" t="s">
        <v>9871</v>
      </c>
      <c r="BJ145" s="162" t="s">
        <v>10164</v>
      </c>
      <c r="BK145" t="s">
        <v>1162</v>
      </c>
      <c r="BL145" s="162">
        <v>36</v>
      </c>
      <c r="BM145" t="s">
        <v>35</v>
      </c>
      <c r="BN145" t="s">
        <v>35</v>
      </c>
      <c r="BO145" t="s">
        <v>1162</v>
      </c>
      <c r="BP145" s="162">
        <v>36</v>
      </c>
      <c r="BQ145" t="s">
        <v>9851</v>
      </c>
      <c r="BR145" t="s">
        <v>35</v>
      </c>
      <c r="BS145" s="162" t="s">
        <v>35</v>
      </c>
    </row>
    <row r="146" spans="1:71">
      <c r="A146" s="162">
        <v>145</v>
      </c>
      <c r="B146" t="s">
        <v>287</v>
      </c>
      <c r="C146" s="162">
        <v>1</v>
      </c>
      <c r="D146" s="122">
        <v>42972</v>
      </c>
      <c r="E146" t="s">
        <v>2068</v>
      </c>
      <c r="F146" t="s">
        <v>515</v>
      </c>
      <c r="G146" t="s">
        <v>291</v>
      </c>
      <c r="H146" t="s">
        <v>2069</v>
      </c>
      <c r="I146" s="162">
        <v>1</v>
      </c>
      <c r="J146" t="s">
        <v>1855</v>
      </c>
      <c r="K146" t="s">
        <v>3</v>
      </c>
      <c r="L146" s="165">
        <v>29463</v>
      </c>
      <c r="M146" s="166">
        <v>37</v>
      </c>
      <c r="N146" t="s">
        <v>5</v>
      </c>
      <c r="O146" t="s">
        <v>10135</v>
      </c>
      <c r="P146" t="s">
        <v>1101</v>
      </c>
      <c r="Q146" t="s">
        <v>2070</v>
      </c>
      <c r="R146" t="s">
        <v>2085</v>
      </c>
      <c r="S146" s="162">
        <v>19.100000000000001</v>
      </c>
      <c r="T146" t="s">
        <v>2088</v>
      </c>
      <c r="U146" s="162">
        <v>33.200000000000003</v>
      </c>
      <c r="V146" t="s">
        <v>9962</v>
      </c>
      <c r="W146" s="162">
        <v>1</v>
      </c>
      <c r="X146">
        <v>0</v>
      </c>
      <c r="Y146" s="162">
        <v>0</v>
      </c>
      <c r="Z146">
        <v>0</v>
      </c>
      <c r="AA146" s="162">
        <v>0</v>
      </c>
      <c r="AB146">
        <v>0</v>
      </c>
      <c r="AC146" s="162" t="s">
        <v>7</v>
      </c>
      <c r="AD146" s="162" t="s">
        <v>7</v>
      </c>
      <c r="AE146" s="162" t="s">
        <v>7</v>
      </c>
      <c r="AF146" s="162" t="s">
        <v>7</v>
      </c>
      <c r="AG146" s="162" t="s">
        <v>7</v>
      </c>
      <c r="AH146" s="162" t="s">
        <v>7</v>
      </c>
      <c r="AI146" t="s">
        <v>9843</v>
      </c>
      <c r="AJ146" t="s">
        <v>7</v>
      </c>
      <c r="AK146" t="s">
        <v>1387</v>
      </c>
      <c r="AL146" t="s">
        <v>36</v>
      </c>
      <c r="AM146" s="162" t="s">
        <v>10138</v>
      </c>
      <c r="AN146" t="s">
        <v>9843</v>
      </c>
      <c r="AO146" t="s">
        <v>35</v>
      </c>
      <c r="AP146" t="s">
        <v>7</v>
      </c>
      <c r="AQ146" t="s">
        <v>9</v>
      </c>
      <c r="AR146" t="s">
        <v>7</v>
      </c>
      <c r="AS146" s="162" t="s">
        <v>7</v>
      </c>
      <c r="AT146" s="117" t="s">
        <v>7</v>
      </c>
      <c r="AU146" s="162" t="s">
        <v>7</v>
      </c>
      <c r="AV146" s="162" t="s">
        <v>7</v>
      </c>
      <c r="AW146" s="162" t="s">
        <v>9851</v>
      </c>
      <c r="AX146" s="162" t="s">
        <v>7</v>
      </c>
      <c r="AY146" s="162" t="s">
        <v>7</v>
      </c>
      <c r="AZ146" t="s">
        <v>7</v>
      </c>
      <c r="BA146" s="162" t="s">
        <v>7</v>
      </c>
      <c r="BB146" s="162" t="s">
        <v>7</v>
      </c>
      <c r="BC146" s="162" t="s">
        <v>7</v>
      </c>
      <c r="BD146" s="162" t="s">
        <v>7</v>
      </c>
      <c r="BE146" s="162" t="s">
        <v>7</v>
      </c>
      <c r="BF146" s="162" t="str">
        <f t="shared" si="4"/>
        <v>Sim</v>
      </c>
      <c r="BG146" s="162" t="str">
        <f t="shared" si="5"/>
        <v>Não</v>
      </c>
      <c r="BH146" s="162" t="s">
        <v>7</v>
      </c>
      <c r="BI146" t="s">
        <v>9871</v>
      </c>
      <c r="BJ146" s="162" t="s">
        <v>10164</v>
      </c>
      <c r="BK146" t="s">
        <v>1162</v>
      </c>
      <c r="BL146" s="162">
        <v>36</v>
      </c>
      <c r="BM146" t="s">
        <v>35</v>
      </c>
      <c r="BN146" t="s">
        <v>35</v>
      </c>
      <c r="BO146" t="s">
        <v>1162</v>
      </c>
      <c r="BP146" s="162">
        <v>36</v>
      </c>
      <c r="BQ146" t="s">
        <v>7</v>
      </c>
      <c r="BR146" t="s">
        <v>1849</v>
      </c>
      <c r="BS146" s="162" t="s">
        <v>10170</v>
      </c>
    </row>
    <row r="147" spans="1:71">
      <c r="A147" s="162">
        <v>146</v>
      </c>
      <c r="B147" t="s">
        <v>1871</v>
      </c>
      <c r="C147" s="162">
        <v>0</v>
      </c>
      <c r="D147" s="122">
        <v>42884</v>
      </c>
      <c r="E147" t="s">
        <v>836</v>
      </c>
      <c r="F147" t="s">
        <v>3</v>
      </c>
      <c r="G147" t="s">
        <v>323</v>
      </c>
      <c r="H147" t="s">
        <v>1878</v>
      </c>
      <c r="I147" s="162">
        <v>1</v>
      </c>
      <c r="J147" t="s">
        <v>76</v>
      </c>
      <c r="K147" t="s">
        <v>515</v>
      </c>
      <c r="L147" s="165">
        <v>35346</v>
      </c>
      <c r="M147" s="166">
        <v>20</v>
      </c>
      <c r="N147" t="s">
        <v>4</v>
      </c>
      <c r="O147" t="s">
        <v>10134</v>
      </c>
      <c r="P147" t="s">
        <v>41</v>
      </c>
      <c r="Q147" t="s">
        <v>1210</v>
      </c>
      <c r="R147" t="s">
        <v>1940</v>
      </c>
      <c r="S147" s="162">
        <v>80000</v>
      </c>
      <c r="T147" t="s">
        <v>1945</v>
      </c>
      <c r="U147" s="162">
        <v>2500</v>
      </c>
      <c r="V147" t="s">
        <v>1948</v>
      </c>
      <c r="W147" s="162">
        <v>382.4</v>
      </c>
      <c r="X147">
        <v>0</v>
      </c>
      <c r="Y147" s="162">
        <v>0</v>
      </c>
      <c r="Z147">
        <v>0</v>
      </c>
      <c r="AA147" s="162">
        <v>0</v>
      </c>
      <c r="AB147">
        <v>0</v>
      </c>
      <c r="AC147" s="162" t="s">
        <v>7</v>
      </c>
      <c r="AD147" s="162" t="s">
        <v>7</v>
      </c>
      <c r="AE147" s="162" t="s">
        <v>7</v>
      </c>
      <c r="AF147" s="162" t="s">
        <v>7</v>
      </c>
      <c r="AG147" s="162" t="s">
        <v>7</v>
      </c>
      <c r="AH147" s="162" t="s">
        <v>7</v>
      </c>
      <c r="AI147" t="s">
        <v>9845</v>
      </c>
      <c r="AJ147" t="s">
        <v>1956</v>
      </c>
      <c r="AK147" t="s">
        <v>1122</v>
      </c>
      <c r="AL147" t="s">
        <v>78</v>
      </c>
      <c r="AM147" s="162" t="s">
        <v>10138</v>
      </c>
      <c r="AN147" t="s">
        <v>9843</v>
      </c>
      <c r="AO147" t="s">
        <v>7</v>
      </c>
      <c r="AP147" t="s">
        <v>7</v>
      </c>
      <c r="AQ147" t="s">
        <v>9</v>
      </c>
      <c r="AR147" t="s">
        <v>7</v>
      </c>
      <c r="AS147" s="162" t="s">
        <v>7</v>
      </c>
      <c r="AT147" s="117" t="s">
        <v>7</v>
      </c>
      <c r="AU147" s="162" t="s">
        <v>7</v>
      </c>
      <c r="AV147" s="162" t="s">
        <v>7</v>
      </c>
      <c r="AW147" s="162" t="s">
        <v>9851</v>
      </c>
      <c r="AX147" s="162" t="s">
        <v>7</v>
      </c>
      <c r="AY147" s="162" t="s">
        <v>7</v>
      </c>
      <c r="AZ147" t="s">
        <v>7</v>
      </c>
      <c r="BA147" s="162" t="s">
        <v>7</v>
      </c>
      <c r="BB147" s="162" t="s">
        <v>7</v>
      </c>
      <c r="BC147" s="162" t="s">
        <v>7</v>
      </c>
      <c r="BD147" s="162" t="s">
        <v>7</v>
      </c>
      <c r="BE147" s="162" t="s">
        <v>7</v>
      </c>
      <c r="BF147" s="162" t="str">
        <f t="shared" si="4"/>
        <v>Sim</v>
      </c>
      <c r="BG147" s="162" t="str">
        <f t="shared" si="5"/>
        <v>Não</v>
      </c>
      <c r="BH147" s="162" t="s">
        <v>7</v>
      </c>
      <c r="BI147" t="s">
        <v>9871</v>
      </c>
      <c r="BJ147" s="162" t="s">
        <v>10164</v>
      </c>
      <c r="BK147" t="s">
        <v>1162</v>
      </c>
      <c r="BL147" s="162">
        <v>36</v>
      </c>
      <c r="BM147" t="s">
        <v>35</v>
      </c>
      <c r="BN147" t="s">
        <v>35</v>
      </c>
      <c r="BO147" t="s">
        <v>1162</v>
      </c>
      <c r="BP147" s="162">
        <v>36</v>
      </c>
      <c r="BQ147" t="s">
        <v>7</v>
      </c>
      <c r="BR147" t="s">
        <v>37</v>
      </c>
      <c r="BS147" s="162" t="s">
        <v>37</v>
      </c>
    </row>
    <row r="148" spans="1:71">
      <c r="A148" s="162">
        <v>147</v>
      </c>
      <c r="B148" t="s">
        <v>1871</v>
      </c>
      <c r="C148" s="162">
        <v>0</v>
      </c>
      <c r="D148" s="122">
        <v>42884</v>
      </c>
      <c r="E148" t="s">
        <v>836</v>
      </c>
      <c r="F148" t="s">
        <v>3</v>
      </c>
      <c r="G148" t="s">
        <v>323</v>
      </c>
      <c r="H148" t="s">
        <v>1877</v>
      </c>
      <c r="I148" s="162">
        <v>1</v>
      </c>
      <c r="J148" t="s">
        <v>76</v>
      </c>
      <c r="K148" t="s">
        <v>515</v>
      </c>
      <c r="L148" s="165">
        <v>27516</v>
      </c>
      <c r="M148" s="166">
        <v>42</v>
      </c>
      <c r="N148" t="s">
        <v>5</v>
      </c>
      <c r="O148" t="s">
        <v>10135</v>
      </c>
      <c r="P148" t="s">
        <v>41</v>
      </c>
      <c r="Q148" t="s">
        <v>1210</v>
      </c>
      <c r="R148" t="s">
        <v>1940</v>
      </c>
      <c r="S148" s="162">
        <v>80000</v>
      </c>
      <c r="T148" t="s">
        <v>1945</v>
      </c>
      <c r="U148" s="162">
        <v>2500</v>
      </c>
      <c r="V148" t="s">
        <v>1948</v>
      </c>
      <c r="W148" s="162">
        <v>382.4</v>
      </c>
      <c r="X148">
        <v>0</v>
      </c>
      <c r="Y148" s="162">
        <v>0</v>
      </c>
      <c r="Z148">
        <v>0</v>
      </c>
      <c r="AA148" s="162">
        <v>0</v>
      </c>
      <c r="AB148">
        <v>0</v>
      </c>
      <c r="AC148" s="162" t="s">
        <v>7</v>
      </c>
      <c r="AD148" s="162" t="s">
        <v>7</v>
      </c>
      <c r="AE148" s="162" t="s">
        <v>7</v>
      </c>
      <c r="AF148" s="162" t="s">
        <v>7</v>
      </c>
      <c r="AG148" s="162" t="s">
        <v>7</v>
      </c>
      <c r="AH148" s="162" t="s">
        <v>7</v>
      </c>
      <c r="AI148" t="s">
        <v>9845</v>
      </c>
      <c r="AJ148" t="s">
        <v>1956</v>
      </c>
      <c r="AK148" t="s">
        <v>1122</v>
      </c>
      <c r="AL148" t="s">
        <v>78</v>
      </c>
      <c r="AM148" s="162" t="s">
        <v>10138</v>
      </c>
      <c r="AN148" t="s">
        <v>9843</v>
      </c>
      <c r="AO148" t="s">
        <v>7</v>
      </c>
      <c r="AP148" t="s">
        <v>7</v>
      </c>
      <c r="AQ148" t="s">
        <v>9</v>
      </c>
      <c r="AR148" t="s">
        <v>7</v>
      </c>
      <c r="AS148" s="162" t="s">
        <v>7</v>
      </c>
      <c r="AT148" s="117" t="s">
        <v>7</v>
      </c>
      <c r="AU148" s="162" t="s">
        <v>7</v>
      </c>
      <c r="AV148" s="162" t="s">
        <v>7</v>
      </c>
      <c r="AW148" s="162" t="s">
        <v>9851</v>
      </c>
      <c r="AX148" s="162" t="s">
        <v>7</v>
      </c>
      <c r="AY148" s="162" t="s">
        <v>7</v>
      </c>
      <c r="AZ148" t="s">
        <v>7</v>
      </c>
      <c r="BA148" s="162" t="s">
        <v>7</v>
      </c>
      <c r="BB148" s="162" t="s">
        <v>7</v>
      </c>
      <c r="BC148" s="162" t="s">
        <v>7</v>
      </c>
      <c r="BD148" s="162" t="s">
        <v>7</v>
      </c>
      <c r="BE148" s="162" t="s">
        <v>7</v>
      </c>
      <c r="BF148" s="162" t="str">
        <f t="shared" si="4"/>
        <v>Sim</v>
      </c>
      <c r="BG148" s="162" t="str">
        <f t="shared" si="5"/>
        <v>Não</v>
      </c>
      <c r="BH148" s="162" t="s">
        <v>7</v>
      </c>
      <c r="BI148" t="s">
        <v>9871</v>
      </c>
      <c r="BJ148" s="162" t="s">
        <v>10164</v>
      </c>
      <c r="BK148" t="s">
        <v>1162</v>
      </c>
      <c r="BL148" s="162">
        <v>36</v>
      </c>
      <c r="BM148" t="s">
        <v>35</v>
      </c>
      <c r="BN148" t="s">
        <v>35</v>
      </c>
      <c r="BO148" t="s">
        <v>1162</v>
      </c>
      <c r="BP148" s="162">
        <v>36</v>
      </c>
      <c r="BQ148" t="s">
        <v>7</v>
      </c>
      <c r="BR148" t="s">
        <v>37</v>
      </c>
      <c r="BS148" s="162" t="s">
        <v>37</v>
      </c>
    </row>
    <row r="149" spans="1:71">
      <c r="A149" s="162">
        <v>148</v>
      </c>
      <c r="B149" t="s">
        <v>146</v>
      </c>
      <c r="C149" s="162">
        <v>1</v>
      </c>
      <c r="D149" s="122" t="s">
        <v>548</v>
      </c>
      <c r="E149" t="s">
        <v>540</v>
      </c>
      <c r="F149" t="s">
        <v>3</v>
      </c>
      <c r="G149" t="s">
        <v>155</v>
      </c>
      <c r="H149" t="s">
        <v>549</v>
      </c>
      <c r="I149" s="162">
        <v>1</v>
      </c>
      <c r="J149" t="s">
        <v>1855</v>
      </c>
      <c r="K149" t="s">
        <v>515</v>
      </c>
      <c r="L149" s="165">
        <v>35920</v>
      </c>
      <c r="M149" s="166">
        <v>19</v>
      </c>
      <c r="N149" t="s">
        <v>5</v>
      </c>
      <c r="O149" t="s">
        <v>10135</v>
      </c>
      <c r="P149" t="s">
        <v>48</v>
      </c>
      <c r="Q149" t="s">
        <v>1756</v>
      </c>
      <c r="R149" t="s">
        <v>9890</v>
      </c>
      <c r="S149" s="162">
        <v>537</v>
      </c>
      <c r="T149" t="s">
        <v>9891</v>
      </c>
      <c r="U149" s="162">
        <v>27</v>
      </c>
      <c r="V149" t="s">
        <v>9892</v>
      </c>
      <c r="W149" s="162">
        <v>126.6</v>
      </c>
      <c r="X149">
        <v>0</v>
      </c>
      <c r="Y149" s="162">
        <v>0</v>
      </c>
      <c r="Z149">
        <v>0</v>
      </c>
      <c r="AA149" s="162">
        <v>0</v>
      </c>
      <c r="AB149">
        <v>0</v>
      </c>
      <c r="AC149" s="162" t="s">
        <v>7</v>
      </c>
      <c r="AD149" s="162" t="s">
        <v>7</v>
      </c>
      <c r="AE149" s="162" t="s">
        <v>7</v>
      </c>
      <c r="AF149" s="162" t="s">
        <v>7</v>
      </c>
      <c r="AG149" s="162" t="s">
        <v>7</v>
      </c>
      <c r="AH149" s="162" t="s">
        <v>7</v>
      </c>
      <c r="AI149" t="s">
        <v>9843</v>
      </c>
      <c r="AJ149" t="s">
        <v>7</v>
      </c>
      <c r="AK149" t="s">
        <v>1759</v>
      </c>
      <c r="AL149" t="s">
        <v>36</v>
      </c>
      <c r="AM149" s="162" t="s">
        <v>10138</v>
      </c>
      <c r="AN149" t="s">
        <v>9843</v>
      </c>
      <c r="AO149" t="s">
        <v>35</v>
      </c>
      <c r="AP149" t="s">
        <v>7</v>
      </c>
      <c r="AQ149" t="s">
        <v>9</v>
      </c>
      <c r="AR149" t="s">
        <v>7</v>
      </c>
      <c r="AS149" s="162" t="s">
        <v>7</v>
      </c>
      <c r="AT149" s="117" t="s">
        <v>7</v>
      </c>
      <c r="AU149" s="162" t="s">
        <v>7</v>
      </c>
      <c r="AV149" s="162" t="s">
        <v>7</v>
      </c>
      <c r="AW149" s="162" t="s">
        <v>9851</v>
      </c>
      <c r="AX149" s="162" t="s">
        <v>7</v>
      </c>
      <c r="AY149" s="162" t="s">
        <v>7</v>
      </c>
      <c r="AZ149" t="s">
        <v>1937</v>
      </c>
      <c r="BA149" s="162" t="s">
        <v>9851</v>
      </c>
      <c r="BB149" s="162" t="s">
        <v>7</v>
      </c>
      <c r="BC149" s="162" t="s">
        <v>7</v>
      </c>
      <c r="BD149" s="162" t="s">
        <v>7</v>
      </c>
      <c r="BE149" s="162" t="s">
        <v>7</v>
      </c>
      <c r="BF149" s="162" t="str">
        <f t="shared" si="4"/>
        <v>Não</v>
      </c>
      <c r="BG149" s="162" t="str">
        <f t="shared" si="5"/>
        <v>Não</v>
      </c>
      <c r="BH149" s="162" t="s">
        <v>9851</v>
      </c>
      <c r="BI149" t="s">
        <v>9871</v>
      </c>
      <c r="BJ149" s="162" t="s">
        <v>10164</v>
      </c>
      <c r="BK149" t="s">
        <v>1758</v>
      </c>
      <c r="BL149" s="162">
        <v>46.666666666666664</v>
      </c>
      <c r="BM149" t="s">
        <v>35</v>
      </c>
      <c r="BN149" t="s">
        <v>35</v>
      </c>
      <c r="BO149" t="s">
        <v>1758</v>
      </c>
      <c r="BP149" s="162">
        <v>46.666666666666664</v>
      </c>
      <c r="BQ149" t="s">
        <v>9851</v>
      </c>
      <c r="BR149" t="s">
        <v>35</v>
      </c>
      <c r="BS149" s="162" t="s">
        <v>35</v>
      </c>
    </row>
    <row r="150" spans="1:71">
      <c r="A150" s="162">
        <v>149</v>
      </c>
      <c r="B150" t="s">
        <v>431</v>
      </c>
      <c r="C150" s="162">
        <v>1</v>
      </c>
      <c r="D150" s="122" t="s">
        <v>832</v>
      </c>
      <c r="E150" t="s">
        <v>994</v>
      </c>
      <c r="F150" t="s">
        <v>515</v>
      </c>
      <c r="G150" t="s">
        <v>433</v>
      </c>
      <c r="H150" t="s">
        <v>1001</v>
      </c>
      <c r="I150" s="162">
        <v>1</v>
      </c>
      <c r="J150" t="s">
        <v>1855</v>
      </c>
      <c r="K150" t="s">
        <v>3</v>
      </c>
      <c r="L150" s="165">
        <v>33832</v>
      </c>
      <c r="M150" s="166">
        <v>24</v>
      </c>
      <c r="N150" t="s">
        <v>1093</v>
      </c>
      <c r="O150" t="s">
        <v>10135</v>
      </c>
      <c r="P150" t="s">
        <v>48</v>
      </c>
      <c r="Q150" t="s">
        <v>1420</v>
      </c>
      <c r="R150" t="s">
        <v>1966</v>
      </c>
      <c r="S150" s="162">
        <v>305.3</v>
      </c>
      <c r="T150" t="s">
        <v>1970</v>
      </c>
      <c r="U150" s="162">
        <v>109.9</v>
      </c>
      <c r="V150" t="s">
        <v>10079</v>
      </c>
      <c r="W150" s="162">
        <v>27</v>
      </c>
      <c r="X150">
        <v>0</v>
      </c>
      <c r="Y150" s="162">
        <v>0</v>
      </c>
      <c r="Z150">
        <v>0</v>
      </c>
      <c r="AA150" s="162">
        <v>0</v>
      </c>
      <c r="AB150" t="s">
        <v>10035</v>
      </c>
      <c r="AC150" s="162" t="s">
        <v>7</v>
      </c>
      <c r="AD150" s="162" t="s">
        <v>7</v>
      </c>
      <c r="AE150" s="162" t="s">
        <v>7</v>
      </c>
      <c r="AF150" s="162" t="s">
        <v>7</v>
      </c>
      <c r="AG150" s="162" t="s">
        <v>9851</v>
      </c>
      <c r="AH150" s="162" t="s">
        <v>7</v>
      </c>
      <c r="AI150" t="s">
        <v>9843</v>
      </c>
      <c r="AJ150" t="s">
        <v>7</v>
      </c>
      <c r="AK150" t="s">
        <v>1173</v>
      </c>
      <c r="AL150" t="s">
        <v>36</v>
      </c>
      <c r="AM150" s="162" t="s">
        <v>10138</v>
      </c>
      <c r="AN150" t="s">
        <v>9843</v>
      </c>
      <c r="AO150" t="s">
        <v>35</v>
      </c>
      <c r="AP150" t="s">
        <v>1104</v>
      </c>
      <c r="AQ150" t="s">
        <v>1100</v>
      </c>
      <c r="AR150" t="s">
        <v>7</v>
      </c>
      <c r="AS150" s="162" t="s">
        <v>7</v>
      </c>
      <c r="AT150" s="117" t="s">
        <v>7</v>
      </c>
      <c r="AU150" s="162" t="s">
        <v>7</v>
      </c>
      <c r="AV150" s="162" t="s">
        <v>7</v>
      </c>
      <c r="AW150" s="162" t="s">
        <v>9851</v>
      </c>
      <c r="AX150" s="162" t="s">
        <v>7</v>
      </c>
      <c r="AY150" s="162" t="s">
        <v>7</v>
      </c>
      <c r="AZ150" t="s">
        <v>7</v>
      </c>
      <c r="BA150" s="162" t="s">
        <v>7</v>
      </c>
      <c r="BB150" s="162" t="s">
        <v>7</v>
      </c>
      <c r="BC150" s="162" t="s">
        <v>7</v>
      </c>
      <c r="BD150" s="162" t="s">
        <v>7</v>
      </c>
      <c r="BE150" s="162" t="s">
        <v>7</v>
      </c>
      <c r="BF150" s="162" t="str">
        <f t="shared" si="4"/>
        <v>Sim</v>
      </c>
      <c r="BG150" s="162" t="str">
        <f t="shared" si="5"/>
        <v>Não</v>
      </c>
      <c r="BH150" s="162" t="s">
        <v>7</v>
      </c>
      <c r="BI150" t="s">
        <v>9871</v>
      </c>
      <c r="BJ150" s="162" t="s">
        <v>10164</v>
      </c>
      <c r="BK150" t="s">
        <v>1758</v>
      </c>
      <c r="BL150" s="162">
        <v>46.666666666666664</v>
      </c>
      <c r="BM150" t="s">
        <v>35</v>
      </c>
      <c r="BN150" t="s">
        <v>35</v>
      </c>
      <c r="BO150" t="s">
        <v>1758</v>
      </c>
      <c r="BP150" s="162">
        <v>46.666666666666664</v>
      </c>
      <c r="BQ150" t="s">
        <v>7</v>
      </c>
      <c r="BR150" t="s">
        <v>1114</v>
      </c>
      <c r="BS150" s="162" t="s">
        <v>1114</v>
      </c>
    </row>
    <row r="151" spans="1:71">
      <c r="A151" s="162">
        <v>150</v>
      </c>
      <c r="B151" t="s">
        <v>312</v>
      </c>
      <c r="C151" s="162">
        <v>1</v>
      </c>
      <c r="D151" s="122">
        <v>42753</v>
      </c>
      <c r="E151" t="s">
        <v>823</v>
      </c>
      <c r="F151" t="s">
        <v>515</v>
      </c>
      <c r="G151" t="s">
        <v>316</v>
      </c>
      <c r="H151" t="s">
        <v>1926</v>
      </c>
      <c r="I151" s="162">
        <v>1</v>
      </c>
      <c r="J151" t="s">
        <v>76</v>
      </c>
      <c r="K151" t="s">
        <v>515</v>
      </c>
      <c r="L151" s="165">
        <v>30088</v>
      </c>
      <c r="M151" s="166">
        <v>34</v>
      </c>
      <c r="N151" t="s">
        <v>5</v>
      </c>
      <c r="O151" t="s">
        <v>10135</v>
      </c>
      <c r="P151" t="s">
        <v>48</v>
      </c>
      <c r="Q151" t="s">
        <v>1998</v>
      </c>
      <c r="R151" t="s">
        <v>2038</v>
      </c>
      <c r="S151" s="162">
        <v>2539.4</v>
      </c>
      <c r="T151" t="s">
        <v>2044</v>
      </c>
      <c r="U151" s="162">
        <v>103</v>
      </c>
      <c r="V151">
        <v>0</v>
      </c>
      <c r="W151" s="162">
        <v>0</v>
      </c>
      <c r="X151">
        <v>0</v>
      </c>
      <c r="Y151" s="162">
        <v>0</v>
      </c>
      <c r="Z151">
        <v>0</v>
      </c>
      <c r="AA151" s="162">
        <v>0</v>
      </c>
      <c r="AB151">
        <v>0</v>
      </c>
      <c r="AC151" s="162" t="s">
        <v>7</v>
      </c>
      <c r="AD151" s="162" t="s">
        <v>7</v>
      </c>
      <c r="AE151" s="162" t="s">
        <v>7</v>
      </c>
      <c r="AF151" s="162" t="s">
        <v>7</v>
      </c>
      <c r="AG151" s="162" t="s">
        <v>7</v>
      </c>
      <c r="AH151" s="162" t="s">
        <v>7</v>
      </c>
      <c r="AI151" t="s">
        <v>9843</v>
      </c>
      <c r="AJ151" t="s">
        <v>7</v>
      </c>
      <c r="AK151" t="s">
        <v>1921</v>
      </c>
      <c r="AL151" t="s">
        <v>36</v>
      </c>
      <c r="AM151" s="162" t="s">
        <v>10138</v>
      </c>
      <c r="AN151" t="s">
        <v>9843</v>
      </c>
      <c r="AO151" t="s">
        <v>35</v>
      </c>
      <c r="AP151" t="s">
        <v>9866</v>
      </c>
      <c r="AQ151" t="s">
        <v>1080</v>
      </c>
      <c r="AR151" t="s">
        <v>7</v>
      </c>
      <c r="AS151" s="162" t="s">
        <v>7</v>
      </c>
      <c r="AT151" s="117" t="s">
        <v>1111</v>
      </c>
      <c r="AU151" s="162" t="s">
        <v>9851</v>
      </c>
      <c r="AV151" s="162" t="s">
        <v>7</v>
      </c>
      <c r="AW151" s="162" t="s">
        <v>7</v>
      </c>
      <c r="AX151" s="162" t="s">
        <v>7</v>
      </c>
      <c r="AY151" s="162" t="s">
        <v>9851</v>
      </c>
      <c r="AZ151" t="s">
        <v>7</v>
      </c>
      <c r="BA151" s="162" t="s">
        <v>7</v>
      </c>
      <c r="BB151" s="162" t="s">
        <v>7</v>
      </c>
      <c r="BC151" s="162" t="s">
        <v>7</v>
      </c>
      <c r="BD151" s="162" t="s">
        <v>7</v>
      </c>
      <c r="BE151" s="162" t="s">
        <v>7</v>
      </c>
      <c r="BF151" s="162" t="str">
        <f t="shared" si="4"/>
        <v>Sim</v>
      </c>
      <c r="BG151" s="162" t="str">
        <f t="shared" si="5"/>
        <v>Não</v>
      </c>
      <c r="BH151" s="162" t="s">
        <v>7</v>
      </c>
      <c r="BI151" t="s">
        <v>9871</v>
      </c>
      <c r="BJ151" s="162" t="s">
        <v>10164</v>
      </c>
      <c r="BK151" t="s">
        <v>1847</v>
      </c>
      <c r="BL151" s="162">
        <v>40</v>
      </c>
      <c r="BM151" t="s">
        <v>35</v>
      </c>
      <c r="BN151" t="s">
        <v>35</v>
      </c>
      <c r="BO151" t="s">
        <v>1847</v>
      </c>
      <c r="BP151" s="162">
        <v>40</v>
      </c>
      <c r="BQ151" t="s">
        <v>7</v>
      </c>
      <c r="BR151" t="s">
        <v>1849</v>
      </c>
      <c r="BS151" s="162" t="s">
        <v>10170</v>
      </c>
    </row>
    <row r="152" spans="1:71">
      <c r="A152" s="162">
        <v>151</v>
      </c>
      <c r="B152" t="s">
        <v>94</v>
      </c>
      <c r="C152" s="162">
        <v>1</v>
      </c>
      <c r="D152" s="122" t="s">
        <v>101</v>
      </c>
      <c r="E152" t="s">
        <v>96</v>
      </c>
      <c r="F152" t="s">
        <v>515</v>
      </c>
      <c r="G152" t="s">
        <v>87</v>
      </c>
      <c r="H152" t="s">
        <v>111</v>
      </c>
      <c r="I152" s="162">
        <v>1</v>
      </c>
      <c r="J152" t="s">
        <v>1855</v>
      </c>
      <c r="K152" t="s">
        <v>3</v>
      </c>
      <c r="L152" s="165">
        <v>33615</v>
      </c>
      <c r="M152" s="166">
        <v>25</v>
      </c>
      <c r="N152" t="s">
        <v>4</v>
      </c>
      <c r="O152" t="s">
        <v>10134</v>
      </c>
      <c r="P152" t="s">
        <v>41</v>
      </c>
      <c r="Q152" t="s">
        <v>1856</v>
      </c>
      <c r="R152" t="s">
        <v>1857</v>
      </c>
      <c r="S152" s="162">
        <v>51.5</v>
      </c>
      <c r="T152" t="s">
        <v>1858</v>
      </c>
      <c r="U152" s="162">
        <v>111</v>
      </c>
      <c r="V152">
        <v>0</v>
      </c>
      <c r="W152" s="162">
        <v>0</v>
      </c>
      <c r="X152">
        <v>0</v>
      </c>
      <c r="Y152" s="162">
        <v>0</v>
      </c>
      <c r="Z152">
        <v>0</v>
      </c>
      <c r="AA152" s="162">
        <v>0</v>
      </c>
      <c r="AB152">
        <v>0</v>
      </c>
      <c r="AC152" s="162" t="s">
        <v>7</v>
      </c>
      <c r="AD152" s="162" t="s">
        <v>7</v>
      </c>
      <c r="AE152" s="162" t="s">
        <v>7</v>
      </c>
      <c r="AF152" s="162" t="s">
        <v>7</v>
      </c>
      <c r="AG152" s="162" t="s">
        <v>7</v>
      </c>
      <c r="AH152" s="162" t="s">
        <v>7</v>
      </c>
      <c r="AI152" t="s">
        <v>9843</v>
      </c>
      <c r="AJ152" t="s">
        <v>1136</v>
      </c>
      <c r="AK152" t="s">
        <v>1098</v>
      </c>
      <c r="AL152" t="s">
        <v>36</v>
      </c>
      <c r="AM152" s="162" t="s">
        <v>10138</v>
      </c>
      <c r="AN152" t="s">
        <v>9843</v>
      </c>
      <c r="AO152" t="s">
        <v>1136</v>
      </c>
      <c r="AP152" t="s">
        <v>7</v>
      </c>
      <c r="AQ152" t="s">
        <v>9</v>
      </c>
      <c r="AR152" t="s">
        <v>7</v>
      </c>
      <c r="AS152" s="162" t="s">
        <v>7</v>
      </c>
      <c r="AT152" s="117" t="s">
        <v>7</v>
      </c>
      <c r="AU152" s="162" t="s">
        <v>7</v>
      </c>
      <c r="AV152" s="162" t="s">
        <v>7</v>
      </c>
      <c r="AW152" s="162" t="s">
        <v>9851</v>
      </c>
      <c r="AX152" s="162" t="s">
        <v>7</v>
      </c>
      <c r="AY152" s="162" t="s">
        <v>7</v>
      </c>
      <c r="AZ152" t="s">
        <v>7</v>
      </c>
      <c r="BA152" s="162" t="s">
        <v>7</v>
      </c>
      <c r="BB152" s="162" t="s">
        <v>7</v>
      </c>
      <c r="BC152" s="162" t="s">
        <v>7</v>
      </c>
      <c r="BD152" s="162" t="s">
        <v>7</v>
      </c>
      <c r="BE152" s="162" t="s">
        <v>7</v>
      </c>
      <c r="BF152" s="162" t="str">
        <f t="shared" si="4"/>
        <v>Sim</v>
      </c>
      <c r="BG152" s="162" t="str">
        <f t="shared" si="5"/>
        <v>Não</v>
      </c>
      <c r="BH152" s="162" t="s">
        <v>7</v>
      </c>
      <c r="BI152" t="s">
        <v>9871</v>
      </c>
      <c r="BJ152" s="162" t="s">
        <v>10164</v>
      </c>
      <c r="BK152" t="s">
        <v>1847</v>
      </c>
      <c r="BL152" s="162">
        <v>40</v>
      </c>
      <c r="BM152" t="s">
        <v>35</v>
      </c>
      <c r="BN152" t="s">
        <v>1279</v>
      </c>
      <c r="BO152" t="s">
        <v>1859</v>
      </c>
      <c r="BP152" s="162">
        <v>50</v>
      </c>
      <c r="BQ152" t="s">
        <v>35</v>
      </c>
      <c r="BR152" t="s">
        <v>1849</v>
      </c>
      <c r="BS152" s="162" t="s">
        <v>10170</v>
      </c>
    </row>
    <row r="153" spans="1:71">
      <c r="A153" s="162">
        <v>152</v>
      </c>
      <c r="B153" t="s">
        <v>88</v>
      </c>
      <c r="C153" s="162">
        <v>1</v>
      </c>
      <c r="D153" s="122" t="s">
        <v>95</v>
      </c>
      <c r="E153" t="s">
        <v>96</v>
      </c>
      <c r="F153" t="s">
        <v>515</v>
      </c>
      <c r="G153" t="s">
        <v>87</v>
      </c>
      <c r="H153" t="s">
        <v>97</v>
      </c>
      <c r="I153" s="162">
        <v>1</v>
      </c>
      <c r="J153" t="s">
        <v>1598</v>
      </c>
      <c r="K153" t="s">
        <v>3</v>
      </c>
      <c r="L153" s="165">
        <v>33476</v>
      </c>
      <c r="M153" s="166">
        <v>25</v>
      </c>
      <c r="N153" t="s">
        <v>1093</v>
      </c>
      <c r="O153" t="s">
        <v>10135</v>
      </c>
      <c r="P153" t="s">
        <v>1101</v>
      </c>
      <c r="Q153" t="s">
        <v>1072</v>
      </c>
      <c r="R153">
        <v>0</v>
      </c>
      <c r="S153" s="162">
        <v>0</v>
      </c>
      <c r="T153">
        <v>0</v>
      </c>
      <c r="U153" s="162">
        <v>0</v>
      </c>
      <c r="V153" t="s">
        <v>1845</v>
      </c>
      <c r="W153" s="162">
        <v>5.5</v>
      </c>
      <c r="X153">
        <v>0</v>
      </c>
      <c r="Y153" s="162">
        <v>0</v>
      </c>
      <c r="Z153">
        <v>0</v>
      </c>
      <c r="AA153" s="162">
        <v>0</v>
      </c>
      <c r="AB153">
        <v>0</v>
      </c>
      <c r="AC153" s="162" t="s">
        <v>7</v>
      </c>
      <c r="AD153" s="162" t="s">
        <v>7</v>
      </c>
      <c r="AE153" s="162" t="s">
        <v>7</v>
      </c>
      <c r="AF153" s="162" t="s">
        <v>7</v>
      </c>
      <c r="AG153" s="162" t="s">
        <v>7</v>
      </c>
      <c r="AH153" s="162" t="s">
        <v>7</v>
      </c>
      <c r="AI153" t="s">
        <v>9843</v>
      </c>
      <c r="AJ153" t="s">
        <v>7</v>
      </c>
      <c r="AK153" t="s">
        <v>1846</v>
      </c>
      <c r="AL153" t="s">
        <v>36</v>
      </c>
      <c r="AM153" s="162" t="s">
        <v>10138</v>
      </c>
      <c r="AN153" t="s">
        <v>9843</v>
      </c>
      <c r="AO153" t="s">
        <v>35</v>
      </c>
      <c r="AP153" t="s">
        <v>7</v>
      </c>
      <c r="AQ153" t="s">
        <v>9</v>
      </c>
      <c r="AR153" t="s">
        <v>7</v>
      </c>
      <c r="AS153" s="162" t="s">
        <v>7</v>
      </c>
      <c r="AT153" s="117" t="s">
        <v>7</v>
      </c>
      <c r="AU153" s="162" t="s">
        <v>7</v>
      </c>
      <c r="AV153" s="162" t="s">
        <v>7</v>
      </c>
      <c r="AW153" s="162" t="s">
        <v>9851</v>
      </c>
      <c r="AX153" s="162" t="s">
        <v>7</v>
      </c>
      <c r="AY153" s="162" t="s">
        <v>7</v>
      </c>
      <c r="AZ153" t="s">
        <v>7</v>
      </c>
      <c r="BA153" s="162" t="s">
        <v>7</v>
      </c>
      <c r="BB153" s="162" t="s">
        <v>7</v>
      </c>
      <c r="BC153" s="162" t="s">
        <v>7</v>
      </c>
      <c r="BD153" s="162" t="s">
        <v>7</v>
      </c>
      <c r="BE153" s="162" t="s">
        <v>7</v>
      </c>
      <c r="BF153" s="162" t="str">
        <f t="shared" si="4"/>
        <v>Sim</v>
      </c>
      <c r="BG153" s="162" t="str">
        <f t="shared" si="5"/>
        <v>Não</v>
      </c>
      <c r="BH153" s="162" t="s">
        <v>7</v>
      </c>
      <c r="BI153" t="s">
        <v>9871</v>
      </c>
      <c r="BJ153" s="162" t="s">
        <v>10164</v>
      </c>
      <c r="BK153" t="s">
        <v>1847</v>
      </c>
      <c r="BL153" s="162">
        <v>40</v>
      </c>
      <c r="BM153" t="s">
        <v>35</v>
      </c>
      <c r="BN153" t="s">
        <v>35</v>
      </c>
      <c r="BO153" t="s">
        <v>1847</v>
      </c>
      <c r="BP153" s="162">
        <v>40</v>
      </c>
      <c r="BQ153" t="s">
        <v>7</v>
      </c>
      <c r="BR153" t="s">
        <v>1849</v>
      </c>
      <c r="BS153" s="162" t="s">
        <v>10170</v>
      </c>
    </row>
    <row r="154" spans="1:71">
      <c r="A154" s="162">
        <v>153</v>
      </c>
      <c r="B154" t="s">
        <v>1872</v>
      </c>
      <c r="C154" s="162">
        <v>1</v>
      </c>
      <c r="D154" s="122">
        <v>42832</v>
      </c>
      <c r="E154" t="s">
        <v>836</v>
      </c>
      <c r="F154" t="s">
        <v>3</v>
      </c>
      <c r="G154" t="s">
        <v>323</v>
      </c>
      <c r="H154" t="s">
        <v>1879</v>
      </c>
      <c r="I154" s="162">
        <v>1</v>
      </c>
      <c r="J154" t="s">
        <v>1855</v>
      </c>
      <c r="K154" t="s">
        <v>3</v>
      </c>
      <c r="L154" s="165">
        <v>34765</v>
      </c>
      <c r="M154" s="166">
        <v>22</v>
      </c>
      <c r="N154" t="s">
        <v>18</v>
      </c>
      <c r="O154" t="s">
        <v>10135</v>
      </c>
      <c r="P154" t="s">
        <v>48</v>
      </c>
      <c r="Q154" t="s">
        <v>1939</v>
      </c>
      <c r="R154" t="s">
        <v>1941</v>
      </c>
      <c r="S154" s="162">
        <v>2651.7</v>
      </c>
      <c r="T154" t="s">
        <v>1944</v>
      </c>
      <c r="U154" s="162">
        <v>83.1</v>
      </c>
      <c r="V154" t="s">
        <v>1949</v>
      </c>
      <c r="W154" s="162">
        <v>239.4</v>
      </c>
      <c r="X154">
        <v>0</v>
      </c>
      <c r="Y154" s="162">
        <v>0</v>
      </c>
      <c r="Z154">
        <v>0</v>
      </c>
      <c r="AA154" s="162">
        <v>0</v>
      </c>
      <c r="AB154">
        <v>0</v>
      </c>
      <c r="AC154" s="162" t="s">
        <v>7</v>
      </c>
      <c r="AD154" s="162" t="s">
        <v>7</v>
      </c>
      <c r="AE154" s="162" t="s">
        <v>7</v>
      </c>
      <c r="AF154" s="162" t="s">
        <v>7</v>
      </c>
      <c r="AG154" s="162" t="s">
        <v>7</v>
      </c>
      <c r="AH154" s="162" t="s">
        <v>7</v>
      </c>
      <c r="AI154" t="s">
        <v>9843</v>
      </c>
      <c r="AJ154" t="s">
        <v>1740</v>
      </c>
      <c r="AK154" t="s">
        <v>1173</v>
      </c>
      <c r="AL154" t="s">
        <v>78</v>
      </c>
      <c r="AM154" s="162" t="s">
        <v>10138</v>
      </c>
      <c r="AN154" t="s">
        <v>9843</v>
      </c>
      <c r="AO154" t="s">
        <v>1956</v>
      </c>
      <c r="AP154" t="s">
        <v>7</v>
      </c>
      <c r="AQ154" t="s">
        <v>9</v>
      </c>
      <c r="AR154" t="s">
        <v>7</v>
      </c>
      <c r="AS154" s="162" t="s">
        <v>7</v>
      </c>
      <c r="AT154" s="117" t="s">
        <v>7</v>
      </c>
      <c r="AU154" s="162" t="s">
        <v>7</v>
      </c>
      <c r="AV154" s="162" t="s">
        <v>7</v>
      </c>
      <c r="AW154" s="162" t="s">
        <v>9851</v>
      </c>
      <c r="AX154" s="162" t="s">
        <v>7</v>
      </c>
      <c r="AY154" s="162" t="s">
        <v>7</v>
      </c>
      <c r="AZ154" t="s">
        <v>69</v>
      </c>
      <c r="BA154" s="162" t="s">
        <v>7</v>
      </c>
      <c r="BB154" s="162" t="s">
        <v>7</v>
      </c>
      <c r="BC154" s="162" t="s">
        <v>7</v>
      </c>
      <c r="BD154" s="162" t="s">
        <v>9851</v>
      </c>
      <c r="BE154" s="162" t="s">
        <v>7</v>
      </c>
      <c r="BF154" s="162" t="str">
        <f t="shared" si="4"/>
        <v>Não</v>
      </c>
      <c r="BG154" s="162" t="str">
        <f t="shared" si="5"/>
        <v>Não</v>
      </c>
      <c r="BH154" s="162" t="s">
        <v>9851</v>
      </c>
      <c r="BI154" t="s">
        <v>9871</v>
      </c>
      <c r="BJ154" s="162" t="s">
        <v>10164</v>
      </c>
      <c r="BK154" t="s">
        <v>1782</v>
      </c>
      <c r="BL154" s="162">
        <v>42</v>
      </c>
      <c r="BM154" t="s">
        <v>35</v>
      </c>
      <c r="BN154" t="s">
        <v>69</v>
      </c>
      <c r="BO154" t="s">
        <v>1782</v>
      </c>
      <c r="BP154" s="162">
        <v>42</v>
      </c>
      <c r="BQ154" t="s">
        <v>7</v>
      </c>
      <c r="BR154" t="s">
        <v>1114</v>
      </c>
      <c r="BS154" s="162" t="s">
        <v>1114</v>
      </c>
    </row>
    <row r="155" spans="1:71">
      <c r="A155" s="162">
        <v>154</v>
      </c>
      <c r="B155" t="s">
        <v>1872</v>
      </c>
      <c r="C155" s="162">
        <v>0</v>
      </c>
      <c r="D155" s="122">
        <v>42832</v>
      </c>
      <c r="E155" t="s">
        <v>836</v>
      </c>
      <c r="F155" t="s">
        <v>3</v>
      </c>
      <c r="G155" t="s">
        <v>323</v>
      </c>
      <c r="H155" t="s">
        <v>1880</v>
      </c>
      <c r="I155" s="162">
        <v>1</v>
      </c>
      <c r="J155" t="s">
        <v>1855</v>
      </c>
      <c r="K155" t="s">
        <v>3</v>
      </c>
      <c r="L155" s="165">
        <v>35486</v>
      </c>
      <c r="M155" s="166">
        <v>20</v>
      </c>
      <c r="N155" t="s">
        <v>5</v>
      </c>
      <c r="O155" t="s">
        <v>10135</v>
      </c>
      <c r="P155" t="s">
        <v>48</v>
      </c>
      <c r="Q155" t="s">
        <v>1939</v>
      </c>
      <c r="R155" t="s">
        <v>1941</v>
      </c>
      <c r="S155" s="162">
        <v>2651.7</v>
      </c>
      <c r="T155" t="s">
        <v>1944</v>
      </c>
      <c r="U155" s="162">
        <v>83.1</v>
      </c>
      <c r="V155" t="s">
        <v>1949</v>
      </c>
      <c r="W155" s="162">
        <v>239.4</v>
      </c>
      <c r="X155">
        <v>0</v>
      </c>
      <c r="Y155" s="162">
        <v>0</v>
      </c>
      <c r="Z155">
        <v>0</v>
      </c>
      <c r="AA155" s="162">
        <v>0</v>
      </c>
      <c r="AB155">
        <v>0</v>
      </c>
      <c r="AC155" s="162" t="s">
        <v>7</v>
      </c>
      <c r="AD155" s="162" t="s">
        <v>7</v>
      </c>
      <c r="AE155" s="162" t="s">
        <v>7</v>
      </c>
      <c r="AF155" s="162" t="s">
        <v>7</v>
      </c>
      <c r="AG155" s="162" t="s">
        <v>7</v>
      </c>
      <c r="AH155" s="162" t="s">
        <v>7</v>
      </c>
      <c r="AI155" t="s">
        <v>9843</v>
      </c>
      <c r="AJ155" t="s">
        <v>1740</v>
      </c>
      <c r="AK155" t="s">
        <v>1173</v>
      </c>
      <c r="AL155" t="s">
        <v>78</v>
      </c>
      <c r="AM155" s="162" t="s">
        <v>10138</v>
      </c>
      <c r="AN155" t="s">
        <v>9843</v>
      </c>
      <c r="AO155" t="s">
        <v>1956</v>
      </c>
      <c r="AP155" t="s">
        <v>7</v>
      </c>
      <c r="AQ155" t="s">
        <v>9</v>
      </c>
      <c r="AR155" t="s">
        <v>7</v>
      </c>
      <c r="AS155" s="162" t="s">
        <v>7</v>
      </c>
      <c r="AT155" s="117" t="s">
        <v>7</v>
      </c>
      <c r="AU155" s="162" t="s">
        <v>7</v>
      </c>
      <c r="AV155" s="162" t="s">
        <v>7</v>
      </c>
      <c r="AW155" s="162" t="s">
        <v>9851</v>
      </c>
      <c r="AX155" s="162" t="s">
        <v>7</v>
      </c>
      <c r="AY155" s="162" t="s">
        <v>7</v>
      </c>
      <c r="AZ155" t="s">
        <v>69</v>
      </c>
      <c r="BA155" s="162" t="s">
        <v>7</v>
      </c>
      <c r="BB155" s="162" t="s">
        <v>7</v>
      </c>
      <c r="BC155" s="162" t="s">
        <v>7</v>
      </c>
      <c r="BD155" s="162" t="s">
        <v>9851</v>
      </c>
      <c r="BE155" s="162" t="s">
        <v>7</v>
      </c>
      <c r="BF155" s="162" t="str">
        <f t="shared" si="4"/>
        <v>Não</v>
      </c>
      <c r="BG155" s="162" t="str">
        <f t="shared" si="5"/>
        <v>Não</v>
      </c>
      <c r="BH155" s="162" t="s">
        <v>9851</v>
      </c>
      <c r="BI155" t="s">
        <v>9871</v>
      </c>
      <c r="BJ155" s="162" t="s">
        <v>10164</v>
      </c>
      <c r="BK155" t="s">
        <v>1782</v>
      </c>
      <c r="BL155" s="162">
        <v>42</v>
      </c>
      <c r="BM155" t="s">
        <v>35</v>
      </c>
      <c r="BN155" t="s">
        <v>69</v>
      </c>
      <c r="BO155" t="s">
        <v>1782</v>
      </c>
      <c r="BP155" s="162">
        <v>42</v>
      </c>
      <c r="BQ155" t="s">
        <v>7</v>
      </c>
      <c r="BR155" t="s">
        <v>1114</v>
      </c>
      <c r="BS155" s="162" t="s">
        <v>1114</v>
      </c>
    </row>
    <row r="156" spans="1:71">
      <c r="A156" s="162">
        <v>155</v>
      </c>
      <c r="B156" t="s">
        <v>1872</v>
      </c>
      <c r="C156" s="162">
        <v>0</v>
      </c>
      <c r="D156" s="122">
        <v>42832</v>
      </c>
      <c r="E156" t="s">
        <v>836</v>
      </c>
      <c r="F156" t="s">
        <v>3</v>
      </c>
      <c r="G156" t="s">
        <v>323</v>
      </c>
      <c r="H156" t="s">
        <v>1881</v>
      </c>
      <c r="I156" s="162">
        <v>1</v>
      </c>
      <c r="J156" t="s">
        <v>1855</v>
      </c>
      <c r="K156" t="s">
        <v>3</v>
      </c>
      <c r="L156" s="165">
        <v>34128</v>
      </c>
      <c r="M156" s="166">
        <v>23</v>
      </c>
      <c r="N156" t="s">
        <v>5</v>
      </c>
      <c r="O156" t="s">
        <v>10135</v>
      </c>
      <c r="P156" t="s">
        <v>48</v>
      </c>
      <c r="Q156" t="s">
        <v>1939</v>
      </c>
      <c r="R156" t="s">
        <v>1941</v>
      </c>
      <c r="S156" s="162">
        <v>2651.7</v>
      </c>
      <c r="T156" t="s">
        <v>1944</v>
      </c>
      <c r="U156" s="162">
        <v>83.1</v>
      </c>
      <c r="V156" t="s">
        <v>1949</v>
      </c>
      <c r="W156" s="162">
        <v>239.4</v>
      </c>
      <c r="X156">
        <v>0</v>
      </c>
      <c r="Y156" s="162">
        <v>0</v>
      </c>
      <c r="Z156">
        <v>0</v>
      </c>
      <c r="AA156" s="162">
        <v>0</v>
      </c>
      <c r="AB156">
        <v>0</v>
      </c>
      <c r="AC156" s="162" t="s">
        <v>7</v>
      </c>
      <c r="AD156" s="162" t="s">
        <v>7</v>
      </c>
      <c r="AE156" s="162" t="s">
        <v>7</v>
      </c>
      <c r="AF156" s="162" t="s">
        <v>7</v>
      </c>
      <c r="AG156" s="162" t="s">
        <v>7</v>
      </c>
      <c r="AH156" s="162" t="s">
        <v>7</v>
      </c>
      <c r="AI156" t="s">
        <v>9843</v>
      </c>
      <c r="AJ156" t="s">
        <v>1740</v>
      </c>
      <c r="AK156" t="s">
        <v>1173</v>
      </c>
      <c r="AL156" t="s">
        <v>78</v>
      </c>
      <c r="AM156" s="162" t="s">
        <v>10138</v>
      </c>
      <c r="AN156" t="s">
        <v>9843</v>
      </c>
      <c r="AO156" t="s">
        <v>1956</v>
      </c>
      <c r="AP156" t="s">
        <v>7</v>
      </c>
      <c r="AQ156" t="s">
        <v>9</v>
      </c>
      <c r="AR156" t="s">
        <v>7</v>
      </c>
      <c r="AS156" s="162" t="s">
        <v>7</v>
      </c>
      <c r="AT156" s="117" t="s">
        <v>7</v>
      </c>
      <c r="AU156" s="162" t="s">
        <v>7</v>
      </c>
      <c r="AV156" s="162" t="s">
        <v>7</v>
      </c>
      <c r="AW156" s="162" t="s">
        <v>9851</v>
      </c>
      <c r="AX156" s="162" t="s">
        <v>7</v>
      </c>
      <c r="AY156" s="162" t="s">
        <v>7</v>
      </c>
      <c r="AZ156" t="s">
        <v>69</v>
      </c>
      <c r="BA156" s="162" t="s">
        <v>7</v>
      </c>
      <c r="BB156" s="162" t="s">
        <v>7</v>
      </c>
      <c r="BC156" s="162" t="s">
        <v>7</v>
      </c>
      <c r="BD156" s="162" t="s">
        <v>9851</v>
      </c>
      <c r="BE156" s="162" t="s">
        <v>7</v>
      </c>
      <c r="BF156" s="162" t="str">
        <f t="shared" si="4"/>
        <v>Não</v>
      </c>
      <c r="BG156" s="162" t="str">
        <f t="shared" si="5"/>
        <v>Não</v>
      </c>
      <c r="BH156" s="162" t="s">
        <v>9851</v>
      </c>
      <c r="BI156" t="s">
        <v>9871</v>
      </c>
      <c r="BJ156" s="162" t="s">
        <v>10164</v>
      </c>
      <c r="BK156" t="s">
        <v>1782</v>
      </c>
      <c r="BL156" s="162">
        <v>42</v>
      </c>
      <c r="BM156" t="s">
        <v>35</v>
      </c>
      <c r="BN156" t="s">
        <v>69</v>
      </c>
      <c r="BO156" t="s">
        <v>1782</v>
      </c>
      <c r="BP156" s="162">
        <v>42</v>
      </c>
      <c r="BQ156" t="s">
        <v>7</v>
      </c>
      <c r="BR156" t="s">
        <v>1114</v>
      </c>
      <c r="BS156" s="162" t="s">
        <v>1114</v>
      </c>
    </row>
    <row r="157" spans="1:71">
      <c r="A157" s="162">
        <v>156</v>
      </c>
      <c r="B157" t="s">
        <v>410</v>
      </c>
      <c r="C157" s="162">
        <v>1</v>
      </c>
      <c r="D157" s="122" t="s">
        <v>489</v>
      </c>
      <c r="E157" t="s">
        <v>919</v>
      </c>
      <c r="F157" t="s">
        <v>3</v>
      </c>
      <c r="G157" t="s">
        <v>411</v>
      </c>
      <c r="H157" t="s">
        <v>948</v>
      </c>
      <c r="I157" s="162">
        <v>1</v>
      </c>
      <c r="J157" t="s">
        <v>1855</v>
      </c>
      <c r="K157" t="s">
        <v>3</v>
      </c>
      <c r="L157" s="165">
        <v>35029</v>
      </c>
      <c r="M157" s="166">
        <v>21</v>
      </c>
      <c r="N157" t="s">
        <v>5</v>
      </c>
      <c r="O157" t="s">
        <v>10135</v>
      </c>
      <c r="P157" t="s">
        <v>41</v>
      </c>
      <c r="Q157" t="s">
        <v>1193</v>
      </c>
      <c r="R157" t="s">
        <v>1194</v>
      </c>
      <c r="S157" s="162">
        <v>190</v>
      </c>
      <c r="T157" t="s">
        <v>1196</v>
      </c>
      <c r="U157" s="162">
        <v>312.60000000000002</v>
      </c>
      <c r="V157" t="s">
        <v>1195</v>
      </c>
      <c r="W157" s="162">
        <v>232.7</v>
      </c>
      <c r="X157">
        <v>0</v>
      </c>
      <c r="Y157" s="162">
        <v>0</v>
      </c>
      <c r="Z157">
        <v>0</v>
      </c>
      <c r="AA157" s="162">
        <v>0</v>
      </c>
      <c r="AB157">
        <v>0</v>
      </c>
      <c r="AC157" s="162" t="s">
        <v>7</v>
      </c>
      <c r="AD157" s="162" t="s">
        <v>7</v>
      </c>
      <c r="AE157" s="162" t="s">
        <v>7</v>
      </c>
      <c r="AF157" s="162" t="s">
        <v>7</v>
      </c>
      <c r="AG157" s="162" t="s">
        <v>7</v>
      </c>
      <c r="AH157" s="162" t="s">
        <v>7</v>
      </c>
      <c r="AI157" t="s">
        <v>9843</v>
      </c>
      <c r="AJ157" t="s">
        <v>7</v>
      </c>
      <c r="AK157" t="s">
        <v>9807</v>
      </c>
      <c r="AL157" t="s">
        <v>36</v>
      </c>
      <c r="AM157" s="162" t="s">
        <v>10138</v>
      </c>
      <c r="AN157" t="s">
        <v>9843</v>
      </c>
      <c r="AO157" t="s">
        <v>35</v>
      </c>
      <c r="AP157" t="s">
        <v>7</v>
      </c>
      <c r="AQ157" t="s">
        <v>9</v>
      </c>
      <c r="AR157" t="s">
        <v>7</v>
      </c>
      <c r="AS157" s="162" t="s">
        <v>7</v>
      </c>
      <c r="AT157" s="117" t="s">
        <v>7</v>
      </c>
      <c r="AU157" s="162" t="s">
        <v>7</v>
      </c>
      <c r="AV157" s="162" t="s">
        <v>7</v>
      </c>
      <c r="AW157" s="162" t="s">
        <v>9851</v>
      </c>
      <c r="AX157" s="162" t="s">
        <v>7</v>
      </c>
      <c r="AY157" s="162" t="s">
        <v>7</v>
      </c>
      <c r="AZ157" t="s">
        <v>7</v>
      </c>
      <c r="BA157" s="162" t="s">
        <v>7</v>
      </c>
      <c r="BB157" s="162" t="s">
        <v>7</v>
      </c>
      <c r="BC157" s="162" t="s">
        <v>7</v>
      </c>
      <c r="BD157" s="162" t="s">
        <v>7</v>
      </c>
      <c r="BE157" s="162" t="s">
        <v>7</v>
      </c>
      <c r="BF157" s="162" t="str">
        <f t="shared" si="4"/>
        <v>Sim</v>
      </c>
      <c r="BG157" s="162" t="str">
        <f t="shared" si="5"/>
        <v>Não</v>
      </c>
      <c r="BH157" s="162" t="s">
        <v>7</v>
      </c>
      <c r="BI157" t="s">
        <v>9871</v>
      </c>
      <c r="BJ157" s="162" t="s">
        <v>10164</v>
      </c>
      <c r="BK157" t="s">
        <v>79</v>
      </c>
      <c r="BL157" s="162">
        <v>48</v>
      </c>
      <c r="BM157" t="s">
        <v>35</v>
      </c>
      <c r="BN157" t="s">
        <v>35</v>
      </c>
      <c r="BO157" t="s">
        <v>79</v>
      </c>
      <c r="BP157" s="162">
        <v>48</v>
      </c>
      <c r="BQ157" t="s">
        <v>9851</v>
      </c>
      <c r="BR157" t="s">
        <v>35</v>
      </c>
      <c r="BS157" s="162" t="s">
        <v>35</v>
      </c>
    </row>
    <row r="158" spans="1:71">
      <c r="A158" s="162">
        <v>157</v>
      </c>
      <c r="B158" t="s">
        <v>28</v>
      </c>
      <c r="C158" s="162">
        <v>1</v>
      </c>
      <c r="D158" s="122" t="s">
        <v>73</v>
      </c>
      <c r="E158" t="s">
        <v>30</v>
      </c>
      <c r="F158" t="s">
        <v>3</v>
      </c>
      <c r="G158" t="s">
        <v>23</v>
      </c>
      <c r="H158" t="s">
        <v>75</v>
      </c>
      <c r="I158" s="162">
        <v>1</v>
      </c>
      <c r="J158" t="s">
        <v>76</v>
      </c>
      <c r="K158" t="s">
        <v>3</v>
      </c>
      <c r="L158" s="165">
        <v>28579</v>
      </c>
      <c r="M158" s="166">
        <v>39</v>
      </c>
      <c r="N158" t="s">
        <v>4</v>
      </c>
      <c r="O158" t="s">
        <v>10134</v>
      </c>
      <c r="P158" t="s">
        <v>77</v>
      </c>
      <c r="Q158" t="s">
        <v>1262</v>
      </c>
      <c r="R158" t="s">
        <v>10053</v>
      </c>
      <c r="S158" s="162">
        <v>842.2</v>
      </c>
      <c r="T158" t="s">
        <v>9880</v>
      </c>
      <c r="U158" s="162">
        <v>291.7</v>
      </c>
      <c r="V158" t="s">
        <v>10076</v>
      </c>
      <c r="W158" s="162">
        <v>1961.4</v>
      </c>
      <c r="X158">
        <v>0</v>
      </c>
      <c r="Y158" s="162">
        <v>0</v>
      </c>
      <c r="Z158">
        <v>0</v>
      </c>
      <c r="AA158" s="162">
        <v>0</v>
      </c>
      <c r="AB158">
        <v>0</v>
      </c>
      <c r="AC158" s="162" t="s">
        <v>7</v>
      </c>
      <c r="AD158" s="162" t="s">
        <v>7</v>
      </c>
      <c r="AE158" s="162" t="s">
        <v>7</v>
      </c>
      <c r="AF158" s="162" t="s">
        <v>7</v>
      </c>
      <c r="AG158" s="162" t="s">
        <v>7</v>
      </c>
      <c r="AH158" s="162" t="s">
        <v>7</v>
      </c>
      <c r="AI158" t="s">
        <v>9846</v>
      </c>
      <c r="AJ158" t="s">
        <v>7</v>
      </c>
      <c r="AK158" t="s">
        <v>9767</v>
      </c>
      <c r="AL158" t="s">
        <v>78</v>
      </c>
      <c r="AM158" s="162" t="s">
        <v>10138</v>
      </c>
      <c r="AN158" t="s">
        <v>9843</v>
      </c>
      <c r="AO158" t="s">
        <v>35</v>
      </c>
      <c r="AP158" t="s">
        <v>7</v>
      </c>
      <c r="AQ158" t="s">
        <v>9</v>
      </c>
      <c r="AR158" t="s">
        <v>7</v>
      </c>
      <c r="AS158" s="162" t="s">
        <v>7</v>
      </c>
      <c r="AT158" s="117" t="s">
        <v>7</v>
      </c>
      <c r="AU158" s="162" t="s">
        <v>7</v>
      </c>
      <c r="AV158" s="162" t="s">
        <v>7</v>
      </c>
      <c r="AW158" s="162" t="s">
        <v>9851</v>
      </c>
      <c r="AX158" s="162" t="s">
        <v>7</v>
      </c>
      <c r="AY158" s="162" t="s">
        <v>7</v>
      </c>
      <c r="AZ158" t="s">
        <v>7</v>
      </c>
      <c r="BA158" s="162" t="s">
        <v>7</v>
      </c>
      <c r="BB158" s="162" t="s">
        <v>7</v>
      </c>
      <c r="BC158" s="162" t="s">
        <v>7</v>
      </c>
      <c r="BD158" s="162" t="s">
        <v>7</v>
      </c>
      <c r="BE158" s="162" t="s">
        <v>7</v>
      </c>
      <c r="BF158" s="162" t="str">
        <f t="shared" si="4"/>
        <v>Sim</v>
      </c>
      <c r="BG158" s="162" t="str">
        <f t="shared" si="5"/>
        <v>Não</v>
      </c>
      <c r="BH158" s="162" t="s">
        <v>7</v>
      </c>
      <c r="BI158" t="s">
        <v>9871</v>
      </c>
      <c r="BJ158" s="162" t="s">
        <v>10164</v>
      </c>
      <c r="BK158" t="s">
        <v>79</v>
      </c>
      <c r="BL158" s="162">
        <v>48</v>
      </c>
      <c r="BM158" t="s">
        <v>35</v>
      </c>
      <c r="BN158" t="s">
        <v>35</v>
      </c>
      <c r="BO158" t="s">
        <v>79</v>
      </c>
      <c r="BP158" s="162">
        <v>48</v>
      </c>
      <c r="BQ158" t="s">
        <v>7</v>
      </c>
      <c r="BR158" t="s">
        <v>1849</v>
      </c>
      <c r="BS158" s="162" t="s">
        <v>10170</v>
      </c>
    </row>
    <row r="159" spans="1:71">
      <c r="A159" s="162">
        <v>158</v>
      </c>
      <c r="B159" t="s">
        <v>389</v>
      </c>
      <c r="C159" s="162">
        <v>1</v>
      </c>
      <c r="D159" s="122" t="s">
        <v>914</v>
      </c>
      <c r="E159" t="s">
        <v>898</v>
      </c>
      <c r="F159" t="s">
        <v>3</v>
      </c>
      <c r="G159" t="s">
        <v>392</v>
      </c>
      <c r="H159" t="s">
        <v>915</v>
      </c>
      <c r="I159" s="162">
        <v>1</v>
      </c>
      <c r="J159" t="s">
        <v>1855</v>
      </c>
      <c r="K159" t="s">
        <v>3</v>
      </c>
      <c r="L159" s="165">
        <v>31960</v>
      </c>
      <c r="M159" s="166">
        <v>30</v>
      </c>
      <c r="N159" t="s">
        <v>5</v>
      </c>
      <c r="O159" t="s">
        <v>10135</v>
      </c>
      <c r="P159" t="s">
        <v>48</v>
      </c>
      <c r="Q159" t="s">
        <v>1834</v>
      </c>
      <c r="R159" t="s">
        <v>1837</v>
      </c>
      <c r="S159" s="162">
        <v>82.3</v>
      </c>
      <c r="T159" t="s">
        <v>1835</v>
      </c>
      <c r="U159" s="162">
        <v>170.9</v>
      </c>
      <c r="V159" t="s">
        <v>1836</v>
      </c>
      <c r="W159" s="162">
        <v>14.1</v>
      </c>
      <c r="X159">
        <v>0</v>
      </c>
      <c r="Y159" s="162">
        <v>0</v>
      </c>
      <c r="Z159">
        <v>0</v>
      </c>
      <c r="AA159" s="162">
        <v>0</v>
      </c>
      <c r="AB159">
        <v>0</v>
      </c>
      <c r="AC159" s="162" t="s">
        <v>7</v>
      </c>
      <c r="AD159" s="162" t="s">
        <v>7</v>
      </c>
      <c r="AE159" s="162" t="s">
        <v>7</v>
      </c>
      <c r="AF159" s="162" t="s">
        <v>7</v>
      </c>
      <c r="AG159" s="162" t="s">
        <v>7</v>
      </c>
      <c r="AH159" s="162" t="s">
        <v>7</v>
      </c>
      <c r="AI159" t="s">
        <v>9843</v>
      </c>
      <c r="AJ159" t="s">
        <v>7</v>
      </c>
      <c r="AK159" t="s">
        <v>1173</v>
      </c>
      <c r="AL159" t="s">
        <v>36</v>
      </c>
      <c r="AM159" s="162" t="s">
        <v>10138</v>
      </c>
      <c r="AN159" t="s">
        <v>9843</v>
      </c>
      <c r="AO159" t="s">
        <v>35</v>
      </c>
      <c r="AP159" t="s">
        <v>7</v>
      </c>
      <c r="AQ159" t="s">
        <v>9</v>
      </c>
      <c r="AR159" t="s">
        <v>7</v>
      </c>
      <c r="AS159" s="162" t="s">
        <v>7</v>
      </c>
      <c r="AT159" s="117" t="s">
        <v>7</v>
      </c>
      <c r="AU159" s="162" t="s">
        <v>7</v>
      </c>
      <c r="AV159" s="162" t="s">
        <v>7</v>
      </c>
      <c r="AW159" s="162" t="s">
        <v>9851</v>
      </c>
      <c r="AX159" s="162" t="s">
        <v>7</v>
      </c>
      <c r="AY159" s="162" t="s">
        <v>7</v>
      </c>
      <c r="AZ159" t="s">
        <v>7</v>
      </c>
      <c r="BA159" s="162" t="s">
        <v>7</v>
      </c>
      <c r="BB159" s="162" t="s">
        <v>7</v>
      </c>
      <c r="BC159" s="162" t="s">
        <v>7</v>
      </c>
      <c r="BD159" s="162" t="s">
        <v>7</v>
      </c>
      <c r="BE159" s="162" t="s">
        <v>7</v>
      </c>
      <c r="BF159" s="162" t="str">
        <f t="shared" si="4"/>
        <v>Sim</v>
      </c>
      <c r="BG159" s="162" t="str">
        <f t="shared" si="5"/>
        <v>Não</v>
      </c>
      <c r="BH159" s="162" t="s">
        <v>7</v>
      </c>
      <c r="BI159" t="s">
        <v>9871</v>
      </c>
      <c r="BJ159" s="162" t="s">
        <v>10164</v>
      </c>
      <c r="BK159" t="s">
        <v>79</v>
      </c>
      <c r="BL159" s="162">
        <v>48</v>
      </c>
      <c r="BM159" t="s">
        <v>35</v>
      </c>
      <c r="BN159" t="s">
        <v>35</v>
      </c>
      <c r="BO159" t="s">
        <v>79</v>
      </c>
      <c r="BP159" s="162">
        <v>48</v>
      </c>
      <c r="BQ159" t="s">
        <v>7</v>
      </c>
      <c r="BR159" t="s">
        <v>1114</v>
      </c>
      <c r="BS159" s="162" t="s">
        <v>1114</v>
      </c>
    </row>
    <row r="160" spans="1:71">
      <c r="A160" s="162">
        <v>159</v>
      </c>
      <c r="B160" t="s">
        <v>403</v>
      </c>
      <c r="C160" s="162">
        <v>1</v>
      </c>
      <c r="D160" s="122" t="s">
        <v>835</v>
      </c>
      <c r="E160" t="s">
        <v>938</v>
      </c>
      <c r="F160" t="s">
        <v>3</v>
      </c>
      <c r="G160" t="s">
        <v>411</v>
      </c>
      <c r="H160" t="s">
        <v>939</v>
      </c>
      <c r="I160" s="162">
        <v>1</v>
      </c>
      <c r="J160" t="s">
        <v>76</v>
      </c>
      <c r="K160" t="s">
        <v>3</v>
      </c>
      <c r="L160" s="165">
        <v>30932</v>
      </c>
      <c r="M160" s="166">
        <v>33</v>
      </c>
      <c r="N160" t="s">
        <v>4</v>
      </c>
      <c r="O160" t="s">
        <v>10134</v>
      </c>
      <c r="P160" t="s">
        <v>48</v>
      </c>
      <c r="Q160" t="s">
        <v>1178</v>
      </c>
      <c r="R160" t="s">
        <v>9837</v>
      </c>
      <c r="S160" s="162">
        <v>1906</v>
      </c>
      <c r="T160">
        <v>0</v>
      </c>
      <c r="U160" s="162">
        <v>0</v>
      </c>
      <c r="V160">
        <v>0</v>
      </c>
      <c r="W160" s="162">
        <v>0</v>
      </c>
      <c r="X160">
        <v>0</v>
      </c>
      <c r="Y160" s="162">
        <v>0</v>
      </c>
      <c r="Z160">
        <v>0</v>
      </c>
      <c r="AA160" s="162">
        <v>0</v>
      </c>
      <c r="AB160">
        <v>0</v>
      </c>
      <c r="AC160" s="162" t="s">
        <v>7</v>
      </c>
      <c r="AD160" s="162" t="s">
        <v>7</v>
      </c>
      <c r="AE160" s="162" t="s">
        <v>7</v>
      </c>
      <c r="AF160" s="162" t="s">
        <v>7</v>
      </c>
      <c r="AG160" s="162" t="s">
        <v>7</v>
      </c>
      <c r="AH160" s="162" t="s">
        <v>7</v>
      </c>
      <c r="AI160" t="s">
        <v>9843</v>
      </c>
      <c r="AJ160" t="s">
        <v>7</v>
      </c>
      <c r="AK160" t="s">
        <v>9806</v>
      </c>
      <c r="AL160" t="s">
        <v>36</v>
      </c>
      <c r="AM160" s="162" t="s">
        <v>10138</v>
      </c>
      <c r="AN160" t="s">
        <v>9843</v>
      </c>
      <c r="AO160" t="s">
        <v>35</v>
      </c>
      <c r="AP160" t="s">
        <v>7</v>
      </c>
      <c r="AQ160" t="s">
        <v>9</v>
      </c>
      <c r="AR160" t="s">
        <v>7</v>
      </c>
      <c r="AS160" s="162" t="s">
        <v>7</v>
      </c>
      <c r="AT160" s="117" t="s">
        <v>7</v>
      </c>
      <c r="AU160" s="162" t="s">
        <v>7</v>
      </c>
      <c r="AV160" s="162" t="s">
        <v>7</v>
      </c>
      <c r="AW160" s="162" t="s">
        <v>9851</v>
      </c>
      <c r="AX160" s="162" t="s">
        <v>7</v>
      </c>
      <c r="AY160" s="162" t="s">
        <v>7</v>
      </c>
      <c r="AZ160" t="s">
        <v>7</v>
      </c>
      <c r="BA160" s="162" t="s">
        <v>7</v>
      </c>
      <c r="BB160" s="162" t="s">
        <v>7</v>
      </c>
      <c r="BC160" s="162" t="s">
        <v>7</v>
      </c>
      <c r="BD160" s="162" t="s">
        <v>7</v>
      </c>
      <c r="BE160" s="162" t="s">
        <v>7</v>
      </c>
      <c r="BF160" s="162" t="str">
        <f t="shared" si="4"/>
        <v>Sim</v>
      </c>
      <c r="BG160" s="162" t="str">
        <f t="shared" si="5"/>
        <v>Não</v>
      </c>
      <c r="BH160" s="162" t="s">
        <v>7</v>
      </c>
      <c r="BI160" t="s">
        <v>9871</v>
      </c>
      <c r="BJ160" s="162" t="s">
        <v>10164</v>
      </c>
      <c r="BK160" t="s">
        <v>1179</v>
      </c>
      <c r="BL160" s="162">
        <v>50</v>
      </c>
      <c r="BM160" t="s">
        <v>35</v>
      </c>
      <c r="BN160" t="s">
        <v>35</v>
      </c>
      <c r="BO160" t="s">
        <v>1179</v>
      </c>
      <c r="BP160" s="162">
        <v>50</v>
      </c>
      <c r="BQ160" t="s">
        <v>35</v>
      </c>
      <c r="BR160" t="s">
        <v>1114</v>
      </c>
      <c r="BS160" s="162" t="s">
        <v>1114</v>
      </c>
    </row>
    <row r="161" spans="1:71">
      <c r="A161" s="162">
        <v>160</v>
      </c>
      <c r="B161" t="s">
        <v>242</v>
      </c>
      <c r="C161" s="162">
        <v>1</v>
      </c>
      <c r="D161" s="122" t="s">
        <v>702</v>
      </c>
      <c r="E161" t="s">
        <v>703</v>
      </c>
      <c r="F161" t="s">
        <v>515</v>
      </c>
      <c r="G161" t="s">
        <v>251</v>
      </c>
      <c r="H161" t="s">
        <v>704</v>
      </c>
      <c r="I161" s="162">
        <v>1</v>
      </c>
      <c r="J161" t="s">
        <v>1855</v>
      </c>
      <c r="K161" t="s">
        <v>3</v>
      </c>
      <c r="L161" s="165">
        <v>34999</v>
      </c>
      <c r="M161" s="166">
        <v>21</v>
      </c>
      <c r="N161" t="s">
        <v>4</v>
      </c>
      <c r="O161" t="s">
        <v>10134</v>
      </c>
      <c r="P161" t="s">
        <v>41</v>
      </c>
      <c r="Q161" t="s">
        <v>1186</v>
      </c>
      <c r="R161" t="s">
        <v>1321</v>
      </c>
      <c r="S161" s="162">
        <v>1109.5999999999999</v>
      </c>
      <c r="T161" t="s">
        <v>1322</v>
      </c>
      <c r="U161" s="162">
        <v>338.8</v>
      </c>
      <c r="V161" t="s">
        <v>1323</v>
      </c>
      <c r="W161" s="162">
        <v>15.6</v>
      </c>
      <c r="X161">
        <v>0</v>
      </c>
      <c r="Y161" s="162">
        <v>0</v>
      </c>
      <c r="Z161">
        <v>0</v>
      </c>
      <c r="AA161" s="162">
        <v>0</v>
      </c>
      <c r="AB161" t="s">
        <v>9819</v>
      </c>
      <c r="AC161" s="162" t="s">
        <v>7</v>
      </c>
      <c r="AD161" s="162" t="s">
        <v>7</v>
      </c>
      <c r="AE161" s="162" t="s">
        <v>7</v>
      </c>
      <c r="AF161" s="162" t="s">
        <v>7</v>
      </c>
      <c r="AG161" s="162" t="s">
        <v>9851</v>
      </c>
      <c r="AH161" s="162" t="s">
        <v>7</v>
      </c>
      <c r="AI161" t="s">
        <v>9843</v>
      </c>
      <c r="AJ161" t="s">
        <v>1271</v>
      </c>
      <c r="AK161" t="s">
        <v>9820</v>
      </c>
      <c r="AL161" t="s">
        <v>36</v>
      </c>
      <c r="AM161" s="162" t="s">
        <v>10138</v>
      </c>
      <c r="AN161" t="s">
        <v>9843</v>
      </c>
      <c r="AO161" t="s">
        <v>1271</v>
      </c>
      <c r="AP161" t="s">
        <v>7</v>
      </c>
      <c r="AQ161" t="s">
        <v>9</v>
      </c>
      <c r="AR161" t="s">
        <v>7</v>
      </c>
      <c r="AS161" s="162" t="s">
        <v>7</v>
      </c>
      <c r="AT161" s="117" t="s">
        <v>7</v>
      </c>
      <c r="AU161" s="162" t="s">
        <v>7</v>
      </c>
      <c r="AV161" s="162" t="s">
        <v>7</v>
      </c>
      <c r="AW161" s="162" t="s">
        <v>9851</v>
      </c>
      <c r="AX161" s="162" t="s">
        <v>7</v>
      </c>
      <c r="AY161" s="162" t="s">
        <v>7</v>
      </c>
      <c r="AZ161" t="s">
        <v>7</v>
      </c>
      <c r="BA161" s="162" t="s">
        <v>7</v>
      </c>
      <c r="BB161" s="162" t="s">
        <v>7</v>
      </c>
      <c r="BC161" s="162" t="s">
        <v>7</v>
      </c>
      <c r="BD161" s="162" t="s">
        <v>7</v>
      </c>
      <c r="BE161" s="162" t="s">
        <v>7</v>
      </c>
      <c r="BF161" s="162" t="str">
        <f t="shared" si="4"/>
        <v>Sim</v>
      </c>
      <c r="BG161" s="162" t="str">
        <f t="shared" si="5"/>
        <v>Não</v>
      </c>
      <c r="BH161" s="162" t="s">
        <v>7</v>
      </c>
      <c r="BI161" t="s">
        <v>9871</v>
      </c>
      <c r="BJ161" s="162" t="s">
        <v>10164</v>
      </c>
      <c r="BK161" t="s">
        <v>1179</v>
      </c>
      <c r="BL161" s="162">
        <v>50</v>
      </c>
      <c r="BM161" t="s">
        <v>35</v>
      </c>
      <c r="BN161" t="s">
        <v>1279</v>
      </c>
      <c r="BO161" t="s">
        <v>1324</v>
      </c>
      <c r="BP161" s="162">
        <v>62</v>
      </c>
      <c r="BQ161" t="s">
        <v>35</v>
      </c>
      <c r="BR161" t="s">
        <v>1849</v>
      </c>
      <c r="BS161" s="162" t="s">
        <v>10170</v>
      </c>
    </row>
    <row r="162" spans="1:71">
      <c r="A162" s="162">
        <v>161</v>
      </c>
      <c r="B162" t="s">
        <v>307</v>
      </c>
      <c r="C162" s="162">
        <v>1</v>
      </c>
      <c r="D162" s="122">
        <v>43006</v>
      </c>
      <c r="E162" t="s">
        <v>1918</v>
      </c>
      <c r="F162" t="s">
        <v>515</v>
      </c>
      <c r="G162" t="s">
        <v>316</v>
      </c>
      <c r="H162" t="s">
        <v>1919</v>
      </c>
      <c r="I162" s="162">
        <v>1</v>
      </c>
      <c r="J162" t="s">
        <v>1855</v>
      </c>
      <c r="K162" t="s">
        <v>3</v>
      </c>
      <c r="L162" s="165">
        <v>36087</v>
      </c>
      <c r="M162" s="166">
        <v>18</v>
      </c>
      <c r="N162" t="s">
        <v>4</v>
      </c>
      <c r="O162" t="s">
        <v>10134</v>
      </c>
      <c r="P162" t="s">
        <v>48</v>
      </c>
      <c r="Q162" t="s">
        <v>1920</v>
      </c>
      <c r="R162" t="s">
        <v>2035</v>
      </c>
      <c r="S162" s="162">
        <v>331.9</v>
      </c>
      <c r="T162" t="s">
        <v>10075</v>
      </c>
      <c r="U162" s="162">
        <v>57.6</v>
      </c>
      <c r="V162" t="s">
        <v>9973</v>
      </c>
      <c r="W162" s="162">
        <v>18.2</v>
      </c>
      <c r="X162" t="s">
        <v>9974</v>
      </c>
      <c r="Y162" s="162">
        <v>4.5999999999999996</v>
      </c>
      <c r="Z162" t="s">
        <v>9975</v>
      </c>
      <c r="AA162" s="162">
        <v>10.4</v>
      </c>
      <c r="AB162" t="s">
        <v>9976</v>
      </c>
      <c r="AC162" s="162" t="s">
        <v>7</v>
      </c>
      <c r="AD162" s="162" t="s">
        <v>7</v>
      </c>
      <c r="AE162" s="162" t="s">
        <v>9851</v>
      </c>
      <c r="AF162" s="162" t="s">
        <v>7</v>
      </c>
      <c r="AG162" s="162" t="s">
        <v>7</v>
      </c>
      <c r="AH162" s="162" t="s">
        <v>7</v>
      </c>
      <c r="AI162" t="s">
        <v>9843</v>
      </c>
      <c r="AJ162" t="s">
        <v>7</v>
      </c>
      <c r="AK162" t="s">
        <v>1921</v>
      </c>
      <c r="AL162" t="s">
        <v>36</v>
      </c>
      <c r="AM162" s="162" t="s">
        <v>10138</v>
      </c>
      <c r="AN162" t="s">
        <v>9843</v>
      </c>
      <c r="AO162" t="s">
        <v>35</v>
      </c>
      <c r="AP162" t="s">
        <v>1079</v>
      </c>
      <c r="AQ162" t="s">
        <v>1080</v>
      </c>
      <c r="AR162" t="s">
        <v>7</v>
      </c>
      <c r="AS162" s="162" t="s">
        <v>7</v>
      </c>
      <c r="AT162" s="117" t="s">
        <v>1677</v>
      </c>
      <c r="AU162" s="162" t="s">
        <v>9851</v>
      </c>
      <c r="AV162" s="162" t="s">
        <v>9851</v>
      </c>
      <c r="AW162" s="162" t="s">
        <v>7</v>
      </c>
      <c r="AX162" s="162" t="s">
        <v>7</v>
      </c>
      <c r="AY162" s="162" t="s">
        <v>9851</v>
      </c>
      <c r="AZ162" t="s">
        <v>7</v>
      </c>
      <c r="BA162" s="162" t="s">
        <v>7</v>
      </c>
      <c r="BB162" s="162" t="s">
        <v>7</v>
      </c>
      <c r="BC162" s="162" t="s">
        <v>7</v>
      </c>
      <c r="BD162" s="162" t="s">
        <v>7</v>
      </c>
      <c r="BE162" s="162" t="s">
        <v>7</v>
      </c>
      <c r="BF162" s="162" t="str">
        <f t="shared" si="4"/>
        <v>Sim</v>
      </c>
      <c r="BG162" s="162" t="str">
        <f t="shared" si="5"/>
        <v>Não</v>
      </c>
      <c r="BH162" s="162" t="s">
        <v>7</v>
      </c>
      <c r="BI162" t="s">
        <v>9871</v>
      </c>
      <c r="BJ162" s="162" t="s">
        <v>10164</v>
      </c>
      <c r="BK162" t="s">
        <v>1179</v>
      </c>
      <c r="BL162" s="162">
        <v>50</v>
      </c>
      <c r="BM162" t="s">
        <v>35</v>
      </c>
      <c r="BN162" t="s">
        <v>35</v>
      </c>
      <c r="BO162" t="s">
        <v>1179</v>
      </c>
      <c r="BP162" s="162">
        <v>50</v>
      </c>
      <c r="BQ162" t="s">
        <v>35</v>
      </c>
      <c r="BR162" t="s">
        <v>1849</v>
      </c>
      <c r="BS162" s="162" t="s">
        <v>10170</v>
      </c>
    </row>
    <row r="163" spans="1:71">
      <c r="A163" s="162">
        <v>162</v>
      </c>
      <c r="B163" t="s">
        <v>232</v>
      </c>
      <c r="C163" s="162">
        <v>1</v>
      </c>
      <c r="D163" s="122" t="s">
        <v>690</v>
      </c>
      <c r="E163" t="s">
        <v>677</v>
      </c>
      <c r="F163" t="s">
        <v>515</v>
      </c>
      <c r="G163" t="s">
        <v>241</v>
      </c>
      <c r="H163" t="s">
        <v>691</v>
      </c>
      <c r="I163" s="162">
        <v>1</v>
      </c>
      <c r="J163" t="s">
        <v>1855</v>
      </c>
      <c r="K163" t="s">
        <v>3</v>
      </c>
      <c r="L163" s="165">
        <v>34984</v>
      </c>
      <c r="M163" s="166">
        <v>21</v>
      </c>
      <c r="N163" t="s">
        <v>1093</v>
      </c>
      <c r="O163" t="s">
        <v>10135</v>
      </c>
      <c r="P163" t="s">
        <v>18</v>
      </c>
      <c r="Q163" t="s">
        <v>1681</v>
      </c>
      <c r="R163" t="s">
        <v>1683</v>
      </c>
      <c r="S163" s="162">
        <v>124.8</v>
      </c>
      <c r="T163" t="s">
        <v>1682</v>
      </c>
      <c r="U163" s="162">
        <v>46.74</v>
      </c>
      <c r="V163">
        <v>0</v>
      </c>
      <c r="W163" s="162">
        <v>0</v>
      </c>
      <c r="X163">
        <v>0</v>
      </c>
      <c r="Y163" s="162">
        <v>0</v>
      </c>
      <c r="Z163">
        <v>0</v>
      </c>
      <c r="AA163" s="162">
        <v>0</v>
      </c>
      <c r="AB163">
        <v>0</v>
      </c>
      <c r="AC163" s="162" t="s">
        <v>7</v>
      </c>
      <c r="AD163" s="162" t="s">
        <v>7</v>
      </c>
      <c r="AE163" s="162" t="s">
        <v>7</v>
      </c>
      <c r="AF163" s="162" t="s">
        <v>7</v>
      </c>
      <c r="AG163" s="162" t="s">
        <v>7</v>
      </c>
      <c r="AH163" s="162" t="s">
        <v>7</v>
      </c>
      <c r="AI163" t="s">
        <v>9843</v>
      </c>
      <c r="AJ163" t="s">
        <v>1272</v>
      </c>
      <c r="AK163" t="s">
        <v>1150</v>
      </c>
      <c r="AL163" t="s">
        <v>36</v>
      </c>
      <c r="AM163" s="162" t="s">
        <v>10138</v>
      </c>
      <c r="AN163" t="s">
        <v>9843</v>
      </c>
      <c r="AO163" t="s">
        <v>1272</v>
      </c>
      <c r="AP163" t="s">
        <v>1079</v>
      </c>
      <c r="AQ163" t="s">
        <v>8</v>
      </c>
      <c r="AR163" t="s">
        <v>7</v>
      </c>
      <c r="AS163" s="162" t="s">
        <v>7</v>
      </c>
      <c r="AT163" s="117" t="s">
        <v>1244</v>
      </c>
      <c r="AU163" s="162" t="s">
        <v>7</v>
      </c>
      <c r="AV163" s="162" t="s">
        <v>9851</v>
      </c>
      <c r="AW163" s="162" t="s">
        <v>7</v>
      </c>
      <c r="AX163" s="162" t="s">
        <v>7</v>
      </c>
      <c r="AY163" s="162" t="s">
        <v>9851</v>
      </c>
      <c r="AZ163" t="s">
        <v>7</v>
      </c>
      <c r="BA163" s="162" t="s">
        <v>7</v>
      </c>
      <c r="BB163" s="162" t="s">
        <v>7</v>
      </c>
      <c r="BC163" s="162" t="s">
        <v>7</v>
      </c>
      <c r="BD163" s="162" t="s">
        <v>7</v>
      </c>
      <c r="BE163" s="162" t="s">
        <v>7</v>
      </c>
      <c r="BF163" s="162" t="str">
        <f t="shared" si="4"/>
        <v>Sim</v>
      </c>
      <c r="BG163" s="162" t="str">
        <f t="shared" si="5"/>
        <v>Não</v>
      </c>
      <c r="BH163" s="162" t="s">
        <v>7</v>
      </c>
      <c r="BI163" t="s">
        <v>9871</v>
      </c>
      <c r="BJ163" s="162" t="s">
        <v>10164</v>
      </c>
      <c r="BK163" t="s">
        <v>1684</v>
      </c>
      <c r="BL163" s="162">
        <v>54</v>
      </c>
      <c r="BM163" t="s">
        <v>35</v>
      </c>
      <c r="BN163" t="s">
        <v>1685</v>
      </c>
      <c r="BO163" t="s">
        <v>9818</v>
      </c>
      <c r="BP163" s="162">
        <v>53.4</v>
      </c>
      <c r="BQ163" t="s">
        <v>35</v>
      </c>
      <c r="BR163" t="s">
        <v>1849</v>
      </c>
      <c r="BS163" s="162" t="s">
        <v>10170</v>
      </c>
    </row>
    <row r="164" spans="1:71">
      <c r="A164" s="162">
        <v>163</v>
      </c>
      <c r="B164" t="s">
        <v>258</v>
      </c>
      <c r="C164" s="162">
        <v>1</v>
      </c>
      <c r="D164" s="122" t="s">
        <v>95</v>
      </c>
      <c r="E164" t="s">
        <v>723</v>
      </c>
      <c r="F164" t="s">
        <v>3</v>
      </c>
      <c r="G164" t="s">
        <v>264</v>
      </c>
      <c r="H164" t="s">
        <v>733</v>
      </c>
      <c r="I164" s="162">
        <v>1</v>
      </c>
      <c r="J164" t="s">
        <v>1855</v>
      </c>
      <c r="K164" t="s">
        <v>3</v>
      </c>
      <c r="L164" s="165">
        <v>31945</v>
      </c>
      <c r="M164" s="166">
        <v>29</v>
      </c>
      <c r="N164" t="s">
        <v>5</v>
      </c>
      <c r="O164" t="s">
        <v>10135</v>
      </c>
      <c r="P164" t="s">
        <v>1101</v>
      </c>
      <c r="Q164" t="s">
        <v>1127</v>
      </c>
      <c r="R164" t="s">
        <v>9948</v>
      </c>
      <c r="S164" s="162">
        <v>0.7</v>
      </c>
      <c r="T164">
        <v>0</v>
      </c>
      <c r="U164" s="162">
        <v>0</v>
      </c>
      <c r="V164">
        <v>0</v>
      </c>
      <c r="W164" s="162">
        <v>0</v>
      </c>
      <c r="X164">
        <v>0</v>
      </c>
      <c r="Y164" s="162">
        <v>0</v>
      </c>
      <c r="Z164">
        <v>0</v>
      </c>
      <c r="AA164" s="162">
        <v>0</v>
      </c>
      <c r="AB164">
        <v>0</v>
      </c>
      <c r="AC164" s="162" t="s">
        <v>7</v>
      </c>
      <c r="AD164" s="162" t="s">
        <v>7</v>
      </c>
      <c r="AE164" s="162" t="s">
        <v>7</v>
      </c>
      <c r="AF164" s="162" t="s">
        <v>7</v>
      </c>
      <c r="AG164" s="162" t="s">
        <v>7</v>
      </c>
      <c r="AH164" s="162" t="s">
        <v>7</v>
      </c>
      <c r="AI164" t="s">
        <v>9843</v>
      </c>
      <c r="AJ164" t="s">
        <v>7</v>
      </c>
      <c r="AK164" t="s">
        <v>1233</v>
      </c>
      <c r="AL164" t="s">
        <v>36</v>
      </c>
      <c r="AM164" s="162" t="s">
        <v>10138</v>
      </c>
      <c r="AN164" t="s">
        <v>9843</v>
      </c>
      <c r="AO164" t="s">
        <v>35</v>
      </c>
      <c r="AP164" t="s">
        <v>7</v>
      </c>
      <c r="AQ164" t="s">
        <v>9</v>
      </c>
      <c r="AR164" t="s">
        <v>1097</v>
      </c>
      <c r="AS164" s="162" t="s">
        <v>9851</v>
      </c>
      <c r="AT164" s="117" t="s">
        <v>1111</v>
      </c>
      <c r="AU164" s="162" t="s">
        <v>9851</v>
      </c>
      <c r="AV164" s="162" t="s">
        <v>7</v>
      </c>
      <c r="AW164" s="162" t="s">
        <v>7</v>
      </c>
      <c r="AX164" s="162" t="s">
        <v>7</v>
      </c>
      <c r="AY164" s="162" t="s">
        <v>9851</v>
      </c>
      <c r="AZ164" t="s">
        <v>7</v>
      </c>
      <c r="BA164" s="162" t="s">
        <v>7</v>
      </c>
      <c r="BB164" s="162" t="s">
        <v>7</v>
      </c>
      <c r="BC164" s="162" t="s">
        <v>7</v>
      </c>
      <c r="BD164" s="162" t="s">
        <v>7</v>
      </c>
      <c r="BE164" s="162" t="s">
        <v>7</v>
      </c>
      <c r="BF164" s="162" t="str">
        <f t="shared" si="4"/>
        <v>Sim</v>
      </c>
      <c r="BG164" s="162" t="str">
        <f t="shared" si="5"/>
        <v>Não</v>
      </c>
      <c r="BH164" s="162" t="s">
        <v>7</v>
      </c>
      <c r="BI164" t="s">
        <v>9872</v>
      </c>
      <c r="BJ164" s="162" t="s">
        <v>10165</v>
      </c>
      <c r="BK164" t="s">
        <v>9</v>
      </c>
      <c r="BL164" s="162">
        <v>60</v>
      </c>
      <c r="BM164" t="s">
        <v>35</v>
      </c>
      <c r="BN164" t="s">
        <v>35</v>
      </c>
      <c r="BO164" t="s">
        <v>9</v>
      </c>
      <c r="BP164" s="162">
        <v>60</v>
      </c>
      <c r="BQ164" t="s">
        <v>35</v>
      </c>
      <c r="BR164" t="s">
        <v>1849</v>
      </c>
      <c r="BS164" s="162" t="s">
        <v>10170</v>
      </c>
    </row>
    <row r="165" spans="1:71">
      <c r="A165" s="162">
        <v>164</v>
      </c>
      <c r="B165" t="s">
        <v>115</v>
      </c>
      <c r="C165" s="162">
        <v>0</v>
      </c>
      <c r="D165" s="122">
        <v>42958</v>
      </c>
      <c r="E165" t="s">
        <v>476</v>
      </c>
      <c r="F165" t="s">
        <v>3</v>
      </c>
      <c r="G165" t="s">
        <v>120</v>
      </c>
      <c r="H165" t="s">
        <v>483</v>
      </c>
      <c r="I165" s="162">
        <v>1</v>
      </c>
      <c r="J165" t="s">
        <v>1855</v>
      </c>
      <c r="K165" t="s">
        <v>3</v>
      </c>
      <c r="L165" s="165">
        <v>34396</v>
      </c>
      <c r="M165" s="166">
        <v>23</v>
      </c>
      <c r="N165" t="s">
        <v>4</v>
      </c>
      <c r="O165" t="s">
        <v>10134</v>
      </c>
      <c r="P165" t="s">
        <v>41</v>
      </c>
      <c r="Q165" t="s">
        <v>1169</v>
      </c>
      <c r="R165" t="s">
        <v>9770</v>
      </c>
      <c r="S165" s="162">
        <v>2372.1999999999998</v>
      </c>
      <c r="T165">
        <v>0</v>
      </c>
      <c r="U165" s="162">
        <v>0</v>
      </c>
      <c r="V165">
        <v>0</v>
      </c>
      <c r="W165" s="162">
        <v>0</v>
      </c>
      <c r="X165">
        <v>0</v>
      </c>
      <c r="Y165" s="162">
        <v>0</v>
      </c>
      <c r="Z165">
        <v>0</v>
      </c>
      <c r="AA165" s="162">
        <v>0</v>
      </c>
      <c r="AB165">
        <v>0</v>
      </c>
      <c r="AC165" s="162" t="s">
        <v>7</v>
      </c>
      <c r="AD165" s="162" t="s">
        <v>7</v>
      </c>
      <c r="AE165" s="162" t="s">
        <v>7</v>
      </c>
      <c r="AF165" s="162" t="s">
        <v>7</v>
      </c>
      <c r="AG165" s="162" t="s">
        <v>7</v>
      </c>
      <c r="AH165" s="162" t="s">
        <v>7</v>
      </c>
      <c r="AI165" t="s">
        <v>9843</v>
      </c>
      <c r="AJ165" t="s">
        <v>7</v>
      </c>
      <c r="AK165" t="s">
        <v>1122</v>
      </c>
      <c r="AL165" t="s">
        <v>36</v>
      </c>
      <c r="AM165" s="162" t="s">
        <v>10138</v>
      </c>
      <c r="AN165" t="s">
        <v>9843</v>
      </c>
      <c r="AO165" t="s">
        <v>35</v>
      </c>
      <c r="AP165" t="s">
        <v>7</v>
      </c>
      <c r="AQ165" t="s">
        <v>9</v>
      </c>
      <c r="AR165" t="s">
        <v>7</v>
      </c>
      <c r="AS165" s="162" t="s">
        <v>7</v>
      </c>
      <c r="AT165" s="117" t="s">
        <v>7</v>
      </c>
      <c r="AU165" s="162" t="s">
        <v>7</v>
      </c>
      <c r="AV165" s="162" t="s">
        <v>7</v>
      </c>
      <c r="AW165" s="162" t="s">
        <v>9851</v>
      </c>
      <c r="AX165" s="162" t="s">
        <v>7</v>
      </c>
      <c r="AY165" s="162" t="s">
        <v>7</v>
      </c>
      <c r="AZ165" t="s">
        <v>7</v>
      </c>
      <c r="BA165" s="162" t="s">
        <v>7</v>
      </c>
      <c r="BB165" s="162" t="s">
        <v>7</v>
      </c>
      <c r="BC165" s="162" t="s">
        <v>7</v>
      </c>
      <c r="BD165" s="162" t="s">
        <v>7</v>
      </c>
      <c r="BE165" s="162" t="s">
        <v>7</v>
      </c>
      <c r="BF165" s="162" t="str">
        <f t="shared" si="4"/>
        <v>Sim</v>
      </c>
      <c r="BG165" s="162" t="str">
        <f t="shared" si="5"/>
        <v>Não</v>
      </c>
      <c r="BH165" s="162" t="s">
        <v>7</v>
      </c>
      <c r="BI165" t="s">
        <v>7</v>
      </c>
      <c r="BJ165" s="162" t="s">
        <v>7</v>
      </c>
      <c r="BK165" t="s">
        <v>9</v>
      </c>
      <c r="BL165" s="162">
        <v>60</v>
      </c>
      <c r="BM165" t="s">
        <v>35</v>
      </c>
      <c r="BN165" t="s">
        <v>35</v>
      </c>
      <c r="BO165" t="s">
        <v>9</v>
      </c>
      <c r="BP165" s="162">
        <v>60</v>
      </c>
      <c r="BQ165" t="s">
        <v>35</v>
      </c>
      <c r="BR165" t="s">
        <v>1849</v>
      </c>
      <c r="BS165" s="162" t="s">
        <v>10170</v>
      </c>
    </row>
    <row r="166" spans="1:71">
      <c r="A166" s="162">
        <v>165</v>
      </c>
      <c r="B166" t="s">
        <v>115</v>
      </c>
      <c r="C166" s="162">
        <v>1</v>
      </c>
      <c r="D166" s="122">
        <v>42958</v>
      </c>
      <c r="E166" t="s">
        <v>476</v>
      </c>
      <c r="F166" t="s">
        <v>3</v>
      </c>
      <c r="G166" t="s">
        <v>120</v>
      </c>
      <c r="H166" t="s">
        <v>482</v>
      </c>
      <c r="I166" s="162">
        <v>1</v>
      </c>
      <c r="J166" t="s">
        <v>1855</v>
      </c>
      <c r="K166" t="s">
        <v>3</v>
      </c>
      <c r="L166" s="165">
        <v>33993</v>
      </c>
      <c r="M166" s="166">
        <v>24</v>
      </c>
      <c r="N166" t="s">
        <v>4</v>
      </c>
      <c r="O166" t="s">
        <v>10134</v>
      </c>
      <c r="P166" t="s">
        <v>41</v>
      </c>
      <c r="Q166" t="s">
        <v>1168</v>
      </c>
      <c r="R166" t="s">
        <v>9769</v>
      </c>
      <c r="S166" s="162">
        <v>638.29999999999995</v>
      </c>
      <c r="T166">
        <v>0</v>
      </c>
      <c r="U166" s="162">
        <v>0</v>
      </c>
      <c r="V166">
        <v>0</v>
      </c>
      <c r="W166" s="162">
        <v>0</v>
      </c>
      <c r="X166">
        <v>0</v>
      </c>
      <c r="Y166" s="162">
        <v>0</v>
      </c>
      <c r="Z166">
        <v>0</v>
      </c>
      <c r="AA166" s="162">
        <v>0</v>
      </c>
      <c r="AB166">
        <v>0</v>
      </c>
      <c r="AC166" s="162" t="s">
        <v>7</v>
      </c>
      <c r="AD166" s="162" t="s">
        <v>7</v>
      </c>
      <c r="AE166" s="162" t="s">
        <v>7</v>
      </c>
      <c r="AF166" s="162" t="s">
        <v>7</v>
      </c>
      <c r="AG166" s="162" t="s">
        <v>7</v>
      </c>
      <c r="AH166" s="162" t="s">
        <v>7</v>
      </c>
      <c r="AI166" t="s">
        <v>9843</v>
      </c>
      <c r="AJ166" t="s">
        <v>7</v>
      </c>
      <c r="AK166" t="s">
        <v>9771</v>
      </c>
      <c r="AL166" t="s">
        <v>78</v>
      </c>
      <c r="AM166" s="162" t="s">
        <v>10138</v>
      </c>
      <c r="AN166" t="s">
        <v>9843</v>
      </c>
      <c r="AO166" t="s">
        <v>35</v>
      </c>
      <c r="AP166" t="s">
        <v>7</v>
      </c>
      <c r="AQ166" t="s">
        <v>9</v>
      </c>
      <c r="AR166" t="s">
        <v>7</v>
      </c>
      <c r="AS166" s="162" t="s">
        <v>7</v>
      </c>
      <c r="AT166" s="117" t="s">
        <v>7</v>
      </c>
      <c r="AU166" s="162" t="s">
        <v>7</v>
      </c>
      <c r="AV166" s="162" t="s">
        <v>7</v>
      </c>
      <c r="AW166" s="162" t="s">
        <v>9851</v>
      </c>
      <c r="AX166" s="162" t="s">
        <v>7</v>
      </c>
      <c r="AY166" s="162" t="s">
        <v>7</v>
      </c>
      <c r="AZ166" t="s">
        <v>7</v>
      </c>
      <c r="BA166" s="162" t="s">
        <v>7</v>
      </c>
      <c r="BB166" s="162" t="s">
        <v>7</v>
      </c>
      <c r="BC166" s="162" t="s">
        <v>7</v>
      </c>
      <c r="BD166" s="162" t="s">
        <v>7</v>
      </c>
      <c r="BE166" s="162" t="s">
        <v>7</v>
      </c>
      <c r="BF166" s="162" t="str">
        <f t="shared" si="4"/>
        <v>Sim</v>
      </c>
      <c r="BG166" s="162" t="str">
        <f t="shared" si="5"/>
        <v>Não</v>
      </c>
      <c r="BH166" s="162" t="s">
        <v>7</v>
      </c>
      <c r="BI166" t="s">
        <v>7</v>
      </c>
      <c r="BJ166" s="162" t="s">
        <v>7</v>
      </c>
      <c r="BK166" t="s">
        <v>9</v>
      </c>
      <c r="BL166" s="162">
        <v>60</v>
      </c>
      <c r="BM166" t="s">
        <v>35</v>
      </c>
      <c r="BN166" t="s">
        <v>35</v>
      </c>
      <c r="BO166" t="s">
        <v>9</v>
      </c>
      <c r="BP166" s="162">
        <v>60</v>
      </c>
      <c r="BQ166" t="s">
        <v>35</v>
      </c>
      <c r="BR166" t="s">
        <v>1849</v>
      </c>
      <c r="BS166" s="162" t="s">
        <v>10170</v>
      </c>
    </row>
    <row r="167" spans="1:71">
      <c r="A167" s="162">
        <v>166</v>
      </c>
      <c r="B167" t="s">
        <v>299</v>
      </c>
      <c r="C167" s="162">
        <v>1</v>
      </c>
      <c r="D167" s="122" t="s">
        <v>521</v>
      </c>
      <c r="E167" t="s">
        <v>807</v>
      </c>
      <c r="F167" t="s">
        <v>3</v>
      </c>
      <c r="G167" t="s">
        <v>304</v>
      </c>
      <c r="H167" t="s">
        <v>816</v>
      </c>
      <c r="I167" s="162">
        <v>1</v>
      </c>
      <c r="J167" t="s">
        <v>1855</v>
      </c>
      <c r="K167" t="s">
        <v>3</v>
      </c>
      <c r="L167" s="165">
        <v>32807</v>
      </c>
      <c r="M167" s="166">
        <v>27</v>
      </c>
      <c r="N167" t="s">
        <v>5</v>
      </c>
      <c r="O167" t="s">
        <v>10135</v>
      </c>
      <c r="P167" t="s">
        <v>48</v>
      </c>
      <c r="Q167" t="s">
        <v>1528</v>
      </c>
      <c r="R167" t="s">
        <v>1529</v>
      </c>
      <c r="S167" s="162">
        <v>736.7</v>
      </c>
      <c r="T167">
        <v>0</v>
      </c>
      <c r="U167" s="162">
        <v>0</v>
      </c>
      <c r="V167">
        <v>0</v>
      </c>
      <c r="W167" s="162">
        <v>0</v>
      </c>
      <c r="X167">
        <v>0</v>
      </c>
      <c r="Y167" s="162">
        <v>0</v>
      </c>
      <c r="Z167">
        <v>0</v>
      </c>
      <c r="AA167" s="162">
        <v>0</v>
      </c>
      <c r="AB167">
        <v>0</v>
      </c>
      <c r="AC167" s="162" t="s">
        <v>7</v>
      </c>
      <c r="AD167" s="162" t="s">
        <v>7</v>
      </c>
      <c r="AE167" s="162" t="s">
        <v>7</v>
      </c>
      <c r="AF167" s="162" t="s">
        <v>7</v>
      </c>
      <c r="AG167" s="162" t="s">
        <v>7</v>
      </c>
      <c r="AH167" s="162" t="s">
        <v>7</v>
      </c>
      <c r="AI167" t="s">
        <v>9843</v>
      </c>
      <c r="AJ167" t="s">
        <v>7</v>
      </c>
      <c r="AK167" t="s">
        <v>1440</v>
      </c>
      <c r="AL167" t="s">
        <v>36</v>
      </c>
      <c r="AM167" s="162" t="s">
        <v>10138</v>
      </c>
      <c r="AN167" t="s">
        <v>9843</v>
      </c>
      <c r="AO167" t="s">
        <v>35</v>
      </c>
      <c r="AP167" t="s">
        <v>7</v>
      </c>
      <c r="AQ167" t="s">
        <v>9</v>
      </c>
      <c r="AR167" t="s">
        <v>7</v>
      </c>
      <c r="AS167" s="162" t="s">
        <v>7</v>
      </c>
      <c r="AT167" s="117" t="s">
        <v>7</v>
      </c>
      <c r="AU167" s="162" t="s">
        <v>7</v>
      </c>
      <c r="AV167" s="162" t="s">
        <v>7</v>
      </c>
      <c r="AW167" s="162" t="s">
        <v>9851</v>
      </c>
      <c r="AX167" s="162" t="s">
        <v>7</v>
      </c>
      <c r="AY167" s="162" t="s">
        <v>7</v>
      </c>
      <c r="AZ167" t="s">
        <v>7</v>
      </c>
      <c r="BA167" s="162" t="s">
        <v>7</v>
      </c>
      <c r="BB167" s="162" t="s">
        <v>7</v>
      </c>
      <c r="BC167" s="162" t="s">
        <v>7</v>
      </c>
      <c r="BD167" s="162" t="s">
        <v>7</v>
      </c>
      <c r="BE167" s="162" t="s">
        <v>7</v>
      </c>
      <c r="BF167" s="162" t="str">
        <f t="shared" si="4"/>
        <v>Sim</v>
      </c>
      <c r="BG167" s="162" t="str">
        <f t="shared" si="5"/>
        <v>Não</v>
      </c>
      <c r="BH167" s="162" t="s">
        <v>7</v>
      </c>
      <c r="BI167" t="s">
        <v>7</v>
      </c>
      <c r="BJ167" s="162" t="s">
        <v>7</v>
      </c>
      <c r="BK167" t="s">
        <v>9</v>
      </c>
      <c r="BL167" s="162">
        <v>60</v>
      </c>
      <c r="BM167" t="s">
        <v>35</v>
      </c>
      <c r="BN167" t="s">
        <v>35</v>
      </c>
      <c r="BO167" t="s">
        <v>9</v>
      </c>
      <c r="BP167" s="162">
        <v>60</v>
      </c>
      <c r="BQ167" t="s">
        <v>35</v>
      </c>
      <c r="BR167" t="s">
        <v>1849</v>
      </c>
      <c r="BS167" s="162" t="s">
        <v>10170</v>
      </c>
    </row>
    <row r="168" spans="1:71">
      <c r="A168" s="162">
        <v>167</v>
      </c>
      <c r="B168" t="s">
        <v>343</v>
      </c>
      <c r="C168" s="162">
        <v>1</v>
      </c>
      <c r="D168" s="122" t="s">
        <v>602</v>
      </c>
      <c r="E168" t="s">
        <v>858</v>
      </c>
      <c r="F168" t="s">
        <v>515</v>
      </c>
      <c r="G168" t="s">
        <v>348</v>
      </c>
      <c r="H168" t="s">
        <v>868</v>
      </c>
      <c r="I168" s="162">
        <v>1</v>
      </c>
      <c r="J168" t="s">
        <v>1855</v>
      </c>
      <c r="K168" t="s">
        <v>3</v>
      </c>
      <c r="L168" s="165">
        <v>36004</v>
      </c>
      <c r="M168" s="166">
        <v>19</v>
      </c>
      <c r="N168" t="s">
        <v>5</v>
      </c>
      <c r="O168" t="s">
        <v>10135</v>
      </c>
      <c r="P168" t="s">
        <v>48</v>
      </c>
      <c r="Q168" t="s">
        <v>1186</v>
      </c>
      <c r="R168" t="s">
        <v>1631</v>
      </c>
      <c r="S168" s="162">
        <v>853.3</v>
      </c>
      <c r="T168">
        <v>0</v>
      </c>
      <c r="U168" s="162">
        <v>0</v>
      </c>
      <c r="V168">
        <v>0</v>
      </c>
      <c r="W168" s="162">
        <v>0</v>
      </c>
      <c r="X168">
        <v>0</v>
      </c>
      <c r="Y168" s="162">
        <v>0</v>
      </c>
      <c r="Z168">
        <v>0</v>
      </c>
      <c r="AA168" s="162">
        <v>0</v>
      </c>
      <c r="AB168">
        <v>0</v>
      </c>
      <c r="AC168" s="162" t="s">
        <v>7</v>
      </c>
      <c r="AD168" s="162" t="s">
        <v>7</v>
      </c>
      <c r="AE168" s="162" t="s">
        <v>7</v>
      </c>
      <c r="AF168" s="162" t="s">
        <v>7</v>
      </c>
      <c r="AG168" s="162" t="s">
        <v>7</v>
      </c>
      <c r="AH168" s="162" t="s">
        <v>7</v>
      </c>
      <c r="AI168" t="s">
        <v>9843</v>
      </c>
      <c r="AJ168" t="s">
        <v>7</v>
      </c>
      <c r="AK168" t="s">
        <v>1111</v>
      </c>
      <c r="AL168" t="s">
        <v>36</v>
      </c>
      <c r="AM168" s="162" t="s">
        <v>10138</v>
      </c>
      <c r="AN168" t="s">
        <v>9843</v>
      </c>
      <c r="AO168" t="s">
        <v>35</v>
      </c>
      <c r="AP168" t="s">
        <v>1104</v>
      </c>
      <c r="AQ168" t="s">
        <v>1080</v>
      </c>
      <c r="AR168" t="s">
        <v>7</v>
      </c>
      <c r="AS168" s="162" t="s">
        <v>7</v>
      </c>
      <c r="AT168" s="117" t="s">
        <v>1244</v>
      </c>
      <c r="AU168" s="162" t="s">
        <v>7</v>
      </c>
      <c r="AV168" s="162" t="s">
        <v>9851</v>
      </c>
      <c r="AW168" s="162" t="s">
        <v>7</v>
      </c>
      <c r="AX168" s="162" t="s">
        <v>7</v>
      </c>
      <c r="AY168" s="162" t="s">
        <v>9851</v>
      </c>
      <c r="AZ168" t="s">
        <v>7</v>
      </c>
      <c r="BA168" s="162" t="s">
        <v>7</v>
      </c>
      <c r="BB168" s="162" t="s">
        <v>7</v>
      </c>
      <c r="BC168" s="162" t="s">
        <v>7</v>
      </c>
      <c r="BD168" s="162" t="s">
        <v>7</v>
      </c>
      <c r="BE168" s="162" t="s">
        <v>7</v>
      </c>
      <c r="BF168" s="162" t="str">
        <f t="shared" si="4"/>
        <v>Sim</v>
      </c>
      <c r="BG168" s="162" t="str">
        <f t="shared" si="5"/>
        <v>Não</v>
      </c>
      <c r="BH168" s="162" t="s">
        <v>7</v>
      </c>
      <c r="BI168" t="s">
        <v>7</v>
      </c>
      <c r="BJ168" s="162" t="s">
        <v>7</v>
      </c>
      <c r="BK168" t="s">
        <v>9</v>
      </c>
      <c r="BL168" s="162">
        <v>60</v>
      </c>
      <c r="BM168" t="s">
        <v>35</v>
      </c>
      <c r="BN168" t="s">
        <v>35</v>
      </c>
      <c r="BO168" t="s">
        <v>9</v>
      </c>
      <c r="BP168" s="162">
        <v>60</v>
      </c>
      <c r="BQ168" t="s">
        <v>35</v>
      </c>
      <c r="BR168" t="s">
        <v>1849</v>
      </c>
      <c r="BS168" s="162" t="s">
        <v>10170</v>
      </c>
    </row>
    <row r="169" spans="1:71">
      <c r="A169" s="162">
        <v>168</v>
      </c>
      <c r="B169" t="s">
        <v>113</v>
      </c>
      <c r="C169" s="162">
        <v>0</v>
      </c>
      <c r="D169" s="122">
        <v>42871</v>
      </c>
      <c r="E169" t="s">
        <v>477</v>
      </c>
      <c r="F169" t="s">
        <v>515</v>
      </c>
      <c r="G169" t="s">
        <v>120</v>
      </c>
      <c r="H169" t="s">
        <v>480</v>
      </c>
      <c r="I169" s="162">
        <v>1</v>
      </c>
      <c r="J169" t="s">
        <v>1085</v>
      </c>
      <c r="K169" t="s">
        <v>3</v>
      </c>
      <c r="L169" s="165">
        <v>34325</v>
      </c>
      <c r="M169" s="166">
        <v>23</v>
      </c>
      <c r="N169" t="s">
        <v>4</v>
      </c>
      <c r="O169" t="s">
        <v>10134</v>
      </c>
      <c r="P169" t="s">
        <v>41</v>
      </c>
      <c r="Q169" t="s">
        <v>1161</v>
      </c>
      <c r="R169" t="s">
        <v>1268</v>
      </c>
      <c r="S169" s="162">
        <v>7816</v>
      </c>
      <c r="T169">
        <v>0</v>
      </c>
      <c r="U169" s="162">
        <v>0</v>
      </c>
      <c r="V169">
        <v>0</v>
      </c>
      <c r="W169" s="162">
        <v>0</v>
      </c>
      <c r="X169">
        <v>0</v>
      </c>
      <c r="Y169" s="162">
        <v>0</v>
      </c>
      <c r="Z169">
        <v>0</v>
      </c>
      <c r="AA169" s="162">
        <v>0</v>
      </c>
      <c r="AB169">
        <v>0</v>
      </c>
      <c r="AC169" s="162" t="s">
        <v>7</v>
      </c>
      <c r="AD169" s="162" t="s">
        <v>7</v>
      </c>
      <c r="AE169" s="162" t="s">
        <v>7</v>
      </c>
      <c r="AF169" s="162" t="s">
        <v>7</v>
      </c>
      <c r="AG169" s="162" t="s">
        <v>7</v>
      </c>
      <c r="AH169" s="162" t="s">
        <v>7</v>
      </c>
      <c r="AI169" t="s">
        <v>9846</v>
      </c>
      <c r="AJ169" t="s">
        <v>7</v>
      </c>
      <c r="AK169" t="s">
        <v>9767</v>
      </c>
      <c r="AL169" t="s">
        <v>36</v>
      </c>
      <c r="AM169" s="162" t="s">
        <v>10138</v>
      </c>
      <c r="AN169" t="s">
        <v>9846</v>
      </c>
      <c r="AO169" t="s">
        <v>35</v>
      </c>
      <c r="AP169" t="s">
        <v>7</v>
      </c>
      <c r="AQ169" t="s">
        <v>9</v>
      </c>
      <c r="AR169" t="s">
        <v>7</v>
      </c>
      <c r="AS169" s="162" t="s">
        <v>7</v>
      </c>
      <c r="AT169" s="117" t="s">
        <v>7</v>
      </c>
      <c r="AU169" s="162" t="s">
        <v>7</v>
      </c>
      <c r="AV169" s="162" t="s">
        <v>7</v>
      </c>
      <c r="AW169" s="162" t="s">
        <v>9851</v>
      </c>
      <c r="AX169" s="162" t="s">
        <v>7</v>
      </c>
      <c r="AY169" s="162" t="s">
        <v>7</v>
      </c>
      <c r="AZ169" t="s">
        <v>7</v>
      </c>
      <c r="BA169" s="162" t="s">
        <v>7</v>
      </c>
      <c r="BB169" s="162" t="s">
        <v>7</v>
      </c>
      <c r="BC169" s="162" t="s">
        <v>7</v>
      </c>
      <c r="BD169" s="162" t="s">
        <v>7</v>
      </c>
      <c r="BE169" s="162" t="s">
        <v>7</v>
      </c>
      <c r="BF169" s="162" t="str">
        <f t="shared" si="4"/>
        <v>Sim</v>
      </c>
      <c r="BG169" s="162" t="str">
        <f t="shared" si="5"/>
        <v>Não</v>
      </c>
      <c r="BH169" s="162" t="s">
        <v>7</v>
      </c>
      <c r="BI169" t="s">
        <v>7</v>
      </c>
      <c r="BJ169" s="162" t="s">
        <v>7</v>
      </c>
      <c r="BK169" t="s">
        <v>9</v>
      </c>
      <c r="BL169" s="162">
        <v>60</v>
      </c>
      <c r="BM169" t="s">
        <v>1162</v>
      </c>
      <c r="BN169" t="s">
        <v>35</v>
      </c>
      <c r="BO169" t="s">
        <v>1166</v>
      </c>
      <c r="BP169" s="162">
        <v>96</v>
      </c>
      <c r="BQ169" t="s">
        <v>35</v>
      </c>
      <c r="BR169" t="s">
        <v>1849</v>
      </c>
      <c r="BS169" s="162" t="s">
        <v>10170</v>
      </c>
    </row>
    <row r="170" spans="1:71">
      <c r="A170" s="162">
        <v>169</v>
      </c>
      <c r="B170" t="s">
        <v>113</v>
      </c>
      <c r="C170" s="162">
        <v>0</v>
      </c>
      <c r="D170" s="122">
        <v>42871</v>
      </c>
      <c r="E170" t="s">
        <v>477</v>
      </c>
      <c r="F170" t="s">
        <v>515</v>
      </c>
      <c r="G170" t="s">
        <v>120</v>
      </c>
      <c r="H170" t="s">
        <v>479</v>
      </c>
      <c r="I170" s="162">
        <v>1</v>
      </c>
      <c r="J170" t="s">
        <v>1085</v>
      </c>
      <c r="K170" t="s">
        <v>3</v>
      </c>
      <c r="L170" s="165">
        <v>32255</v>
      </c>
      <c r="M170" s="166">
        <v>29</v>
      </c>
      <c r="N170" t="s">
        <v>4</v>
      </c>
      <c r="O170" t="s">
        <v>10134</v>
      </c>
      <c r="P170" t="s">
        <v>48</v>
      </c>
      <c r="Q170" t="s">
        <v>1161</v>
      </c>
      <c r="R170" t="s">
        <v>1268</v>
      </c>
      <c r="S170" s="162">
        <v>7816</v>
      </c>
      <c r="T170">
        <v>0</v>
      </c>
      <c r="U170" s="162">
        <v>0</v>
      </c>
      <c r="V170">
        <v>0</v>
      </c>
      <c r="W170" s="162">
        <v>0</v>
      </c>
      <c r="X170">
        <v>0</v>
      </c>
      <c r="Y170" s="162">
        <v>0</v>
      </c>
      <c r="Z170">
        <v>0</v>
      </c>
      <c r="AA170" s="162">
        <v>0</v>
      </c>
      <c r="AB170">
        <v>0</v>
      </c>
      <c r="AC170" s="162" t="s">
        <v>7</v>
      </c>
      <c r="AD170" s="162" t="s">
        <v>7</v>
      </c>
      <c r="AE170" s="162" t="s">
        <v>7</v>
      </c>
      <c r="AF170" s="162" t="s">
        <v>7</v>
      </c>
      <c r="AG170" s="162" t="s">
        <v>7</v>
      </c>
      <c r="AH170" s="162" t="s">
        <v>7</v>
      </c>
      <c r="AI170" t="s">
        <v>9846</v>
      </c>
      <c r="AJ170" t="s">
        <v>7</v>
      </c>
      <c r="AK170" t="s">
        <v>9767</v>
      </c>
      <c r="AL170" t="s">
        <v>36</v>
      </c>
      <c r="AM170" s="162" t="s">
        <v>10138</v>
      </c>
      <c r="AN170" t="s">
        <v>9846</v>
      </c>
      <c r="AO170" t="s">
        <v>35</v>
      </c>
      <c r="AP170" t="s">
        <v>7</v>
      </c>
      <c r="AQ170" t="s">
        <v>9</v>
      </c>
      <c r="AR170" t="s">
        <v>7</v>
      </c>
      <c r="AS170" s="162" t="s">
        <v>7</v>
      </c>
      <c r="AT170" s="117" t="s">
        <v>7</v>
      </c>
      <c r="AU170" s="162" t="s">
        <v>7</v>
      </c>
      <c r="AV170" s="162" t="s">
        <v>7</v>
      </c>
      <c r="AW170" s="162" t="s">
        <v>9851</v>
      </c>
      <c r="AX170" s="162" t="s">
        <v>7</v>
      </c>
      <c r="AY170" s="162" t="s">
        <v>7</v>
      </c>
      <c r="AZ170" t="s">
        <v>7</v>
      </c>
      <c r="BA170" s="162" t="s">
        <v>7</v>
      </c>
      <c r="BB170" s="162" t="s">
        <v>7</v>
      </c>
      <c r="BC170" s="162" t="s">
        <v>7</v>
      </c>
      <c r="BD170" s="162" t="s">
        <v>7</v>
      </c>
      <c r="BE170" s="162" t="s">
        <v>7</v>
      </c>
      <c r="BF170" s="162" t="str">
        <f t="shared" si="4"/>
        <v>Sim</v>
      </c>
      <c r="BG170" s="162" t="str">
        <f t="shared" si="5"/>
        <v>Não</v>
      </c>
      <c r="BH170" s="162" t="s">
        <v>7</v>
      </c>
      <c r="BI170" t="s">
        <v>7</v>
      </c>
      <c r="BJ170" s="162" t="s">
        <v>7</v>
      </c>
      <c r="BK170" t="s">
        <v>9</v>
      </c>
      <c r="BL170" s="162">
        <v>60</v>
      </c>
      <c r="BM170" t="s">
        <v>1162</v>
      </c>
      <c r="BN170" t="s">
        <v>35</v>
      </c>
      <c r="BO170" t="s">
        <v>1166</v>
      </c>
      <c r="BP170" s="162">
        <v>96</v>
      </c>
      <c r="BQ170" t="s">
        <v>35</v>
      </c>
      <c r="BR170" t="s">
        <v>1849</v>
      </c>
      <c r="BS170" s="162" t="s">
        <v>10170</v>
      </c>
    </row>
    <row r="171" spans="1:71">
      <c r="A171" s="162">
        <v>170</v>
      </c>
      <c r="B171" t="s">
        <v>213</v>
      </c>
      <c r="C171" s="162">
        <v>1</v>
      </c>
      <c r="D171" s="122" t="s">
        <v>674</v>
      </c>
      <c r="E171" t="s">
        <v>656</v>
      </c>
      <c r="F171" t="s">
        <v>515</v>
      </c>
      <c r="G171" t="s">
        <v>214</v>
      </c>
      <c r="H171" t="s">
        <v>675</v>
      </c>
      <c r="I171" s="162">
        <v>1</v>
      </c>
      <c r="J171" t="s">
        <v>1855</v>
      </c>
      <c r="K171" t="s">
        <v>3</v>
      </c>
      <c r="L171" s="165">
        <v>35340</v>
      </c>
      <c r="M171" s="166">
        <v>20</v>
      </c>
      <c r="N171" t="s">
        <v>5</v>
      </c>
      <c r="O171" t="s">
        <v>10135</v>
      </c>
      <c r="P171" t="s">
        <v>48</v>
      </c>
      <c r="Q171" t="s">
        <v>1737</v>
      </c>
      <c r="R171" t="s">
        <v>1738</v>
      </c>
      <c r="S171" s="162">
        <v>143.19999999999999</v>
      </c>
      <c r="T171">
        <v>0</v>
      </c>
      <c r="U171" s="162">
        <v>0</v>
      </c>
      <c r="V171">
        <v>0</v>
      </c>
      <c r="W171" s="162">
        <v>0</v>
      </c>
      <c r="X171">
        <v>0</v>
      </c>
      <c r="Y171" s="162">
        <v>0</v>
      </c>
      <c r="Z171">
        <v>0</v>
      </c>
      <c r="AA171" s="162">
        <v>0</v>
      </c>
      <c r="AB171">
        <v>0</v>
      </c>
      <c r="AC171" s="162" t="s">
        <v>7</v>
      </c>
      <c r="AD171" s="162" t="s">
        <v>7</v>
      </c>
      <c r="AE171" s="162" t="s">
        <v>7</v>
      </c>
      <c r="AF171" s="162" t="s">
        <v>7</v>
      </c>
      <c r="AG171" s="162" t="s">
        <v>7</v>
      </c>
      <c r="AH171" s="162" t="s">
        <v>7</v>
      </c>
      <c r="AI171" t="s">
        <v>9843</v>
      </c>
      <c r="AJ171" t="s">
        <v>7</v>
      </c>
      <c r="AK171" t="s">
        <v>80</v>
      </c>
      <c r="AL171" t="s">
        <v>36</v>
      </c>
      <c r="AM171" s="162" t="s">
        <v>10138</v>
      </c>
      <c r="AN171" t="s">
        <v>9843</v>
      </c>
      <c r="AO171" t="s">
        <v>35</v>
      </c>
      <c r="AP171" t="s">
        <v>7</v>
      </c>
      <c r="AQ171" t="s">
        <v>9</v>
      </c>
      <c r="AR171" t="s">
        <v>7</v>
      </c>
      <c r="AS171" s="162" t="s">
        <v>7</v>
      </c>
      <c r="AT171" s="117" t="s">
        <v>7</v>
      </c>
      <c r="AU171" s="162" t="s">
        <v>7</v>
      </c>
      <c r="AV171" s="162" t="s">
        <v>7</v>
      </c>
      <c r="AW171" s="162" t="s">
        <v>9851</v>
      </c>
      <c r="AX171" s="162" t="s">
        <v>7</v>
      </c>
      <c r="AY171" s="162" t="s">
        <v>7</v>
      </c>
      <c r="AZ171" t="s">
        <v>7</v>
      </c>
      <c r="BA171" s="162" t="s">
        <v>7</v>
      </c>
      <c r="BB171" s="162" t="s">
        <v>7</v>
      </c>
      <c r="BC171" s="162" t="s">
        <v>7</v>
      </c>
      <c r="BD171" s="162" t="s">
        <v>7</v>
      </c>
      <c r="BE171" s="162" t="s">
        <v>7</v>
      </c>
      <c r="BF171" s="162" t="str">
        <f t="shared" si="4"/>
        <v>Sim</v>
      </c>
      <c r="BG171" s="162" t="str">
        <f t="shared" si="5"/>
        <v>Não</v>
      </c>
      <c r="BH171" s="162" t="s">
        <v>7</v>
      </c>
      <c r="BI171" t="s">
        <v>9872</v>
      </c>
      <c r="BJ171" s="162" t="s">
        <v>10165</v>
      </c>
      <c r="BK171" t="s">
        <v>9</v>
      </c>
      <c r="BL171" s="162">
        <v>60</v>
      </c>
      <c r="BM171" t="s">
        <v>35</v>
      </c>
      <c r="BN171" t="s">
        <v>35</v>
      </c>
      <c r="BO171" t="s">
        <v>9</v>
      </c>
      <c r="BP171" s="162">
        <v>60</v>
      </c>
      <c r="BQ171" t="s">
        <v>35</v>
      </c>
      <c r="BR171" t="s">
        <v>1849</v>
      </c>
      <c r="BS171" s="162" t="s">
        <v>10170</v>
      </c>
    </row>
    <row r="172" spans="1:71">
      <c r="A172" s="162">
        <v>171</v>
      </c>
      <c r="B172" t="s">
        <v>280</v>
      </c>
      <c r="C172" s="162">
        <v>0</v>
      </c>
      <c r="D172" s="122">
        <v>42955</v>
      </c>
      <c r="E172" t="s">
        <v>2056</v>
      </c>
      <c r="F172" t="s">
        <v>515</v>
      </c>
      <c r="G172" t="s">
        <v>291</v>
      </c>
      <c r="H172" t="s">
        <v>2061</v>
      </c>
      <c r="I172" s="162">
        <v>1</v>
      </c>
      <c r="J172" t="s">
        <v>1855</v>
      </c>
      <c r="K172" t="s">
        <v>515</v>
      </c>
      <c r="L172" s="165">
        <v>34076</v>
      </c>
      <c r="M172" s="166">
        <v>24</v>
      </c>
      <c r="N172" t="s">
        <v>4</v>
      </c>
      <c r="O172" t="s">
        <v>10134</v>
      </c>
      <c r="P172" t="s">
        <v>41</v>
      </c>
      <c r="Q172" t="s">
        <v>2062</v>
      </c>
      <c r="R172" t="s">
        <v>2081</v>
      </c>
      <c r="S172" s="162">
        <v>2700</v>
      </c>
      <c r="T172">
        <v>0</v>
      </c>
      <c r="U172" s="162">
        <v>0</v>
      </c>
      <c r="V172">
        <v>0</v>
      </c>
      <c r="W172" s="162">
        <v>0</v>
      </c>
      <c r="X172">
        <v>0</v>
      </c>
      <c r="Y172" s="162">
        <v>0</v>
      </c>
      <c r="Z172">
        <v>0</v>
      </c>
      <c r="AA172" s="162">
        <v>0</v>
      </c>
      <c r="AB172">
        <v>0</v>
      </c>
      <c r="AC172" s="162" t="s">
        <v>7</v>
      </c>
      <c r="AD172" s="162" t="s">
        <v>7</v>
      </c>
      <c r="AE172" s="162" t="s">
        <v>7</v>
      </c>
      <c r="AF172" s="162" t="s">
        <v>7</v>
      </c>
      <c r="AG172" s="162" t="s">
        <v>7</v>
      </c>
      <c r="AH172" s="162" t="s">
        <v>7</v>
      </c>
      <c r="AI172" t="s">
        <v>9843</v>
      </c>
      <c r="AJ172" t="s">
        <v>1136</v>
      </c>
      <c r="AK172" t="s">
        <v>1132</v>
      </c>
      <c r="AL172" t="s">
        <v>36</v>
      </c>
      <c r="AM172" s="162" t="s">
        <v>10138</v>
      </c>
      <c r="AN172" t="s">
        <v>9843</v>
      </c>
      <c r="AO172" t="s">
        <v>1136</v>
      </c>
      <c r="AP172" t="s">
        <v>7</v>
      </c>
      <c r="AQ172" t="s">
        <v>9</v>
      </c>
      <c r="AR172" t="s">
        <v>7</v>
      </c>
      <c r="AS172" s="162" t="s">
        <v>7</v>
      </c>
      <c r="AT172" s="117" t="s">
        <v>7</v>
      </c>
      <c r="AU172" s="162" t="s">
        <v>7</v>
      </c>
      <c r="AV172" s="162" t="s">
        <v>7</v>
      </c>
      <c r="AW172" s="162" t="s">
        <v>9851</v>
      </c>
      <c r="AX172" s="162" t="s">
        <v>7</v>
      </c>
      <c r="AY172" s="162" t="s">
        <v>7</v>
      </c>
      <c r="AZ172" t="s">
        <v>7</v>
      </c>
      <c r="BA172" s="162" t="s">
        <v>7</v>
      </c>
      <c r="BB172" s="162" t="s">
        <v>7</v>
      </c>
      <c r="BC172" s="162" t="s">
        <v>7</v>
      </c>
      <c r="BD172" s="162" t="s">
        <v>7</v>
      </c>
      <c r="BE172" s="162" t="s">
        <v>7</v>
      </c>
      <c r="BF172" s="162" t="str">
        <f t="shared" si="4"/>
        <v>Sim</v>
      </c>
      <c r="BG172" s="162" t="str">
        <f t="shared" si="5"/>
        <v>Não</v>
      </c>
      <c r="BH172" s="162" t="s">
        <v>7</v>
      </c>
      <c r="BI172" t="s">
        <v>7</v>
      </c>
      <c r="BJ172" s="162" t="s">
        <v>7</v>
      </c>
      <c r="BK172" t="s">
        <v>9</v>
      </c>
      <c r="BL172" s="162">
        <v>60</v>
      </c>
      <c r="BM172" t="s">
        <v>35</v>
      </c>
      <c r="BN172" t="s">
        <v>44</v>
      </c>
      <c r="BO172" t="s">
        <v>1163</v>
      </c>
      <c r="BP172" s="162">
        <v>84</v>
      </c>
      <c r="BQ172" t="s">
        <v>35</v>
      </c>
      <c r="BR172" t="s">
        <v>1849</v>
      </c>
      <c r="BS172" s="162" t="s">
        <v>10170</v>
      </c>
    </row>
    <row r="173" spans="1:71">
      <c r="A173" s="162">
        <v>172</v>
      </c>
      <c r="B173" t="s">
        <v>280</v>
      </c>
      <c r="C173" s="162">
        <v>1</v>
      </c>
      <c r="D173" s="122">
        <v>42955</v>
      </c>
      <c r="E173" t="s">
        <v>2056</v>
      </c>
      <c r="F173" t="s">
        <v>515</v>
      </c>
      <c r="G173" t="s">
        <v>291</v>
      </c>
      <c r="H173" t="s">
        <v>789</v>
      </c>
      <c r="I173" s="162">
        <v>1</v>
      </c>
      <c r="J173" t="s">
        <v>1855</v>
      </c>
      <c r="K173" t="s">
        <v>3</v>
      </c>
      <c r="L173" s="165">
        <v>33715</v>
      </c>
      <c r="M173" s="166">
        <v>25</v>
      </c>
      <c r="N173" t="s">
        <v>5</v>
      </c>
      <c r="O173" t="s">
        <v>10135</v>
      </c>
      <c r="P173" t="s">
        <v>1101</v>
      </c>
      <c r="Q173" t="s">
        <v>2077</v>
      </c>
      <c r="R173" t="s">
        <v>2081</v>
      </c>
      <c r="S173" s="162">
        <v>2700</v>
      </c>
      <c r="T173">
        <v>0</v>
      </c>
      <c r="U173" s="162">
        <v>0</v>
      </c>
      <c r="V173">
        <v>0</v>
      </c>
      <c r="W173" s="162">
        <v>0</v>
      </c>
      <c r="X173">
        <v>0</v>
      </c>
      <c r="Y173" s="162">
        <v>0</v>
      </c>
      <c r="Z173">
        <v>0</v>
      </c>
      <c r="AA173" s="162">
        <v>0</v>
      </c>
      <c r="AB173">
        <v>0</v>
      </c>
      <c r="AC173" s="162" t="s">
        <v>7</v>
      </c>
      <c r="AD173" s="162" t="s">
        <v>7</v>
      </c>
      <c r="AE173" s="162" t="s">
        <v>7</v>
      </c>
      <c r="AF173" s="162" t="s">
        <v>7</v>
      </c>
      <c r="AG173" s="162" t="s">
        <v>7</v>
      </c>
      <c r="AH173" s="162" t="s">
        <v>7</v>
      </c>
      <c r="AI173" t="s">
        <v>9843</v>
      </c>
      <c r="AJ173" t="s">
        <v>1136</v>
      </c>
      <c r="AK173" t="s">
        <v>2059</v>
      </c>
      <c r="AL173" t="s">
        <v>36</v>
      </c>
      <c r="AM173" s="162" t="s">
        <v>10138</v>
      </c>
      <c r="AN173" t="s">
        <v>9843</v>
      </c>
      <c r="AO173" t="s">
        <v>1136</v>
      </c>
      <c r="AP173" t="s">
        <v>7</v>
      </c>
      <c r="AQ173" t="s">
        <v>9</v>
      </c>
      <c r="AR173" t="s">
        <v>7</v>
      </c>
      <c r="AS173" s="162" t="s">
        <v>7</v>
      </c>
      <c r="AT173" s="117" t="s">
        <v>7</v>
      </c>
      <c r="AU173" s="162" t="s">
        <v>7</v>
      </c>
      <c r="AV173" s="162" t="s">
        <v>7</v>
      </c>
      <c r="AW173" s="162" t="s">
        <v>9851</v>
      </c>
      <c r="AX173" s="162" t="s">
        <v>7</v>
      </c>
      <c r="AY173" s="162" t="s">
        <v>7</v>
      </c>
      <c r="AZ173" t="s">
        <v>7</v>
      </c>
      <c r="BA173" s="162" t="s">
        <v>7</v>
      </c>
      <c r="BB173" s="162" t="s">
        <v>7</v>
      </c>
      <c r="BC173" s="162" t="s">
        <v>7</v>
      </c>
      <c r="BD173" s="162" t="s">
        <v>7</v>
      </c>
      <c r="BE173" s="162" t="s">
        <v>7</v>
      </c>
      <c r="BF173" s="162" t="str">
        <f t="shared" si="4"/>
        <v>Sim</v>
      </c>
      <c r="BG173" s="162" t="str">
        <f t="shared" si="5"/>
        <v>Não</v>
      </c>
      <c r="BH173" s="162" t="s">
        <v>7</v>
      </c>
      <c r="BI173" t="s">
        <v>7</v>
      </c>
      <c r="BJ173" s="162" t="s">
        <v>7</v>
      </c>
      <c r="BK173" t="s">
        <v>9</v>
      </c>
      <c r="BL173" s="162">
        <v>60</v>
      </c>
      <c r="BM173" t="s">
        <v>35</v>
      </c>
      <c r="BN173" t="s">
        <v>44</v>
      </c>
      <c r="BO173" t="s">
        <v>1163</v>
      </c>
      <c r="BP173" s="162">
        <v>84</v>
      </c>
      <c r="BQ173" t="s">
        <v>35</v>
      </c>
      <c r="BR173" t="s">
        <v>1849</v>
      </c>
      <c r="BS173" s="162" t="s">
        <v>10170</v>
      </c>
    </row>
    <row r="174" spans="1:71">
      <c r="A174" s="162">
        <v>173</v>
      </c>
      <c r="B174" t="s">
        <v>280</v>
      </c>
      <c r="C174" s="162">
        <v>0</v>
      </c>
      <c r="D174" s="122">
        <v>42955</v>
      </c>
      <c r="E174" t="s">
        <v>2056</v>
      </c>
      <c r="F174" t="s">
        <v>515</v>
      </c>
      <c r="G174" t="s">
        <v>291</v>
      </c>
      <c r="H174" t="s">
        <v>2060</v>
      </c>
      <c r="I174" s="162">
        <v>1</v>
      </c>
      <c r="J174" t="s">
        <v>1855</v>
      </c>
      <c r="K174" t="s">
        <v>3</v>
      </c>
      <c r="L174" s="165">
        <v>34376</v>
      </c>
      <c r="M174" s="166">
        <v>23</v>
      </c>
      <c r="N174" t="s">
        <v>5</v>
      </c>
      <c r="O174" t="s">
        <v>10135</v>
      </c>
      <c r="P174" t="s">
        <v>1101</v>
      </c>
      <c r="Q174" t="s">
        <v>2078</v>
      </c>
      <c r="R174" t="s">
        <v>2081</v>
      </c>
      <c r="S174" s="162">
        <v>2700</v>
      </c>
      <c r="T174">
        <v>0</v>
      </c>
      <c r="U174" s="162">
        <v>0</v>
      </c>
      <c r="V174">
        <v>0</v>
      </c>
      <c r="W174" s="162">
        <v>0</v>
      </c>
      <c r="X174">
        <v>0</v>
      </c>
      <c r="Y174" s="162">
        <v>0</v>
      </c>
      <c r="Z174">
        <v>0</v>
      </c>
      <c r="AA174" s="162">
        <v>0</v>
      </c>
      <c r="AB174">
        <v>0</v>
      </c>
      <c r="AC174" s="162" t="s">
        <v>7</v>
      </c>
      <c r="AD174" s="162" t="s">
        <v>7</v>
      </c>
      <c r="AE174" s="162" t="s">
        <v>7</v>
      </c>
      <c r="AF174" s="162" t="s">
        <v>7</v>
      </c>
      <c r="AG174" s="162" t="s">
        <v>7</v>
      </c>
      <c r="AH174" s="162" t="s">
        <v>7</v>
      </c>
      <c r="AI174" t="s">
        <v>9843</v>
      </c>
      <c r="AJ174" t="s">
        <v>1136</v>
      </c>
      <c r="AK174" t="s">
        <v>2059</v>
      </c>
      <c r="AL174" t="s">
        <v>36</v>
      </c>
      <c r="AM174" s="162" t="s">
        <v>10138</v>
      </c>
      <c r="AN174" t="s">
        <v>9843</v>
      </c>
      <c r="AO174" t="s">
        <v>1136</v>
      </c>
      <c r="AP174" t="s">
        <v>7</v>
      </c>
      <c r="AQ174" t="s">
        <v>9</v>
      </c>
      <c r="AR174" t="s">
        <v>1097</v>
      </c>
      <c r="AS174" s="162" t="s">
        <v>9851</v>
      </c>
      <c r="AT174" s="117" t="s">
        <v>1111</v>
      </c>
      <c r="AU174" s="162" t="s">
        <v>9851</v>
      </c>
      <c r="AV174" s="162" t="s">
        <v>7</v>
      </c>
      <c r="AW174" s="162" t="s">
        <v>7</v>
      </c>
      <c r="AX174" s="162" t="s">
        <v>7</v>
      </c>
      <c r="AY174" s="162" t="s">
        <v>9851</v>
      </c>
      <c r="AZ174" t="s">
        <v>7</v>
      </c>
      <c r="BA174" s="162" t="s">
        <v>7</v>
      </c>
      <c r="BB174" s="162" t="s">
        <v>7</v>
      </c>
      <c r="BC174" s="162" t="s">
        <v>7</v>
      </c>
      <c r="BD174" s="162" t="s">
        <v>7</v>
      </c>
      <c r="BE174" s="162" t="s">
        <v>7</v>
      </c>
      <c r="BF174" s="162" t="str">
        <f t="shared" si="4"/>
        <v>Sim</v>
      </c>
      <c r="BG174" s="162" t="str">
        <f t="shared" si="5"/>
        <v>Não</v>
      </c>
      <c r="BH174" s="162" t="s">
        <v>7</v>
      </c>
      <c r="BI174" t="s">
        <v>7</v>
      </c>
      <c r="BJ174" s="162" t="s">
        <v>7</v>
      </c>
      <c r="BK174" t="s">
        <v>9</v>
      </c>
      <c r="BL174" s="162">
        <v>60</v>
      </c>
      <c r="BM174" t="s">
        <v>35</v>
      </c>
      <c r="BN174" t="s">
        <v>44</v>
      </c>
      <c r="BO174" t="s">
        <v>1163</v>
      </c>
      <c r="BP174" s="162">
        <v>84</v>
      </c>
      <c r="BQ174" t="s">
        <v>35</v>
      </c>
      <c r="BR174" t="s">
        <v>1849</v>
      </c>
      <c r="BS174" s="162" t="s">
        <v>10170</v>
      </c>
    </row>
    <row r="175" spans="1:71">
      <c r="A175" s="162">
        <v>174</v>
      </c>
      <c r="B175" t="s">
        <v>407</v>
      </c>
      <c r="C175" s="162">
        <v>1</v>
      </c>
      <c r="D175" s="122" t="s">
        <v>757</v>
      </c>
      <c r="E175" t="s">
        <v>919</v>
      </c>
      <c r="F175" t="s">
        <v>3</v>
      </c>
      <c r="G175" t="s">
        <v>411</v>
      </c>
      <c r="H175" t="s">
        <v>945</v>
      </c>
      <c r="I175" s="162">
        <v>1</v>
      </c>
      <c r="J175" t="s">
        <v>76</v>
      </c>
      <c r="K175" t="s">
        <v>3</v>
      </c>
      <c r="L175" s="165">
        <v>31822</v>
      </c>
      <c r="M175" s="166">
        <v>30</v>
      </c>
      <c r="N175" t="s">
        <v>5</v>
      </c>
      <c r="O175" t="s">
        <v>10135</v>
      </c>
      <c r="P175" t="s">
        <v>48</v>
      </c>
      <c r="Q175" t="s">
        <v>9832</v>
      </c>
      <c r="R175" t="s">
        <v>1187</v>
      </c>
      <c r="S175" s="162">
        <v>31331</v>
      </c>
      <c r="T175">
        <v>0</v>
      </c>
      <c r="U175" s="162">
        <v>0</v>
      </c>
      <c r="V175">
        <v>0</v>
      </c>
      <c r="W175" s="162">
        <v>0</v>
      </c>
      <c r="X175">
        <v>0</v>
      </c>
      <c r="Y175" s="162">
        <v>0</v>
      </c>
      <c r="Z175">
        <v>0</v>
      </c>
      <c r="AA175" s="162">
        <v>0</v>
      </c>
      <c r="AB175">
        <v>0</v>
      </c>
      <c r="AC175" s="162" t="s">
        <v>7</v>
      </c>
      <c r="AD175" s="162" t="s">
        <v>7</v>
      </c>
      <c r="AE175" s="162" t="s">
        <v>7</v>
      </c>
      <c r="AF175" s="162" t="s">
        <v>7</v>
      </c>
      <c r="AG175" s="162" t="s">
        <v>7</v>
      </c>
      <c r="AH175" s="162" t="s">
        <v>7</v>
      </c>
      <c r="AI175" t="s">
        <v>9843</v>
      </c>
      <c r="AJ175" t="s">
        <v>7</v>
      </c>
      <c r="AK175" t="s">
        <v>9801</v>
      </c>
      <c r="AL175" t="s">
        <v>36</v>
      </c>
      <c r="AM175" s="162" t="s">
        <v>10138</v>
      </c>
      <c r="AN175" t="s">
        <v>9843</v>
      </c>
      <c r="AO175" t="s">
        <v>35</v>
      </c>
      <c r="AP175" t="s">
        <v>1199</v>
      </c>
      <c r="AQ175" t="s">
        <v>1100</v>
      </c>
      <c r="AR175" t="s">
        <v>1097</v>
      </c>
      <c r="AS175" s="162" t="s">
        <v>9851</v>
      </c>
      <c r="AT175" s="117" t="s">
        <v>1111</v>
      </c>
      <c r="AU175" s="162" t="s">
        <v>9851</v>
      </c>
      <c r="AV175" s="162" t="s">
        <v>7</v>
      </c>
      <c r="AW175" s="162" t="s">
        <v>7</v>
      </c>
      <c r="AX175" s="162" t="s">
        <v>7</v>
      </c>
      <c r="AY175" s="162" t="s">
        <v>9851</v>
      </c>
      <c r="AZ175" t="s">
        <v>7</v>
      </c>
      <c r="BA175" s="162" t="s">
        <v>7</v>
      </c>
      <c r="BB175" s="162" t="s">
        <v>7</v>
      </c>
      <c r="BC175" s="162" t="s">
        <v>7</v>
      </c>
      <c r="BD175" s="162" t="s">
        <v>7</v>
      </c>
      <c r="BE175" s="162" t="s">
        <v>7</v>
      </c>
      <c r="BF175" s="162" t="str">
        <f t="shared" si="4"/>
        <v>Sim</v>
      </c>
      <c r="BG175" s="162" t="str">
        <f t="shared" si="5"/>
        <v>Não</v>
      </c>
      <c r="BH175" s="162" t="s">
        <v>7</v>
      </c>
      <c r="BI175" t="s">
        <v>9872</v>
      </c>
      <c r="BJ175" s="162" t="s">
        <v>10165</v>
      </c>
      <c r="BK175" t="s">
        <v>9</v>
      </c>
      <c r="BL175" s="162">
        <v>60</v>
      </c>
      <c r="BM175" t="s">
        <v>35</v>
      </c>
      <c r="BN175" t="s">
        <v>35</v>
      </c>
      <c r="BO175" t="s">
        <v>9</v>
      </c>
      <c r="BP175" s="162">
        <v>60</v>
      </c>
      <c r="BQ175" t="s">
        <v>35</v>
      </c>
      <c r="BR175" t="s">
        <v>1849</v>
      </c>
      <c r="BS175" s="162" t="s">
        <v>10170</v>
      </c>
    </row>
    <row r="176" spans="1:71">
      <c r="A176" s="162">
        <v>175</v>
      </c>
      <c r="B176" t="s">
        <v>422</v>
      </c>
      <c r="C176" s="162">
        <v>1</v>
      </c>
      <c r="D176" s="122" t="s">
        <v>987</v>
      </c>
      <c r="E176" t="s">
        <v>477</v>
      </c>
      <c r="F176" t="s">
        <v>515</v>
      </c>
      <c r="G176" t="s">
        <v>426</v>
      </c>
      <c r="H176" t="s">
        <v>988</v>
      </c>
      <c r="I176" s="162">
        <v>1</v>
      </c>
      <c r="J176" t="s">
        <v>1855</v>
      </c>
      <c r="K176" t="s">
        <v>3</v>
      </c>
      <c r="L176" s="165">
        <v>29709</v>
      </c>
      <c r="M176" s="166">
        <v>35</v>
      </c>
      <c r="N176" t="s">
        <v>1093</v>
      </c>
      <c r="O176" t="s">
        <v>10135</v>
      </c>
      <c r="P176" t="s">
        <v>48</v>
      </c>
      <c r="Q176" t="s">
        <v>1567</v>
      </c>
      <c r="R176" t="s">
        <v>10032</v>
      </c>
      <c r="S176" s="162">
        <v>10.5</v>
      </c>
      <c r="T176">
        <v>0</v>
      </c>
      <c r="U176" s="162">
        <v>0</v>
      </c>
      <c r="V176">
        <v>0</v>
      </c>
      <c r="W176" s="162">
        <v>0</v>
      </c>
      <c r="X176">
        <v>0</v>
      </c>
      <c r="Y176" s="162">
        <v>0</v>
      </c>
      <c r="Z176">
        <v>0</v>
      </c>
      <c r="AA176" s="162">
        <v>0</v>
      </c>
      <c r="AB176">
        <v>0</v>
      </c>
      <c r="AC176" s="162" t="s">
        <v>7</v>
      </c>
      <c r="AD176" s="162" t="s">
        <v>7</v>
      </c>
      <c r="AE176" s="162" t="s">
        <v>7</v>
      </c>
      <c r="AF176" s="162" t="s">
        <v>7</v>
      </c>
      <c r="AG176" s="162" t="s">
        <v>7</v>
      </c>
      <c r="AH176" s="162" t="s">
        <v>7</v>
      </c>
      <c r="AI176" t="s">
        <v>9843</v>
      </c>
      <c r="AJ176" t="s">
        <v>7</v>
      </c>
      <c r="AK176" t="s">
        <v>1370</v>
      </c>
      <c r="AL176" t="s">
        <v>36</v>
      </c>
      <c r="AM176" s="162" t="s">
        <v>10138</v>
      </c>
      <c r="AN176" t="s">
        <v>9843</v>
      </c>
      <c r="AO176" t="s">
        <v>35</v>
      </c>
      <c r="AP176" t="s">
        <v>7</v>
      </c>
      <c r="AQ176" t="s">
        <v>9</v>
      </c>
      <c r="AR176" t="s">
        <v>7</v>
      </c>
      <c r="AS176" s="162" t="s">
        <v>7</v>
      </c>
      <c r="AT176" s="117" t="s">
        <v>7</v>
      </c>
      <c r="AU176" s="162" t="s">
        <v>7</v>
      </c>
      <c r="AV176" s="162" t="s">
        <v>7</v>
      </c>
      <c r="AW176" s="162" t="s">
        <v>9851</v>
      </c>
      <c r="AX176" s="162" t="s">
        <v>7</v>
      </c>
      <c r="AY176" s="162" t="s">
        <v>7</v>
      </c>
      <c r="AZ176" t="s">
        <v>7</v>
      </c>
      <c r="BA176" s="162" t="s">
        <v>7</v>
      </c>
      <c r="BB176" s="162" t="s">
        <v>7</v>
      </c>
      <c r="BC176" s="162" t="s">
        <v>7</v>
      </c>
      <c r="BD176" s="162" t="s">
        <v>7</v>
      </c>
      <c r="BE176" s="162" t="s">
        <v>7</v>
      </c>
      <c r="BF176" s="162" t="str">
        <f t="shared" si="4"/>
        <v>Sim</v>
      </c>
      <c r="BG176" s="162" t="str">
        <f t="shared" si="5"/>
        <v>Não</v>
      </c>
      <c r="BH176" s="162" t="s">
        <v>7</v>
      </c>
      <c r="BI176" t="s">
        <v>7</v>
      </c>
      <c r="BJ176" s="162" t="s">
        <v>7</v>
      </c>
      <c r="BK176" t="s">
        <v>9</v>
      </c>
      <c r="BL176" s="162">
        <v>60</v>
      </c>
      <c r="BM176" t="s">
        <v>35</v>
      </c>
      <c r="BN176" t="s">
        <v>35</v>
      </c>
      <c r="BO176" t="s">
        <v>9</v>
      </c>
      <c r="BP176" s="162">
        <v>60</v>
      </c>
      <c r="BQ176" t="s">
        <v>35</v>
      </c>
      <c r="BR176" t="s">
        <v>1849</v>
      </c>
      <c r="BS176" s="162" t="s">
        <v>10170</v>
      </c>
    </row>
    <row r="177" spans="1:71">
      <c r="A177" s="162">
        <v>176</v>
      </c>
      <c r="B177" t="s">
        <v>282</v>
      </c>
      <c r="C177" s="162">
        <v>1</v>
      </c>
      <c r="D177" s="122">
        <v>43061</v>
      </c>
      <c r="E177" t="s">
        <v>791</v>
      </c>
      <c r="F177" t="s">
        <v>515</v>
      </c>
      <c r="G177" t="s">
        <v>291</v>
      </c>
      <c r="H177" t="s">
        <v>792</v>
      </c>
      <c r="I177" s="162">
        <v>1</v>
      </c>
      <c r="J177" t="s">
        <v>1855</v>
      </c>
      <c r="K177" t="s">
        <v>3</v>
      </c>
      <c r="L177" s="165">
        <v>35577</v>
      </c>
      <c r="M177" s="166">
        <v>20</v>
      </c>
      <c r="N177" t="s">
        <v>5</v>
      </c>
      <c r="O177" t="s">
        <v>10135</v>
      </c>
      <c r="P177" t="s">
        <v>1101</v>
      </c>
      <c r="Q177" t="s">
        <v>2064</v>
      </c>
      <c r="R177" t="s">
        <v>2082</v>
      </c>
      <c r="S177" s="162">
        <v>10156</v>
      </c>
      <c r="T177">
        <v>0</v>
      </c>
      <c r="U177" s="162">
        <v>0</v>
      </c>
      <c r="V177">
        <v>0</v>
      </c>
      <c r="W177" s="162">
        <v>0</v>
      </c>
      <c r="X177">
        <v>0</v>
      </c>
      <c r="Y177" s="162">
        <v>0</v>
      </c>
      <c r="Z177">
        <v>0</v>
      </c>
      <c r="AA177" s="162">
        <v>0</v>
      </c>
      <c r="AB177">
        <v>0</v>
      </c>
      <c r="AC177" s="162" t="s">
        <v>7</v>
      </c>
      <c r="AD177" s="162" t="s">
        <v>7</v>
      </c>
      <c r="AE177" s="162" t="s">
        <v>7</v>
      </c>
      <c r="AF177" s="162" t="s">
        <v>7</v>
      </c>
      <c r="AG177" s="162" t="s">
        <v>7</v>
      </c>
      <c r="AH177" s="162" t="s">
        <v>7</v>
      </c>
      <c r="AI177" t="s">
        <v>9843</v>
      </c>
      <c r="AJ177" t="s">
        <v>7</v>
      </c>
      <c r="AK177" t="s">
        <v>2092</v>
      </c>
      <c r="AL177" t="s">
        <v>36</v>
      </c>
      <c r="AM177" s="162" t="s">
        <v>10138</v>
      </c>
      <c r="AN177" t="s">
        <v>9843</v>
      </c>
      <c r="AO177" t="s">
        <v>35</v>
      </c>
      <c r="AP177" t="s">
        <v>1104</v>
      </c>
      <c r="AQ177" t="s">
        <v>1164</v>
      </c>
      <c r="AR177" t="s">
        <v>7</v>
      </c>
      <c r="AS177" s="162" t="s">
        <v>7</v>
      </c>
      <c r="AT177" s="117" t="s">
        <v>1677</v>
      </c>
      <c r="AU177" s="162" t="s">
        <v>9851</v>
      </c>
      <c r="AV177" s="162" t="s">
        <v>9851</v>
      </c>
      <c r="AW177" s="162" t="s">
        <v>7</v>
      </c>
      <c r="AX177" s="162" t="s">
        <v>7</v>
      </c>
      <c r="AY177" s="162" t="s">
        <v>9851</v>
      </c>
      <c r="AZ177" t="s">
        <v>7</v>
      </c>
      <c r="BA177" s="162" t="s">
        <v>7</v>
      </c>
      <c r="BB177" s="162" t="s">
        <v>7</v>
      </c>
      <c r="BC177" s="162" t="s">
        <v>7</v>
      </c>
      <c r="BD177" s="162" t="s">
        <v>7</v>
      </c>
      <c r="BE177" s="162" t="s">
        <v>7</v>
      </c>
      <c r="BF177" s="162" t="str">
        <f t="shared" si="4"/>
        <v>Sim</v>
      </c>
      <c r="BG177" s="162" t="str">
        <f t="shared" si="5"/>
        <v>Não</v>
      </c>
      <c r="BH177" s="162" t="s">
        <v>7</v>
      </c>
      <c r="BI177" t="s">
        <v>7</v>
      </c>
      <c r="BJ177" s="162" t="s">
        <v>7</v>
      </c>
      <c r="BK177" t="s">
        <v>9</v>
      </c>
      <c r="BL177" s="162">
        <v>60</v>
      </c>
      <c r="BM177" t="s">
        <v>35</v>
      </c>
      <c r="BN177" t="s">
        <v>35</v>
      </c>
      <c r="BO177" t="s">
        <v>9</v>
      </c>
      <c r="BP177" s="162">
        <v>60</v>
      </c>
      <c r="BQ177" t="s">
        <v>35</v>
      </c>
      <c r="BR177" t="s">
        <v>1849</v>
      </c>
      <c r="BS177" s="162" t="s">
        <v>10170</v>
      </c>
    </row>
    <row r="178" spans="1:71">
      <c r="A178" s="162">
        <v>177</v>
      </c>
      <c r="B178" t="s">
        <v>184</v>
      </c>
      <c r="C178" s="162">
        <v>1</v>
      </c>
      <c r="D178" s="122">
        <v>43013</v>
      </c>
      <c r="E178" t="s">
        <v>610</v>
      </c>
      <c r="F178" t="s">
        <v>515</v>
      </c>
      <c r="G178" t="s">
        <v>185</v>
      </c>
      <c r="H178" t="s">
        <v>624</v>
      </c>
      <c r="I178" s="162">
        <v>1</v>
      </c>
      <c r="J178" t="s">
        <v>1855</v>
      </c>
      <c r="K178" t="s">
        <v>3</v>
      </c>
      <c r="L178" s="165">
        <v>34746</v>
      </c>
      <c r="M178" s="166">
        <v>22</v>
      </c>
      <c r="N178" t="s">
        <v>5</v>
      </c>
      <c r="O178" t="s">
        <v>10135</v>
      </c>
      <c r="P178" t="s">
        <v>48</v>
      </c>
      <c r="Q178" t="s">
        <v>1186</v>
      </c>
      <c r="R178" t="s">
        <v>2004</v>
      </c>
      <c r="S178" s="162">
        <v>4.5</v>
      </c>
      <c r="T178" t="s">
        <v>2015</v>
      </c>
      <c r="U178" s="162">
        <v>10.1</v>
      </c>
      <c r="V178">
        <v>0</v>
      </c>
      <c r="W178" s="162">
        <v>0</v>
      </c>
      <c r="X178">
        <v>0</v>
      </c>
      <c r="Y178" s="162">
        <v>0</v>
      </c>
      <c r="Z178">
        <v>0</v>
      </c>
      <c r="AA178" s="162">
        <v>0</v>
      </c>
      <c r="AB178">
        <v>0</v>
      </c>
      <c r="AC178" s="162" t="s">
        <v>7</v>
      </c>
      <c r="AD178" s="162" t="s">
        <v>7</v>
      </c>
      <c r="AE178" s="162" t="s">
        <v>7</v>
      </c>
      <c r="AF178" s="162" t="s">
        <v>7</v>
      </c>
      <c r="AG178" s="162" t="s">
        <v>7</v>
      </c>
      <c r="AH178" s="162" t="s">
        <v>7</v>
      </c>
      <c r="AI178" t="s">
        <v>9843</v>
      </c>
      <c r="AJ178" t="s">
        <v>7</v>
      </c>
      <c r="AK178" t="s">
        <v>2027</v>
      </c>
      <c r="AL178" t="s">
        <v>36</v>
      </c>
      <c r="AM178" s="162" t="s">
        <v>10138</v>
      </c>
      <c r="AN178" t="s">
        <v>9843</v>
      </c>
      <c r="AO178" t="s">
        <v>35</v>
      </c>
      <c r="AP178" t="s">
        <v>7</v>
      </c>
      <c r="AQ178" t="s">
        <v>9</v>
      </c>
      <c r="AR178" t="s">
        <v>7</v>
      </c>
      <c r="AS178" s="162" t="s">
        <v>7</v>
      </c>
      <c r="AT178" s="117" t="s">
        <v>7</v>
      </c>
      <c r="AU178" s="162" t="s">
        <v>7</v>
      </c>
      <c r="AV178" s="162" t="s">
        <v>7</v>
      </c>
      <c r="AW178" s="162" t="s">
        <v>9851</v>
      </c>
      <c r="AX178" s="162" t="s">
        <v>7</v>
      </c>
      <c r="AY178" s="162" t="s">
        <v>7</v>
      </c>
      <c r="AZ178" t="s">
        <v>7</v>
      </c>
      <c r="BA178" s="162" t="s">
        <v>7</v>
      </c>
      <c r="BB178" s="162" t="s">
        <v>7</v>
      </c>
      <c r="BC178" s="162" t="s">
        <v>7</v>
      </c>
      <c r="BD178" s="162" t="s">
        <v>7</v>
      </c>
      <c r="BE178" s="162" t="s">
        <v>7</v>
      </c>
      <c r="BF178" s="162" t="str">
        <f t="shared" si="4"/>
        <v>Sim</v>
      </c>
      <c r="BG178" s="162" t="str">
        <f t="shared" si="5"/>
        <v>Não</v>
      </c>
      <c r="BH178" s="162" t="s">
        <v>7</v>
      </c>
      <c r="BI178" t="s">
        <v>9872</v>
      </c>
      <c r="BJ178" s="162" t="s">
        <v>10165</v>
      </c>
      <c r="BK178" t="s">
        <v>9</v>
      </c>
      <c r="BL178" s="162">
        <v>60</v>
      </c>
      <c r="BM178" t="s">
        <v>35</v>
      </c>
      <c r="BN178" t="s">
        <v>35</v>
      </c>
      <c r="BO178" t="s">
        <v>9</v>
      </c>
      <c r="BP178" s="162">
        <v>60</v>
      </c>
      <c r="BQ178" t="s">
        <v>35</v>
      </c>
      <c r="BR178" t="s">
        <v>1849</v>
      </c>
      <c r="BS178" s="162" t="s">
        <v>10170</v>
      </c>
    </row>
    <row r="179" spans="1:71">
      <c r="A179" s="162">
        <v>178</v>
      </c>
      <c r="B179" t="s">
        <v>126</v>
      </c>
      <c r="C179" s="162">
        <v>1</v>
      </c>
      <c r="D179" s="122" t="s">
        <v>503</v>
      </c>
      <c r="E179" t="s">
        <v>490</v>
      </c>
      <c r="F179" t="s">
        <v>515</v>
      </c>
      <c r="G179" t="s">
        <v>131</v>
      </c>
      <c r="H179" t="s">
        <v>504</v>
      </c>
      <c r="I179" s="162">
        <v>1</v>
      </c>
      <c r="J179" t="s">
        <v>1855</v>
      </c>
      <c r="K179" t="s">
        <v>3</v>
      </c>
      <c r="L179" s="165">
        <v>35499</v>
      </c>
      <c r="M179" s="166">
        <v>20</v>
      </c>
      <c r="N179" t="s">
        <v>4</v>
      </c>
      <c r="O179" t="s">
        <v>10134</v>
      </c>
      <c r="P179" t="s">
        <v>1101</v>
      </c>
      <c r="Q179" t="s">
        <v>1297</v>
      </c>
      <c r="R179" t="s">
        <v>1298</v>
      </c>
      <c r="S179" s="162">
        <v>1832.5</v>
      </c>
      <c r="T179" t="s">
        <v>1299</v>
      </c>
      <c r="U179" s="162">
        <v>187.2</v>
      </c>
      <c r="V179">
        <v>0</v>
      </c>
      <c r="W179" s="162">
        <v>0</v>
      </c>
      <c r="X179">
        <v>0</v>
      </c>
      <c r="Y179" s="162">
        <v>0</v>
      </c>
      <c r="Z179">
        <v>0</v>
      </c>
      <c r="AA179" s="162">
        <v>0</v>
      </c>
      <c r="AB179" t="s">
        <v>10087</v>
      </c>
      <c r="AC179" s="162" t="s">
        <v>7</v>
      </c>
      <c r="AD179" s="162" t="s">
        <v>7</v>
      </c>
      <c r="AE179" s="162" t="s">
        <v>7</v>
      </c>
      <c r="AF179" s="162" t="s">
        <v>7</v>
      </c>
      <c r="AG179" s="162" t="s">
        <v>9851</v>
      </c>
      <c r="AH179" s="162" t="s">
        <v>7</v>
      </c>
      <c r="AI179" t="s">
        <v>9843</v>
      </c>
      <c r="AJ179" t="s">
        <v>7</v>
      </c>
      <c r="AK179" t="s">
        <v>72</v>
      </c>
      <c r="AL179" t="s">
        <v>36</v>
      </c>
      <c r="AM179" s="162" t="s">
        <v>10138</v>
      </c>
      <c r="AN179" t="s">
        <v>9843</v>
      </c>
      <c r="AO179" t="s">
        <v>35</v>
      </c>
      <c r="AP179" t="s">
        <v>7</v>
      </c>
      <c r="AQ179" t="s">
        <v>9</v>
      </c>
      <c r="AR179" t="s">
        <v>7</v>
      </c>
      <c r="AS179" s="162" t="s">
        <v>7</v>
      </c>
      <c r="AT179" s="117" t="s">
        <v>7</v>
      </c>
      <c r="AU179" s="162" t="s">
        <v>7</v>
      </c>
      <c r="AV179" s="162" t="s">
        <v>7</v>
      </c>
      <c r="AW179" s="162" t="s">
        <v>9851</v>
      </c>
      <c r="AX179" s="162" t="s">
        <v>7</v>
      </c>
      <c r="AY179" s="162" t="s">
        <v>7</v>
      </c>
      <c r="AZ179" t="s">
        <v>7</v>
      </c>
      <c r="BA179" s="162" t="s">
        <v>7</v>
      </c>
      <c r="BB179" s="162" t="s">
        <v>7</v>
      </c>
      <c r="BC179" s="162" t="s">
        <v>7</v>
      </c>
      <c r="BD179" s="162" t="s">
        <v>7</v>
      </c>
      <c r="BE179" s="162" t="s">
        <v>7</v>
      </c>
      <c r="BF179" s="162" t="str">
        <f t="shared" si="4"/>
        <v>Sim</v>
      </c>
      <c r="BG179" s="162" t="str">
        <f t="shared" si="5"/>
        <v>Não</v>
      </c>
      <c r="BH179" s="162" t="s">
        <v>7</v>
      </c>
      <c r="BI179" t="s">
        <v>7</v>
      </c>
      <c r="BJ179" s="162" t="s">
        <v>7</v>
      </c>
      <c r="BK179" t="s">
        <v>9</v>
      </c>
      <c r="BL179" s="162">
        <v>60</v>
      </c>
      <c r="BM179" t="s">
        <v>35</v>
      </c>
      <c r="BN179" t="s">
        <v>35</v>
      </c>
      <c r="BO179" t="s">
        <v>9</v>
      </c>
      <c r="BP179" s="162">
        <v>60</v>
      </c>
      <c r="BQ179" t="s">
        <v>35</v>
      </c>
      <c r="BR179" t="s">
        <v>1849</v>
      </c>
      <c r="BS179" s="162" t="s">
        <v>10170</v>
      </c>
    </row>
    <row r="180" spans="1:71">
      <c r="A180" s="162">
        <v>179</v>
      </c>
      <c r="B180" t="s">
        <v>419</v>
      </c>
      <c r="C180" s="162">
        <v>1</v>
      </c>
      <c r="D180" s="122" t="s">
        <v>554</v>
      </c>
      <c r="E180" t="s">
        <v>603</v>
      </c>
      <c r="F180" t="s">
        <v>515</v>
      </c>
      <c r="G180" t="s">
        <v>426</v>
      </c>
      <c r="H180" t="s">
        <v>983</v>
      </c>
      <c r="I180" s="162">
        <v>1</v>
      </c>
      <c r="J180" t="s">
        <v>1855</v>
      </c>
      <c r="K180" t="s">
        <v>3</v>
      </c>
      <c r="L180" s="165">
        <v>28418</v>
      </c>
      <c r="M180" s="166">
        <v>39</v>
      </c>
      <c r="N180" t="s">
        <v>5</v>
      </c>
      <c r="O180" t="s">
        <v>10135</v>
      </c>
      <c r="P180" t="s">
        <v>41</v>
      </c>
      <c r="Q180" t="s">
        <v>1560</v>
      </c>
      <c r="R180" t="s">
        <v>9783</v>
      </c>
      <c r="S180" s="162">
        <v>109</v>
      </c>
      <c r="T180" t="s">
        <v>1561</v>
      </c>
      <c r="U180" s="162">
        <v>74.2</v>
      </c>
      <c r="V180">
        <v>0</v>
      </c>
      <c r="W180" s="162">
        <v>0</v>
      </c>
      <c r="X180">
        <v>0</v>
      </c>
      <c r="Y180" s="162">
        <v>0</v>
      </c>
      <c r="Z180">
        <v>0</v>
      </c>
      <c r="AA180" s="162">
        <v>0</v>
      </c>
      <c r="AB180">
        <v>0</v>
      </c>
      <c r="AC180" s="162" t="s">
        <v>7</v>
      </c>
      <c r="AD180" s="162" t="s">
        <v>7</v>
      </c>
      <c r="AE180" s="162" t="s">
        <v>7</v>
      </c>
      <c r="AF180" s="162" t="s">
        <v>7</v>
      </c>
      <c r="AG180" s="162" t="s">
        <v>7</v>
      </c>
      <c r="AH180" s="162" t="s">
        <v>7</v>
      </c>
      <c r="AI180" t="s">
        <v>9843</v>
      </c>
      <c r="AJ180" t="s">
        <v>7</v>
      </c>
      <c r="AK180" t="s">
        <v>80</v>
      </c>
      <c r="AL180" t="s">
        <v>36</v>
      </c>
      <c r="AM180" s="162" t="s">
        <v>10138</v>
      </c>
      <c r="AN180" t="s">
        <v>9843</v>
      </c>
      <c r="AO180" t="s">
        <v>35</v>
      </c>
      <c r="AP180" t="s">
        <v>7</v>
      </c>
      <c r="AQ180" t="s">
        <v>9</v>
      </c>
      <c r="AR180" t="s">
        <v>7</v>
      </c>
      <c r="AS180" s="162" t="s">
        <v>7</v>
      </c>
      <c r="AT180" s="117" t="s">
        <v>7</v>
      </c>
      <c r="AU180" s="162" t="s">
        <v>7</v>
      </c>
      <c r="AV180" s="162" t="s">
        <v>7</v>
      </c>
      <c r="AW180" s="162" t="s">
        <v>9851</v>
      </c>
      <c r="AX180" s="162" t="s">
        <v>7</v>
      </c>
      <c r="AY180" s="162" t="s">
        <v>7</v>
      </c>
      <c r="AZ180" t="s">
        <v>7</v>
      </c>
      <c r="BA180" s="162" t="s">
        <v>7</v>
      </c>
      <c r="BB180" s="162" t="s">
        <v>7</v>
      </c>
      <c r="BC180" s="162" t="s">
        <v>7</v>
      </c>
      <c r="BD180" s="162" t="s">
        <v>7</v>
      </c>
      <c r="BE180" s="162" t="s">
        <v>7</v>
      </c>
      <c r="BF180" s="162" t="str">
        <f t="shared" si="4"/>
        <v>Sim</v>
      </c>
      <c r="BG180" s="162" t="str">
        <f t="shared" si="5"/>
        <v>Não</v>
      </c>
      <c r="BH180" s="162" t="s">
        <v>7</v>
      </c>
      <c r="BI180" t="s">
        <v>7</v>
      </c>
      <c r="BJ180" s="162" t="s">
        <v>7</v>
      </c>
      <c r="BK180" t="s">
        <v>9</v>
      </c>
      <c r="BL180" s="162">
        <v>60</v>
      </c>
      <c r="BM180" t="s">
        <v>35</v>
      </c>
      <c r="BN180" t="s">
        <v>35</v>
      </c>
      <c r="BO180" t="s">
        <v>9</v>
      </c>
      <c r="BP180" s="162">
        <v>60</v>
      </c>
      <c r="BQ180" t="s">
        <v>35</v>
      </c>
      <c r="BR180" t="s">
        <v>1849</v>
      </c>
      <c r="BS180" s="162" t="s">
        <v>10170</v>
      </c>
    </row>
    <row r="181" spans="1:71">
      <c r="A181" s="162">
        <v>180</v>
      </c>
      <c r="B181" t="s">
        <v>164</v>
      </c>
      <c r="C181" s="162">
        <v>1</v>
      </c>
      <c r="D181" s="122" t="s">
        <v>589</v>
      </c>
      <c r="E181" t="s">
        <v>569</v>
      </c>
      <c r="F181" t="s">
        <v>3</v>
      </c>
      <c r="G181" t="s">
        <v>166</v>
      </c>
      <c r="H181" t="s">
        <v>590</v>
      </c>
      <c r="I181" s="162">
        <v>1</v>
      </c>
      <c r="J181" t="s">
        <v>1855</v>
      </c>
      <c r="K181" t="s">
        <v>515</v>
      </c>
      <c r="L181" s="165">
        <v>31178</v>
      </c>
      <c r="M181" s="166">
        <v>32</v>
      </c>
      <c r="N181" t="s">
        <v>5</v>
      </c>
      <c r="O181" t="s">
        <v>10135</v>
      </c>
      <c r="P181" t="s">
        <v>1074</v>
      </c>
      <c r="Q181" t="s">
        <v>1371</v>
      </c>
      <c r="R181" t="s">
        <v>1372</v>
      </c>
      <c r="S181" s="162">
        <v>71.599999999999994</v>
      </c>
      <c r="T181" t="s">
        <v>1373</v>
      </c>
      <c r="U181" s="162">
        <v>6</v>
      </c>
      <c r="V181">
        <v>0</v>
      </c>
      <c r="W181" s="162">
        <v>0</v>
      </c>
      <c r="X181">
        <v>0</v>
      </c>
      <c r="Y181" s="162">
        <v>0</v>
      </c>
      <c r="Z181">
        <v>0</v>
      </c>
      <c r="AA181" s="162">
        <v>0</v>
      </c>
      <c r="AB181">
        <v>0</v>
      </c>
      <c r="AC181" s="162" t="s">
        <v>7</v>
      </c>
      <c r="AD181" s="162" t="s">
        <v>7</v>
      </c>
      <c r="AE181" s="162" t="s">
        <v>7</v>
      </c>
      <c r="AF181" s="162" t="s">
        <v>7</v>
      </c>
      <c r="AG181" s="162" t="s">
        <v>7</v>
      </c>
      <c r="AH181" s="162" t="s">
        <v>7</v>
      </c>
      <c r="AI181" t="s">
        <v>9843</v>
      </c>
      <c r="AJ181" t="s">
        <v>7</v>
      </c>
      <c r="AK181" t="s">
        <v>80</v>
      </c>
      <c r="AL181" t="s">
        <v>36</v>
      </c>
      <c r="AM181" s="162" t="s">
        <v>10138</v>
      </c>
      <c r="AN181" t="s">
        <v>9843</v>
      </c>
      <c r="AO181" t="s">
        <v>35</v>
      </c>
      <c r="AP181" t="s">
        <v>7</v>
      </c>
      <c r="AQ181" t="s">
        <v>9</v>
      </c>
      <c r="AR181" t="s">
        <v>7</v>
      </c>
      <c r="AS181" s="162" t="s">
        <v>7</v>
      </c>
      <c r="AT181" s="117" t="s">
        <v>7</v>
      </c>
      <c r="AU181" s="162" t="s">
        <v>7</v>
      </c>
      <c r="AV181" s="162" t="s">
        <v>7</v>
      </c>
      <c r="AW181" s="162" t="s">
        <v>9851</v>
      </c>
      <c r="AX181" s="162" t="s">
        <v>7</v>
      </c>
      <c r="AY181" s="162" t="s">
        <v>7</v>
      </c>
      <c r="AZ181" t="s">
        <v>7</v>
      </c>
      <c r="BA181" s="162" t="s">
        <v>7</v>
      </c>
      <c r="BB181" s="162" t="s">
        <v>7</v>
      </c>
      <c r="BC181" s="162" t="s">
        <v>7</v>
      </c>
      <c r="BD181" s="162" t="s">
        <v>7</v>
      </c>
      <c r="BE181" s="162" t="s">
        <v>7</v>
      </c>
      <c r="BF181" s="162" t="str">
        <f t="shared" si="4"/>
        <v>Sim</v>
      </c>
      <c r="BG181" s="162" t="str">
        <f t="shared" si="5"/>
        <v>Não</v>
      </c>
      <c r="BH181" s="162" t="s">
        <v>7</v>
      </c>
      <c r="BI181" t="s">
        <v>7</v>
      </c>
      <c r="BJ181" s="162" t="s">
        <v>7</v>
      </c>
      <c r="BK181" t="s">
        <v>9</v>
      </c>
      <c r="BL181" s="162">
        <v>60</v>
      </c>
      <c r="BM181" t="s">
        <v>35</v>
      </c>
      <c r="BN181" t="s">
        <v>35</v>
      </c>
      <c r="BO181" t="s">
        <v>9</v>
      </c>
      <c r="BP181" s="162">
        <v>60</v>
      </c>
      <c r="BQ181" t="s">
        <v>35</v>
      </c>
      <c r="BR181" t="s">
        <v>1849</v>
      </c>
      <c r="BS181" s="162" t="s">
        <v>10170</v>
      </c>
    </row>
    <row r="182" spans="1:71">
      <c r="A182" s="162">
        <v>181</v>
      </c>
      <c r="B182" t="s">
        <v>121</v>
      </c>
      <c r="C182" s="162">
        <v>1</v>
      </c>
      <c r="D182" s="122" t="s">
        <v>489</v>
      </c>
      <c r="E182" t="s">
        <v>490</v>
      </c>
      <c r="F182" t="s">
        <v>515</v>
      </c>
      <c r="G182" t="s">
        <v>131</v>
      </c>
      <c r="H182" t="s">
        <v>491</v>
      </c>
      <c r="I182" s="162">
        <v>1</v>
      </c>
      <c r="J182" t="s">
        <v>1598</v>
      </c>
      <c r="K182" t="s">
        <v>3</v>
      </c>
      <c r="L182" s="165">
        <v>34329</v>
      </c>
      <c r="M182" s="166">
        <v>23</v>
      </c>
      <c r="N182" t="s">
        <v>5</v>
      </c>
      <c r="O182" t="s">
        <v>10135</v>
      </c>
      <c r="P182" t="s">
        <v>1101</v>
      </c>
      <c r="Q182" t="s">
        <v>1282</v>
      </c>
      <c r="R182" t="s">
        <v>1283</v>
      </c>
      <c r="S182" s="162">
        <v>18</v>
      </c>
      <c r="T182" t="s">
        <v>1284</v>
      </c>
      <c r="U182" s="162">
        <v>1.1000000000000001</v>
      </c>
      <c r="V182">
        <v>0</v>
      </c>
      <c r="W182" s="162">
        <v>0</v>
      </c>
      <c r="X182">
        <v>0</v>
      </c>
      <c r="Y182" s="162">
        <v>0</v>
      </c>
      <c r="Z182">
        <v>0</v>
      </c>
      <c r="AA182" s="162">
        <v>0</v>
      </c>
      <c r="AB182">
        <v>0</v>
      </c>
      <c r="AC182" s="162" t="s">
        <v>7</v>
      </c>
      <c r="AD182" s="162" t="s">
        <v>7</v>
      </c>
      <c r="AE182" s="162" t="s">
        <v>7</v>
      </c>
      <c r="AF182" s="162" t="s">
        <v>7</v>
      </c>
      <c r="AG182" s="162" t="s">
        <v>7</v>
      </c>
      <c r="AH182" s="162" t="s">
        <v>7</v>
      </c>
      <c r="AI182" t="s">
        <v>9843</v>
      </c>
      <c r="AJ182" t="s">
        <v>7</v>
      </c>
      <c r="AK182" t="s">
        <v>1150</v>
      </c>
      <c r="AL182" t="s">
        <v>36</v>
      </c>
      <c r="AM182" s="162" t="s">
        <v>10138</v>
      </c>
      <c r="AN182" t="s">
        <v>9843</v>
      </c>
      <c r="AO182" t="s">
        <v>35</v>
      </c>
      <c r="AP182" t="s">
        <v>7</v>
      </c>
      <c r="AQ182" t="s">
        <v>9</v>
      </c>
      <c r="AR182" t="s">
        <v>7</v>
      </c>
      <c r="AS182" s="162" t="s">
        <v>7</v>
      </c>
      <c r="AT182" s="117" t="s">
        <v>7</v>
      </c>
      <c r="AU182" s="162" t="s">
        <v>7</v>
      </c>
      <c r="AV182" s="162" t="s">
        <v>7</v>
      </c>
      <c r="AW182" s="162" t="s">
        <v>9851</v>
      </c>
      <c r="AX182" s="162" t="s">
        <v>7</v>
      </c>
      <c r="AY182" s="162" t="s">
        <v>7</v>
      </c>
      <c r="AZ182" t="s">
        <v>7</v>
      </c>
      <c r="BA182" s="162" t="s">
        <v>7</v>
      </c>
      <c r="BB182" s="162" t="s">
        <v>7</v>
      </c>
      <c r="BC182" s="162" t="s">
        <v>7</v>
      </c>
      <c r="BD182" s="162" t="s">
        <v>7</v>
      </c>
      <c r="BE182" s="162" t="s">
        <v>7</v>
      </c>
      <c r="BF182" s="162" t="str">
        <f t="shared" si="4"/>
        <v>Sim</v>
      </c>
      <c r="BG182" s="162" t="str">
        <f t="shared" si="5"/>
        <v>Não</v>
      </c>
      <c r="BH182" s="162" t="s">
        <v>7</v>
      </c>
      <c r="BI182" t="s">
        <v>7</v>
      </c>
      <c r="BJ182" s="162" t="s">
        <v>7</v>
      </c>
      <c r="BK182" t="s">
        <v>9</v>
      </c>
      <c r="BL182" s="162">
        <v>60</v>
      </c>
      <c r="BM182" t="s">
        <v>35</v>
      </c>
      <c r="BN182" t="s">
        <v>35</v>
      </c>
      <c r="BO182" t="s">
        <v>9</v>
      </c>
      <c r="BP182" s="162">
        <v>60</v>
      </c>
      <c r="BQ182" t="s">
        <v>35</v>
      </c>
      <c r="BR182" t="s">
        <v>1849</v>
      </c>
      <c r="BS182" s="162" t="s">
        <v>10170</v>
      </c>
    </row>
    <row r="183" spans="1:71">
      <c r="A183" s="162">
        <v>182</v>
      </c>
      <c r="B183" t="s">
        <v>178</v>
      </c>
      <c r="C183" s="162">
        <v>1</v>
      </c>
      <c r="D183" s="122">
        <v>42801</v>
      </c>
      <c r="E183" t="s">
        <v>614</v>
      </c>
      <c r="F183" t="s">
        <v>515</v>
      </c>
      <c r="G183" t="s">
        <v>185</v>
      </c>
      <c r="H183" t="s">
        <v>617</v>
      </c>
      <c r="I183" s="162">
        <v>1</v>
      </c>
      <c r="J183" t="s">
        <v>1855</v>
      </c>
      <c r="K183" t="s">
        <v>3</v>
      </c>
      <c r="L183" s="165">
        <v>35359</v>
      </c>
      <c r="M183" s="166">
        <v>20</v>
      </c>
      <c r="N183" t="s">
        <v>1093</v>
      </c>
      <c r="O183" t="s">
        <v>10135</v>
      </c>
      <c r="P183" t="s">
        <v>1101</v>
      </c>
      <c r="Q183" t="s">
        <v>1220</v>
      </c>
      <c r="R183" t="s">
        <v>9898</v>
      </c>
      <c r="S183" s="162">
        <v>13.8</v>
      </c>
      <c r="T183" t="s">
        <v>9899</v>
      </c>
      <c r="U183" s="162">
        <v>8.1999999999999993</v>
      </c>
      <c r="V183">
        <v>0</v>
      </c>
      <c r="W183" s="162">
        <v>0</v>
      </c>
      <c r="X183">
        <v>0</v>
      </c>
      <c r="Y183" s="162">
        <v>0</v>
      </c>
      <c r="Z183">
        <v>0</v>
      </c>
      <c r="AA183" s="162">
        <v>0</v>
      </c>
      <c r="AB183">
        <v>0</v>
      </c>
      <c r="AC183" s="162" t="s">
        <v>7</v>
      </c>
      <c r="AD183" s="162" t="s">
        <v>7</v>
      </c>
      <c r="AE183" s="162" t="s">
        <v>7</v>
      </c>
      <c r="AF183" s="162" t="s">
        <v>7</v>
      </c>
      <c r="AG183" s="162" t="s">
        <v>7</v>
      </c>
      <c r="AH183" s="162" t="s">
        <v>7</v>
      </c>
      <c r="AI183" t="s">
        <v>9843</v>
      </c>
      <c r="AJ183" t="s">
        <v>7</v>
      </c>
      <c r="AK183" t="s">
        <v>2024</v>
      </c>
      <c r="AL183" t="s">
        <v>36</v>
      </c>
      <c r="AM183" s="162" t="s">
        <v>10138</v>
      </c>
      <c r="AN183" t="s">
        <v>9843</v>
      </c>
      <c r="AO183" t="s">
        <v>35</v>
      </c>
      <c r="AP183" t="s">
        <v>7</v>
      </c>
      <c r="AQ183" t="s">
        <v>9</v>
      </c>
      <c r="AR183" t="s">
        <v>7</v>
      </c>
      <c r="AS183" s="162" t="s">
        <v>7</v>
      </c>
      <c r="AT183" s="117" t="s">
        <v>7</v>
      </c>
      <c r="AU183" s="162" t="s">
        <v>7</v>
      </c>
      <c r="AV183" s="162" t="s">
        <v>7</v>
      </c>
      <c r="AW183" s="162" t="s">
        <v>9851</v>
      </c>
      <c r="AX183" s="162" t="s">
        <v>7</v>
      </c>
      <c r="AY183" s="162" t="s">
        <v>7</v>
      </c>
      <c r="AZ183" t="s">
        <v>7</v>
      </c>
      <c r="BA183" s="162" t="s">
        <v>7</v>
      </c>
      <c r="BB183" s="162" t="s">
        <v>7</v>
      </c>
      <c r="BC183" s="162" t="s">
        <v>7</v>
      </c>
      <c r="BD183" s="162" t="s">
        <v>7</v>
      </c>
      <c r="BE183" s="162" t="s">
        <v>7</v>
      </c>
      <c r="BF183" s="162" t="str">
        <f t="shared" si="4"/>
        <v>Sim</v>
      </c>
      <c r="BG183" s="162" t="str">
        <f t="shared" si="5"/>
        <v>Não</v>
      </c>
      <c r="BH183" s="162" t="s">
        <v>7</v>
      </c>
      <c r="BI183" t="s">
        <v>7</v>
      </c>
      <c r="BJ183" s="162" t="s">
        <v>7</v>
      </c>
      <c r="BK183" t="s">
        <v>9</v>
      </c>
      <c r="BL183" s="162">
        <v>60</v>
      </c>
      <c r="BM183" t="s">
        <v>35</v>
      </c>
      <c r="BN183" t="s">
        <v>35</v>
      </c>
      <c r="BO183" t="s">
        <v>9</v>
      </c>
      <c r="BP183" s="162">
        <v>60</v>
      </c>
      <c r="BQ183" t="s">
        <v>35</v>
      </c>
      <c r="BR183" t="s">
        <v>1849</v>
      </c>
      <c r="BS183" s="162" t="s">
        <v>10170</v>
      </c>
    </row>
    <row r="184" spans="1:71">
      <c r="A184" s="162">
        <v>183</v>
      </c>
      <c r="B184" t="s">
        <v>139</v>
      </c>
      <c r="C184" s="162">
        <v>1</v>
      </c>
      <c r="D184" s="122" t="s">
        <v>534</v>
      </c>
      <c r="E184" t="s">
        <v>526</v>
      </c>
      <c r="F184" t="s">
        <v>3</v>
      </c>
      <c r="G184" t="s">
        <v>140</v>
      </c>
      <c r="H184" t="s">
        <v>535</v>
      </c>
      <c r="I184" s="162">
        <v>1</v>
      </c>
      <c r="J184" t="s">
        <v>76</v>
      </c>
      <c r="K184" t="s">
        <v>3</v>
      </c>
      <c r="L184" s="165">
        <v>31336</v>
      </c>
      <c r="M184" s="166">
        <v>31</v>
      </c>
      <c r="N184" t="s">
        <v>4</v>
      </c>
      <c r="O184" t="s">
        <v>10134</v>
      </c>
      <c r="P184" t="s">
        <v>48</v>
      </c>
      <c r="Q184" t="s">
        <v>9797</v>
      </c>
      <c r="R184" t="s">
        <v>9888</v>
      </c>
      <c r="S184" s="162">
        <v>0.8</v>
      </c>
      <c r="T184" t="s">
        <v>1129</v>
      </c>
      <c r="U184" s="162">
        <v>216</v>
      </c>
      <c r="V184">
        <v>0</v>
      </c>
      <c r="W184" s="162">
        <v>0</v>
      </c>
      <c r="X184">
        <v>0</v>
      </c>
      <c r="Y184" s="162">
        <v>0</v>
      </c>
      <c r="Z184">
        <v>0</v>
      </c>
      <c r="AA184" s="162">
        <v>0</v>
      </c>
      <c r="AB184" t="s">
        <v>10080</v>
      </c>
      <c r="AC184" s="162" t="s">
        <v>7</v>
      </c>
      <c r="AD184" s="162" t="s">
        <v>7</v>
      </c>
      <c r="AE184" s="162" t="s">
        <v>7</v>
      </c>
      <c r="AF184" s="162" t="s">
        <v>7</v>
      </c>
      <c r="AG184" s="162" t="s">
        <v>9851</v>
      </c>
      <c r="AH184" s="162" t="s">
        <v>7</v>
      </c>
      <c r="AI184" t="s">
        <v>9843</v>
      </c>
      <c r="AJ184" t="s">
        <v>1740</v>
      </c>
      <c r="AK184" t="s">
        <v>9801</v>
      </c>
      <c r="AL184" t="s">
        <v>36</v>
      </c>
      <c r="AM184" s="162" t="s">
        <v>10138</v>
      </c>
      <c r="AN184" t="s">
        <v>9843</v>
      </c>
      <c r="AO184" t="s">
        <v>1740</v>
      </c>
      <c r="AP184" t="s">
        <v>7</v>
      </c>
      <c r="AQ184" t="s">
        <v>9</v>
      </c>
      <c r="AR184" t="s">
        <v>1097</v>
      </c>
      <c r="AS184" s="162" t="s">
        <v>9851</v>
      </c>
      <c r="AT184" s="117" t="s">
        <v>1111</v>
      </c>
      <c r="AU184" s="162" t="s">
        <v>9851</v>
      </c>
      <c r="AV184" s="162" t="s">
        <v>7</v>
      </c>
      <c r="AW184" s="162" t="s">
        <v>7</v>
      </c>
      <c r="AX184" s="162" t="s">
        <v>7</v>
      </c>
      <c r="AY184" s="162" t="s">
        <v>9851</v>
      </c>
      <c r="AZ184" t="s">
        <v>7</v>
      </c>
      <c r="BA184" s="162" t="s">
        <v>7</v>
      </c>
      <c r="BB184" s="162" t="s">
        <v>7</v>
      </c>
      <c r="BC184" s="162" t="s">
        <v>7</v>
      </c>
      <c r="BD184" s="162" t="s">
        <v>7</v>
      </c>
      <c r="BE184" s="162" t="s">
        <v>7</v>
      </c>
      <c r="BF184" s="162" t="str">
        <f t="shared" si="4"/>
        <v>Sim</v>
      </c>
      <c r="BG184" s="162" t="str">
        <f t="shared" si="5"/>
        <v>Não</v>
      </c>
      <c r="BH184" s="162" t="s">
        <v>7</v>
      </c>
      <c r="BI184" t="s">
        <v>9872</v>
      </c>
      <c r="BJ184" s="162" t="s">
        <v>10165</v>
      </c>
      <c r="BK184" t="s">
        <v>9</v>
      </c>
      <c r="BL184" s="162">
        <v>60</v>
      </c>
      <c r="BM184" t="s">
        <v>35</v>
      </c>
      <c r="BN184" t="s">
        <v>1279</v>
      </c>
      <c r="BO184" t="s">
        <v>1080</v>
      </c>
      <c r="BP184" s="162">
        <v>72</v>
      </c>
      <c r="BQ184" t="s">
        <v>35</v>
      </c>
      <c r="BR184" t="s">
        <v>1849</v>
      </c>
      <c r="BS184" s="162" t="s">
        <v>10170</v>
      </c>
    </row>
    <row r="185" spans="1:71">
      <c r="A185" s="162">
        <v>184</v>
      </c>
      <c r="B185" t="s">
        <v>174</v>
      </c>
      <c r="C185" s="162">
        <v>0</v>
      </c>
      <c r="D185" s="122">
        <v>42913</v>
      </c>
      <c r="E185" t="s">
        <v>610</v>
      </c>
      <c r="F185" t="s">
        <v>515</v>
      </c>
      <c r="G185" t="s">
        <v>185</v>
      </c>
      <c r="H185" t="s">
        <v>1899</v>
      </c>
      <c r="I185" s="162">
        <v>1</v>
      </c>
      <c r="J185" t="s">
        <v>1855</v>
      </c>
      <c r="K185" t="s">
        <v>3</v>
      </c>
      <c r="L185" s="165">
        <v>35563</v>
      </c>
      <c r="M185" s="166">
        <v>20</v>
      </c>
      <c r="N185" t="s">
        <v>4</v>
      </c>
      <c r="O185" t="s">
        <v>10134</v>
      </c>
      <c r="P185" t="s">
        <v>48</v>
      </c>
      <c r="Q185" t="s">
        <v>1998</v>
      </c>
      <c r="R185" t="s">
        <v>2010</v>
      </c>
      <c r="S185" s="162">
        <v>23.5</v>
      </c>
      <c r="T185" t="s">
        <v>2011</v>
      </c>
      <c r="U185" s="162">
        <v>1061</v>
      </c>
      <c r="V185">
        <v>0</v>
      </c>
      <c r="W185" s="162">
        <v>0</v>
      </c>
      <c r="X185">
        <v>0</v>
      </c>
      <c r="Y185" s="162">
        <v>0</v>
      </c>
      <c r="Z185">
        <v>0</v>
      </c>
      <c r="AA185" s="162">
        <v>0</v>
      </c>
      <c r="AB185">
        <v>0</v>
      </c>
      <c r="AC185" s="162" t="s">
        <v>7</v>
      </c>
      <c r="AD185" s="162" t="s">
        <v>7</v>
      </c>
      <c r="AE185" s="162" t="s">
        <v>7</v>
      </c>
      <c r="AF185" s="162" t="s">
        <v>7</v>
      </c>
      <c r="AG185" s="162" t="s">
        <v>7</v>
      </c>
      <c r="AH185" s="162" t="s">
        <v>7</v>
      </c>
      <c r="AI185" t="s">
        <v>9846</v>
      </c>
      <c r="AJ185" t="s">
        <v>7</v>
      </c>
      <c r="AK185" t="s">
        <v>1229</v>
      </c>
      <c r="AL185" t="s">
        <v>36</v>
      </c>
      <c r="AM185" s="162" t="s">
        <v>10138</v>
      </c>
      <c r="AN185" t="s">
        <v>9846</v>
      </c>
      <c r="AO185" t="s">
        <v>35</v>
      </c>
      <c r="AP185" t="s">
        <v>7</v>
      </c>
      <c r="AQ185" t="s">
        <v>9</v>
      </c>
      <c r="AR185" t="s">
        <v>7</v>
      </c>
      <c r="AS185" s="162" t="s">
        <v>7</v>
      </c>
      <c r="AT185" s="117" t="s">
        <v>7</v>
      </c>
      <c r="AU185" s="162" t="s">
        <v>7</v>
      </c>
      <c r="AV185" s="162" t="s">
        <v>7</v>
      </c>
      <c r="AW185" s="162" t="s">
        <v>9851</v>
      </c>
      <c r="AX185" s="162" t="s">
        <v>7</v>
      </c>
      <c r="AY185" s="162" t="s">
        <v>7</v>
      </c>
      <c r="AZ185" t="s">
        <v>7</v>
      </c>
      <c r="BA185" s="162" t="s">
        <v>7</v>
      </c>
      <c r="BB185" s="162" t="s">
        <v>7</v>
      </c>
      <c r="BC185" s="162" t="s">
        <v>7</v>
      </c>
      <c r="BD185" s="162" t="s">
        <v>7</v>
      </c>
      <c r="BE185" s="162" t="s">
        <v>7</v>
      </c>
      <c r="BF185" s="162" t="str">
        <f t="shared" si="4"/>
        <v>Sim</v>
      </c>
      <c r="BG185" s="162" t="str">
        <f t="shared" si="5"/>
        <v>Não</v>
      </c>
      <c r="BH185" s="162" t="s">
        <v>7</v>
      </c>
      <c r="BI185" t="s">
        <v>7</v>
      </c>
      <c r="BJ185" s="162" t="s">
        <v>7</v>
      </c>
      <c r="BK185" t="s">
        <v>9</v>
      </c>
      <c r="BL185" s="162">
        <v>60</v>
      </c>
      <c r="BM185" t="s">
        <v>1162</v>
      </c>
      <c r="BN185" t="s">
        <v>35</v>
      </c>
      <c r="BO185" t="s">
        <v>1166</v>
      </c>
      <c r="BP185" s="162">
        <v>96</v>
      </c>
      <c r="BQ185" t="s">
        <v>35</v>
      </c>
      <c r="BR185" t="s">
        <v>1849</v>
      </c>
      <c r="BS185" s="162" t="s">
        <v>10170</v>
      </c>
    </row>
    <row r="186" spans="1:71">
      <c r="A186" s="162">
        <v>185</v>
      </c>
      <c r="B186" t="s">
        <v>174</v>
      </c>
      <c r="C186" s="162">
        <v>1</v>
      </c>
      <c r="D186" s="122">
        <v>42913</v>
      </c>
      <c r="E186" t="s">
        <v>610</v>
      </c>
      <c r="F186" t="s">
        <v>515</v>
      </c>
      <c r="G186" t="s">
        <v>185</v>
      </c>
      <c r="H186" t="s">
        <v>1898</v>
      </c>
      <c r="I186" s="162">
        <v>1</v>
      </c>
      <c r="J186" t="s">
        <v>1855</v>
      </c>
      <c r="K186" t="s">
        <v>3</v>
      </c>
      <c r="L186" s="165">
        <v>34342</v>
      </c>
      <c r="M186" s="166">
        <v>23</v>
      </c>
      <c r="N186" t="s">
        <v>4</v>
      </c>
      <c r="O186" t="s">
        <v>10134</v>
      </c>
      <c r="P186" t="s">
        <v>48</v>
      </c>
      <c r="Q186" t="s">
        <v>1342</v>
      </c>
      <c r="R186" t="s">
        <v>2010</v>
      </c>
      <c r="S186" s="162">
        <v>23.5</v>
      </c>
      <c r="T186" t="s">
        <v>2011</v>
      </c>
      <c r="U186" s="162">
        <v>1061</v>
      </c>
      <c r="V186">
        <v>0</v>
      </c>
      <c r="W186" s="162">
        <v>0</v>
      </c>
      <c r="X186">
        <v>0</v>
      </c>
      <c r="Y186" s="162">
        <v>0</v>
      </c>
      <c r="Z186">
        <v>0</v>
      </c>
      <c r="AA186" s="162">
        <v>0</v>
      </c>
      <c r="AB186">
        <v>0</v>
      </c>
      <c r="AC186" s="162" t="s">
        <v>7</v>
      </c>
      <c r="AD186" s="162" t="s">
        <v>7</v>
      </c>
      <c r="AE186" s="162" t="s">
        <v>7</v>
      </c>
      <c r="AF186" s="162" t="s">
        <v>7</v>
      </c>
      <c r="AG186" s="162" t="s">
        <v>7</v>
      </c>
      <c r="AH186" s="162" t="s">
        <v>7</v>
      </c>
      <c r="AI186" t="s">
        <v>9846</v>
      </c>
      <c r="AJ186" t="s">
        <v>7</v>
      </c>
      <c r="AK186" t="s">
        <v>2021</v>
      </c>
      <c r="AL186" t="s">
        <v>36</v>
      </c>
      <c r="AM186" s="162" t="s">
        <v>10138</v>
      </c>
      <c r="AN186" t="s">
        <v>9846</v>
      </c>
      <c r="AO186" t="s">
        <v>35</v>
      </c>
      <c r="AP186" t="s">
        <v>7</v>
      </c>
      <c r="AQ186" t="s">
        <v>9</v>
      </c>
      <c r="AR186" t="s">
        <v>7</v>
      </c>
      <c r="AS186" s="162" t="s">
        <v>7</v>
      </c>
      <c r="AT186" s="117" t="s">
        <v>7</v>
      </c>
      <c r="AU186" s="162" t="s">
        <v>7</v>
      </c>
      <c r="AV186" s="162" t="s">
        <v>7</v>
      </c>
      <c r="AW186" s="162" t="s">
        <v>9851</v>
      </c>
      <c r="AX186" s="162" t="s">
        <v>7</v>
      </c>
      <c r="AY186" s="162" t="s">
        <v>7</v>
      </c>
      <c r="AZ186" t="s">
        <v>7</v>
      </c>
      <c r="BA186" s="162" t="s">
        <v>7</v>
      </c>
      <c r="BB186" s="162" t="s">
        <v>7</v>
      </c>
      <c r="BC186" s="162" t="s">
        <v>7</v>
      </c>
      <c r="BD186" s="162" t="s">
        <v>7</v>
      </c>
      <c r="BE186" s="162" t="s">
        <v>7</v>
      </c>
      <c r="BF186" s="162" t="str">
        <f t="shared" si="4"/>
        <v>Sim</v>
      </c>
      <c r="BG186" s="162" t="str">
        <f t="shared" si="5"/>
        <v>Não</v>
      </c>
      <c r="BH186" s="162" t="s">
        <v>7</v>
      </c>
      <c r="BI186" t="s">
        <v>7</v>
      </c>
      <c r="BJ186" s="162" t="s">
        <v>7</v>
      </c>
      <c r="BK186" t="s">
        <v>9</v>
      </c>
      <c r="BL186" s="162">
        <v>60</v>
      </c>
      <c r="BM186" t="s">
        <v>1162</v>
      </c>
      <c r="BN186" t="s">
        <v>35</v>
      </c>
      <c r="BO186" t="s">
        <v>1166</v>
      </c>
      <c r="BP186" s="162">
        <v>96</v>
      </c>
      <c r="BQ186" t="s">
        <v>35</v>
      </c>
      <c r="BR186" t="s">
        <v>1849</v>
      </c>
      <c r="BS186" s="162" t="s">
        <v>10170</v>
      </c>
    </row>
    <row r="187" spans="1:71">
      <c r="A187" s="162">
        <v>186</v>
      </c>
      <c r="B187" t="s">
        <v>340</v>
      </c>
      <c r="C187" s="162">
        <v>1</v>
      </c>
      <c r="D187" s="122" t="s">
        <v>595</v>
      </c>
      <c r="E187" t="s">
        <v>858</v>
      </c>
      <c r="F187" t="s">
        <v>515</v>
      </c>
      <c r="G187" t="s">
        <v>348</v>
      </c>
      <c r="H187" t="s">
        <v>864</v>
      </c>
      <c r="I187" s="162">
        <v>1</v>
      </c>
      <c r="J187" t="s">
        <v>1864</v>
      </c>
      <c r="K187" t="s">
        <v>3</v>
      </c>
      <c r="L187" s="165">
        <v>31844</v>
      </c>
      <c r="M187" s="166">
        <v>30</v>
      </c>
      <c r="N187" t="s">
        <v>5</v>
      </c>
      <c r="O187" t="s">
        <v>10135</v>
      </c>
      <c r="P187" t="s">
        <v>1074</v>
      </c>
      <c r="Q187" t="s">
        <v>1624</v>
      </c>
      <c r="R187" t="s">
        <v>1625</v>
      </c>
      <c r="S187" s="162">
        <v>118.6</v>
      </c>
      <c r="T187" t="s">
        <v>1626</v>
      </c>
      <c r="U187" s="162">
        <v>82.5</v>
      </c>
      <c r="V187">
        <v>0</v>
      </c>
      <c r="W187" s="162">
        <v>0</v>
      </c>
      <c r="X187">
        <v>0</v>
      </c>
      <c r="Y187" s="162">
        <v>0</v>
      </c>
      <c r="Z187">
        <v>0</v>
      </c>
      <c r="AA187" s="162">
        <v>0</v>
      </c>
      <c r="AB187">
        <v>0</v>
      </c>
      <c r="AC187" s="162" t="s">
        <v>7</v>
      </c>
      <c r="AD187" s="162" t="s">
        <v>7</v>
      </c>
      <c r="AE187" s="162" t="s">
        <v>7</v>
      </c>
      <c r="AF187" s="162" t="s">
        <v>7</v>
      </c>
      <c r="AG187" s="162" t="s">
        <v>7</v>
      </c>
      <c r="AH187" s="162" t="s">
        <v>7</v>
      </c>
      <c r="AI187" t="s">
        <v>9843</v>
      </c>
      <c r="AJ187" t="s">
        <v>7</v>
      </c>
      <c r="AK187" t="s">
        <v>1627</v>
      </c>
      <c r="AL187" t="s">
        <v>36</v>
      </c>
      <c r="AM187" s="162" t="s">
        <v>10138</v>
      </c>
      <c r="AN187" t="s">
        <v>9843</v>
      </c>
      <c r="AO187" t="s">
        <v>35</v>
      </c>
      <c r="AP187" t="s">
        <v>1350</v>
      </c>
      <c r="AQ187" t="s">
        <v>1080</v>
      </c>
      <c r="AR187" t="s">
        <v>7</v>
      </c>
      <c r="AS187" s="162" t="s">
        <v>7</v>
      </c>
      <c r="AT187" s="117" t="s">
        <v>1111</v>
      </c>
      <c r="AU187" s="162" t="s">
        <v>9851</v>
      </c>
      <c r="AV187" s="162" t="s">
        <v>7</v>
      </c>
      <c r="AW187" s="162" t="s">
        <v>7</v>
      </c>
      <c r="AX187" s="162" t="s">
        <v>7</v>
      </c>
      <c r="AY187" s="162" t="s">
        <v>9851</v>
      </c>
      <c r="AZ187" t="s">
        <v>7</v>
      </c>
      <c r="BA187" s="162" t="s">
        <v>7</v>
      </c>
      <c r="BB187" s="162" t="s">
        <v>7</v>
      </c>
      <c r="BC187" s="162" t="s">
        <v>7</v>
      </c>
      <c r="BD187" s="162" t="s">
        <v>7</v>
      </c>
      <c r="BE187" s="162" t="s">
        <v>7</v>
      </c>
      <c r="BF187" s="162" t="str">
        <f t="shared" si="4"/>
        <v>Sim</v>
      </c>
      <c r="BG187" s="162" t="str">
        <f t="shared" si="5"/>
        <v>Não</v>
      </c>
      <c r="BH187" s="162" t="s">
        <v>7</v>
      </c>
      <c r="BI187" t="s">
        <v>7</v>
      </c>
      <c r="BJ187" s="162" t="s">
        <v>7</v>
      </c>
      <c r="BK187" t="s">
        <v>9</v>
      </c>
      <c r="BL187" s="162">
        <v>60</v>
      </c>
      <c r="BM187" t="s">
        <v>35</v>
      </c>
      <c r="BN187" t="s">
        <v>35</v>
      </c>
      <c r="BO187" t="s">
        <v>9</v>
      </c>
      <c r="BP187" s="162">
        <v>60</v>
      </c>
      <c r="BQ187" t="s">
        <v>35</v>
      </c>
      <c r="BR187" t="s">
        <v>1849</v>
      </c>
      <c r="BS187" s="162" t="s">
        <v>10170</v>
      </c>
    </row>
    <row r="188" spans="1:71">
      <c r="A188" s="162">
        <v>187</v>
      </c>
      <c r="B188" t="s">
        <v>190</v>
      </c>
      <c r="C188" s="162">
        <v>1</v>
      </c>
      <c r="D188" s="122" t="s">
        <v>46</v>
      </c>
      <c r="E188" t="s">
        <v>626</v>
      </c>
      <c r="F188" t="s">
        <v>3</v>
      </c>
      <c r="G188" t="s">
        <v>198</v>
      </c>
      <c r="H188" t="s">
        <v>637</v>
      </c>
      <c r="I188" s="162">
        <v>1</v>
      </c>
      <c r="J188" t="s">
        <v>1855</v>
      </c>
      <c r="K188" t="s">
        <v>3</v>
      </c>
      <c r="L188" s="165">
        <v>35549</v>
      </c>
      <c r="M188" s="166">
        <v>19</v>
      </c>
      <c r="N188" t="s">
        <v>5</v>
      </c>
      <c r="O188" t="s">
        <v>10135</v>
      </c>
      <c r="P188" t="s">
        <v>1101</v>
      </c>
      <c r="Q188" t="s">
        <v>1595</v>
      </c>
      <c r="R188" t="s">
        <v>9903</v>
      </c>
      <c r="S188" s="162">
        <v>12.1</v>
      </c>
      <c r="T188" t="s">
        <v>9904</v>
      </c>
      <c r="U188" s="162">
        <v>19.100000000000001</v>
      </c>
      <c r="V188">
        <v>0</v>
      </c>
      <c r="W188" s="162">
        <v>0</v>
      </c>
      <c r="X188">
        <v>0</v>
      </c>
      <c r="Y188" s="162">
        <v>0</v>
      </c>
      <c r="Z188">
        <v>0</v>
      </c>
      <c r="AA188" s="162">
        <v>0</v>
      </c>
      <c r="AB188">
        <v>0</v>
      </c>
      <c r="AC188" s="162" t="s">
        <v>7</v>
      </c>
      <c r="AD188" s="162" t="s">
        <v>7</v>
      </c>
      <c r="AE188" s="162" t="s">
        <v>7</v>
      </c>
      <c r="AF188" s="162" t="s">
        <v>7</v>
      </c>
      <c r="AG188" s="162" t="s">
        <v>7</v>
      </c>
      <c r="AH188" s="162" t="s">
        <v>7</v>
      </c>
      <c r="AI188" t="s">
        <v>9843</v>
      </c>
      <c r="AJ188" t="s">
        <v>7</v>
      </c>
      <c r="AK188" t="s">
        <v>1497</v>
      </c>
      <c r="AL188" t="s">
        <v>36</v>
      </c>
      <c r="AM188" s="162" t="s">
        <v>10138</v>
      </c>
      <c r="AN188" t="s">
        <v>9843</v>
      </c>
      <c r="AO188" t="s">
        <v>35</v>
      </c>
      <c r="AP188" t="s">
        <v>7</v>
      </c>
      <c r="AQ188" t="s">
        <v>9</v>
      </c>
      <c r="AR188" t="s">
        <v>1097</v>
      </c>
      <c r="AS188" s="162" t="s">
        <v>9851</v>
      </c>
      <c r="AT188" s="117" t="s">
        <v>1244</v>
      </c>
      <c r="AU188" s="162" t="s">
        <v>7</v>
      </c>
      <c r="AV188" s="162" t="s">
        <v>9851</v>
      </c>
      <c r="AW188" s="162" t="s">
        <v>7</v>
      </c>
      <c r="AX188" s="162" t="s">
        <v>7</v>
      </c>
      <c r="AY188" s="162" t="s">
        <v>9851</v>
      </c>
      <c r="AZ188" t="s">
        <v>7</v>
      </c>
      <c r="BA188" s="162" t="s">
        <v>7</v>
      </c>
      <c r="BB188" s="162" t="s">
        <v>7</v>
      </c>
      <c r="BC188" s="162" t="s">
        <v>7</v>
      </c>
      <c r="BD188" s="162" t="s">
        <v>7</v>
      </c>
      <c r="BE188" s="162" t="s">
        <v>7</v>
      </c>
      <c r="BF188" s="162" t="str">
        <f t="shared" si="4"/>
        <v>Sim</v>
      </c>
      <c r="BG188" s="162" t="str">
        <f t="shared" si="5"/>
        <v>Não</v>
      </c>
      <c r="BH188" s="162" t="s">
        <v>7</v>
      </c>
      <c r="BI188" t="s">
        <v>9872</v>
      </c>
      <c r="BJ188" s="162" t="s">
        <v>10165</v>
      </c>
      <c r="BK188" t="s">
        <v>9</v>
      </c>
      <c r="BL188" s="162">
        <v>60</v>
      </c>
      <c r="BM188" t="s">
        <v>35</v>
      </c>
      <c r="BN188" t="s">
        <v>35</v>
      </c>
      <c r="BO188" t="s">
        <v>9</v>
      </c>
      <c r="BP188" s="162">
        <v>60</v>
      </c>
      <c r="BQ188" t="s">
        <v>35</v>
      </c>
      <c r="BR188" t="s">
        <v>1849</v>
      </c>
      <c r="BS188" s="162" t="s">
        <v>10170</v>
      </c>
    </row>
    <row r="189" spans="1:71">
      <c r="A189" s="162">
        <v>188</v>
      </c>
      <c r="B189" t="s">
        <v>375</v>
      </c>
      <c r="C189" s="162">
        <v>0</v>
      </c>
      <c r="D189" s="122" t="s">
        <v>619</v>
      </c>
      <c r="E189" t="s">
        <v>873</v>
      </c>
      <c r="F189" t="s">
        <v>515</v>
      </c>
      <c r="G189" t="s">
        <v>378</v>
      </c>
      <c r="H189" t="s">
        <v>893</v>
      </c>
      <c r="I189" s="162">
        <v>1</v>
      </c>
      <c r="J189" t="s">
        <v>1864</v>
      </c>
      <c r="K189" t="s">
        <v>3</v>
      </c>
      <c r="L189" s="165">
        <v>35432</v>
      </c>
      <c r="M189" s="166">
        <v>20</v>
      </c>
      <c r="N189" t="s">
        <v>5</v>
      </c>
      <c r="O189" t="s">
        <v>10135</v>
      </c>
      <c r="P189" t="s">
        <v>1101</v>
      </c>
      <c r="Q189" t="s">
        <v>1186</v>
      </c>
      <c r="R189">
        <v>0</v>
      </c>
      <c r="S189" s="162">
        <v>0</v>
      </c>
      <c r="T189" t="s">
        <v>1799</v>
      </c>
      <c r="U189" s="162">
        <v>23</v>
      </c>
      <c r="V189">
        <v>0</v>
      </c>
      <c r="W189" s="162">
        <v>0</v>
      </c>
      <c r="X189">
        <v>0</v>
      </c>
      <c r="Y189" s="162">
        <v>0</v>
      </c>
      <c r="Z189">
        <v>0</v>
      </c>
      <c r="AA189" s="162">
        <v>0</v>
      </c>
      <c r="AB189">
        <v>0</v>
      </c>
      <c r="AC189" s="162" t="s">
        <v>7</v>
      </c>
      <c r="AD189" s="162" t="s">
        <v>7</v>
      </c>
      <c r="AE189" s="162" t="s">
        <v>7</v>
      </c>
      <c r="AF189" s="162" t="s">
        <v>7</v>
      </c>
      <c r="AG189" s="162" t="s">
        <v>7</v>
      </c>
      <c r="AH189" s="162" t="s">
        <v>7</v>
      </c>
      <c r="AI189" t="s">
        <v>9843</v>
      </c>
      <c r="AJ189" t="s">
        <v>7</v>
      </c>
      <c r="AK189" t="s">
        <v>1800</v>
      </c>
      <c r="AL189" t="s">
        <v>36</v>
      </c>
      <c r="AM189" s="162" t="s">
        <v>10138</v>
      </c>
      <c r="AN189" t="s">
        <v>9843</v>
      </c>
      <c r="AO189" t="s">
        <v>35</v>
      </c>
      <c r="AP189" t="s">
        <v>7</v>
      </c>
      <c r="AQ189" t="s">
        <v>9</v>
      </c>
      <c r="AR189" t="s">
        <v>1097</v>
      </c>
      <c r="AS189" s="162" t="s">
        <v>9851</v>
      </c>
      <c r="AT189" s="117" t="s">
        <v>1244</v>
      </c>
      <c r="AU189" s="162" t="s">
        <v>7</v>
      </c>
      <c r="AV189" s="162" t="s">
        <v>9851</v>
      </c>
      <c r="AW189" s="162" t="s">
        <v>7</v>
      </c>
      <c r="AX189" s="162" t="s">
        <v>7</v>
      </c>
      <c r="AY189" s="162" t="s">
        <v>9851</v>
      </c>
      <c r="AZ189" t="s">
        <v>7</v>
      </c>
      <c r="BA189" s="162" t="s">
        <v>7</v>
      </c>
      <c r="BB189" s="162" t="s">
        <v>7</v>
      </c>
      <c r="BC189" s="162" t="s">
        <v>7</v>
      </c>
      <c r="BD189" s="162" t="s">
        <v>7</v>
      </c>
      <c r="BE189" s="162" t="s">
        <v>7</v>
      </c>
      <c r="BF189" s="162" t="str">
        <f t="shared" si="4"/>
        <v>Sim</v>
      </c>
      <c r="BG189" s="162" t="str">
        <f t="shared" si="5"/>
        <v>Não</v>
      </c>
      <c r="BH189" s="162" t="s">
        <v>7</v>
      </c>
      <c r="BI189" t="s">
        <v>9872</v>
      </c>
      <c r="BJ189" s="162" t="s">
        <v>10165</v>
      </c>
      <c r="BK189" t="s">
        <v>9</v>
      </c>
      <c r="BL189" s="162">
        <v>60</v>
      </c>
      <c r="BM189" t="s">
        <v>35</v>
      </c>
      <c r="BN189" t="s">
        <v>35</v>
      </c>
      <c r="BO189" t="s">
        <v>9</v>
      </c>
      <c r="BP189" s="162">
        <v>60</v>
      </c>
      <c r="BQ189" t="s">
        <v>35</v>
      </c>
      <c r="BR189" t="s">
        <v>1849</v>
      </c>
      <c r="BS189" s="162" t="s">
        <v>10170</v>
      </c>
    </row>
    <row r="190" spans="1:71">
      <c r="A190" s="162">
        <v>189</v>
      </c>
      <c r="B190" t="s">
        <v>1912</v>
      </c>
      <c r="C190" s="162">
        <v>1</v>
      </c>
      <c r="D190" s="122">
        <v>42958</v>
      </c>
      <c r="E190" t="s">
        <v>610</v>
      </c>
      <c r="F190" t="s">
        <v>515</v>
      </c>
      <c r="G190" t="s">
        <v>185</v>
      </c>
      <c r="H190" t="s">
        <v>1913</v>
      </c>
      <c r="I190" s="162">
        <v>1</v>
      </c>
      <c r="J190" t="s">
        <v>1855</v>
      </c>
      <c r="K190" t="s">
        <v>3</v>
      </c>
      <c r="L190" s="165">
        <v>30548</v>
      </c>
      <c r="M190" s="166">
        <v>34</v>
      </c>
      <c r="N190" t="s">
        <v>4</v>
      </c>
      <c r="O190" t="s">
        <v>10134</v>
      </c>
      <c r="P190" t="s">
        <v>41</v>
      </c>
      <c r="Q190" t="s">
        <v>2001</v>
      </c>
      <c r="R190">
        <v>0</v>
      </c>
      <c r="S190" s="162">
        <v>0</v>
      </c>
      <c r="T190" t="s">
        <v>2016</v>
      </c>
      <c r="U190" s="162">
        <v>2464.8000000000002</v>
      </c>
      <c r="V190">
        <v>0</v>
      </c>
      <c r="W190" s="162">
        <v>0</v>
      </c>
      <c r="X190">
        <v>0</v>
      </c>
      <c r="Y190" s="162">
        <v>0</v>
      </c>
      <c r="Z190">
        <v>0</v>
      </c>
      <c r="AA190" s="162">
        <v>0</v>
      </c>
      <c r="AB190">
        <v>0</v>
      </c>
      <c r="AC190" s="162" t="s">
        <v>7</v>
      </c>
      <c r="AD190" s="162" t="s">
        <v>7</v>
      </c>
      <c r="AE190" s="162" t="s">
        <v>7</v>
      </c>
      <c r="AF190" s="162" t="s">
        <v>7</v>
      </c>
      <c r="AG190" s="162" t="s">
        <v>7</v>
      </c>
      <c r="AH190" s="162" t="s">
        <v>7</v>
      </c>
      <c r="AI190" t="s">
        <v>9846</v>
      </c>
      <c r="AJ190" t="s">
        <v>7</v>
      </c>
      <c r="AK190" t="s">
        <v>2028</v>
      </c>
      <c r="AL190" t="s">
        <v>36</v>
      </c>
      <c r="AM190" s="162" t="s">
        <v>10138</v>
      </c>
      <c r="AN190" t="s">
        <v>9846</v>
      </c>
      <c r="AO190" t="s">
        <v>35</v>
      </c>
      <c r="AP190" t="s">
        <v>7</v>
      </c>
      <c r="AQ190" t="s">
        <v>9</v>
      </c>
      <c r="AR190" t="s">
        <v>7</v>
      </c>
      <c r="AS190" s="162" t="s">
        <v>7</v>
      </c>
      <c r="AT190" s="117" t="s">
        <v>7</v>
      </c>
      <c r="AU190" s="162" t="s">
        <v>7</v>
      </c>
      <c r="AV190" s="162" t="s">
        <v>7</v>
      </c>
      <c r="AW190" s="162" t="s">
        <v>9851</v>
      </c>
      <c r="AX190" s="162" t="s">
        <v>7</v>
      </c>
      <c r="AY190" s="162" t="s">
        <v>7</v>
      </c>
      <c r="AZ190" t="s">
        <v>7</v>
      </c>
      <c r="BA190" s="162" t="s">
        <v>7</v>
      </c>
      <c r="BB190" s="162" t="s">
        <v>7</v>
      </c>
      <c r="BC190" s="162" t="s">
        <v>7</v>
      </c>
      <c r="BD190" s="162" t="s">
        <v>7</v>
      </c>
      <c r="BE190" s="162" t="s">
        <v>7</v>
      </c>
      <c r="BF190" s="162" t="str">
        <f t="shared" si="4"/>
        <v>Sim</v>
      </c>
      <c r="BG190" s="162" t="str">
        <f t="shared" si="5"/>
        <v>Não</v>
      </c>
      <c r="BH190" s="162" t="s">
        <v>7</v>
      </c>
      <c r="BI190" t="s">
        <v>7</v>
      </c>
      <c r="BJ190" s="162" t="s">
        <v>7</v>
      </c>
      <c r="BK190" t="s">
        <v>9</v>
      </c>
      <c r="BL190" s="162">
        <v>60</v>
      </c>
      <c r="BM190" t="s">
        <v>1162</v>
      </c>
      <c r="BN190" t="s">
        <v>35</v>
      </c>
      <c r="BO190" t="s">
        <v>1166</v>
      </c>
      <c r="BP190" s="162">
        <v>96</v>
      </c>
      <c r="BQ190" t="s">
        <v>35</v>
      </c>
      <c r="BR190" t="s">
        <v>1849</v>
      </c>
      <c r="BS190" s="162" t="s">
        <v>10170</v>
      </c>
    </row>
    <row r="191" spans="1:71">
      <c r="A191" s="162">
        <v>190</v>
      </c>
      <c r="B191" t="s">
        <v>1912</v>
      </c>
      <c r="C191" s="162">
        <v>0</v>
      </c>
      <c r="D191" s="122">
        <v>42958</v>
      </c>
      <c r="E191" t="s">
        <v>610</v>
      </c>
      <c r="F191" t="s">
        <v>515</v>
      </c>
      <c r="G191" t="s">
        <v>185</v>
      </c>
      <c r="H191" t="s">
        <v>1915</v>
      </c>
      <c r="I191" s="162">
        <v>1</v>
      </c>
      <c r="J191" t="s">
        <v>1855</v>
      </c>
      <c r="K191" t="s">
        <v>3</v>
      </c>
      <c r="L191" s="165">
        <v>30891</v>
      </c>
      <c r="M191" s="166">
        <v>33</v>
      </c>
      <c r="N191" t="s">
        <v>1093</v>
      </c>
      <c r="O191" t="s">
        <v>10135</v>
      </c>
      <c r="P191" t="s">
        <v>1101</v>
      </c>
      <c r="Q191" t="s">
        <v>2003</v>
      </c>
      <c r="R191">
        <v>0</v>
      </c>
      <c r="S191" s="162">
        <v>0</v>
      </c>
      <c r="T191" t="s">
        <v>2016</v>
      </c>
      <c r="U191" s="162">
        <v>2464.8000000000002</v>
      </c>
      <c r="V191">
        <v>0</v>
      </c>
      <c r="W191" s="162">
        <v>0</v>
      </c>
      <c r="X191">
        <v>0</v>
      </c>
      <c r="Y191" s="162">
        <v>0</v>
      </c>
      <c r="Z191">
        <v>0</v>
      </c>
      <c r="AA191" s="162">
        <v>0</v>
      </c>
      <c r="AB191">
        <v>0</v>
      </c>
      <c r="AC191" s="162" t="s">
        <v>7</v>
      </c>
      <c r="AD191" s="162" t="s">
        <v>7</v>
      </c>
      <c r="AE191" s="162" t="s">
        <v>7</v>
      </c>
      <c r="AF191" s="162" t="s">
        <v>7</v>
      </c>
      <c r="AG191" s="162" t="s">
        <v>7</v>
      </c>
      <c r="AH191" s="162" t="s">
        <v>7</v>
      </c>
      <c r="AI191" t="s">
        <v>9846</v>
      </c>
      <c r="AJ191" t="s">
        <v>7</v>
      </c>
      <c r="AK191" t="s">
        <v>2028</v>
      </c>
      <c r="AL191" t="s">
        <v>36</v>
      </c>
      <c r="AM191" s="162" t="s">
        <v>10138</v>
      </c>
      <c r="AN191" t="s">
        <v>9846</v>
      </c>
      <c r="AO191" t="s">
        <v>35</v>
      </c>
      <c r="AP191" t="s">
        <v>7</v>
      </c>
      <c r="AQ191" t="s">
        <v>9</v>
      </c>
      <c r="AR191" t="s">
        <v>7</v>
      </c>
      <c r="AS191" s="162" t="s">
        <v>7</v>
      </c>
      <c r="AT191" s="117" t="s">
        <v>7</v>
      </c>
      <c r="AU191" s="162" t="s">
        <v>7</v>
      </c>
      <c r="AV191" s="162" t="s">
        <v>7</v>
      </c>
      <c r="AW191" s="162" t="s">
        <v>9851</v>
      </c>
      <c r="AX191" s="162" t="s">
        <v>7</v>
      </c>
      <c r="AY191" s="162" t="s">
        <v>7</v>
      </c>
      <c r="AZ191" t="s">
        <v>7</v>
      </c>
      <c r="BA191" s="162" t="s">
        <v>7</v>
      </c>
      <c r="BB191" s="162" t="s">
        <v>7</v>
      </c>
      <c r="BC191" s="162" t="s">
        <v>7</v>
      </c>
      <c r="BD191" s="162" t="s">
        <v>7</v>
      </c>
      <c r="BE191" s="162" t="s">
        <v>7</v>
      </c>
      <c r="BF191" s="162" t="str">
        <f t="shared" si="4"/>
        <v>Sim</v>
      </c>
      <c r="BG191" s="162" t="str">
        <f t="shared" si="5"/>
        <v>Não</v>
      </c>
      <c r="BH191" s="162" t="s">
        <v>7</v>
      </c>
      <c r="BI191" t="s">
        <v>7</v>
      </c>
      <c r="BJ191" s="162" t="s">
        <v>7</v>
      </c>
      <c r="BK191" t="s">
        <v>9</v>
      </c>
      <c r="BL191" s="162">
        <v>60</v>
      </c>
      <c r="BM191" t="s">
        <v>1162</v>
      </c>
      <c r="BN191" t="s">
        <v>35</v>
      </c>
      <c r="BO191" t="s">
        <v>1166</v>
      </c>
      <c r="BP191" s="162">
        <v>96</v>
      </c>
      <c r="BQ191" t="s">
        <v>35</v>
      </c>
      <c r="BR191" t="s">
        <v>1849</v>
      </c>
      <c r="BS191" s="162" t="s">
        <v>10170</v>
      </c>
    </row>
    <row r="192" spans="1:71">
      <c r="A192" s="162">
        <v>191</v>
      </c>
      <c r="B192" t="s">
        <v>1912</v>
      </c>
      <c r="C192" s="162">
        <v>0</v>
      </c>
      <c r="D192" s="122">
        <v>42958</v>
      </c>
      <c r="E192" t="s">
        <v>610</v>
      </c>
      <c r="F192" t="s">
        <v>515</v>
      </c>
      <c r="G192" t="s">
        <v>185</v>
      </c>
      <c r="H192" t="s">
        <v>1914</v>
      </c>
      <c r="I192" s="162">
        <v>1</v>
      </c>
      <c r="J192" t="s">
        <v>1855</v>
      </c>
      <c r="K192" t="s">
        <v>3</v>
      </c>
      <c r="L192" s="165">
        <v>32577</v>
      </c>
      <c r="M192" s="166">
        <v>28</v>
      </c>
      <c r="N192" t="s">
        <v>1093</v>
      </c>
      <c r="O192" t="s">
        <v>10135</v>
      </c>
      <c r="P192" t="s">
        <v>1101</v>
      </c>
      <c r="Q192" t="s">
        <v>2002</v>
      </c>
      <c r="R192">
        <v>0</v>
      </c>
      <c r="S192" s="162">
        <v>0</v>
      </c>
      <c r="T192" t="s">
        <v>2016</v>
      </c>
      <c r="U192" s="162">
        <v>2464.8000000000002</v>
      </c>
      <c r="V192">
        <v>0</v>
      </c>
      <c r="W192" s="162">
        <v>0</v>
      </c>
      <c r="X192">
        <v>0</v>
      </c>
      <c r="Y192" s="162">
        <v>0</v>
      </c>
      <c r="Z192">
        <v>0</v>
      </c>
      <c r="AA192" s="162">
        <v>0</v>
      </c>
      <c r="AB192">
        <v>0</v>
      </c>
      <c r="AC192" s="162" t="s">
        <v>7</v>
      </c>
      <c r="AD192" s="162" t="s">
        <v>7</v>
      </c>
      <c r="AE192" s="162" t="s">
        <v>7</v>
      </c>
      <c r="AF192" s="162" t="s">
        <v>7</v>
      </c>
      <c r="AG192" s="162" t="s">
        <v>7</v>
      </c>
      <c r="AH192" s="162" t="s">
        <v>7</v>
      </c>
      <c r="AI192" t="s">
        <v>9846</v>
      </c>
      <c r="AJ192" t="s">
        <v>7</v>
      </c>
      <c r="AK192" t="s">
        <v>2029</v>
      </c>
      <c r="AL192" t="s">
        <v>36</v>
      </c>
      <c r="AM192" s="162" t="s">
        <v>10138</v>
      </c>
      <c r="AN192" t="s">
        <v>9846</v>
      </c>
      <c r="AO192" t="s">
        <v>35</v>
      </c>
      <c r="AP192" t="s">
        <v>7</v>
      </c>
      <c r="AQ192" t="s">
        <v>9</v>
      </c>
      <c r="AR192" t="s">
        <v>7</v>
      </c>
      <c r="AS192" s="162" t="s">
        <v>7</v>
      </c>
      <c r="AT192" s="117" t="s">
        <v>7</v>
      </c>
      <c r="AU192" s="162" t="s">
        <v>7</v>
      </c>
      <c r="AV192" s="162" t="s">
        <v>7</v>
      </c>
      <c r="AW192" s="162" t="s">
        <v>9851</v>
      </c>
      <c r="AX192" s="162" t="s">
        <v>7</v>
      </c>
      <c r="AY192" s="162" t="s">
        <v>7</v>
      </c>
      <c r="AZ192" t="s">
        <v>7</v>
      </c>
      <c r="BA192" s="162" t="s">
        <v>7</v>
      </c>
      <c r="BB192" s="162" t="s">
        <v>7</v>
      </c>
      <c r="BC192" s="162" t="s">
        <v>7</v>
      </c>
      <c r="BD192" s="162" t="s">
        <v>7</v>
      </c>
      <c r="BE192" s="162" t="s">
        <v>7</v>
      </c>
      <c r="BF192" s="162" t="str">
        <f t="shared" si="4"/>
        <v>Sim</v>
      </c>
      <c r="BG192" s="162" t="str">
        <f t="shared" si="5"/>
        <v>Não</v>
      </c>
      <c r="BH192" s="162" t="s">
        <v>7</v>
      </c>
      <c r="BI192" t="s">
        <v>7</v>
      </c>
      <c r="BJ192" s="162" t="s">
        <v>7</v>
      </c>
      <c r="BK192" t="s">
        <v>9</v>
      </c>
      <c r="BL192" s="162">
        <v>60</v>
      </c>
      <c r="BM192" t="s">
        <v>1162</v>
      </c>
      <c r="BN192" t="s">
        <v>35</v>
      </c>
      <c r="BO192" t="s">
        <v>1166</v>
      </c>
      <c r="BP192" s="162">
        <v>96</v>
      </c>
      <c r="BQ192" t="s">
        <v>35</v>
      </c>
      <c r="BR192" t="s">
        <v>1849</v>
      </c>
      <c r="BS192" s="162" t="s">
        <v>10170</v>
      </c>
    </row>
    <row r="193" spans="1:71">
      <c r="A193" s="162">
        <v>192</v>
      </c>
      <c r="B193" t="s">
        <v>272</v>
      </c>
      <c r="C193" s="162">
        <v>1</v>
      </c>
      <c r="D193" s="122" t="s">
        <v>761</v>
      </c>
      <c r="E193" t="s">
        <v>754</v>
      </c>
      <c r="F193" t="s">
        <v>515</v>
      </c>
      <c r="G193" t="s">
        <v>277</v>
      </c>
      <c r="H193" t="s">
        <v>762</v>
      </c>
      <c r="I193" s="162">
        <v>1</v>
      </c>
      <c r="J193" t="s">
        <v>1864</v>
      </c>
      <c r="K193" t="s">
        <v>3</v>
      </c>
      <c r="L193" s="165">
        <v>32618</v>
      </c>
      <c r="M193" s="166">
        <v>28</v>
      </c>
      <c r="N193" t="s">
        <v>4</v>
      </c>
      <c r="O193" t="s">
        <v>10134</v>
      </c>
      <c r="P193" t="s">
        <v>77</v>
      </c>
      <c r="Q193" t="s">
        <v>1398</v>
      </c>
      <c r="R193">
        <v>0</v>
      </c>
      <c r="S193" s="162">
        <v>0</v>
      </c>
      <c r="T193" t="s">
        <v>1400</v>
      </c>
      <c r="U193" s="162">
        <v>19.100000000000001</v>
      </c>
      <c r="V193">
        <v>0</v>
      </c>
      <c r="W193" s="162">
        <v>0</v>
      </c>
      <c r="X193">
        <v>0</v>
      </c>
      <c r="Y193" s="162">
        <v>0</v>
      </c>
      <c r="Z193">
        <v>0</v>
      </c>
      <c r="AA193" s="162">
        <v>0</v>
      </c>
      <c r="AB193">
        <v>0</v>
      </c>
      <c r="AC193" s="162" t="s">
        <v>7</v>
      </c>
      <c r="AD193" s="162" t="s">
        <v>7</v>
      </c>
      <c r="AE193" s="162" t="s">
        <v>7</v>
      </c>
      <c r="AF193" s="162" t="s">
        <v>7</v>
      </c>
      <c r="AG193" s="162" t="s">
        <v>7</v>
      </c>
      <c r="AH193" s="162" t="s">
        <v>7</v>
      </c>
      <c r="AI193" t="s">
        <v>9843</v>
      </c>
      <c r="AJ193" t="s">
        <v>7</v>
      </c>
      <c r="AK193" t="s">
        <v>1082</v>
      </c>
      <c r="AL193" t="s">
        <v>36</v>
      </c>
      <c r="AM193" s="162" t="s">
        <v>10138</v>
      </c>
      <c r="AN193" t="s">
        <v>9843</v>
      </c>
      <c r="AO193" t="s">
        <v>35</v>
      </c>
      <c r="AP193" t="s">
        <v>7</v>
      </c>
      <c r="AQ193" t="s">
        <v>9</v>
      </c>
      <c r="AR193" t="s">
        <v>7</v>
      </c>
      <c r="AS193" s="162" t="s">
        <v>7</v>
      </c>
      <c r="AT193" s="117" t="s">
        <v>7</v>
      </c>
      <c r="AU193" s="162" t="s">
        <v>7</v>
      </c>
      <c r="AV193" s="162" t="s">
        <v>7</v>
      </c>
      <c r="AW193" s="162" t="s">
        <v>9851</v>
      </c>
      <c r="AX193" s="162" t="s">
        <v>7</v>
      </c>
      <c r="AY193" s="162" t="s">
        <v>7</v>
      </c>
      <c r="AZ193" t="s">
        <v>7</v>
      </c>
      <c r="BA193" s="162" t="s">
        <v>7</v>
      </c>
      <c r="BB193" s="162" t="s">
        <v>7</v>
      </c>
      <c r="BC193" s="162" t="s">
        <v>7</v>
      </c>
      <c r="BD193" s="162" t="s">
        <v>7</v>
      </c>
      <c r="BE193" s="162" t="s">
        <v>7</v>
      </c>
      <c r="BF193" s="162" t="str">
        <f t="shared" si="4"/>
        <v>Sim</v>
      </c>
      <c r="BG193" s="162" t="str">
        <f t="shared" si="5"/>
        <v>Não</v>
      </c>
      <c r="BH193" s="162" t="s">
        <v>7</v>
      </c>
      <c r="BI193" t="s">
        <v>7</v>
      </c>
      <c r="BJ193" s="162" t="s">
        <v>7</v>
      </c>
      <c r="BK193" t="s">
        <v>9</v>
      </c>
      <c r="BL193" s="162">
        <v>60</v>
      </c>
      <c r="BM193" t="s">
        <v>35</v>
      </c>
      <c r="BN193" t="s">
        <v>35</v>
      </c>
      <c r="BO193" t="s">
        <v>9</v>
      </c>
      <c r="BP193" s="162">
        <v>60</v>
      </c>
      <c r="BQ193" t="s">
        <v>35</v>
      </c>
      <c r="BR193" t="s">
        <v>1849</v>
      </c>
      <c r="BS193" s="162" t="s">
        <v>10170</v>
      </c>
    </row>
    <row r="194" spans="1:71">
      <c r="A194" s="162">
        <v>193</v>
      </c>
      <c r="B194" t="s">
        <v>257</v>
      </c>
      <c r="C194" s="162">
        <v>1</v>
      </c>
      <c r="D194" s="122" t="s">
        <v>505</v>
      </c>
      <c r="E194" t="s">
        <v>723</v>
      </c>
      <c r="F194" t="s">
        <v>3</v>
      </c>
      <c r="G194" t="s">
        <v>264</v>
      </c>
      <c r="H194" t="s">
        <v>732</v>
      </c>
      <c r="I194" s="162">
        <v>1</v>
      </c>
      <c r="J194" t="s">
        <v>1855</v>
      </c>
      <c r="K194" t="s">
        <v>3</v>
      </c>
      <c r="L194" s="165">
        <v>34914</v>
      </c>
      <c r="M194" s="166">
        <v>22</v>
      </c>
      <c r="N194" t="s">
        <v>4</v>
      </c>
      <c r="O194" t="s">
        <v>10134</v>
      </c>
      <c r="P194" t="s">
        <v>48</v>
      </c>
      <c r="Q194" t="s">
        <v>1654</v>
      </c>
      <c r="R194" t="s">
        <v>9946</v>
      </c>
      <c r="S194" s="162">
        <v>2003.4</v>
      </c>
      <c r="T194" t="s">
        <v>9947</v>
      </c>
      <c r="U194" s="162">
        <v>326.8</v>
      </c>
      <c r="V194">
        <v>0</v>
      </c>
      <c r="W194" s="162">
        <v>0</v>
      </c>
      <c r="X194">
        <v>0</v>
      </c>
      <c r="Y194" s="162">
        <v>0</v>
      </c>
      <c r="Z194">
        <v>0</v>
      </c>
      <c r="AA194" s="162">
        <v>0</v>
      </c>
      <c r="AB194">
        <v>0</v>
      </c>
      <c r="AC194" s="162" t="s">
        <v>7</v>
      </c>
      <c r="AD194" s="162" t="s">
        <v>7</v>
      </c>
      <c r="AE194" s="162" t="s">
        <v>7</v>
      </c>
      <c r="AF194" s="162" t="s">
        <v>7</v>
      </c>
      <c r="AG194" s="162" t="s">
        <v>7</v>
      </c>
      <c r="AH194" s="162" t="s">
        <v>7</v>
      </c>
      <c r="AI194" t="s">
        <v>9843</v>
      </c>
      <c r="AJ194" t="s">
        <v>1136</v>
      </c>
      <c r="AK194" t="s">
        <v>72</v>
      </c>
      <c r="AL194" t="s">
        <v>78</v>
      </c>
      <c r="AM194" s="162" t="s">
        <v>10138</v>
      </c>
      <c r="AN194" t="s">
        <v>9843</v>
      </c>
      <c r="AO194" t="s">
        <v>7</v>
      </c>
      <c r="AP194" t="s">
        <v>1104</v>
      </c>
      <c r="AQ194" t="s">
        <v>1080</v>
      </c>
      <c r="AR194" t="s">
        <v>7</v>
      </c>
      <c r="AS194" s="162" t="s">
        <v>7</v>
      </c>
      <c r="AT194" s="117" t="s">
        <v>1111</v>
      </c>
      <c r="AU194" s="162" t="s">
        <v>9851</v>
      </c>
      <c r="AV194" s="162" t="s">
        <v>7</v>
      </c>
      <c r="AW194" s="162" t="s">
        <v>7</v>
      </c>
      <c r="AX194" s="162" t="s">
        <v>7</v>
      </c>
      <c r="AY194" s="162" t="s">
        <v>9851</v>
      </c>
      <c r="AZ194" t="s">
        <v>7</v>
      </c>
      <c r="BA194" s="162" t="s">
        <v>7</v>
      </c>
      <c r="BB194" s="162" t="s">
        <v>7</v>
      </c>
      <c r="BC194" s="162" t="s">
        <v>7</v>
      </c>
      <c r="BD194" s="162" t="s">
        <v>7</v>
      </c>
      <c r="BE194" s="162" t="s">
        <v>7</v>
      </c>
      <c r="BF194" s="162" t="str">
        <f t="shared" ref="BF194:BF257" si="6">IF(AZ194="Não","Sim","Não")</f>
        <v>Sim</v>
      </c>
      <c r="BG194" s="162" t="str">
        <f t="shared" ref="BG194:BG257" si="7">IF(AZ194="NA","Sim","Não")</f>
        <v>Não</v>
      </c>
      <c r="BH194" s="162" t="s">
        <v>7</v>
      </c>
      <c r="BI194" t="s">
        <v>7</v>
      </c>
      <c r="BJ194" s="162" t="s">
        <v>7</v>
      </c>
      <c r="BK194" t="s">
        <v>9</v>
      </c>
      <c r="BL194" s="162">
        <v>60</v>
      </c>
      <c r="BM194" t="s">
        <v>35</v>
      </c>
      <c r="BN194" t="s">
        <v>35</v>
      </c>
      <c r="BO194" t="s">
        <v>9</v>
      </c>
      <c r="BP194" s="162">
        <v>60</v>
      </c>
      <c r="BQ194" t="s">
        <v>35</v>
      </c>
      <c r="BR194" t="s">
        <v>1849</v>
      </c>
      <c r="BS194" s="162" t="s">
        <v>10170</v>
      </c>
    </row>
    <row r="195" spans="1:71">
      <c r="A195" s="162">
        <v>194</v>
      </c>
      <c r="B195" t="s">
        <v>327</v>
      </c>
      <c r="C195" s="162">
        <v>1</v>
      </c>
      <c r="D195" s="122">
        <v>42894</v>
      </c>
      <c r="E195" t="s">
        <v>791</v>
      </c>
      <c r="F195" t="s">
        <v>515</v>
      </c>
      <c r="G195" t="s">
        <v>335</v>
      </c>
      <c r="H195" t="s">
        <v>1889</v>
      </c>
      <c r="I195" s="162">
        <v>1</v>
      </c>
      <c r="J195" t="s">
        <v>1855</v>
      </c>
      <c r="K195" t="s">
        <v>515</v>
      </c>
      <c r="L195" s="165">
        <v>29777</v>
      </c>
      <c r="M195" s="166">
        <v>35</v>
      </c>
      <c r="N195" t="s">
        <v>5</v>
      </c>
      <c r="O195" t="s">
        <v>10135</v>
      </c>
      <c r="P195" t="s">
        <v>77</v>
      </c>
      <c r="Q195" t="s">
        <v>1186</v>
      </c>
      <c r="R195">
        <v>0</v>
      </c>
      <c r="S195" s="162">
        <v>0</v>
      </c>
      <c r="T195" t="s">
        <v>1987</v>
      </c>
      <c r="U195" s="162">
        <v>42.4</v>
      </c>
      <c r="V195">
        <v>0</v>
      </c>
      <c r="W195" s="162">
        <v>0</v>
      </c>
      <c r="X195">
        <v>0</v>
      </c>
      <c r="Y195" s="162">
        <v>0</v>
      </c>
      <c r="Z195">
        <v>0</v>
      </c>
      <c r="AA195" s="162">
        <v>0</v>
      </c>
      <c r="AB195">
        <v>0</v>
      </c>
      <c r="AC195" s="162" t="s">
        <v>7</v>
      </c>
      <c r="AD195" s="162" t="s">
        <v>7</v>
      </c>
      <c r="AE195" s="162" t="s">
        <v>7</v>
      </c>
      <c r="AF195" s="162" t="s">
        <v>7</v>
      </c>
      <c r="AG195" s="162" t="s">
        <v>7</v>
      </c>
      <c r="AH195" s="162" t="s">
        <v>7</v>
      </c>
      <c r="AI195" t="s">
        <v>9843</v>
      </c>
      <c r="AJ195" t="s">
        <v>7</v>
      </c>
      <c r="AK195" t="s">
        <v>1890</v>
      </c>
      <c r="AL195" t="s">
        <v>36</v>
      </c>
      <c r="AM195" s="162" t="s">
        <v>10138</v>
      </c>
      <c r="AN195" t="s">
        <v>9843</v>
      </c>
      <c r="AO195" t="s">
        <v>35</v>
      </c>
      <c r="AP195" t="s">
        <v>7</v>
      </c>
      <c r="AQ195" t="s">
        <v>9</v>
      </c>
      <c r="AR195" t="s">
        <v>7</v>
      </c>
      <c r="AS195" s="162" t="s">
        <v>7</v>
      </c>
      <c r="AT195" s="117" t="s">
        <v>7</v>
      </c>
      <c r="AU195" s="162" t="s">
        <v>7</v>
      </c>
      <c r="AV195" s="162" t="s">
        <v>7</v>
      </c>
      <c r="AW195" s="162" t="s">
        <v>9851</v>
      </c>
      <c r="AX195" s="162" t="s">
        <v>7</v>
      </c>
      <c r="AY195" s="162" t="s">
        <v>7</v>
      </c>
      <c r="AZ195" t="s">
        <v>7</v>
      </c>
      <c r="BA195" s="162" t="s">
        <v>7</v>
      </c>
      <c r="BB195" s="162" t="s">
        <v>7</v>
      </c>
      <c r="BC195" s="162" t="s">
        <v>7</v>
      </c>
      <c r="BD195" s="162" t="s">
        <v>7</v>
      </c>
      <c r="BE195" s="162" t="s">
        <v>7</v>
      </c>
      <c r="BF195" s="162" t="str">
        <f t="shared" si="6"/>
        <v>Sim</v>
      </c>
      <c r="BG195" s="162" t="str">
        <f t="shared" si="7"/>
        <v>Não</v>
      </c>
      <c r="BH195" s="162" t="s">
        <v>7</v>
      </c>
      <c r="BI195" t="s">
        <v>7</v>
      </c>
      <c r="BJ195" s="162" t="s">
        <v>7</v>
      </c>
      <c r="BK195" t="s">
        <v>9</v>
      </c>
      <c r="BL195" s="162">
        <v>60</v>
      </c>
      <c r="BM195" t="s">
        <v>35</v>
      </c>
      <c r="BN195" t="s">
        <v>35</v>
      </c>
      <c r="BO195" t="s">
        <v>9</v>
      </c>
      <c r="BP195" s="162">
        <v>60</v>
      </c>
      <c r="BQ195" t="s">
        <v>35</v>
      </c>
      <c r="BR195" t="s">
        <v>1849</v>
      </c>
      <c r="BS195" s="162" t="s">
        <v>10170</v>
      </c>
    </row>
    <row r="196" spans="1:71">
      <c r="A196" s="162">
        <v>195</v>
      </c>
      <c r="B196" t="s">
        <v>145</v>
      </c>
      <c r="C196" s="162">
        <v>1</v>
      </c>
      <c r="D196" s="122" t="s">
        <v>546</v>
      </c>
      <c r="E196" t="s">
        <v>540</v>
      </c>
      <c r="F196" t="s">
        <v>3</v>
      </c>
      <c r="G196" t="s">
        <v>155</v>
      </c>
      <c r="H196" t="s">
        <v>547</v>
      </c>
      <c r="I196" s="162">
        <v>1</v>
      </c>
      <c r="J196" t="s">
        <v>1855</v>
      </c>
      <c r="K196" t="s">
        <v>3</v>
      </c>
      <c r="L196" s="165">
        <v>35679</v>
      </c>
      <c r="M196" s="166">
        <v>20</v>
      </c>
      <c r="N196" t="s">
        <v>5</v>
      </c>
      <c r="O196" t="s">
        <v>10135</v>
      </c>
      <c r="P196" t="s">
        <v>1101</v>
      </c>
      <c r="Q196" t="s">
        <v>1220</v>
      </c>
      <c r="R196" t="s">
        <v>1754</v>
      </c>
      <c r="S196" s="162">
        <v>74.900000000000006</v>
      </c>
      <c r="T196" t="s">
        <v>1753</v>
      </c>
      <c r="U196" s="162">
        <v>25.4</v>
      </c>
      <c r="V196">
        <v>0</v>
      </c>
      <c r="W196" s="162">
        <v>0</v>
      </c>
      <c r="X196">
        <v>0</v>
      </c>
      <c r="Y196" s="162">
        <v>0</v>
      </c>
      <c r="Z196">
        <v>0</v>
      </c>
      <c r="AA196" s="162">
        <v>0</v>
      </c>
      <c r="AB196">
        <v>0</v>
      </c>
      <c r="AC196" s="162" t="s">
        <v>7</v>
      </c>
      <c r="AD196" s="162" t="s">
        <v>7</v>
      </c>
      <c r="AE196" s="162" t="s">
        <v>7</v>
      </c>
      <c r="AF196" s="162" t="s">
        <v>7</v>
      </c>
      <c r="AG196" s="162" t="s">
        <v>7</v>
      </c>
      <c r="AH196" s="162" t="s">
        <v>7</v>
      </c>
      <c r="AI196" t="s">
        <v>9843</v>
      </c>
      <c r="AJ196" t="s">
        <v>7</v>
      </c>
      <c r="AK196" t="s">
        <v>1755</v>
      </c>
      <c r="AL196" t="s">
        <v>36</v>
      </c>
      <c r="AM196" s="162" t="s">
        <v>10138</v>
      </c>
      <c r="AN196" t="s">
        <v>9843</v>
      </c>
      <c r="AO196" t="s">
        <v>35</v>
      </c>
      <c r="AP196" t="s">
        <v>7</v>
      </c>
      <c r="AQ196" t="s">
        <v>9</v>
      </c>
      <c r="AR196" t="s">
        <v>7</v>
      </c>
      <c r="AS196" s="162" t="s">
        <v>7</v>
      </c>
      <c r="AT196" s="117" t="s">
        <v>7</v>
      </c>
      <c r="AU196" s="162" t="s">
        <v>7</v>
      </c>
      <c r="AV196" s="162" t="s">
        <v>7</v>
      </c>
      <c r="AW196" s="162" t="s">
        <v>9851</v>
      </c>
      <c r="AX196" s="162" t="s">
        <v>7</v>
      </c>
      <c r="AY196" s="162" t="s">
        <v>7</v>
      </c>
      <c r="AZ196" t="s">
        <v>7</v>
      </c>
      <c r="BA196" s="162" t="s">
        <v>7</v>
      </c>
      <c r="BB196" s="162" t="s">
        <v>7</v>
      </c>
      <c r="BC196" s="162" t="s">
        <v>7</v>
      </c>
      <c r="BD196" s="162" t="s">
        <v>7</v>
      </c>
      <c r="BE196" s="162" t="s">
        <v>7</v>
      </c>
      <c r="BF196" s="162" t="str">
        <f t="shared" si="6"/>
        <v>Sim</v>
      </c>
      <c r="BG196" s="162" t="str">
        <f t="shared" si="7"/>
        <v>Não</v>
      </c>
      <c r="BH196" s="162" t="s">
        <v>7</v>
      </c>
      <c r="BI196" t="s">
        <v>7</v>
      </c>
      <c r="BJ196" s="162" t="s">
        <v>7</v>
      </c>
      <c r="BK196" t="s">
        <v>9</v>
      </c>
      <c r="BL196" s="162">
        <v>60</v>
      </c>
      <c r="BM196" t="s">
        <v>35</v>
      </c>
      <c r="BN196" t="s">
        <v>35</v>
      </c>
      <c r="BO196" t="s">
        <v>9</v>
      </c>
      <c r="BP196" s="162">
        <v>60</v>
      </c>
      <c r="BQ196" t="s">
        <v>35</v>
      </c>
      <c r="BR196" t="s">
        <v>1114</v>
      </c>
      <c r="BS196" s="162" t="s">
        <v>1114</v>
      </c>
    </row>
    <row r="197" spans="1:71">
      <c r="A197" s="162">
        <v>196</v>
      </c>
      <c r="B197" t="s">
        <v>447</v>
      </c>
      <c r="C197" s="162">
        <v>1</v>
      </c>
      <c r="D197" s="122" t="s">
        <v>845</v>
      </c>
      <c r="E197" t="s">
        <v>1006</v>
      </c>
      <c r="F197" t="s">
        <v>3</v>
      </c>
      <c r="G197" t="s">
        <v>450</v>
      </c>
      <c r="H197" t="s">
        <v>1013</v>
      </c>
      <c r="I197" s="162">
        <v>1</v>
      </c>
      <c r="J197" t="s">
        <v>1855</v>
      </c>
      <c r="K197" t="s">
        <v>3</v>
      </c>
      <c r="L197" s="165">
        <v>30337</v>
      </c>
      <c r="M197" s="166">
        <v>34</v>
      </c>
      <c r="N197" t="s">
        <v>5</v>
      </c>
      <c r="O197" t="s">
        <v>10135</v>
      </c>
      <c r="P197" t="s">
        <v>48</v>
      </c>
      <c r="Q197" t="s">
        <v>1127</v>
      </c>
      <c r="R197" t="s">
        <v>10041</v>
      </c>
      <c r="S197" s="162">
        <v>30.3</v>
      </c>
      <c r="T197" t="s">
        <v>10042</v>
      </c>
      <c r="U197" s="162">
        <v>2.1</v>
      </c>
      <c r="V197">
        <v>0</v>
      </c>
      <c r="W197" s="162">
        <v>0</v>
      </c>
      <c r="X197">
        <v>0</v>
      </c>
      <c r="Y197" s="162">
        <v>0</v>
      </c>
      <c r="Z197">
        <v>0</v>
      </c>
      <c r="AA197" s="162">
        <v>0</v>
      </c>
      <c r="AB197">
        <v>0</v>
      </c>
      <c r="AC197" s="162" t="s">
        <v>7</v>
      </c>
      <c r="AD197" s="162" t="s">
        <v>7</v>
      </c>
      <c r="AE197" s="162" t="s">
        <v>7</v>
      </c>
      <c r="AF197" s="162" t="s">
        <v>7</v>
      </c>
      <c r="AG197" s="162" t="s">
        <v>7</v>
      </c>
      <c r="AH197" s="162" t="s">
        <v>7</v>
      </c>
      <c r="AI197" t="s">
        <v>9843</v>
      </c>
      <c r="AJ197" t="s">
        <v>7</v>
      </c>
      <c r="AK197" t="s">
        <v>1106</v>
      </c>
      <c r="AL197" t="s">
        <v>36</v>
      </c>
      <c r="AM197" s="162" t="s">
        <v>10138</v>
      </c>
      <c r="AN197" t="s">
        <v>9843</v>
      </c>
      <c r="AO197" t="s">
        <v>35</v>
      </c>
      <c r="AP197" t="s">
        <v>7</v>
      </c>
      <c r="AQ197" t="s">
        <v>9</v>
      </c>
      <c r="AR197" t="s">
        <v>7</v>
      </c>
      <c r="AS197" s="162" t="s">
        <v>7</v>
      </c>
      <c r="AT197" s="117" t="s">
        <v>7</v>
      </c>
      <c r="AU197" s="162" t="s">
        <v>7</v>
      </c>
      <c r="AV197" s="162" t="s">
        <v>7</v>
      </c>
      <c r="AW197" s="162" t="s">
        <v>9851</v>
      </c>
      <c r="AX197" s="162" t="s">
        <v>7</v>
      </c>
      <c r="AY197" s="162" t="s">
        <v>7</v>
      </c>
      <c r="AZ197" t="s">
        <v>7</v>
      </c>
      <c r="BA197" s="162" t="s">
        <v>7</v>
      </c>
      <c r="BB197" s="162" t="s">
        <v>7</v>
      </c>
      <c r="BC197" s="162" t="s">
        <v>7</v>
      </c>
      <c r="BD197" s="162" t="s">
        <v>7</v>
      </c>
      <c r="BE197" s="162" t="s">
        <v>7</v>
      </c>
      <c r="BF197" s="162" t="str">
        <f t="shared" si="6"/>
        <v>Sim</v>
      </c>
      <c r="BG197" s="162" t="str">
        <f t="shared" si="7"/>
        <v>Não</v>
      </c>
      <c r="BH197" s="162" t="s">
        <v>7</v>
      </c>
      <c r="BI197" t="s">
        <v>9872</v>
      </c>
      <c r="BJ197" s="162" t="s">
        <v>10165</v>
      </c>
      <c r="BK197" t="s">
        <v>9</v>
      </c>
      <c r="BL197" s="162">
        <v>60</v>
      </c>
      <c r="BM197" t="s">
        <v>35</v>
      </c>
      <c r="BN197" t="s">
        <v>35</v>
      </c>
      <c r="BO197" t="s">
        <v>9</v>
      </c>
      <c r="BP197" s="162">
        <v>60</v>
      </c>
      <c r="BQ197" t="s">
        <v>35</v>
      </c>
      <c r="BR197" t="s">
        <v>1849</v>
      </c>
      <c r="BS197" s="162" t="s">
        <v>10170</v>
      </c>
    </row>
    <row r="198" spans="1:71">
      <c r="A198" s="162">
        <v>197</v>
      </c>
      <c r="B198" t="s">
        <v>261</v>
      </c>
      <c r="C198" s="162">
        <v>0</v>
      </c>
      <c r="D198" s="122" t="s">
        <v>738</v>
      </c>
      <c r="E198" t="s">
        <v>728</v>
      </c>
      <c r="F198" t="s">
        <v>3</v>
      </c>
      <c r="G198" t="s">
        <v>264</v>
      </c>
      <c r="H198" t="s">
        <v>740</v>
      </c>
      <c r="I198" s="162">
        <v>1</v>
      </c>
      <c r="J198" t="s">
        <v>1855</v>
      </c>
      <c r="K198" t="s">
        <v>3</v>
      </c>
      <c r="L198" s="165">
        <v>24993</v>
      </c>
      <c r="M198" s="166">
        <v>49</v>
      </c>
      <c r="N198" t="s">
        <v>4</v>
      </c>
      <c r="O198" t="s">
        <v>10134</v>
      </c>
      <c r="P198" t="s">
        <v>41</v>
      </c>
      <c r="Q198" t="s">
        <v>1658</v>
      </c>
      <c r="R198">
        <v>0</v>
      </c>
      <c r="S198" s="162">
        <v>0</v>
      </c>
      <c r="T198" t="s">
        <v>10059</v>
      </c>
      <c r="U198" s="162">
        <v>45962</v>
      </c>
      <c r="V198">
        <v>0</v>
      </c>
      <c r="W198" s="162">
        <v>0</v>
      </c>
      <c r="X198">
        <v>0</v>
      </c>
      <c r="Y198" s="162">
        <v>0</v>
      </c>
      <c r="Z198">
        <v>0</v>
      </c>
      <c r="AA198" s="162">
        <v>0</v>
      </c>
      <c r="AB198">
        <v>0</v>
      </c>
      <c r="AC198" s="162" t="s">
        <v>7</v>
      </c>
      <c r="AD198" s="162" t="s">
        <v>7</v>
      </c>
      <c r="AE198" s="162" t="s">
        <v>7</v>
      </c>
      <c r="AF198" s="162" t="s">
        <v>7</v>
      </c>
      <c r="AG198" s="162" t="s">
        <v>7</v>
      </c>
      <c r="AH198" s="162" t="s">
        <v>7</v>
      </c>
      <c r="AI198" t="s">
        <v>9846</v>
      </c>
      <c r="AJ198" t="s">
        <v>7</v>
      </c>
      <c r="AK198" t="s">
        <v>1659</v>
      </c>
      <c r="AL198" t="s">
        <v>78</v>
      </c>
      <c r="AM198" s="162" t="s">
        <v>10138</v>
      </c>
      <c r="AN198" t="s">
        <v>9843</v>
      </c>
      <c r="AO198" t="s">
        <v>35</v>
      </c>
      <c r="AP198" t="s">
        <v>7</v>
      </c>
      <c r="AQ198" t="s">
        <v>9</v>
      </c>
      <c r="AR198" t="s">
        <v>1097</v>
      </c>
      <c r="AS198" s="162" t="s">
        <v>9851</v>
      </c>
      <c r="AT198" s="117" t="s">
        <v>1111</v>
      </c>
      <c r="AU198" s="162" t="s">
        <v>9851</v>
      </c>
      <c r="AV198" s="162" t="s">
        <v>7</v>
      </c>
      <c r="AW198" s="162" t="s">
        <v>7</v>
      </c>
      <c r="AX198" s="162" t="s">
        <v>7</v>
      </c>
      <c r="AY198" s="162" t="s">
        <v>9851</v>
      </c>
      <c r="AZ198" t="s">
        <v>7</v>
      </c>
      <c r="BA198" s="162" t="s">
        <v>7</v>
      </c>
      <c r="BB198" s="162" t="s">
        <v>7</v>
      </c>
      <c r="BC198" s="162" t="s">
        <v>7</v>
      </c>
      <c r="BD198" s="162" t="s">
        <v>7</v>
      </c>
      <c r="BE198" s="162" t="s">
        <v>7</v>
      </c>
      <c r="BF198" s="162" t="str">
        <f t="shared" si="6"/>
        <v>Sim</v>
      </c>
      <c r="BG198" s="162" t="str">
        <f t="shared" si="7"/>
        <v>Não</v>
      </c>
      <c r="BH198" s="162" t="s">
        <v>7</v>
      </c>
      <c r="BI198" t="s">
        <v>9872</v>
      </c>
      <c r="BJ198" s="162" t="s">
        <v>10165</v>
      </c>
      <c r="BK198" t="s">
        <v>9</v>
      </c>
      <c r="BL198" s="162">
        <v>60</v>
      </c>
      <c r="BM198" t="s">
        <v>35</v>
      </c>
      <c r="BN198" t="s">
        <v>35</v>
      </c>
      <c r="BO198" t="s">
        <v>9</v>
      </c>
      <c r="BP198" s="162">
        <v>60</v>
      </c>
      <c r="BQ198" t="s">
        <v>35</v>
      </c>
      <c r="BR198" t="s">
        <v>1849</v>
      </c>
      <c r="BS198" s="162" t="s">
        <v>10170</v>
      </c>
    </row>
    <row r="199" spans="1:71">
      <c r="A199" s="162">
        <v>198</v>
      </c>
      <c r="B199" t="s">
        <v>92</v>
      </c>
      <c r="C199" s="162">
        <v>1</v>
      </c>
      <c r="D199" s="122" t="s">
        <v>106</v>
      </c>
      <c r="E199" t="s">
        <v>107</v>
      </c>
      <c r="F199" t="s">
        <v>515</v>
      </c>
      <c r="G199" t="s">
        <v>87</v>
      </c>
      <c r="H199" t="s">
        <v>108</v>
      </c>
      <c r="I199" s="162">
        <v>1</v>
      </c>
      <c r="J199" t="s">
        <v>1855</v>
      </c>
      <c r="K199" t="s">
        <v>3</v>
      </c>
      <c r="L199" s="165">
        <v>26584</v>
      </c>
      <c r="M199" s="166">
        <v>44</v>
      </c>
      <c r="N199" t="s">
        <v>1093</v>
      </c>
      <c r="O199" t="s">
        <v>10135</v>
      </c>
      <c r="P199" t="s">
        <v>1101</v>
      </c>
      <c r="Q199" t="s">
        <v>1852</v>
      </c>
      <c r="R199">
        <v>0</v>
      </c>
      <c r="S199" s="162">
        <v>0</v>
      </c>
      <c r="T199" t="s">
        <v>1853</v>
      </c>
      <c r="U199" s="162">
        <v>39.6</v>
      </c>
      <c r="V199">
        <v>0</v>
      </c>
      <c r="W199" s="162">
        <v>0</v>
      </c>
      <c r="X199">
        <v>0</v>
      </c>
      <c r="Y199" s="162">
        <v>0</v>
      </c>
      <c r="Z199">
        <v>0</v>
      </c>
      <c r="AA199" s="162">
        <v>0</v>
      </c>
      <c r="AB199">
        <v>0</v>
      </c>
      <c r="AC199" s="162" t="s">
        <v>7</v>
      </c>
      <c r="AD199" s="162" t="s">
        <v>7</v>
      </c>
      <c r="AE199" s="162" t="s">
        <v>7</v>
      </c>
      <c r="AF199" s="162" t="s">
        <v>7</v>
      </c>
      <c r="AG199" s="162" t="s">
        <v>7</v>
      </c>
      <c r="AH199" s="162" t="s">
        <v>7</v>
      </c>
      <c r="AI199" t="s">
        <v>9843</v>
      </c>
      <c r="AJ199" t="s">
        <v>7</v>
      </c>
      <c r="AK199" t="s">
        <v>1212</v>
      </c>
      <c r="AL199" t="s">
        <v>36</v>
      </c>
      <c r="AM199" s="162" t="s">
        <v>10138</v>
      </c>
      <c r="AN199" t="s">
        <v>9843</v>
      </c>
      <c r="AO199" t="s">
        <v>35</v>
      </c>
      <c r="AP199" t="s">
        <v>7</v>
      </c>
      <c r="AQ199" t="s">
        <v>9</v>
      </c>
      <c r="AR199" t="s">
        <v>7</v>
      </c>
      <c r="AS199" s="162" t="s">
        <v>7</v>
      </c>
      <c r="AT199" s="117" t="s">
        <v>7</v>
      </c>
      <c r="AU199" s="162" t="s">
        <v>7</v>
      </c>
      <c r="AV199" s="162" t="s">
        <v>7</v>
      </c>
      <c r="AW199" s="162" t="s">
        <v>9851</v>
      </c>
      <c r="AX199" s="162" t="s">
        <v>7</v>
      </c>
      <c r="AY199" s="162" t="s">
        <v>7</v>
      </c>
      <c r="AZ199" t="s">
        <v>7</v>
      </c>
      <c r="BA199" s="162" t="s">
        <v>7</v>
      </c>
      <c r="BB199" s="162" t="s">
        <v>7</v>
      </c>
      <c r="BC199" s="162" t="s">
        <v>7</v>
      </c>
      <c r="BD199" s="162" t="s">
        <v>7</v>
      </c>
      <c r="BE199" s="162" t="s">
        <v>7</v>
      </c>
      <c r="BF199" s="162" t="str">
        <f t="shared" si="6"/>
        <v>Sim</v>
      </c>
      <c r="BG199" s="162" t="str">
        <f t="shared" si="7"/>
        <v>Não</v>
      </c>
      <c r="BH199" s="162" t="s">
        <v>7</v>
      </c>
      <c r="BI199" t="s">
        <v>9872</v>
      </c>
      <c r="BJ199" s="162" t="s">
        <v>10165</v>
      </c>
      <c r="BK199" t="s">
        <v>9</v>
      </c>
      <c r="BL199" s="162">
        <v>60</v>
      </c>
      <c r="BM199" t="s">
        <v>35</v>
      </c>
      <c r="BN199" t="s">
        <v>35</v>
      </c>
      <c r="BO199" t="s">
        <v>9</v>
      </c>
      <c r="BP199" s="162">
        <v>60</v>
      </c>
      <c r="BQ199" t="s">
        <v>35</v>
      </c>
      <c r="BR199" t="s">
        <v>1849</v>
      </c>
      <c r="BS199" s="162" t="s">
        <v>10170</v>
      </c>
    </row>
    <row r="200" spans="1:71">
      <c r="A200" s="162">
        <v>199</v>
      </c>
      <c r="B200" t="s">
        <v>119</v>
      </c>
      <c r="C200" s="162">
        <v>1</v>
      </c>
      <c r="D200" s="122">
        <v>43069</v>
      </c>
      <c r="E200" t="s">
        <v>476</v>
      </c>
      <c r="F200" t="s">
        <v>3</v>
      </c>
      <c r="G200" t="s">
        <v>120</v>
      </c>
      <c r="H200" t="s">
        <v>487</v>
      </c>
      <c r="I200" s="162">
        <v>1</v>
      </c>
      <c r="J200" t="s">
        <v>1855</v>
      </c>
      <c r="K200" t="s">
        <v>3</v>
      </c>
      <c r="L200" s="165">
        <v>35694</v>
      </c>
      <c r="M200" s="166">
        <v>20</v>
      </c>
      <c r="N200" t="s">
        <v>4</v>
      </c>
      <c r="O200" t="s">
        <v>10134</v>
      </c>
      <c r="P200" t="s">
        <v>48</v>
      </c>
      <c r="Q200" t="s">
        <v>1263</v>
      </c>
      <c r="R200" t="s">
        <v>1174</v>
      </c>
      <c r="S200" s="162">
        <v>2072.3000000000002</v>
      </c>
      <c r="T200" t="s">
        <v>1175</v>
      </c>
      <c r="U200" s="162">
        <v>59.8</v>
      </c>
      <c r="V200">
        <v>0</v>
      </c>
      <c r="W200" s="162">
        <v>0</v>
      </c>
      <c r="X200">
        <v>0</v>
      </c>
      <c r="Y200" s="162">
        <v>0</v>
      </c>
      <c r="Z200">
        <v>0</v>
      </c>
      <c r="AA200" s="162">
        <v>0</v>
      </c>
      <c r="AB200">
        <v>0</v>
      </c>
      <c r="AC200" s="162" t="s">
        <v>7</v>
      </c>
      <c r="AD200" s="162" t="s">
        <v>7</v>
      </c>
      <c r="AE200" s="162" t="s">
        <v>7</v>
      </c>
      <c r="AF200" s="162" t="s">
        <v>7</v>
      </c>
      <c r="AG200" s="162" t="s">
        <v>7</v>
      </c>
      <c r="AH200" s="162" t="s">
        <v>7</v>
      </c>
      <c r="AI200" t="s">
        <v>9843</v>
      </c>
      <c r="AJ200" t="s">
        <v>7</v>
      </c>
      <c r="AK200" t="s">
        <v>1082</v>
      </c>
      <c r="AL200" t="s">
        <v>36</v>
      </c>
      <c r="AM200" s="162" t="s">
        <v>10138</v>
      </c>
      <c r="AN200" t="s">
        <v>9843</v>
      </c>
      <c r="AO200" t="s">
        <v>35</v>
      </c>
      <c r="AP200" t="s">
        <v>7</v>
      </c>
      <c r="AQ200" t="s">
        <v>9</v>
      </c>
      <c r="AR200" t="s">
        <v>7</v>
      </c>
      <c r="AS200" s="162" t="s">
        <v>7</v>
      </c>
      <c r="AT200" s="117" t="s">
        <v>7</v>
      </c>
      <c r="AU200" s="162" t="s">
        <v>7</v>
      </c>
      <c r="AV200" s="162" t="s">
        <v>7</v>
      </c>
      <c r="AW200" s="162" t="s">
        <v>9851</v>
      </c>
      <c r="AX200" s="162" t="s">
        <v>7</v>
      </c>
      <c r="AY200" s="162" t="s">
        <v>7</v>
      </c>
      <c r="AZ200" t="s">
        <v>7</v>
      </c>
      <c r="BA200" s="162" t="s">
        <v>7</v>
      </c>
      <c r="BB200" s="162" t="s">
        <v>7</v>
      </c>
      <c r="BC200" s="162" t="s">
        <v>7</v>
      </c>
      <c r="BD200" s="162" t="s">
        <v>7</v>
      </c>
      <c r="BE200" s="162" t="s">
        <v>7</v>
      </c>
      <c r="BF200" s="162" t="str">
        <f t="shared" si="6"/>
        <v>Sim</v>
      </c>
      <c r="BG200" s="162" t="str">
        <f t="shared" si="7"/>
        <v>Não</v>
      </c>
      <c r="BH200" s="162" t="s">
        <v>7</v>
      </c>
      <c r="BI200" t="s">
        <v>7</v>
      </c>
      <c r="BJ200" s="162" t="s">
        <v>7</v>
      </c>
      <c r="BK200" t="s">
        <v>9</v>
      </c>
      <c r="BL200" s="162">
        <v>60</v>
      </c>
      <c r="BM200" t="s">
        <v>35</v>
      </c>
      <c r="BN200" t="s">
        <v>35</v>
      </c>
      <c r="BO200" t="s">
        <v>9</v>
      </c>
      <c r="BP200" s="162">
        <v>60</v>
      </c>
      <c r="BQ200" t="s">
        <v>35</v>
      </c>
      <c r="BR200" t="s">
        <v>1849</v>
      </c>
      <c r="BS200" s="162" t="s">
        <v>10170</v>
      </c>
    </row>
    <row r="201" spans="1:71">
      <c r="A201" s="162">
        <v>200</v>
      </c>
      <c r="B201" t="s">
        <v>212</v>
      </c>
      <c r="C201" s="162">
        <v>1</v>
      </c>
      <c r="D201" s="122" t="s">
        <v>638</v>
      </c>
      <c r="E201" t="s">
        <v>652</v>
      </c>
      <c r="F201" t="s">
        <v>3</v>
      </c>
      <c r="G201" t="s">
        <v>214</v>
      </c>
      <c r="H201" t="s">
        <v>672</v>
      </c>
      <c r="I201" s="162">
        <v>1</v>
      </c>
      <c r="J201" t="s">
        <v>1864</v>
      </c>
      <c r="K201" t="s">
        <v>3</v>
      </c>
      <c r="L201" s="165">
        <v>31363</v>
      </c>
      <c r="M201" s="166">
        <v>31</v>
      </c>
      <c r="N201" t="s">
        <v>5</v>
      </c>
      <c r="O201" t="s">
        <v>10135</v>
      </c>
      <c r="P201" t="s">
        <v>18</v>
      </c>
      <c r="Q201" t="s">
        <v>9814</v>
      </c>
      <c r="R201">
        <v>0</v>
      </c>
      <c r="S201" s="162">
        <v>0</v>
      </c>
      <c r="T201" t="s">
        <v>1736</v>
      </c>
      <c r="U201" s="162">
        <v>142.4</v>
      </c>
      <c r="V201">
        <v>0</v>
      </c>
      <c r="W201" s="162">
        <v>0</v>
      </c>
      <c r="X201">
        <v>0</v>
      </c>
      <c r="Y201" s="162">
        <v>0</v>
      </c>
      <c r="Z201">
        <v>0</v>
      </c>
      <c r="AA201" s="162">
        <v>0</v>
      </c>
      <c r="AB201">
        <v>0</v>
      </c>
      <c r="AC201" s="162" t="s">
        <v>7</v>
      </c>
      <c r="AD201" s="162" t="s">
        <v>7</v>
      </c>
      <c r="AE201" s="162" t="s">
        <v>7</v>
      </c>
      <c r="AF201" s="162" t="s">
        <v>7</v>
      </c>
      <c r="AG201" s="162" t="s">
        <v>7</v>
      </c>
      <c r="AH201" s="162" t="s">
        <v>7</v>
      </c>
      <c r="AI201" t="s">
        <v>9846</v>
      </c>
      <c r="AJ201" t="s">
        <v>7</v>
      </c>
      <c r="AK201" t="s">
        <v>1150</v>
      </c>
      <c r="AL201" t="s">
        <v>78</v>
      </c>
      <c r="AM201" s="162" t="s">
        <v>10138</v>
      </c>
      <c r="AN201" t="s">
        <v>9843</v>
      </c>
      <c r="AO201" t="s">
        <v>35</v>
      </c>
      <c r="AP201" t="s">
        <v>7</v>
      </c>
      <c r="AQ201" t="s">
        <v>9</v>
      </c>
      <c r="AR201" t="s">
        <v>7</v>
      </c>
      <c r="AS201" s="162" t="s">
        <v>7</v>
      </c>
      <c r="AT201" s="117" t="s">
        <v>7</v>
      </c>
      <c r="AU201" s="162" t="s">
        <v>7</v>
      </c>
      <c r="AV201" s="162" t="s">
        <v>7</v>
      </c>
      <c r="AW201" s="162" t="s">
        <v>9851</v>
      </c>
      <c r="AX201" s="162" t="s">
        <v>7</v>
      </c>
      <c r="AY201" s="162" t="s">
        <v>7</v>
      </c>
      <c r="AZ201" t="s">
        <v>7</v>
      </c>
      <c r="BA201" s="162" t="s">
        <v>7</v>
      </c>
      <c r="BB201" s="162" t="s">
        <v>7</v>
      </c>
      <c r="BC201" s="162" t="s">
        <v>7</v>
      </c>
      <c r="BD201" s="162" t="s">
        <v>7</v>
      </c>
      <c r="BE201" s="162" t="s">
        <v>7</v>
      </c>
      <c r="BF201" s="162" t="str">
        <f t="shared" si="6"/>
        <v>Sim</v>
      </c>
      <c r="BG201" s="162" t="str">
        <f t="shared" si="7"/>
        <v>Não</v>
      </c>
      <c r="BH201" s="162" t="s">
        <v>7</v>
      </c>
      <c r="BI201" t="s">
        <v>9872</v>
      </c>
      <c r="BJ201" s="162" t="s">
        <v>10165</v>
      </c>
      <c r="BK201" t="s">
        <v>9</v>
      </c>
      <c r="BL201" s="162">
        <v>60</v>
      </c>
      <c r="BM201" t="s">
        <v>35</v>
      </c>
      <c r="BN201" t="s">
        <v>35</v>
      </c>
      <c r="BO201" t="s">
        <v>9</v>
      </c>
      <c r="BP201" s="162">
        <v>60</v>
      </c>
      <c r="BQ201" t="s">
        <v>35</v>
      </c>
      <c r="BR201" t="s">
        <v>1849</v>
      </c>
      <c r="BS201" s="162" t="s">
        <v>10170</v>
      </c>
    </row>
    <row r="202" spans="1:71">
      <c r="A202" s="162">
        <v>201</v>
      </c>
      <c r="B202" t="s">
        <v>466</v>
      </c>
      <c r="C202" s="162">
        <v>1</v>
      </c>
      <c r="D202" s="122" t="s">
        <v>623</v>
      </c>
      <c r="E202" t="s">
        <v>1047</v>
      </c>
      <c r="F202" t="s">
        <v>515</v>
      </c>
      <c r="G202" t="s">
        <v>473</v>
      </c>
      <c r="H202" t="s">
        <v>1056</v>
      </c>
      <c r="I202" s="162">
        <v>1</v>
      </c>
      <c r="J202" t="s">
        <v>1855</v>
      </c>
      <c r="K202" t="s">
        <v>3</v>
      </c>
      <c r="L202" s="165">
        <v>35923</v>
      </c>
      <c r="M202" s="166">
        <v>19</v>
      </c>
      <c r="N202" t="s">
        <v>5</v>
      </c>
      <c r="O202" t="s">
        <v>10135</v>
      </c>
      <c r="P202" t="s">
        <v>48</v>
      </c>
      <c r="Q202" t="s">
        <v>1449</v>
      </c>
      <c r="R202" t="s">
        <v>1450</v>
      </c>
      <c r="S202" s="162">
        <v>66.099999999999994</v>
      </c>
      <c r="T202" t="s">
        <v>10046</v>
      </c>
      <c r="U202" s="162">
        <v>3.2</v>
      </c>
      <c r="V202">
        <v>0</v>
      </c>
      <c r="W202" s="162">
        <v>0</v>
      </c>
      <c r="X202">
        <v>0</v>
      </c>
      <c r="Y202" s="162">
        <v>0</v>
      </c>
      <c r="Z202">
        <v>0</v>
      </c>
      <c r="AA202" s="162">
        <v>0</v>
      </c>
      <c r="AB202">
        <v>0</v>
      </c>
      <c r="AC202" s="162" t="s">
        <v>7</v>
      </c>
      <c r="AD202" s="162" t="s">
        <v>7</v>
      </c>
      <c r="AE202" s="162" t="s">
        <v>7</v>
      </c>
      <c r="AF202" s="162" t="s">
        <v>7</v>
      </c>
      <c r="AG202" s="162" t="s">
        <v>7</v>
      </c>
      <c r="AH202" s="162" t="s">
        <v>7</v>
      </c>
      <c r="AI202" t="s">
        <v>9843</v>
      </c>
      <c r="AJ202" t="s">
        <v>7</v>
      </c>
      <c r="AK202" t="s">
        <v>1173</v>
      </c>
      <c r="AL202" t="s">
        <v>36</v>
      </c>
      <c r="AM202" s="162" t="s">
        <v>10138</v>
      </c>
      <c r="AN202" t="s">
        <v>9843</v>
      </c>
      <c r="AO202" t="s">
        <v>35</v>
      </c>
      <c r="AP202" t="s">
        <v>7</v>
      </c>
      <c r="AQ202" t="s">
        <v>9</v>
      </c>
      <c r="AR202" t="s">
        <v>7</v>
      </c>
      <c r="AS202" s="162" t="s">
        <v>7</v>
      </c>
      <c r="AT202" s="117" t="s">
        <v>7</v>
      </c>
      <c r="AU202" s="162" t="s">
        <v>7</v>
      </c>
      <c r="AV202" s="162" t="s">
        <v>7</v>
      </c>
      <c r="AW202" s="162" t="s">
        <v>9851</v>
      </c>
      <c r="AX202" s="162" t="s">
        <v>7</v>
      </c>
      <c r="AY202" s="162" t="s">
        <v>7</v>
      </c>
      <c r="AZ202" t="s">
        <v>7</v>
      </c>
      <c r="BA202" s="162" t="s">
        <v>7</v>
      </c>
      <c r="BB202" s="162" t="s">
        <v>7</v>
      </c>
      <c r="BC202" s="162" t="s">
        <v>7</v>
      </c>
      <c r="BD202" s="162" t="s">
        <v>7</v>
      </c>
      <c r="BE202" s="162" t="s">
        <v>7</v>
      </c>
      <c r="BF202" s="162" t="str">
        <f t="shared" si="6"/>
        <v>Sim</v>
      </c>
      <c r="BG202" s="162" t="str">
        <f t="shared" si="7"/>
        <v>Não</v>
      </c>
      <c r="BH202" s="162" t="s">
        <v>7</v>
      </c>
      <c r="BI202" t="s">
        <v>7</v>
      </c>
      <c r="BJ202" s="162" t="s">
        <v>7</v>
      </c>
      <c r="BK202" t="s">
        <v>9</v>
      </c>
      <c r="BL202" s="162">
        <v>60</v>
      </c>
      <c r="BM202" t="s">
        <v>35</v>
      </c>
      <c r="BN202" t="s">
        <v>35</v>
      </c>
      <c r="BO202" t="s">
        <v>9</v>
      </c>
      <c r="BP202" s="162">
        <v>60</v>
      </c>
      <c r="BQ202" t="s">
        <v>35</v>
      </c>
      <c r="BR202" t="s">
        <v>1849</v>
      </c>
      <c r="BS202" s="162" t="s">
        <v>10170</v>
      </c>
    </row>
    <row r="203" spans="1:71">
      <c r="A203" s="162">
        <v>202</v>
      </c>
      <c r="B203" t="s">
        <v>393</v>
      </c>
      <c r="C203" s="162">
        <v>1</v>
      </c>
      <c r="D203" s="122" t="s">
        <v>918</v>
      </c>
      <c r="E203" t="s">
        <v>919</v>
      </c>
      <c r="F203" t="s">
        <v>3</v>
      </c>
      <c r="G203" t="s">
        <v>411</v>
      </c>
      <c r="H203" t="s">
        <v>920</v>
      </c>
      <c r="I203" s="162">
        <v>1</v>
      </c>
      <c r="J203" t="s">
        <v>1855</v>
      </c>
      <c r="K203" t="s">
        <v>3</v>
      </c>
      <c r="L203" s="165">
        <v>34734</v>
      </c>
      <c r="M203" s="166">
        <v>22</v>
      </c>
      <c r="N203" t="s">
        <v>4</v>
      </c>
      <c r="O203" t="s">
        <v>10134</v>
      </c>
      <c r="P203" t="s">
        <v>41</v>
      </c>
      <c r="Q203" t="s">
        <v>1130</v>
      </c>
      <c r="R203">
        <v>0</v>
      </c>
      <c r="S203" s="162">
        <v>0</v>
      </c>
      <c r="T203" t="s">
        <v>1131</v>
      </c>
      <c r="U203" s="162">
        <v>60.4</v>
      </c>
      <c r="V203">
        <v>0</v>
      </c>
      <c r="W203" s="162">
        <v>0</v>
      </c>
      <c r="X203">
        <v>0</v>
      </c>
      <c r="Y203" s="162">
        <v>0</v>
      </c>
      <c r="Z203">
        <v>0</v>
      </c>
      <c r="AA203" s="162">
        <v>0</v>
      </c>
      <c r="AB203">
        <v>0</v>
      </c>
      <c r="AC203" s="162" t="s">
        <v>7</v>
      </c>
      <c r="AD203" s="162" t="s">
        <v>7</v>
      </c>
      <c r="AE203" s="162" t="s">
        <v>7</v>
      </c>
      <c r="AF203" s="162" t="s">
        <v>7</v>
      </c>
      <c r="AG203" s="162" t="s">
        <v>7</v>
      </c>
      <c r="AH203" s="162" t="s">
        <v>7</v>
      </c>
      <c r="AI203" t="s">
        <v>9843</v>
      </c>
      <c r="AJ203" t="s">
        <v>7</v>
      </c>
      <c r="AK203" t="s">
        <v>9807</v>
      </c>
      <c r="AL203" t="s">
        <v>36</v>
      </c>
      <c r="AM203" s="162" t="s">
        <v>10138</v>
      </c>
      <c r="AN203" t="s">
        <v>9843</v>
      </c>
      <c r="AO203" t="s">
        <v>35</v>
      </c>
      <c r="AP203" t="s">
        <v>7</v>
      </c>
      <c r="AQ203" t="s">
        <v>9</v>
      </c>
      <c r="AR203" t="s">
        <v>7</v>
      </c>
      <c r="AS203" s="162" t="s">
        <v>7</v>
      </c>
      <c r="AT203" s="117" t="s">
        <v>7</v>
      </c>
      <c r="AU203" s="162" t="s">
        <v>7</v>
      </c>
      <c r="AV203" s="162" t="s">
        <v>7</v>
      </c>
      <c r="AW203" s="162" t="s">
        <v>9851</v>
      </c>
      <c r="AX203" s="162" t="s">
        <v>7</v>
      </c>
      <c r="AY203" s="162" t="s">
        <v>7</v>
      </c>
      <c r="AZ203" t="s">
        <v>7</v>
      </c>
      <c r="BA203" s="162" t="s">
        <v>7</v>
      </c>
      <c r="BB203" s="162" t="s">
        <v>7</v>
      </c>
      <c r="BC203" s="162" t="s">
        <v>7</v>
      </c>
      <c r="BD203" s="162" t="s">
        <v>7</v>
      </c>
      <c r="BE203" s="162" t="s">
        <v>7</v>
      </c>
      <c r="BF203" s="162" t="str">
        <f t="shared" si="6"/>
        <v>Sim</v>
      </c>
      <c r="BG203" s="162" t="str">
        <f t="shared" si="7"/>
        <v>Não</v>
      </c>
      <c r="BH203" s="162" t="s">
        <v>7</v>
      </c>
      <c r="BI203" t="s">
        <v>9872</v>
      </c>
      <c r="BJ203" s="162" t="s">
        <v>10165</v>
      </c>
      <c r="BK203" t="s">
        <v>9</v>
      </c>
      <c r="BL203" s="162">
        <v>60</v>
      </c>
      <c r="BM203" t="s">
        <v>35</v>
      </c>
      <c r="BN203" t="s">
        <v>35</v>
      </c>
      <c r="BO203" t="s">
        <v>9</v>
      </c>
      <c r="BP203" s="162">
        <v>60</v>
      </c>
      <c r="BQ203" t="s">
        <v>35</v>
      </c>
      <c r="BR203" t="s">
        <v>1849</v>
      </c>
      <c r="BS203" s="162" t="s">
        <v>10170</v>
      </c>
    </row>
    <row r="204" spans="1:71">
      <c r="A204" s="162">
        <v>203</v>
      </c>
      <c r="B204" t="s">
        <v>165</v>
      </c>
      <c r="C204" s="162">
        <v>1</v>
      </c>
      <c r="D204" s="122" t="s">
        <v>29</v>
      </c>
      <c r="E204" t="s">
        <v>569</v>
      </c>
      <c r="F204" t="s">
        <v>3</v>
      </c>
      <c r="G204" t="s">
        <v>166</v>
      </c>
      <c r="H204" t="s">
        <v>591</v>
      </c>
      <c r="I204" s="162">
        <v>1</v>
      </c>
      <c r="J204" t="s">
        <v>1855</v>
      </c>
      <c r="K204" t="s">
        <v>3</v>
      </c>
      <c r="L204" s="165">
        <v>35947</v>
      </c>
      <c r="M204" s="166">
        <v>19</v>
      </c>
      <c r="N204" t="s">
        <v>4</v>
      </c>
      <c r="O204" t="s">
        <v>10134</v>
      </c>
      <c r="P204" t="s">
        <v>1101</v>
      </c>
      <c r="Q204" t="s">
        <v>1374</v>
      </c>
      <c r="R204" t="s">
        <v>1376</v>
      </c>
      <c r="S204" s="162">
        <v>41.6</v>
      </c>
      <c r="T204" t="s">
        <v>1375</v>
      </c>
      <c r="U204" s="162">
        <v>99.6</v>
      </c>
      <c r="V204">
        <v>0</v>
      </c>
      <c r="W204" s="162">
        <v>0</v>
      </c>
      <c r="X204">
        <v>0</v>
      </c>
      <c r="Y204" s="162">
        <v>0</v>
      </c>
      <c r="Z204">
        <v>0</v>
      </c>
      <c r="AA204" s="162">
        <v>0</v>
      </c>
      <c r="AB204">
        <v>0</v>
      </c>
      <c r="AC204" s="162" t="s">
        <v>7</v>
      </c>
      <c r="AD204" s="162" t="s">
        <v>7</v>
      </c>
      <c r="AE204" s="162" t="s">
        <v>7</v>
      </c>
      <c r="AF204" s="162" t="s">
        <v>7</v>
      </c>
      <c r="AG204" s="162" t="s">
        <v>7</v>
      </c>
      <c r="AH204" s="162" t="s">
        <v>7</v>
      </c>
      <c r="AI204" t="s">
        <v>9843</v>
      </c>
      <c r="AJ204" t="s">
        <v>7</v>
      </c>
      <c r="AK204" t="s">
        <v>1150</v>
      </c>
      <c r="AL204" t="s">
        <v>36</v>
      </c>
      <c r="AM204" s="162" t="s">
        <v>10138</v>
      </c>
      <c r="AN204" t="s">
        <v>9843</v>
      </c>
      <c r="AO204" t="s">
        <v>35</v>
      </c>
      <c r="AP204" t="s">
        <v>1350</v>
      </c>
      <c r="AQ204" t="s">
        <v>1377</v>
      </c>
      <c r="AR204" t="s">
        <v>7</v>
      </c>
      <c r="AS204" s="162" t="s">
        <v>7</v>
      </c>
      <c r="AT204" s="117" t="s">
        <v>1677</v>
      </c>
      <c r="AU204" s="162" t="s">
        <v>9851</v>
      </c>
      <c r="AV204" s="162" t="s">
        <v>9851</v>
      </c>
      <c r="AW204" s="162" t="s">
        <v>7</v>
      </c>
      <c r="AX204" s="162" t="s">
        <v>7</v>
      </c>
      <c r="AY204" s="162" t="s">
        <v>9851</v>
      </c>
      <c r="AZ204" t="s">
        <v>7</v>
      </c>
      <c r="BA204" s="162" t="s">
        <v>7</v>
      </c>
      <c r="BB204" s="162" t="s">
        <v>7</v>
      </c>
      <c r="BC204" s="162" t="s">
        <v>7</v>
      </c>
      <c r="BD204" s="162" t="s">
        <v>7</v>
      </c>
      <c r="BE204" s="162" t="s">
        <v>7</v>
      </c>
      <c r="BF204" s="162" t="str">
        <f t="shared" si="6"/>
        <v>Sim</v>
      </c>
      <c r="BG204" s="162" t="str">
        <f t="shared" si="7"/>
        <v>Não</v>
      </c>
      <c r="BH204" s="162" t="s">
        <v>7</v>
      </c>
      <c r="BI204" t="s">
        <v>7</v>
      </c>
      <c r="BJ204" s="162" t="s">
        <v>7</v>
      </c>
      <c r="BK204" t="s">
        <v>9</v>
      </c>
      <c r="BL204" s="162">
        <v>60</v>
      </c>
      <c r="BM204" t="s">
        <v>35</v>
      </c>
      <c r="BN204" t="s">
        <v>35</v>
      </c>
      <c r="BO204" t="s">
        <v>9</v>
      </c>
      <c r="BP204" s="162">
        <v>60</v>
      </c>
      <c r="BQ204" t="s">
        <v>35</v>
      </c>
      <c r="BR204" t="s">
        <v>1849</v>
      </c>
      <c r="BS204" s="162" t="s">
        <v>10170</v>
      </c>
    </row>
    <row r="205" spans="1:71">
      <c r="A205" s="162">
        <v>204</v>
      </c>
      <c r="B205" t="s">
        <v>208</v>
      </c>
      <c r="C205" s="162">
        <v>1</v>
      </c>
      <c r="D205" s="122" t="s">
        <v>667</v>
      </c>
      <c r="E205" t="s">
        <v>656</v>
      </c>
      <c r="F205" t="s">
        <v>515</v>
      </c>
      <c r="G205" t="s">
        <v>214</v>
      </c>
      <c r="H205" t="s">
        <v>668</v>
      </c>
      <c r="I205" s="162">
        <v>1</v>
      </c>
      <c r="J205" t="s">
        <v>1855</v>
      </c>
      <c r="K205" t="s">
        <v>3</v>
      </c>
      <c r="L205" s="165">
        <v>34363</v>
      </c>
      <c r="M205" s="166">
        <v>23</v>
      </c>
      <c r="N205" t="s">
        <v>1093</v>
      </c>
      <c r="O205" t="s">
        <v>10135</v>
      </c>
      <c r="P205" t="s">
        <v>1101</v>
      </c>
      <c r="Q205" t="s">
        <v>1342</v>
      </c>
      <c r="R205" t="s">
        <v>1727</v>
      </c>
      <c r="S205" s="162">
        <v>288.7</v>
      </c>
      <c r="T205" t="s">
        <v>1728</v>
      </c>
      <c r="U205" s="162">
        <v>46.5</v>
      </c>
      <c r="V205" t="s">
        <v>10078</v>
      </c>
      <c r="W205" s="162">
        <v>26.5</v>
      </c>
      <c r="X205">
        <v>0</v>
      </c>
      <c r="Y205" s="162">
        <v>0</v>
      </c>
      <c r="Z205">
        <v>0</v>
      </c>
      <c r="AA205" s="162">
        <v>0</v>
      </c>
      <c r="AB205">
        <v>0</v>
      </c>
      <c r="AC205" s="162" t="s">
        <v>7</v>
      </c>
      <c r="AD205" s="162" t="s">
        <v>7</v>
      </c>
      <c r="AE205" s="162" t="s">
        <v>7</v>
      </c>
      <c r="AF205" s="162" t="s">
        <v>7</v>
      </c>
      <c r="AG205" s="162" t="s">
        <v>7</v>
      </c>
      <c r="AH205" s="162" t="s">
        <v>7</v>
      </c>
      <c r="AI205" t="s">
        <v>9843</v>
      </c>
      <c r="AJ205" t="s">
        <v>7</v>
      </c>
      <c r="AK205" t="s">
        <v>1546</v>
      </c>
      <c r="AL205" t="s">
        <v>36</v>
      </c>
      <c r="AM205" s="162" t="s">
        <v>10138</v>
      </c>
      <c r="AN205" t="s">
        <v>9843</v>
      </c>
      <c r="AO205" t="s">
        <v>35</v>
      </c>
      <c r="AP205" t="s">
        <v>7</v>
      </c>
      <c r="AQ205" t="s">
        <v>9</v>
      </c>
      <c r="AR205" t="s">
        <v>7</v>
      </c>
      <c r="AS205" s="162" t="s">
        <v>7</v>
      </c>
      <c r="AT205" s="117" t="s">
        <v>7</v>
      </c>
      <c r="AU205" s="162" t="s">
        <v>7</v>
      </c>
      <c r="AV205" s="162" t="s">
        <v>7</v>
      </c>
      <c r="AW205" s="162" t="s">
        <v>9851</v>
      </c>
      <c r="AX205" s="162" t="s">
        <v>7</v>
      </c>
      <c r="AY205" s="162" t="s">
        <v>7</v>
      </c>
      <c r="AZ205" t="s">
        <v>7</v>
      </c>
      <c r="BA205" s="162" t="s">
        <v>7</v>
      </c>
      <c r="BB205" s="162" t="s">
        <v>7</v>
      </c>
      <c r="BC205" s="162" t="s">
        <v>7</v>
      </c>
      <c r="BD205" s="162" t="s">
        <v>7</v>
      </c>
      <c r="BE205" s="162" t="s">
        <v>7</v>
      </c>
      <c r="BF205" s="162" t="str">
        <f t="shared" si="6"/>
        <v>Sim</v>
      </c>
      <c r="BG205" s="162" t="str">
        <f t="shared" si="7"/>
        <v>Não</v>
      </c>
      <c r="BH205" s="162" t="s">
        <v>7</v>
      </c>
      <c r="BI205" t="s">
        <v>7</v>
      </c>
      <c r="BJ205" s="162" t="s">
        <v>7</v>
      </c>
      <c r="BK205" t="s">
        <v>9</v>
      </c>
      <c r="BL205" s="162">
        <v>60</v>
      </c>
      <c r="BM205" t="s">
        <v>35</v>
      </c>
      <c r="BN205" t="s">
        <v>35</v>
      </c>
      <c r="BO205" t="s">
        <v>9</v>
      </c>
      <c r="BP205" s="162">
        <v>60</v>
      </c>
      <c r="BQ205" t="s">
        <v>35</v>
      </c>
      <c r="BR205" t="s">
        <v>1849</v>
      </c>
      <c r="BS205" s="162" t="s">
        <v>10170</v>
      </c>
    </row>
    <row r="206" spans="1:71">
      <c r="A206" s="162">
        <v>205</v>
      </c>
      <c r="B206" t="s">
        <v>192</v>
      </c>
      <c r="C206" s="162">
        <v>1</v>
      </c>
      <c r="D206" s="122" t="s">
        <v>640</v>
      </c>
      <c r="E206" t="s">
        <v>632</v>
      </c>
      <c r="F206" t="s">
        <v>515</v>
      </c>
      <c r="G206" t="s">
        <v>198</v>
      </c>
      <c r="H206" t="s">
        <v>641</v>
      </c>
      <c r="I206" s="162">
        <v>1</v>
      </c>
      <c r="J206" t="s">
        <v>1855</v>
      </c>
      <c r="K206" t="s">
        <v>3</v>
      </c>
      <c r="L206" s="165">
        <v>35041</v>
      </c>
      <c r="M206" s="166">
        <v>21</v>
      </c>
      <c r="N206" t="s">
        <v>1093</v>
      </c>
      <c r="O206" t="s">
        <v>10135</v>
      </c>
      <c r="P206" t="s">
        <v>48</v>
      </c>
      <c r="Q206" t="s">
        <v>1231</v>
      </c>
      <c r="R206" t="s">
        <v>9907</v>
      </c>
      <c r="S206" s="162">
        <v>17</v>
      </c>
      <c r="T206" t="s">
        <v>1189</v>
      </c>
      <c r="U206" s="162">
        <v>3.7</v>
      </c>
      <c r="V206" t="s">
        <v>9908</v>
      </c>
      <c r="W206" s="162">
        <v>2.7</v>
      </c>
      <c r="X206">
        <v>0</v>
      </c>
      <c r="Y206" s="162">
        <v>0</v>
      </c>
      <c r="Z206">
        <v>0</v>
      </c>
      <c r="AA206" s="162">
        <v>0</v>
      </c>
      <c r="AB206">
        <v>0</v>
      </c>
      <c r="AC206" s="162" t="s">
        <v>7</v>
      </c>
      <c r="AD206" s="162" t="s">
        <v>7</v>
      </c>
      <c r="AE206" s="162" t="s">
        <v>7</v>
      </c>
      <c r="AF206" s="162" t="s">
        <v>7</v>
      </c>
      <c r="AG206" s="162" t="s">
        <v>7</v>
      </c>
      <c r="AH206" s="162" t="s">
        <v>7</v>
      </c>
      <c r="AI206" t="s">
        <v>9843</v>
      </c>
      <c r="AJ206" t="s">
        <v>7</v>
      </c>
      <c r="AK206" t="s">
        <v>1597</v>
      </c>
      <c r="AL206" t="s">
        <v>36</v>
      </c>
      <c r="AM206" s="162" t="s">
        <v>10138</v>
      </c>
      <c r="AN206" t="s">
        <v>9843</v>
      </c>
      <c r="AO206" t="s">
        <v>35</v>
      </c>
      <c r="AP206" t="s">
        <v>7</v>
      </c>
      <c r="AQ206" t="s">
        <v>9</v>
      </c>
      <c r="AR206" t="s">
        <v>7</v>
      </c>
      <c r="AS206" s="162" t="s">
        <v>7</v>
      </c>
      <c r="AT206" s="117" t="s">
        <v>7</v>
      </c>
      <c r="AU206" s="162" t="s">
        <v>7</v>
      </c>
      <c r="AV206" s="162" t="s">
        <v>7</v>
      </c>
      <c r="AW206" s="162" t="s">
        <v>9851</v>
      </c>
      <c r="AX206" s="162" t="s">
        <v>7</v>
      </c>
      <c r="AY206" s="162" t="s">
        <v>7</v>
      </c>
      <c r="AZ206" t="s">
        <v>7</v>
      </c>
      <c r="BA206" s="162" t="s">
        <v>7</v>
      </c>
      <c r="BB206" s="162" t="s">
        <v>7</v>
      </c>
      <c r="BC206" s="162" t="s">
        <v>7</v>
      </c>
      <c r="BD206" s="162" t="s">
        <v>7</v>
      </c>
      <c r="BE206" s="162" t="s">
        <v>7</v>
      </c>
      <c r="BF206" s="162" t="str">
        <f t="shared" si="6"/>
        <v>Sim</v>
      </c>
      <c r="BG206" s="162" t="str">
        <f t="shared" si="7"/>
        <v>Não</v>
      </c>
      <c r="BH206" s="162" t="s">
        <v>7</v>
      </c>
      <c r="BI206" t="s">
        <v>7</v>
      </c>
      <c r="BJ206" s="162" t="s">
        <v>7</v>
      </c>
      <c r="BK206" t="s">
        <v>9</v>
      </c>
      <c r="BL206" s="162">
        <v>60</v>
      </c>
      <c r="BM206" t="s">
        <v>35</v>
      </c>
      <c r="BN206" t="s">
        <v>35</v>
      </c>
      <c r="BO206" t="s">
        <v>9</v>
      </c>
      <c r="BP206" s="162">
        <v>60</v>
      </c>
      <c r="BQ206" t="s">
        <v>35</v>
      </c>
      <c r="BR206" t="s">
        <v>1849</v>
      </c>
      <c r="BS206" s="162" t="s">
        <v>10170</v>
      </c>
    </row>
    <row r="207" spans="1:71">
      <c r="A207" s="162">
        <v>206</v>
      </c>
      <c r="B207" t="s">
        <v>207</v>
      </c>
      <c r="C207" s="162">
        <v>1</v>
      </c>
      <c r="D207" s="122" t="s">
        <v>595</v>
      </c>
      <c r="E207" t="s">
        <v>656</v>
      </c>
      <c r="F207" t="s">
        <v>515</v>
      </c>
      <c r="G207" t="s">
        <v>214</v>
      </c>
      <c r="H207" t="s">
        <v>666</v>
      </c>
      <c r="I207" s="162">
        <v>1</v>
      </c>
      <c r="J207" t="s">
        <v>1855</v>
      </c>
      <c r="K207" t="s">
        <v>3</v>
      </c>
      <c r="L207" s="165">
        <v>29509</v>
      </c>
      <c r="M207" s="166">
        <v>37</v>
      </c>
      <c r="N207" t="s">
        <v>5</v>
      </c>
      <c r="O207" t="s">
        <v>10135</v>
      </c>
      <c r="P207" t="s">
        <v>1101</v>
      </c>
      <c r="Q207" t="s">
        <v>1722</v>
      </c>
      <c r="R207" t="s">
        <v>1725</v>
      </c>
      <c r="S207" s="162">
        <v>16</v>
      </c>
      <c r="T207" t="s">
        <v>1724</v>
      </c>
      <c r="U207" s="162">
        <v>2.4</v>
      </c>
      <c r="V207" t="s">
        <v>1723</v>
      </c>
      <c r="W207" s="162">
        <v>3</v>
      </c>
      <c r="X207">
        <v>0</v>
      </c>
      <c r="Y207" s="162">
        <v>0</v>
      </c>
      <c r="Z207">
        <v>0</v>
      </c>
      <c r="AA207" s="162">
        <v>0</v>
      </c>
      <c r="AB207">
        <v>0</v>
      </c>
      <c r="AC207" s="162" t="s">
        <v>7</v>
      </c>
      <c r="AD207" s="162" t="s">
        <v>7</v>
      </c>
      <c r="AE207" s="162" t="s">
        <v>7</v>
      </c>
      <c r="AF207" s="162" t="s">
        <v>7</v>
      </c>
      <c r="AG207" s="162" t="s">
        <v>7</v>
      </c>
      <c r="AH207" s="162" t="s">
        <v>7</v>
      </c>
      <c r="AI207" t="s">
        <v>9843</v>
      </c>
      <c r="AJ207" t="s">
        <v>7</v>
      </c>
      <c r="AK207" t="s">
        <v>1726</v>
      </c>
      <c r="AL207" t="s">
        <v>36</v>
      </c>
      <c r="AM207" s="162" t="s">
        <v>10138</v>
      </c>
      <c r="AN207" t="s">
        <v>9843</v>
      </c>
      <c r="AO207" t="s">
        <v>35</v>
      </c>
      <c r="AP207" t="s">
        <v>7</v>
      </c>
      <c r="AQ207" t="s">
        <v>9</v>
      </c>
      <c r="AR207" t="s">
        <v>1097</v>
      </c>
      <c r="AS207" s="162" t="s">
        <v>9851</v>
      </c>
      <c r="AT207" s="117" t="s">
        <v>1111</v>
      </c>
      <c r="AU207" s="162" t="s">
        <v>9851</v>
      </c>
      <c r="AV207" s="162" t="s">
        <v>7</v>
      </c>
      <c r="AW207" s="162" t="s">
        <v>7</v>
      </c>
      <c r="AX207" s="162" t="s">
        <v>7</v>
      </c>
      <c r="AY207" s="162" t="s">
        <v>9851</v>
      </c>
      <c r="AZ207" t="s">
        <v>7</v>
      </c>
      <c r="BA207" s="162" t="s">
        <v>7</v>
      </c>
      <c r="BB207" s="162" t="s">
        <v>7</v>
      </c>
      <c r="BC207" s="162" t="s">
        <v>7</v>
      </c>
      <c r="BD207" s="162" t="s">
        <v>7</v>
      </c>
      <c r="BE207" s="162" t="s">
        <v>7</v>
      </c>
      <c r="BF207" s="162" t="str">
        <f t="shared" si="6"/>
        <v>Sim</v>
      </c>
      <c r="BG207" s="162" t="str">
        <f t="shared" si="7"/>
        <v>Não</v>
      </c>
      <c r="BH207" s="162" t="s">
        <v>7</v>
      </c>
      <c r="BI207" t="s">
        <v>9872</v>
      </c>
      <c r="BJ207" s="162" t="s">
        <v>10165</v>
      </c>
      <c r="BK207" t="s">
        <v>9</v>
      </c>
      <c r="BL207" s="162">
        <v>60</v>
      </c>
      <c r="BM207" t="s">
        <v>35</v>
      </c>
      <c r="BN207" t="s">
        <v>35</v>
      </c>
      <c r="BO207" t="s">
        <v>9</v>
      </c>
      <c r="BP207" s="162">
        <v>60</v>
      </c>
      <c r="BQ207" t="s">
        <v>35</v>
      </c>
      <c r="BR207" t="s">
        <v>1849</v>
      </c>
      <c r="BS207" s="162" t="s">
        <v>10170</v>
      </c>
    </row>
    <row r="208" spans="1:71">
      <c r="A208" s="162">
        <v>207</v>
      </c>
      <c r="B208" t="s">
        <v>400</v>
      </c>
      <c r="C208" s="162">
        <v>1</v>
      </c>
      <c r="D208" s="122" t="s">
        <v>931</v>
      </c>
      <c r="E208" t="s">
        <v>791</v>
      </c>
      <c r="F208" t="s">
        <v>515</v>
      </c>
      <c r="G208" t="s">
        <v>411</v>
      </c>
      <c r="H208" t="s">
        <v>932</v>
      </c>
      <c r="I208" s="162">
        <v>1</v>
      </c>
      <c r="J208" t="s">
        <v>1855</v>
      </c>
      <c r="K208" t="s">
        <v>3</v>
      </c>
      <c r="L208" s="165">
        <v>35681</v>
      </c>
      <c r="M208" s="166">
        <v>20</v>
      </c>
      <c r="N208" t="s">
        <v>5</v>
      </c>
      <c r="O208" t="s">
        <v>10135</v>
      </c>
      <c r="P208" t="s">
        <v>48</v>
      </c>
      <c r="Q208" t="s">
        <v>1266</v>
      </c>
      <c r="R208" t="s">
        <v>9834</v>
      </c>
      <c r="S208" s="162">
        <v>24.3</v>
      </c>
      <c r="T208" t="s">
        <v>1152</v>
      </c>
      <c r="U208" s="162">
        <v>67.8</v>
      </c>
      <c r="V208" t="s">
        <v>1151</v>
      </c>
      <c r="W208" s="162">
        <v>2.5</v>
      </c>
      <c r="X208">
        <v>0</v>
      </c>
      <c r="Y208" s="162">
        <v>0</v>
      </c>
      <c r="Z208">
        <v>0</v>
      </c>
      <c r="AA208" s="162">
        <v>0</v>
      </c>
      <c r="AB208">
        <v>0</v>
      </c>
      <c r="AC208" s="162" t="s">
        <v>7</v>
      </c>
      <c r="AD208" s="162" t="s">
        <v>7</v>
      </c>
      <c r="AE208" s="162" t="s">
        <v>7</v>
      </c>
      <c r="AF208" s="162" t="s">
        <v>7</v>
      </c>
      <c r="AG208" s="162" t="s">
        <v>7</v>
      </c>
      <c r="AH208" s="162" t="s">
        <v>7</v>
      </c>
      <c r="AI208" t="s">
        <v>9843</v>
      </c>
      <c r="AJ208" t="s">
        <v>7</v>
      </c>
      <c r="AK208" t="s">
        <v>1150</v>
      </c>
      <c r="AL208" t="s">
        <v>36</v>
      </c>
      <c r="AM208" s="162" t="s">
        <v>10138</v>
      </c>
      <c r="AN208" t="s">
        <v>9843</v>
      </c>
      <c r="AO208" t="s">
        <v>35</v>
      </c>
      <c r="AP208" t="s">
        <v>7</v>
      </c>
      <c r="AQ208" t="s">
        <v>9</v>
      </c>
      <c r="AR208" t="s">
        <v>7</v>
      </c>
      <c r="AS208" s="162" t="s">
        <v>7</v>
      </c>
      <c r="AT208" s="117" t="s">
        <v>7</v>
      </c>
      <c r="AU208" s="162" t="s">
        <v>7</v>
      </c>
      <c r="AV208" s="162" t="s">
        <v>7</v>
      </c>
      <c r="AW208" s="162" t="s">
        <v>9851</v>
      </c>
      <c r="AX208" s="162" t="s">
        <v>7</v>
      </c>
      <c r="AY208" s="162" t="s">
        <v>7</v>
      </c>
      <c r="AZ208" t="s">
        <v>7</v>
      </c>
      <c r="BA208" s="162" t="s">
        <v>7</v>
      </c>
      <c r="BB208" s="162" t="s">
        <v>7</v>
      </c>
      <c r="BC208" s="162" t="s">
        <v>7</v>
      </c>
      <c r="BD208" s="162" t="s">
        <v>7</v>
      </c>
      <c r="BE208" s="162" t="s">
        <v>7</v>
      </c>
      <c r="BF208" s="162" t="str">
        <f t="shared" si="6"/>
        <v>Sim</v>
      </c>
      <c r="BG208" s="162" t="str">
        <f t="shared" si="7"/>
        <v>Não</v>
      </c>
      <c r="BH208" s="162" t="s">
        <v>7</v>
      </c>
      <c r="BI208" t="s">
        <v>7</v>
      </c>
      <c r="BJ208" s="162" t="s">
        <v>7</v>
      </c>
      <c r="BK208" t="s">
        <v>9</v>
      </c>
      <c r="BL208" s="162">
        <v>60</v>
      </c>
      <c r="BM208" t="s">
        <v>35</v>
      </c>
      <c r="BN208" t="s">
        <v>35</v>
      </c>
      <c r="BO208" t="s">
        <v>9</v>
      </c>
      <c r="BP208" s="162">
        <v>60</v>
      </c>
      <c r="BQ208" t="s">
        <v>35</v>
      </c>
      <c r="BR208" t="s">
        <v>1849</v>
      </c>
      <c r="BS208" s="162" t="s">
        <v>10170</v>
      </c>
    </row>
    <row r="209" spans="1:71">
      <c r="A209" s="162">
        <v>208</v>
      </c>
      <c r="B209" t="s">
        <v>425</v>
      </c>
      <c r="C209" s="162">
        <v>1</v>
      </c>
      <c r="D209" s="122" t="s">
        <v>29</v>
      </c>
      <c r="E209" t="s">
        <v>603</v>
      </c>
      <c r="F209" t="s">
        <v>515</v>
      </c>
      <c r="G209" t="s">
        <v>426</v>
      </c>
      <c r="H209" t="s">
        <v>992</v>
      </c>
      <c r="I209" s="162">
        <v>1</v>
      </c>
      <c r="J209" t="s">
        <v>1855</v>
      </c>
      <c r="K209" t="s">
        <v>3</v>
      </c>
      <c r="L209" s="165">
        <v>30287</v>
      </c>
      <c r="M209" s="166">
        <v>34</v>
      </c>
      <c r="N209" t="s">
        <v>4</v>
      </c>
      <c r="O209" t="s">
        <v>10134</v>
      </c>
      <c r="P209" t="s">
        <v>77</v>
      </c>
      <c r="Q209" t="s">
        <v>1578</v>
      </c>
      <c r="R209" t="s">
        <v>1579</v>
      </c>
      <c r="S209" s="162">
        <v>43.9</v>
      </c>
      <c r="T209">
        <v>0</v>
      </c>
      <c r="U209" s="162">
        <v>0</v>
      </c>
      <c r="V209" t="s">
        <v>1580</v>
      </c>
      <c r="W209" s="162">
        <v>2.7</v>
      </c>
      <c r="X209">
        <v>0</v>
      </c>
      <c r="Y209" s="162">
        <v>0</v>
      </c>
      <c r="Z209">
        <v>0</v>
      </c>
      <c r="AA209" s="162">
        <v>0</v>
      </c>
      <c r="AB209">
        <v>0</v>
      </c>
      <c r="AC209" s="162" t="s">
        <v>7</v>
      </c>
      <c r="AD209" s="162" t="s">
        <v>7</v>
      </c>
      <c r="AE209" s="162" t="s">
        <v>7</v>
      </c>
      <c r="AF209" s="162" t="s">
        <v>7</v>
      </c>
      <c r="AG209" s="162" t="s">
        <v>7</v>
      </c>
      <c r="AH209" s="162" t="s">
        <v>7</v>
      </c>
      <c r="AI209" t="s">
        <v>9843</v>
      </c>
      <c r="AJ209" t="s">
        <v>7</v>
      </c>
      <c r="AK209" t="s">
        <v>1150</v>
      </c>
      <c r="AL209" t="s">
        <v>36</v>
      </c>
      <c r="AM209" s="162" t="s">
        <v>10138</v>
      </c>
      <c r="AN209" t="s">
        <v>9843</v>
      </c>
      <c r="AO209" t="s">
        <v>35</v>
      </c>
      <c r="AP209" t="s">
        <v>7</v>
      </c>
      <c r="AQ209" t="s">
        <v>9</v>
      </c>
      <c r="AR209" t="s">
        <v>7</v>
      </c>
      <c r="AS209" s="162" t="s">
        <v>7</v>
      </c>
      <c r="AT209" s="117" t="s">
        <v>7</v>
      </c>
      <c r="AU209" s="162" t="s">
        <v>7</v>
      </c>
      <c r="AV209" s="162" t="s">
        <v>7</v>
      </c>
      <c r="AW209" s="162" t="s">
        <v>9851</v>
      </c>
      <c r="AX209" s="162" t="s">
        <v>7</v>
      </c>
      <c r="AY209" s="162" t="s">
        <v>7</v>
      </c>
      <c r="AZ209" t="s">
        <v>7</v>
      </c>
      <c r="BA209" s="162" t="s">
        <v>7</v>
      </c>
      <c r="BB209" s="162" t="s">
        <v>7</v>
      </c>
      <c r="BC209" s="162" t="s">
        <v>7</v>
      </c>
      <c r="BD209" s="162" t="s">
        <v>7</v>
      </c>
      <c r="BE209" s="162" t="s">
        <v>7</v>
      </c>
      <c r="BF209" s="162" t="str">
        <f t="shared" si="6"/>
        <v>Sim</v>
      </c>
      <c r="BG209" s="162" t="str">
        <f t="shared" si="7"/>
        <v>Não</v>
      </c>
      <c r="BH209" s="162" t="s">
        <v>7</v>
      </c>
      <c r="BI209" t="s">
        <v>7</v>
      </c>
      <c r="BJ209" s="162" t="s">
        <v>7</v>
      </c>
      <c r="BK209" t="s">
        <v>9</v>
      </c>
      <c r="BL209" s="162">
        <v>60</v>
      </c>
      <c r="BM209" t="s">
        <v>35</v>
      </c>
      <c r="BN209" t="s">
        <v>35</v>
      </c>
      <c r="BO209" t="s">
        <v>9</v>
      </c>
      <c r="BP209" s="162">
        <v>60</v>
      </c>
      <c r="BQ209" t="s">
        <v>35</v>
      </c>
      <c r="BR209" t="s">
        <v>1849</v>
      </c>
      <c r="BS209" s="162" t="s">
        <v>10170</v>
      </c>
    </row>
    <row r="210" spans="1:71">
      <c r="A210" s="162">
        <v>209</v>
      </c>
      <c r="B210" t="s">
        <v>209</v>
      </c>
      <c r="C210" s="162">
        <v>1</v>
      </c>
      <c r="D210" s="122" t="s">
        <v>605</v>
      </c>
      <c r="E210" t="s">
        <v>652</v>
      </c>
      <c r="F210" t="s">
        <v>3</v>
      </c>
      <c r="G210" t="s">
        <v>214</v>
      </c>
      <c r="H210" t="s">
        <v>669</v>
      </c>
      <c r="I210" s="162">
        <v>1</v>
      </c>
      <c r="J210" t="s">
        <v>1855</v>
      </c>
      <c r="K210" t="s">
        <v>3</v>
      </c>
      <c r="L210" s="165">
        <v>33734</v>
      </c>
      <c r="M210" s="166">
        <v>24</v>
      </c>
      <c r="N210" t="s">
        <v>1093</v>
      </c>
      <c r="O210" t="s">
        <v>10135</v>
      </c>
      <c r="P210" t="s">
        <v>48</v>
      </c>
      <c r="Q210" t="s">
        <v>1729</v>
      </c>
      <c r="R210" t="s">
        <v>1730</v>
      </c>
      <c r="S210" s="162">
        <v>56</v>
      </c>
      <c r="T210" t="s">
        <v>1731</v>
      </c>
      <c r="U210" s="162">
        <v>42.8</v>
      </c>
      <c r="V210" t="s">
        <v>1732</v>
      </c>
      <c r="W210" s="162">
        <v>6.3</v>
      </c>
      <c r="X210">
        <v>0</v>
      </c>
      <c r="Y210" s="162">
        <v>0</v>
      </c>
      <c r="Z210">
        <v>0</v>
      </c>
      <c r="AA210" s="162">
        <v>0</v>
      </c>
      <c r="AB210">
        <v>0</v>
      </c>
      <c r="AC210" s="162" t="s">
        <v>7</v>
      </c>
      <c r="AD210" s="162" t="s">
        <v>7</v>
      </c>
      <c r="AE210" s="162" t="s">
        <v>7</v>
      </c>
      <c r="AF210" s="162" t="s">
        <v>7</v>
      </c>
      <c r="AG210" s="162" t="s">
        <v>7</v>
      </c>
      <c r="AH210" s="162" t="s">
        <v>7</v>
      </c>
      <c r="AI210" t="s">
        <v>9843</v>
      </c>
      <c r="AJ210" t="s">
        <v>7</v>
      </c>
      <c r="AK210" t="s">
        <v>1106</v>
      </c>
      <c r="AL210" t="s">
        <v>36</v>
      </c>
      <c r="AM210" s="162" t="s">
        <v>10138</v>
      </c>
      <c r="AN210" t="s">
        <v>9843</v>
      </c>
      <c r="AO210" t="s">
        <v>35</v>
      </c>
      <c r="AP210" t="s">
        <v>7</v>
      </c>
      <c r="AQ210" t="s">
        <v>9</v>
      </c>
      <c r="AR210" t="s">
        <v>7</v>
      </c>
      <c r="AS210" s="162" t="s">
        <v>7</v>
      </c>
      <c r="AT210" s="117" t="s">
        <v>7</v>
      </c>
      <c r="AU210" s="162" t="s">
        <v>7</v>
      </c>
      <c r="AV210" s="162" t="s">
        <v>7</v>
      </c>
      <c r="AW210" s="162" t="s">
        <v>9851</v>
      </c>
      <c r="AX210" s="162" t="s">
        <v>7</v>
      </c>
      <c r="AY210" s="162" t="s">
        <v>7</v>
      </c>
      <c r="AZ210" t="s">
        <v>7</v>
      </c>
      <c r="BA210" s="162" t="s">
        <v>7</v>
      </c>
      <c r="BB210" s="162" t="s">
        <v>7</v>
      </c>
      <c r="BC210" s="162" t="s">
        <v>7</v>
      </c>
      <c r="BD210" s="162" t="s">
        <v>7</v>
      </c>
      <c r="BE210" s="162" t="s">
        <v>7</v>
      </c>
      <c r="BF210" s="162" t="str">
        <f t="shared" si="6"/>
        <v>Sim</v>
      </c>
      <c r="BG210" s="162" t="str">
        <f t="shared" si="7"/>
        <v>Não</v>
      </c>
      <c r="BH210" s="162" t="s">
        <v>7</v>
      </c>
      <c r="BI210" t="s">
        <v>9872</v>
      </c>
      <c r="BJ210" s="162" t="s">
        <v>10165</v>
      </c>
      <c r="BK210" t="s">
        <v>9</v>
      </c>
      <c r="BL210" s="162">
        <v>60</v>
      </c>
      <c r="BM210" t="s">
        <v>35</v>
      </c>
      <c r="BN210" t="s">
        <v>35</v>
      </c>
      <c r="BO210" t="s">
        <v>9</v>
      </c>
      <c r="BP210" s="162">
        <v>60</v>
      </c>
      <c r="BQ210" t="s">
        <v>35</v>
      </c>
      <c r="BR210" t="s">
        <v>1849</v>
      </c>
      <c r="BS210" s="162" t="s">
        <v>10170</v>
      </c>
    </row>
    <row r="211" spans="1:71">
      <c r="A211" s="162">
        <v>210</v>
      </c>
      <c r="B211" t="s">
        <v>181</v>
      </c>
      <c r="C211" s="162">
        <v>1</v>
      </c>
      <c r="D211" s="122">
        <v>42769</v>
      </c>
      <c r="E211" t="s">
        <v>614</v>
      </c>
      <c r="F211" t="s">
        <v>515</v>
      </c>
      <c r="G211" t="s">
        <v>185</v>
      </c>
      <c r="H211" t="s">
        <v>620</v>
      </c>
      <c r="I211" s="162">
        <v>1</v>
      </c>
      <c r="J211" t="s">
        <v>1855</v>
      </c>
      <c r="K211" t="s">
        <v>3</v>
      </c>
      <c r="L211" s="165">
        <v>35082</v>
      </c>
      <c r="M211" s="166">
        <v>21</v>
      </c>
      <c r="N211" t="s">
        <v>5</v>
      </c>
      <c r="O211" t="s">
        <v>10135</v>
      </c>
      <c r="P211" t="s">
        <v>48</v>
      </c>
      <c r="Q211" t="s">
        <v>1911</v>
      </c>
      <c r="R211">
        <v>0</v>
      </c>
      <c r="S211" s="162">
        <v>0</v>
      </c>
      <c r="T211">
        <v>0</v>
      </c>
      <c r="U211" s="162">
        <v>0</v>
      </c>
      <c r="V211" t="s">
        <v>2020</v>
      </c>
      <c r="W211" s="162">
        <v>3.8</v>
      </c>
      <c r="X211">
        <v>0</v>
      </c>
      <c r="Y211" s="162">
        <v>0</v>
      </c>
      <c r="Z211">
        <v>0</v>
      </c>
      <c r="AA211" s="162">
        <v>0</v>
      </c>
      <c r="AB211">
        <v>0</v>
      </c>
      <c r="AC211" s="162" t="s">
        <v>7</v>
      </c>
      <c r="AD211" s="162" t="s">
        <v>7</v>
      </c>
      <c r="AE211" s="162" t="s">
        <v>7</v>
      </c>
      <c r="AF211" s="162" t="s">
        <v>7</v>
      </c>
      <c r="AG211" s="162" t="s">
        <v>7</v>
      </c>
      <c r="AH211" s="162" t="s">
        <v>7</v>
      </c>
      <c r="AI211" t="s">
        <v>9843</v>
      </c>
      <c r="AJ211" t="s">
        <v>7</v>
      </c>
      <c r="AK211" t="s">
        <v>2026</v>
      </c>
      <c r="AL211" t="s">
        <v>36</v>
      </c>
      <c r="AM211" s="162" t="s">
        <v>10138</v>
      </c>
      <c r="AN211" t="s">
        <v>9843</v>
      </c>
      <c r="AO211" t="s">
        <v>35</v>
      </c>
      <c r="AP211" t="s">
        <v>9862</v>
      </c>
      <c r="AQ211" t="s">
        <v>1215</v>
      </c>
      <c r="AR211" t="s">
        <v>7</v>
      </c>
      <c r="AS211" s="162" t="s">
        <v>7</v>
      </c>
      <c r="AT211" s="117" t="s">
        <v>1111</v>
      </c>
      <c r="AU211" s="162" t="s">
        <v>9851</v>
      </c>
      <c r="AV211" s="162" t="s">
        <v>7</v>
      </c>
      <c r="AW211" s="162" t="s">
        <v>7</v>
      </c>
      <c r="AX211" s="162" t="s">
        <v>7</v>
      </c>
      <c r="AY211" s="162" t="s">
        <v>9851</v>
      </c>
      <c r="AZ211" t="s">
        <v>7</v>
      </c>
      <c r="BA211" s="162" t="s">
        <v>7</v>
      </c>
      <c r="BB211" s="162" t="s">
        <v>7</v>
      </c>
      <c r="BC211" s="162" t="s">
        <v>7</v>
      </c>
      <c r="BD211" s="162" t="s">
        <v>7</v>
      </c>
      <c r="BE211" s="162" t="s">
        <v>7</v>
      </c>
      <c r="BF211" s="162" t="str">
        <f t="shared" si="6"/>
        <v>Sim</v>
      </c>
      <c r="BG211" s="162" t="str">
        <f t="shared" si="7"/>
        <v>Não</v>
      </c>
      <c r="BH211" s="162" t="s">
        <v>7</v>
      </c>
      <c r="BI211" t="s">
        <v>7</v>
      </c>
      <c r="BJ211" s="162" t="s">
        <v>7</v>
      </c>
      <c r="BK211" t="s">
        <v>9</v>
      </c>
      <c r="BL211" s="162">
        <v>60</v>
      </c>
      <c r="BM211" t="s">
        <v>35</v>
      </c>
      <c r="BN211" t="s">
        <v>35</v>
      </c>
      <c r="BO211" t="s">
        <v>9</v>
      </c>
      <c r="BP211" s="162">
        <v>60</v>
      </c>
      <c r="BQ211" t="s">
        <v>35</v>
      </c>
      <c r="BR211" t="s">
        <v>1849</v>
      </c>
      <c r="BS211" s="162" t="s">
        <v>10170</v>
      </c>
    </row>
    <row r="212" spans="1:71">
      <c r="A212" s="162">
        <v>211</v>
      </c>
      <c r="B212" t="s">
        <v>1002</v>
      </c>
      <c r="C212" s="162">
        <v>1</v>
      </c>
      <c r="D212" s="122" t="s">
        <v>606</v>
      </c>
      <c r="E212" t="s">
        <v>998</v>
      </c>
      <c r="F212" t="s">
        <v>3</v>
      </c>
      <c r="G212" t="s">
        <v>433</v>
      </c>
      <c r="H212" t="s">
        <v>1004</v>
      </c>
      <c r="I212" s="162">
        <v>1</v>
      </c>
      <c r="J212" t="s">
        <v>1855</v>
      </c>
      <c r="K212" t="s">
        <v>515</v>
      </c>
      <c r="L212" s="165">
        <v>33816</v>
      </c>
      <c r="M212" s="166">
        <v>24</v>
      </c>
      <c r="N212" t="s">
        <v>5</v>
      </c>
      <c r="O212" t="s">
        <v>10135</v>
      </c>
      <c r="P212" t="s">
        <v>18</v>
      </c>
      <c r="Q212" t="s">
        <v>1186</v>
      </c>
      <c r="R212">
        <v>0</v>
      </c>
      <c r="S212" s="162">
        <v>0</v>
      </c>
      <c r="T212">
        <v>0</v>
      </c>
      <c r="U212" s="162">
        <v>0</v>
      </c>
      <c r="V212" t="s">
        <v>1968</v>
      </c>
      <c r="W212" s="162">
        <v>4.7</v>
      </c>
      <c r="X212">
        <v>0</v>
      </c>
      <c r="Y212" s="162">
        <v>0</v>
      </c>
      <c r="Z212">
        <v>0</v>
      </c>
      <c r="AA212" s="162">
        <v>0</v>
      </c>
      <c r="AB212">
        <v>0</v>
      </c>
      <c r="AC212" s="162" t="s">
        <v>7</v>
      </c>
      <c r="AD212" s="162" t="s">
        <v>7</v>
      </c>
      <c r="AE212" s="162" t="s">
        <v>7</v>
      </c>
      <c r="AF212" s="162" t="s">
        <v>7</v>
      </c>
      <c r="AG212" s="162" t="s">
        <v>7</v>
      </c>
      <c r="AH212" s="162" t="s">
        <v>7</v>
      </c>
      <c r="AI212" t="s">
        <v>9843</v>
      </c>
      <c r="AJ212" t="s">
        <v>7</v>
      </c>
      <c r="AK212" t="s">
        <v>1173</v>
      </c>
      <c r="AL212" t="s">
        <v>36</v>
      </c>
      <c r="AM212" s="162" t="s">
        <v>10138</v>
      </c>
      <c r="AN212" t="s">
        <v>9843</v>
      </c>
      <c r="AO212" t="s">
        <v>35</v>
      </c>
      <c r="AP212" t="s">
        <v>7</v>
      </c>
      <c r="AQ212" t="s">
        <v>9</v>
      </c>
      <c r="AR212" t="s">
        <v>7</v>
      </c>
      <c r="AS212" s="162" t="s">
        <v>7</v>
      </c>
      <c r="AT212" s="117" t="s">
        <v>7</v>
      </c>
      <c r="AU212" s="162" t="s">
        <v>7</v>
      </c>
      <c r="AV212" s="162" t="s">
        <v>7</v>
      </c>
      <c r="AW212" s="162" t="s">
        <v>9851</v>
      </c>
      <c r="AX212" s="162" t="s">
        <v>7</v>
      </c>
      <c r="AY212" s="162" t="s">
        <v>7</v>
      </c>
      <c r="AZ212" t="s">
        <v>7</v>
      </c>
      <c r="BA212" s="162" t="s">
        <v>7</v>
      </c>
      <c r="BB212" s="162" t="s">
        <v>7</v>
      </c>
      <c r="BC212" s="162" t="s">
        <v>7</v>
      </c>
      <c r="BD212" s="162" t="s">
        <v>7</v>
      </c>
      <c r="BE212" s="162" t="s">
        <v>7</v>
      </c>
      <c r="BF212" s="162" t="str">
        <f t="shared" si="6"/>
        <v>Sim</v>
      </c>
      <c r="BG212" s="162" t="str">
        <f t="shared" si="7"/>
        <v>Não</v>
      </c>
      <c r="BH212" s="162" t="s">
        <v>7</v>
      </c>
      <c r="BI212" t="s">
        <v>9872</v>
      </c>
      <c r="BJ212" s="162" t="s">
        <v>10165</v>
      </c>
      <c r="BK212" t="s">
        <v>9</v>
      </c>
      <c r="BL212" s="162">
        <v>60</v>
      </c>
      <c r="BM212" t="s">
        <v>35</v>
      </c>
      <c r="BN212" t="s">
        <v>35</v>
      </c>
      <c r="BO212" t="s">
        <v>9</v>
      </c>
      <c r="BP212" s="162">
        <v>60</v>
      </c>
      <c r="BQ212" t="s">
        <v>35</v>
      </c>
      <c r="BR212" t="s">
        <v>1849</v>
      </c>
      <c r="BS212" s="162" t="s">
        <v>10170</v>
      </c>
    </row>
    <row r="213" spans="1:71">
      <c r="A213" s="162">
        <v>212</v>
      </c>
      <c r="B213" t="s">
        <v>395</v>
      </c>
      <c r="C213" s="162">
        <v>0</v>
      </c>
      <c r="D213" s="122" t="s">
        <v>797</v>
      </c>
      <c r="E213" t="s">
        <v>791</v>
      </c>
      <c r="F213" t="s">
        <v>515</v>
      </c>
      <c r="G213" t="s">
        <v>411</v>
      </c>
      <c r="H213" t="s">
        <v>925</v>
      </c>
      <c r="I213" s="162">
        <v>1</v>
      </c>
      <c r="J213" t="s">
        <v>1855</v>
      </c>
      <c r="K213" t="s">
        <v>3</v>
      </c>
      <c r="L213" s="165">
        <v>35096</v>
      </c>
      <c r="M213" s="166">
        <v>21</v>
      </c>
      <c r="N213" t="s">
        <v>1093</v>
      </c>
      <c r="O213" t="s">
        <v>10135</v>
      </c>
      <c r="P213" t="s">
        <v>48</v>
      </c>
      <c r="Q213" t="s">
        <v>1135</v>
      </c>
      <c r="R213" t="s">
        <v>1140</v>
      </c>
      <c r="S213" s="162">
        <v>40.299999999999997</v>
      </c>
      <c r="T213" t="s">
        <v>1139</v>
      </c>
      <c r="U213" s="162">
        <v>5.0999999999999996</v>
      </c>
      <c r="V213" t="s">
        <v>1138</v>
      </c>
      <c r="W213" s="162">
        <v>0.6</v>
      </c>
      <c r="X213">
        <v>0</v>
      </c>
      <c r="Y213" s="162">
        <v>0</v>
      </c>
      <c r="Z213">
        <v>0</v>
      </c>
      <c r="AA213" s="162">
        <v>0</v>
      </c>
      <c r="AB213">
        <v>0</v>
      </c>
      <c r="AC213" s="162" t="s">
        <v>7</v>
      </c>
      <c r="AD213" s="162" t="s">
        <v>7</v>
      </c>
      <c r="AE213" s="162" t="s">
        <v>7</v>
      </c>
      <c r="AF213" s="162" t="s">
        <v>7</v>
      </c>
      <c r="AG213" s="162" t="s">
        <v>7</v>
      </c>
      <c r="AH213" s="162" t="s">
        <v>7</v>
      </c>
      <c r="AI213" t="s">
        <v>9846</v>
      </c>
      <c r="AJ213" t="s">
        <v>1136</v>
      </c>
      <c r="AK213" t="s">
        <v>9833</v>
      </c>
      <c r="AL213" t="s">
        <v>78</v>
      </c>
      <c r="AM213" s="162" t="s">
        <v>10138</v>
      </c>
      <c r="AN213" t="s">
        <v>9843</v>
      </c>
      <c r="AO213" t="s">
        <v>7</v>
      </c>
      <c r="AP213" t="s">
        <v>7</v>
      </c>
      <c r="AQ213" t="s">
        <v>9</v>
      </c>
      <c r="AR213" t="s">
        <v>7</v>
      </c>
      <c r="AS213" s="162" t="s">
        <v>7</v>
      </c>
      <c r="AT213" s="117" t="s">
        <v>7</v>
      </c>
      <c r="AU213" s="162" t="s">
        <v>7</v>
      </c>
      <c r="AV213" s="162" t="s">
        <v>7</v>
      </c>
      <c r="AW213" s="162" t="s">
        <v>9851</v>
      </c>
      <c r="AX213" s="162" t="s">
        <v>7</v>
      </c>
      <c r="AY213" s="162" t="s">
        <v>7</v>
      </c>
      <c r="AZ213" t="s">
        <v>7</v>
      </c>
      <c r="BA213" s="162" t="s">
        <v>7</v>
      </c>
      <c r="BB213" s="162" t="s">
        <v>7</v>
      </c>
      <c r="BC213" s="162" t="s">
        <v>7</v>
      </c>
      <c r="BD213" s="162" t="s">
        <v>7</v>
      </c>
      <c r="BE213" s="162" t="s">
        <v>7</v>
      </c>
      <c r="BF213" s="162" t="str">
        <f t="shared" si="6"/>
        <v>Sim</v>
      </c>
      <c r="BG213" s="162" t="str">
        <f t="shared" si="7"/>
        <v>Não</v>
      </c>
      <c r="BH213" s="162" t="s">
        <v>7</v>
      </c>
      <c r="BI213" t="s">
        <v>7</v>
      </c>
      <c r="BJ213" s="162" t="s">
        <v>7</v>
      </c>
      <c r="BK213" t="s">
        <v>9</v>
      </c>
      <c r="BL213" s="162">
        <v>60</v>
      </c>
      <c r="BM213" t="s">
        <v>35</v>
      </c>
      <c r="BN213" t="s">
        <v>35</v>
      </c>
      <c r="BO213" t="s">
        <v>9</v>
      </c>
      <c r="BP213" s="162">
        <v>60</v>
      </c>
      <c r="BQ213" t="s">
        <v>35</v>
      </c>
      <c r="BR213" t="s">
        <v>1849</v>
      </c>
      <c r="BS213" s="162" t="s">
        <v>10170</v>
      </c>
    </row>
    <row r="214" spans="1:71">
      <c r="A214" s="162">
        <v>213</v>
      </c>
      <c r="B214" t="s">
        <v>448</v>
      </c>
      <c r="C214" s="162">
        <v>1</v>
      </c>
      <c r="D214" s="122" t="s">
        <v>912</v>
      </c>
      <c r="E214" t="s">
        <v>1006</v>
      </c>
      <c r="F214" t="s">
        <v>3</v>
      </c>
      <c r="G214" t="s">
        <v>450</v>
      </c>
      <c r="H214" t="s">
        <v>1014</v>
      </c>
      <c r="I214" s="162">
        <v>1</v>
      </c>
      <c r="J214" t="s">
        <v>1864</v>
      </c>
      <c r="K214" t="s">
        <v>3</v>
      </c>
      <c r="L214" s="165">
        <v>35222</v>
      </c>
      <c r="M214" s="166">
        <v>20</v>
      </c>
      <c r="N214" t="s">
        <v>5</v>
      </c>
      <c r="O214" t="s">
        <v>10135</v>
      </c>
      <c r="P214" t="s">
        <v>1101</v>
      </c>
      <c r="Q214" t="s">
        <v>1342</v>
      </c>
      <c r="R214" t="s">
        <v>1950</v>
      </c>
      <c r="S214" s="162">
        <v>106</v>
      </c>
      <c r="T214" t="s">
        <v>1952</v>
      </c>
      <c r="U214" s="162">
        <v>167</v>
      </c>
      <c r="V214" t="s">
        <v>1955</v>
      </c>
      <c r="W214" s="162">
        <v>154</v>
      </c>
      <c r="X214">
        <v>0</v>
      </c>
      <c r="Y214" s="162">
        <v>0</v>
      </c>
      <c r="Z214">
        <v>0</v>
      </c>
      <c r="AA214" s="162">
        <v>0</v>
      </c>
      <c r="AB214">
        <v>0</v>
      </c>
      <c r="AC214" s="162" t="s">
        <v>7</v>
      </c>
      <c r="AD214" s="162" t="s">
        <v>7</v>
      </c>
      <c r="AE214" s="162" t="s">
        <v>7</v>
      </c>
      <c r="AF214" s="162" t="s">
        <v>7</v>
      </c>
      <c r="AG214" s="162" t="s">
        <v>7</v>
      </c>
      <c r="AH214" s="162" t="s">
        <v>7</v>
      </c>
      <c r="AI214" t="s">
        <v>9846</v>
      </c>
      <c r="AJ214" t="s">
        <v>7</v>
      </c>
      <c r="AK214" t="s">
        <v>1936</v>
      </c>
      <c r="AL214" t="s">
        <v>78</v>
      </c>
      <c r="AM214" s="162" t="s">
        <v>10138</v>
      </c>
      <c r="AN214" t="s">
        <v>9843</v>
      </c>
      <c r="AO214" t="s">
        <v>35</v>
      </c>
      <c r="AP214" t="s">
        <v>7</v>
      </c>
      <c r="AQ214" t="s">
        <v>9</v>
      </c>
      <c r="AR214" t="s">
        <v>1097</v>
      </c>
      <c r="AS214" s="162" t="s">
        <v>9851</v>
      </c>
      <c r="AT214" s="117" t="s">
        <v>1244</v>
      </c>
      <c r="AU214" s="162" t="s">
        <v>7</v>
      </c>
      <c r="AV214" s="162" t="s">
        <v>9851</v>
      </c>
      <c r="AW214" s="162" t="s">
        <v>7</v>
      </c>
      <c r="AX214" s="162" t="s">
        <v>7</v>
      </c>
      <c r="AY214" s="162" t="s">
        <v>9851</v>
      </c>
      <c r="AZ214" t="s">
        <v>7</v>
      </c>
      <c r="BA214" s="162" t="s">
        <v>7</v>
      </c>
      <c r="BB214" s="162" t="s">
        <v>7</v>
      </c>
      <c r="BC214" s="162" t="s">
        <v>7</v>
      </c>
      <c r="BD214" s="162" t="s">
        <v>7</v>
      </c>
      <c r="BE214" s="162" t="s">
        <v>7</v>
      </c>
      <c r="BF214" s="162" t="str">
        <f t="shared" si="6"/>
        <v>Sim</v>
      </c>
      <c r="BG214" s="162" t="str">
        <f t="shared" si="7"/>
        <v>Não</v>
      </c>
      <c r="BH214" s="162" t="s">
        <v>7</v>
      </c>
      <c r="BI214" t="s">
        <v>9872</v>
      </c>
      <c r="BJ214" s="162" t="s">
        <v>10165</v>
      </c>
      <c r="BK214" t="s">
        <v>9</v>
      </c>
      <c r="BL214" s="162">
        <v>60</v>
      </c>
      <c r="BM214" t="s">
        <v>35</v>
      </c>
      <c r="BN214" t="s">
        <v>35</v>
      </c>
      <c r="BO214" t="s">
        <v>9</v>
      </c>
      <c r="BP214" s="162">
        <v>60</v>
      </c>
      <c r="BQ214" t="s">
        <v>35</v>
      </c>
      <c r="BR214" t="s">
        <v>1849</v>
      </c>
      <c r="BS214" s="162" t="s">
        <v>10170</v>
      </c>
    </row>
    <row r="215" spans="1:71">
      <c r="A215" s="162">
        <v>214</v>
      </c>
      <c r="B215" t="s">
        <v>448</v>
      </c>
      <c r="C215" s="162">
        <v>0</v>
      </c>
      <c r="D215" s="122" t="s">
        <v>912</v>
      </c>
      <c r="E215" t="s">
        <v>1006</v>
      </c>
      <c r="F215" t="s">
        <v>3</v>
      </c>
      <c r="G215" t="s">
        <v>450</v>
      </c>
      <c r="H215" t="s">
        <v>1015</v>
      </c>
      <c r="I215" s="162">
        <v>1</v>
      </c>
      <c r="J215" t="s">
        <v>1864</v>
      </c>
      <c r="K215" t="s">
        <v>3</v>
      </c>
      <c r="L215" s="165">
        <v>35665</v>
      </c>
      <c r="M215" s="166">
        <v>19</v>
      </c>
      <c r="N215" t="s">
        <v>1093</v>
      </c>
      <c r="O215" t="s">
        <v>10135</v>
      </c>
      <c r="P215" t="s">
        <v>1101</v>
      </c>
      <c r="Q215" t="s">
        <v>1934</v>
      </c>
      <c r="R215" t="s">
        <v>1950</v>
      </c>
      <c r="S215" s="162">
        <v>106</v>
      </c>
      <c r="T215" t="s">
        <v>1952</v>
      </c>
      <c r="U215" s="162">
        <v>167</v>
      </c>
      <c r="V215" t="s">
        <v>1955</v>
      </c>
      <c r="W215" s="162">
        <v>154</v>
      </c>
      <c r="X215">
        <v>0</v>
      </c>
      <c r="Y215" s="162">
        <v>0</v>
      </c>
      <c r="Z215">
        <v>0</v>
      </c>
      <c r="AA215" s="162">
        <v>0</v>
      </c>
      <c r="AB215">
        <v>0</v>
      </c>
      <c r="AC215" s="162" t="s">
        <v>7</v>
      </c>
      <c r="AD215" s="162" t="s">
        <v>7</v>
      </c>
      <c r="AE215" s="162" t="s">
        <v>7</v>
      </c>
      <c r="AF215" s="162" t="s">
        <v>7</v>
      </c>
      <c r="AG215" s="162" t="s">
        <v>7</v>
      </c>
      <c r="AH215" s="162" t="s">
        <v>7</v>
      </c>
      <c r="AI215" t="s">
        <v>9846</v>
      </c>
      <c r="AJ215" t="s">
        <v>9848</v>
      </c>
      <c r="AK215" t="s">
        <v>1936</v>
      </c>
      <c r="AL215" t="s">
        <v>78</v>
      </c>
      <c r="AM215" s="162" t="s">
        <v>10138</v>
      </c>
      <c r="AN215" t="s">
        <v>9843</v>
      </c>
      <c r="AO215" t="s">
        <v>9848</v>
      </c>
      <c r="AP215" t="s">
        <v>7</v>
      </c>
      <c r="AQ215" t="s">
        <v>9</v>
      </c>
      <c r="AR215" t="s">
        <v>7</v>
      </c>
      <c r="AS215" s="162" t="s">
        <v>7</v>
      </c>
      <c r="AT215" s="117" t="s">
        <v>7</v>
      </c>
      <c r="AU215" s="162" t="s">
        <v>7</v>
      </c>
      <c r="AV215" s="162" t="s">
        <v>7</v>
      </c>
      <c r="AW215" s="162" t="s">
        <v>9851</v>
      </c>
      <c r="AX215" s="162" t="s">
        <v>7</v>
      </c>
      <c r="AY215" s="162" t="s">
        <v>7</v>
      </c>
      <c r="AZ215" t="s">
        <v>7</v>
      </c>
      <c r="BA215" s="162" t="s">
        <v>7</v>
      </c>
      <c r="BB215" s="162" t="s">
        <v>7</v>
      </c>
      <c r="BC215" s="162" t="s">
        <v>7</v>
      </c>
      <c r="BD215" s="162" t="s">
        <v>7</v>
      </c>
      <c r="BE215" s="162" t="s">
        <v>7</v>
      </c>
      <c r="BF215" s="162" t="str">
        <f t="shared" si="6"/>
        <v>Sim</v>
      </c>
      <c r="BG215" s="162" t="str">
        <f t="shared" si="7"/>
        <v>Não</v>
      </c>
      <c r="BH215" s="162" t="s">
        <v>7</v>
      </c>
      <c r="BI215" t="s">
        <v>7</v>
      </c>
      <c r="BJ215" s="162" t="s">
        <v>7</v>
      </c>
      <c r="BK215" t="s">
        <v>9</v>
      </c>
      <c r="BL215" s="162">
        <v>60</v>
      </c>
      <c r="BM215" t="s">
        <v>35</v>
      </c>
      <c r="BN215" t="s">
        <v>1162</v>
      </c>
      <c r="BO215" t="s">
        <v>1166</v>
      </c>
      <c r="BP215" s="162">
        <v>96</v>
      </c>
      <c r="BQ215" t="s">
        <v>35</v>
      </c>
      <c r="BR215" t="s">
        <v>1849</v>
      </c>
      <c r="BS215" s="162" t="s">
        <v>10170</v>
      </c>
    </row>
    <row r="216" spans="1:71">
      <c r="A216" s="162">
        <v>215</v>
      </c>
      <c r="B216" t="s">
        <v>432</v>
      </c>
      <c r="C216" s="162">
        <v>1</v>
      </c>
      <c r="D216" s="122" t="s">
        <v>685</v>
      </c>
      <c r="E216" t="s">
        <v>998</v>
      </c>
      <c r="F216" t="s">
        <v>3</v>
      </c>
      <c r="G216" t="s">
        <v>433</v>
      </c>
      <c r="H216" t="s">
        <v>1003</v>
      </c>
      <c r="I216" s="162">
        <v>1</v>
      </c>
      <c r="J216" t="s">
        <v>1855</v>
      </c>
      <c r="K216" t="s">
        <v>3</v>
      </c>
      <c r="L216" s="165">
        <v>35973</v>
      </c>
      <c r="M216" s="166">
        <v>19</v>
      </c>
      <c r="N216" t="s">
        <v>4</v>
      </c>
      <c r="O216" t="s">
        <v>10134</v>
      </c>
      <c r="P216" t="s">
        <v>1101</v>
      </c>
      <c r="Q216" t="s">
        <v>1186</v>
      </c>
      <c r="R216" t="s">
        <v>1967</v>
      </c>
      <c r="S216" s="162">
        <v>195</v>
      </c>
      <c r="T216" t="s">
        <v>1969</v>
      </c>
      <c r="U216" s="162">
        <v>5.5</v>
      </c>
      <c r="V216" t="s">
        <v>1973</v>
      </c>
      <c r="W216" s="162">
        <v>6.4</v>
      </c>
      <c r="X216">
        <v>0</v>
      </c>
      <c r="Y216" s="162">
        <v>0</v>
      </c>
      <c r="Z216">
        <v>0</v>
      </c>
      <c r="AA216" s="162">
        <v>0</v>
      </c>
      <c r="AB216">
        <v>0</v>
      </c>
      <c r="AC216" s="162" t="s">
        <v>7</v>
      </c>
      <c r="AD216" s="162" t="s">
        <v>7</v>
      </c>
      <c r="AE216" s="162" t="s">
        <v>7</v>
      </c>
      <c r="AF216" s="162" t="s">
        <v>7</v>
      </c>
      <c r="AG216" s="162" t="s">
        <v>7</v>
      </c>
      <c r="AH216" s="162" t="s">
        <v>7</v>
      </c>
      <c r="AI216" t="s">
        <v>9843</v>
      </c>
      <c r="AJ216" t="s">
        <v>7</v>
      </c>
      <c r="AK216" t="s">
        <v>1975</v>
      </c>
      <c r="AL216" t="s">
        <v>36</v>
      </c>
      <c r="AM216" s="162" t="s">
        <v>10138</v>
      </c>
      <c r="AN216" t="s">
        <v>9843</v>
      </c>
      <c r="AO216" t="s">
        <v>35</v>
      </c>
      <c r="AP216" t="s">
        <v>7</v>
      </c>
      <c r="AQ216" t="s">
        <v>9</v>
      </c>
      <c r="AR216" t="s">
        <v>7</v>
      </c>
      <c r="AS216" s="162" t="s">
        <v>7</v>
      </c>
      <c r="AT216" s="117" t="s">
        <v>7</v>
      </c>
      <c r="AU216" s="162" t="s">
        <v>7</v>
      </c>
      <c r="AV216" s="162" t="s">
        <v>7</v>
      </c>
      <c r="AW216" s="162" t="s">
        <v>9851</v>
      </c>
      <c r="AX216" s="162" t="s">
        <v>7</v>
      </c>
      <c r="AY216" s="162" t="s">
        <v>7</v>
      </c>
      <c r="AZ216" t="s">
        <v>7</v>
      </c>
      <c r="BA216" s="162" t="s">
        <v>7</v>
      </c>
      <c r="BB216" s="162" t="s">
        <v>7</v>
      </c>
      <c r="BC216" s="162" t="s">
        <v>7</v>
      </c>
      <c r="BD216" s="162" t="s">
        <v>7</v>
      </c>
      <c r="BE216" s="162" t="s">
        <v>7</v>
      </c>
      <c r="BF216" s="162" t="str">
        <f t="shared" si="6"/>
        <v>Sim</v>
      </c>
      <c r="BG216" s="162" t="str">
        <f t="shared" si="7"/>
        <v>Não</v>
      </c>
      <c r="BH216" s="162" t="s">
        <v>7</v>
      </c>
      <c r="BI216" t="s">
        <v>7</v>
      </c>
      <c r="BJ216" s="162" t="s">
        <v>7</v>
      </c>
      <c r="BK216" t="s">
        <v>9</v>
      </c>
      <c r="BL216" s="162">
        <v>60</v>
      </c>
      <c r="BM216" t="s">
        <v>35</v>
      </c>
      <c r="BN216" t="s">
        <v>35</v>
      </c>
      <c r="BO216" t="s">
        <v>9</v>
      </c>
      <c r="BP216" s="162">
        <v>60</v>
      </c>
      <c r="BQ216" t="s">
        <v>35</v>
      </c>
      <c r="BR216" t="s">
        <v>1849</v>
      </c>
      <c r="BS216" s="162" t="s">
        <v>10170</v>
      </c>
    </row>
    <row r="217" spans="1:71">
      <c r="A217" s="162">
        <v>216</v>
      </c>
      <c r="B217" t="s">
        <v>308</v>
      </c>
      <c r="C217" s="162">
        <v>0</v>
      </c>
      <c r="D217" s="122">
        <v>42892</v>
      </c>
      <c r="E217" t="s">
        <v>823</v>
      </c>
      <c r="F217" t="s">
        <v>515</v>
      </c>
      <c r="G217" t="s">
        <v>316</v>
      </c>
      <c r="H217" t="s">
        <v>1922</v>
      </c>
      <c r="I217" s="162">
        <v>1</v>
      </c>
      <c r="J217" t="s">
        <v>1855</v>
      </c>
      <c r="K217" t="s">
        <v>3</v>
      </c>
      <c r="L217" s="165">
        <v>35717</v>
      </c>
      <c r="M217" s="166">
        <v>19</v>
      </c>
      <c r="N217" t="s">
        <v>5</v>
      </c>
      <c r="O217" t="s">
        <v>10135</v>
      </c>
      <c r="P217" t="s">
        <v>1074</v>
      </c>
      <c r="Q217" t="s">
        <v>1120</v>
      </c>
      <c r="R217" t="s">
        <v>2036</v>
      </c>
      <c r="S217" s="162">
        <v>996.7</v>
      </c>
      <c r="T217" t="s">
        <v>2042</v>
      </c>
      <c r="U217" s="162">
        <v>143.5</v>
      </c>
      <c r="V217" t="s">
        <v>2050</v>
      </c>
      <c r="W217" s="162">
        <v>56.1</v>
      </c>
      <c r="X217">
        <v>0</v>
      </c>
      <c r="Y217" s="162">
        <v>0</v>
      </c>
      <c r="Z217">
        <v>0</v>
      </c>
      <c r="AA217" s="162">
        <v>0</v>
      </c>
      <c r="AB217">
        <v>0</v>
      </c>
      <c r="AC217" s="162" t="s">
        <v>7</v>
      </c>
      <c r="AD217" s="162" t="s">
        <v>7</v>
      </c>
      <c r="AE217" s="162" t="s">
        <v>7</v>
      </c>
      <c r="AF217" s="162" t="s">
        <v>7</v>
      </c>
      <c r="AG217" s="162" t="s">
        <v>7</v>
      </c>
      <c r="AH217" s="162" t="s">
        <v>7</v>
      </c>
      <c r="AI217" t="s">
        <v>9846</v>
      </c>
      <c r="AJ217" t="s">
        <v>7</v>
      </c>
      <c r="AK217" t="s">
        <v>1809</v>
      </c>
      <c r="AL217" t="s">
        <v>36</v>
      </c>
      <c r="AM217" s="162" t="s">
        <v>10138</v>
      </c>
      <c r="AN217" t="s">
        <v>9846</v>
      </c>
      <c r="AO217" t="s">
        <v>35</v>
      </c>
      <c r="AP217" t="s">
        <v>1643</v>
      </c>
      <c r="AQ217" t="s">
        <v>1100</v>
      </c>
      <c r="AR217" t="s">
        <v>7</v>
      </c>
      <c r="AS217" s="162" t="s">
        <v>7</v>
      </c>
      <c r="AT217" s="117" t="s">
        <v>1244</v>
      </c>
      <c r="AU217" s="162" t="s">
        <v>7</v>
      </c>
      <c r="AV217" s="162" t="s">
        <v>9851</v>
      </c>
      <c r="AW217" s="162" t="s">
        <v>7</v>
      </c>
      <c r="AX217" s="162" t="s">
        <v>7</v>
      </c>
      <c r="AY217" s="162" t="s">
        <v>9851</v>
      </c>
      <c r="AZ217" t="s">
        <v>7</v>
      </c>
      <c r="BA217" s="162" t="s">
        <v>7</v>
      </c>
      <c r="BB217" s="162" t="s">
        <v>7</v>
      </c>
      <c r="BC217" s="162" t="s">
        <v>7</v>
      </c>
      <c r="BD217" s="162" t="s">
        <v>7</v>
      </c>
      <c r="BE217" s="162" t="s">
        <v>7</v>
      </c>
      <c r="BF217" s="162" t="str">
        <f t="shared" si="6"/>
        <v>Sim</v>
      </c>
      <c r="BG217" s="162" t="str">
        <f t="shared" si="7"/>
        <v>Não</v>
      </c>
      <c r="BH217" s="162" t="s">
        <v>7</v>
      </c>
      <c r="BI217" t="s">
        <v>7</v>
      </c>
      <c r="BJ217" s="162" t="s">
        <v>7</v>
      </c>
      <c r="BK217" t="s">
        <v>9</v>
      </c>
      <c r="BL217" s="162">
        <v>60</v>
      </c>
      <c r="BM217" t="s">
        <v>1162</v>
      </c>
      <c r="BN217" t="s">
        <v>35</v>
      </c>
      <c r="BO217" t="s">
        <v>1166</v>
      </c>
      <c r="BP217" s="162">
        <v>96</v>
      </c>
      <c r="BQ217" t="s">
        <v>35</v>
      </c>
      <c r="BR217" t="s">
        <v>1849</v>
      </c>
      <c r="BS217" s="162" t="s">
        <v>10170</v>
      </c>
    </row>
    <row r="218" spans="1:71">
      <c r="A218" s="162">
        <v>217</v>
      </c>
      <c r="B218" t="s">
        <v>125</v>
      </c>
      <c r="C218" s="162">
        <v>1</v>
      </c>
      <c r="D218" s="122" t="s">
        <v>501</v>
      </c>
      <c r="E218" t="s">
        <v>495</v>
      </c>
      <c r="F218" t="s">
        <v>3</v>
      </c>
      <c r="G218" t="s">
        <v>131</v>
      </c>
      <c r="H218" t="s">
        <v>502</v>
      </c>
      <c r="I218" s="162">
        <v>1</v>
      </c>
      <c r="J218" t="s">
        <v>1855</v>
      </c>
      <c r="K218" t="s">
        <v>3</v>
      </c>
      <c r="L218" s="165">
        <v>31129</v>
      </c>
      <c r="M218" s="166">
        <v>32</v>
      </c>
      <c r="N218" t="s">
        <v>5</v>
      </c>
      <c r="O218" t="s">
        <v>10135</v>
      </c>
      <c r="P218" t="s">
        <v>1101</v>
      </c>
      <c r="Q218" t="s">
        <v>1294</v>
      </c>
      <c r="R218" t="s">
        <v>1295</v>
      </c>
      <c r="S218" s="162">
        <v>7</v>
      </c>
      <c r="T218">
        <v>0</v>
      </c>
      <c r="U218" s="162">
        <v>0</v>
      </c>
      <c r="V218" t="s">
        <v>1296</v>
      </c>
      <c r="W218" s="162">
        <v>15.8</v>
      </c>
      <c r="X218">
        <v>0</v>
      </c>
      <c r="Y218" s="162">
        <v>0</v>
      </c>
      <c r="Z218">
        <v>0</v>
      </c>
      <c r="AA218" s="162">
        <v>0</v>
      </c>
      <c r="AB218">
        <v>0</v>
      </c>
      <c r="AC218" s="162" t="s">
        <v>7</v>
      </c>
      <c r="AD218" s="162" t="s">
        <v>7</v>
      </c>
      <c r="AE218" s="162" t="s">
        <v>7</v>
      </c>
      <c r="AF218" s="162" t="s">
        <v>7</v>
      </c>
      <c r="AG218" s="162" t="s">
        <v>7</v>
      </c>
      <c r="AH218" s="162" t="s">
        <v>7</v>
      </c>
      <c r="AI218" t="s">
        <v>9843</v>
      </c>
      <c r="AJ218" t="s">
        <v>7</v>
      </c>
      <c r="AK218" t="s">
        <v>1132</v>
      </c>
      <c r="AL218" t="s">
        <v>36</v>
      </c>
      <c r="AM218" s="162" t="s">
        <v>10138</v>
      </c>
      <c r="AN218" t="s">
        <v>9843</v>
      </c>
      <c r="AO218" t="s">
        <v>35</v>
      </c>
      <c r="AP218" t="s">
        <v>7</v>
      </c>
      <c r="AQ218" t="s">
        <v>9</v>
      </c>
      <c r="AR218" t="s">
        <v>7</v>
      </c>
      <c r="AS218" s="162" t="s">
        <v>7</v>
      </c>
      <c r="AT218" s="117" t="s">
        <v>7</v>
      </c>
      <c r="AU218" s="162" t="s">
        <v>7</v>
      </c>
      <c r="AV218" s="162" t="s">
        <v>7</v>
      </c>
      <c r="AW218" s="162" t="s">
        <v>9851</v>
      </c>
      <c r="AX218" s="162" t="s">
        <v>7</v>
      </c>
      <c r="AY218" s="162" t="s">
        <v>7</v>
      </c>
      <c r="AZ218" t="s">
        <v>7</v>
      </c>
      <c r="BA218" s="162" t="s">
        <v>7</v>
      </c>
      <c r="BB218" s="162" t="s">
        <v>7</v>
      </c>
      <c r="BC218" s="162" t="s">
        <v>7</v>
      </c>
      <c r="BD218" s="162" t="s">
        <v>7</v>
      </c>
      <c r="BE218" s="162" t="s">
        <v>7</v>
      </c>
      <c r="BF218" s="162" t="str">
        <f t="shared" si="6"/>
        <v>Sim</v>
      </c>
      <c r="BG218" s="162" t="str">
        <f t="shared" si="7"/>
        <v>Não</v>
      </c>
      <c r="BH218" s="162" t="s">
        <v>7</v>
      </c>
      <c r="BI218" t="s">
        <v>7</v>
      </c>
      <c r="BJ218" s="162" t="s">
        <v>7</v>
      </c>
      <c r="BK218" t="s">
        <v>9</v>
      </c>
      <c r="BL218" s="162">
        <v>60</v>
      </c>
      <c r="BM218" t="s">
        <v>35</v>
      </c>
      <c r="BN218" t="s">
        <v>35</v>
      </c>
      <c r="BO218" t="s">
        <v>9</v>
      </c>
      <c r="BP218" s="162">
        <v>60</v>
      </c>
      <c r="BQ218" t="s">
        <v>35</v>
      </c>
      <c r="BR218" t="s">
        <v>1849</v>
      </c>
      <c r="BS218" s="162" t="s">
        <v>10170</v>
      </c>
    </row>
    <row r="219" spans="1:71">
      <c r="A219" s="162">
        <v>218</v>
      </c>
      <c r="B219" t="s">
        <v>201</v>
      </c>
      <c r="C219" s="162">
        <v>0</v>
      </c>
      <c r="D219" s="122" t="s">
        <v>544</v>
      </c>
      <c r="E219" t="s">
        <v>656</v>
      </c>
      <c r="F219" t="s">
        <v>515</v>
      </c>
      <c r="G219" t="s">
        <v>214</v>
      </c>
      <c r="H219" t="s">
        <v>658</v>
      </c>
      <c r="I219" s="162">
        <v>1</v>
      </c>
      <c r="J219" t="s">
        <v>1864</v>
      </c>
      <c r="K219" t="s">
        <v>3</v>
      </c>
      <c r="L219" s="165">
        <v>31639</v>
      </c>
      <c r="M219" s="166">
        <v>30</v>
      </c>
      <c r="N219" t="s">
        <v>1093</v>
      </c>
      <c r="O219" t="s">
        <v>10135</v>
      </c>
      <c r="P219" t="s">
        <v>1101</v>
      </c>
      <c r="Q219" t="s">
        <v>1709</v>
      </c>
      <c r="R219" t="s">
        <v>1707</v>
      </c>
      <c r="S219" s="162">
        <v>14</v>
      </c>
      <c r="T219" t="s">
        <v>1706</v>
      </c>
      <c r="U219" s="162">
        <v>45.9</v>
      </c>
      <c r="V219" t="s">
        <v>1708</v>
      </c>
      <c r="W219" s="162">
        <v>14</v>
      </c>
      <c r="X219">
        <v>0</v>
      </c>
      <c r="Y219" s="162">
        <v>0</v>
      </c>
      <c r="Z219">
        <v>0</v>
      </c>
      <c r="AA219" s="162">
        <v>0</v>
      </c>
      <c r="AB219">
        <v>0</v>
      </c>
      <c r="AC219" s="162" t="s">
        <v>7</v>
      </c>
      <c r="AD219" s="162" t="s">
        <v>7</v>
      </c>
      <c r="AE219" s="162" t="s">
        <v>7</v>
      </c>
      <c r="AF219" s="162" t="s">
        <v>7</v>
      </c>
      <c r="AG219" s="162" t="s">
        <v>7</v>
      </c>
      <c r="AH219" s="162" t="s">
        <v>7</v>
      </c>
      <c r="AI219" t="s">
        <v>9846</v>
      </c>
      <c r="AJ219" t="s">
        <v>7</v>
      </c>
      <c r="AK219" t="s">
        <v>1281</v>
      </c>
      <c r="AL219" t="s">
        <v>78</v>
      </c>
      <c r="AM219" s="162" t="s">
        <v>10138</v>
      </c>
      <c r="AN219" t="s">
        <v>9843</v>
      </c>
      <c r="AO219" t="s">
        <v>35</v>
      </c>
      <c r="AP219" t="s">
        <v>7</v>
      </c>
      <c r="AQ219" t="s">
        <v>9</v>
      </c>
      <c r="AR219" t="s">
        <v>1097</v>
      </c>
      <c r="AS219" s="162" t="s">
        <v>9851</v>
      </c>
      <c r="AT219" s="117" t="s">
        <v>1111</v>
      </c>
      <c r="AU219" s="162" t="s">
        <v>9851</v>
      </c>
      <c r="AV219" s="162" t="s">
        <v>7</v>
      </c>
      <c r="AW219" s="162" t="s">
        <v>7</v>
      </c>
      <c r="AX219" s="162" t="s">
        <v>7</v>
      </c>
      <c r="AY219" s="162" t="s">
        <v>9851</v>
      </c>
      <c r="AZ219" t="s">
        <v>7</v>
      </c>
      <c r="BA219" s="162" t="s">
        <v>7</v>
      </c>
      <c r="BB219" s="162" t="s">
        <v>7</v>
      </c>
      <c r="BC219" s="162" t="s">
        <v>7</v>
      </c>
      <c r="BD219" s="162" t="s">
        <v>7</v>
      </c>
      <c r="BE219" s="162" t="s">
        <v>7</v>
      </c>
      <c r="BF219" s="162" t="str">
        <f t="shared" si="6"/>
        <v>Sim</v>
      </c>
      <c r="BG219" s="162" t="str">
        <f t="shared" si="7"/>
        <v>Não</v>
      </c>
      <c r="BH219" s="162" t="s">
        <v>7</v>
      </c>
      <c r="BI219" t="s">
        <v>9872</v>
      </c>
      <c r="BJ219" s="162" t="s">
        <v>10165</v>
      </c>
      <c r="BK219" t="s">
        <v>9</v>
      </c>
      <c r="BL219" s="162">
        <v>60</v>
      </c>
      <c r="BM219" t="s">
        <v>35</v>
      </c>
      <c r="BN219" t="s">
        <v>35</v>
      </c>
      <c r="BO219" t="s">
        <v>9</v>
      </c>
      <c r="BP219" s="162">
        <v>60</v>
      </c>
      <c r="BQ219" t="s">
        <v>35</v>
      </c>
      <c r="BR219" t="s">
        <v>1849</v>
      </c>
      <c r="BS219" s="162" t="s">
        <v>10170</v>
      </c>
    </row>
    <row r="220" spans="1:71">
      <c r="A220" s="162">
        <v>219</v>
      </c>
      <c r="B220" t="s">
        <v>1871</v>
      </c>
      <c r="C220" s="162">
        <v>1</v>
      </c>
      <c r="D220" s="122">
        <v>42884</v>
      </c>
      <c r="E220" t="s">
        <v>836</v>
      </c>
      <c r="F220" t="s">
        <v>3</v>
      </c>
      <c r="G220" t="s">
        <v>323</v>
      </c>
      <c r="H220" t="s">
        <v>1876</v>
      </c>
      <c r="I220" s="162">
        <v>1</v>
      </c>
      <c r="J220" t="s">
        <v>76</v>
      </c>
      <c r="K220" t="s">
        <v>3</v>
      </c>
      <c r="L220" s="165">
        <v>29074</v>
      </c>
      <c r="M220" s="166">
        <v>37</v>
      </c>
      <c r="N220" t="s">
        <v>1093</v>
      </c>
      <c r="O220" t="s">
        <v>10135</v>
      </c>
      <c r="P220" t="s">
        <v>48</v>
      </c>
      <c r="Q220" t="s">
        <v>1938</v>
      </c>
      <c r="R220" t="s">
        <v>1940</v>
      </c>
      <c r="S220" s="162">
        <v>80000</v>
      </c>
      <c r="T220" t="s">
        <v>1945</v>
      </c>
      <c r="U220" s="162">
        <v>2500</v>
      </c>
      <c r="V220" t="s">
        <v>1948</v>
      </c>
      <c r="W220" s="162">
        <v>382.4</v>
      </c>
      <c r="X220">
        <v>0</v>
      </c>
      <c r="Y220" s="162">
        <v>0</v>
      </c>
      <c r="Z220">
        <v>0</v>
      </c>
      <c r="AA220" s="162">
        <v>0</v>
      </c>
      <c r="AB220">
        <v>0</v>
      </c>
      <c r="AC220" s="162" t="s">
        <v>7</v>
      </c>
      <c r="AD220" s="162" t="s">
        <v>7</v>
      </c>
      <c r="AE220" s="162" t="s">
        <v>7</v>
      </c>
      <c r="AF220" s="162" t="s">
        <v>7</v>
      </c>
      <c r="AG220" s="162" t="s">
        <v>7</v>
      </c>
      <c r="AH220" s="162" t="s">
        <v>7</v>
      </c>
      <c r="AI220" t="s">
        <v>9845</v>
      </c>
      <c r="AJ220" t="s">
        <v>1956</v>
      </c>
      <c r="AK220" t="s">
        <v>1276</v>
      </c>
      <c r="AL220" t="s">
        <v>78</v>
      </c>
      <c r="AM220" s="162" t="s">
        <v>10138</v>
      </c>
      <c r="AN220" t="s">
        <v>9843</v>
      </c>
      <c r="AO220" t="s">
        <v>1956</v>
      </c>
      <c r="AP220" t="s">
        <v>1104</v>
      </c>
      <c r="AQ220" t="s">
        <v>1100</v>
      </c>
      <c r="AR220" t="s">
        <v>7</v>
      </c>
      <c r="AS220" s="162" t="s">
        <v>7</v>
      </c>
      <c r="AT220" s="117" t="s">
        <v>1111</v>
      </c>
      <c r="AU220" s="162" t="s">
        <v>9851</v>
      </c>
      <c r="AV220" s="162" t="s">
        <v>7</v>
      </c>
      <c r="AW220" s="162" t="s">
        <v>7</v>
      </c>
      <c r="AX220" s="162" t="s">
        <v>7</v>
      </c>
      <c r="AY220" s="162" t="s">
        <v>9851</v>
      </c>
      <c r="AZ220" t="s">
        <v>7</v>
      </c>
      <c r="BA220" s="162" t="s">
        <v>7</v>
      </c>
      <c r="BB220" s="162" t="s">
        <v>7</v>
      </c>
      <c r="BC220" s="162" t="s">
        <v>7</v>
      </c>
      <c r="BD220" s="162" t="s">
        <v>7</v>
      </c>
      <c r="BE220" s="162" t="s">
        <v>7</v>
      </c>
      <c r="BF220" s="162" t="str">
        <f t="shared" si="6"/>
        <v>Sim</v>
      </c>
      <c r="BG220" s="162" t="str">
        <f t="shared" si="7"/>
        <v>Não</v>
      </c>
      <c r="BH220" s="162" t="s">
        <v>7</v>
      </c>
      <c r="BI220" t="s">
        <v>9872</v>
      </c>
      <c r="BJ220" s="162" t="s">
        <v>10165</v>
      </c>
      <c r="BK220" t="s">
        <v>9</v>
      </c>
      <c r="BL220" s="162">
        <v>60</v>
      </c>
      <c r="BM220" t="s">
        <v>35</v>
      </c>
      <c r="BN220" t="s">
        <v>44</v>
      </c>
      <c r="BO220" t="s">
        <v>1163</v>
      </c>
      <c r="BP220" s="162">
        <v>84</v>
      </c>
      <c r="BQ220" t="s">
        <v>35</v>
      </c>
      <c r="BR220" t="s">
        <v>1849</v>
      </c>
      <c r="BS220" s="162" t="s">
        <v>10170</v>
      </c>
    </row>
    <row r="221" spans="1:71">
      <c r="A221" s="162">
        <v>220</v>
      </c>
      <c r="B221" t="s">
        <v>337</v>
      </c>
      <c r="C221" s="162">
        <v>1</v>
      </c>
      <c r="D221" s="122" t="s">
        <v>857</v>
      </c>
      <c r="E221" t="s">
        <v>858</v>
      </c>
      <c r="F221" t="s">
        <v>515</v>
      </c>
      <c r="G221" t="s">
        <v>348</v>
      </c>
      <c r="H221" t="s">
        <v>859</v>
      </c>
      <c r="I221" s="162">
        <v>1</v>
      </c>
      <c r="J221" t="s">
        <v>1855</v>
      </c>
      <c r="K221" t="s">
        <v>3</v>
      </c>
      <c r="L221" s="165">
        <v>33284</v>
      </c>
      <c r="M221" s="166">
        <v>26</v>
      </c>
      <c r="N221" t="s">
        <v>5</v>
      </c>
      <c r="O221" t="s">
        <v>10135</v>
      </c>
      <c r="P221" t="s">
        <v>1101</v>
      </c>
      <c r="Q221" t="s">
        <v>1610</v>
      </c>
      <c r="R221" t="s">
        <v>1611</v>
      </c>
      <c r="S221" s="162">
        <v>64.7</v>
      </c>
      <c r="T221" t="s">
        <v>1613</v>
      </c>
      <c r="U221" s="162">
        <v>10.6</v>
      </c>
      <c r="V221" t="s">
        <v>1612</v>
      </c>
      <c r="W221" s="162">
        <v>15.3</v>
      </c>
      <c r="X221">
        <v>0</v>
      </c>
      <c r="Y221" s="162">
        <v>0</v>
      </c>
      <c r="Z221">
        <v>0</v>
      </c>
      <c r="AA221" s="162">
        <v>0</v>
      </c>
      <c r="AB221">
        <v>0</v>
      </c>
      <c r="AC221" s="162" t="s">
        <v>7</v>
      </c>
      <c r="AD221" s="162" t="s">
        <v>7</v>
      </c>
      <c r="AE221" s="162" t="s">
        <v>7</v>
      </c>
      <c r="AF221" s="162" t="s">
        <v>7</v>
      </c>
      <c r="AG221" s="162" t="s">
        <v>7</v>
      </c>
      <c r="AH221" s="162" t="s">
        <v>7</v>
      </c>
      <c r="AI221" t="s">
        <v>9843</v>
      </c>
      <c r="AJ221" t="s">
        <v>7</v>
      </c>
      <c r="AK221" t="s">
        <v>72</v>
      </c>
      <c r="AL221" t="s">
        <v>36</v>
      </c>
      <c r="AM221" s="162" t="s">
        <v>10138</v>
      </c>
      <c r="AN221" t="s">
        <v>9843</v>
      </c>
      <c r="AO221" t="s">
        <v>35</v>
      </c>
      <c r="AP221" t="s">
        <v>1643</v>
      </c>
      <c r="AQ221" t="s">
        <v>1080</v>
      </c>
      <c r="AR221" t="s">
        <v>7</v>
      </c>
      <c r="AS221" s="162" t="s">
        <v>7</v>
      </c>
      <c r="AT221" s="117" t="s">
        <v>1111</v>
      </c>
      <c r="AU221" s="162" t="s">
        <v>9851</v>
      </c>
      <c r="AV221" s="162" t="s">
        <v>7</v>
      </c>
      <c r="AW221" s="162" t="s">
        <v>7</v>
      </c>
      <c r="AX221" s="162" t="s">
        <v>7</v>
      </c>
      <c r="AY221" s="162" t="s">
        <v>9851</v>
      </c>
      <c r="AZ221" t="s">
        <v>7</v>
      </c>
      <c r="BA221" s="162" t="s">
        <v>7</v>
      </c>
      <c r="BB221" s="162" t="s">
        <v>7</v>
      </c>
      <c r="BC221" s="162" t="s">
        <v>7</v>
      </c>
      <c r="BD221" s="162" t="s">
        <v>7</v>
      </c>
      <c r="BE221" s="162" t="s">
        <v>7</v>
      </c>
      <c r="BF221" s="162" t="str">
        <f t="shared" si="6"/>
        <v>Sim</v>
      </c>
      <c r="BG221" s="162" t="str">
        <f t="shared" si="7"/>
        <v>Não</v>
      </c>
      <c r="BH221" s="162" t="s">
        <v>7</v>
      </c>
      <c r="BI221" t="s">
        <v>7</v>
      </c>
      <c r="BJ221" s="162" t="s">
        <v>7</v>
      </c>
      <c r="BK221" t="s">
        <v>9</v>
      </c>
      <c r="BL221" s="162">
        <v>60</v>
      </c>
      <c r="BM221" t="s">
        <v>35</v>
      </c>
      <c r="BN221" t="s">
        <v>35</v>
      </c>
      <c r="BO221" t="s">
        <v>9</v>
      </c>
      <c r="BP221" s="162">
        <v>60</v>
      </c>
      <c r="BQ221" t="s">
        <v>35</v>
      </c>
      <c r="BR221" t="s">
        <v>1849</v>
      </c>
      <c r="BS221" s="162" t="s">
        <v>10170</v>
      </c>
    </row>
    <row r="222" spans="1:71">
      <c r="A222" s="162">
        <v>221</v>
      </c>
      <c r="B222" t="s">
        <v>124</v>
      </c>
      <c r="C222" s="162">
        <v>1</v>
      </c>
      <c r="D222" s="122" t="s">
        <v>498</v>
      </c>
      <c r="E222" t="s">
        <v>499</v>
      </c>
      <c r="F222" t="s">
        <v>515</v>
      </c>
      <c r="G222" t="s">
        <v>131</v>
      </c>
      <c r="H222" t="s">
        <v>500</v>
      </c>
      <c r="I222" s="162">
        <v>1</v>
      </c>
      <c r="J222" t="s">
        <v>76</v>
      </c>
      <c r="K222" t="s">
        <v>3</v>
      </c>
      <c r="L222" s="165">
        <v>30801</v>
      </c>
      <c r="M222" s="166">
        <v>33</v>
      </c>
      <c r="N222" t="s">
        <v>5</v>
      </c>
      <c r="O222" t="s">
        <v>10135</v>
      </c>
      <c r="P222" t="s">
        <v>48</v>
      </c>
      <c r="Q222" t="s">
        <v>1290</v>
      </c>
      <c r="R222" t="s">
        <v>1291</v>
      </c>
      <c r="S222" s="162">
        <v>66.3</v>
      </c>
      <c r="T222" t="s">
        <v>1293</v>
      </c>
      <c r="U222" s="162">
        <v>17.8</v>
      </c>
      <c r="V222" t="s">
        <v>1292</v>
      </c>
      <c r="W222" s="162">
        <v>11.7</v>
      </c>
      <c r="X222">
        <v>0</v>
      </c>
      <c r="Y222" s="162">
        <v>0</v>
      </c>
      <c r="Z222">
        <v>0</v>
      </c>
      <c r="AA222" s="162">
        <v>0</v>
      </c>
      <c r="AB222">
        <v>0</v>
      </c>
      <c r="AC222" s="162" t="s">
        <v>7</v>
      </c>
      <c r="AD222" s="162" t="s">
        <v>7</v>
      </c>
      <c r="AE222" s="162" t="s">
        <v>7</v>
      </c>
      <c r="AF222" s="162" t="s">
        <v>7</v>
      </c>
      <c r="AG222" s="162" t="s">
        <v>7</v>
      </c>
      <c r="AH222" s="162" t="s">
        <v>7</v>
      </c>
      <c r="AI222" t="s">
        <v>9843</v>
      </c>
      <c r="AJ222" t="s">
        <v>7</v>
      </c>
      <c r="AK222" t="s">
        <v>1281</v>
      </c>
      <c r="AL222" t="s">
        <v>36</v>
      </c>
      <c r="AM222" s="162" t="s">
        <v>10138</v>
      </c>
      <c r="AN222" t="s">
        <v>9843</v>
      </c>
      <c r="AO222" t="s">
        <v>35</v>
      </c>
      <c r="AP222" t="s">
        <v>1214</v>
      </c>
      <c r="AQ222" t="s">
        <v>1100</v>
      </c>
      <c r="AR222" t="s">
        <v>7</v>
      </c>
      <c r="AS222" s="162" t="s">
        <v>7</v>
      </c>
      <c r="AT222" s="117" t="s">
        <v>1111</v>
      </c>
      <c r="AU222" s="162" t="s">
        <v>9851</v>
      </c>
      <c r="AV222" s="162" t="s">
        <v>7</v>
      </c>
      <c r="AW222" s="162" t="s">
        <v>7</v>
      </c>
      <c r="AX222" s="162" t="s">
        <v>7</v>
      </c>
      <c r="AY222" s="162" t="s">
        <v>9851</v>
      </c>
      <c r="AZ222" t="s">
        <v>7</v>
      </c>
      <c r="BA222" s="162" t="s">
        <v>7</v>
      </c>
      <c r="BB222" s="162" t="s">
        <v>7</v>
      </c>
      <c r="BC222" s="162" t="s">
        <v>7</v>
      </c>
      <c r="BD222" s="162" t="s">
        <v>7</v>
      </c>
      <c r="BE222" s="162" t="s">
        <v>7</v>
      </c>
      <c r="BF222" s="162" t="str">
        <f t="shared" si="6"/>
        <v>Sim</v>
      </c>
      <c r="BG222" s="162" t="str">
        <f t="shared" si="7"/>
        <v>Não</v>
      </c>
      <c r="BH222" s="162" t="s">
        <v>7</v>
      </c>
      <c r="BI222" t="s">
        <v>7</v>
      </c>
      <c r="BJ222" s="162" t="s">
        <v>7</v>
      </c>
      <c r="BK222" t="s">
        <v>9</v>
      </c>
      <c r="BL222" s="162">
        <v>60</v>
      </c>
      <c r="BM222" t="s">
        <v>35</v>
      </c>
      <c r="BN222" t="s">
        <v>35</v>
      </c>
      <c r="BO222" t="s">
        <v>9</v>
      </c>
      <c r="BP222" s="162">
        <v>60</v>
      </c>
      <c r="BQ222" t="s">
        <v>35</v>
      </c>
      <c r="BR222" t="s">
        <v>1849</v>
      </c>
      <c r="BS222" s="162" t="s">
        <v>10170</v>
      </c>
    </row>
    <row r="223" spans="1:71">
      <c r="A223" s="162">
        <v>222</v>
      </c>
      <c r="B223" t="s">
        <v>416</v>
      </c>
      <c r="C223" s="162">
        <v>1</v>
      </c>
      <c r="D223" s="122" t="s">
        <v>505</v>
      </c>
      <c r="E223" t="s">
        <v>477</v>
      </c>
      <c r="F223" t="s">
        <v>515</v>
      </c>
      <c r="G223" t="s">
        <v>426</v>
      </c>
      <c r="H223" t="s">
        <v>980</v>
      </c>
      <c r="I223" s="162">
        <v>1</v>
      </c>
      <c r="J223" t="s">
        <v>1550</v>
      </c>
      <c r="K223" t="s">
        <v>3</v>
      </c>
      <c r="L223" s="165">
        <v>23196</v>
      </c>
      <c r="M223" s="166">
        <v>54</v>
      </c>
      <c r="N223" t="s">
        <v>5</v>
      </c>
      <c r="O223" t="s">
        <v>10135</v>
      </c>
      <c r="P223" t="s">
        <v>48</v>
      </c>
      <c r="Q223" t="s">
        <v>1554</v>
      </c>
      <c r="R223" t="s">
        <v>1551</v>
      </c>
      <c r="S223" s="162">
        <v>278.09999999999997</v>
      </c>
      <c r="T223" t="s">
        <v>1552</v>
      </c>
      <c r="U223" s="162">
        <v>2.2999999999999998</v>
      </c>
      <c r="V223" t="s">
        <v>1553</v>
      </c>
      <c r="W223" s="162">
        <v>0.8</v>
      </c>
      <c r="X223">
        <v>0</v>
      </c>
      <c r="Y223" s="162">
        <v>0</v>
      </c>
      <c r="Z223">
        <v>0</v>
      </c>
      <c r="AA223" s="162">
        <v>0</v>
      </c>
      <c r="AB223">
        <v>0</v>
      </c>
      <c r="AC223" s="162" t="s">
        <v>7</v>
      </c>
      <c r="AD223" s="162" t="s">
        <v>7</v>
      </c>
      <c r="AE223" s="162" t="s">
        <v>7</v>
      </c>
      <c r="AF223" s="162" t="s">
        <v>7</v>
      </c>
      <c r="AG223" s="162" t="s">
        <v>7</v>
      </c>
      <c r="AH223" s="162" t="s">
        <v>7</v>
      </c>
      <c r="AI223" t="s">
        <v>9843</v>
      </c>
      <c r="AJ223" t="s">
        <v>1956</v>
      </c>
      <c r="AK223" t="s">
        <v>1556</v>
      </c>
      <c r="AL223" t="s">
        <v>36</v>
      </c>
      <c r="AM223" s="162" t="s">
        <v>10138</v>
      </c>
      <c r="AN223" t="s">
        <v>9843</v>
      </c>
      <c r="AO223" t="s">
        <v>1956</v>
      </c>
      <c r="AP223" t="s">
        <v>7</v>
      </c>
      <c r="AQ223" t="s">
        <v>9</v>
      </c>
      <c r="AR223" t="s">
        <v>7</v>
      </c>
      <c r="AS223" s="162" t="s">
        <v>7</v>
      </c>
      <c r="AT223" s="117" t="s">
        <v>7</v>
      </c>
      <c r="AU223" s="162" t="s">
        <v>7</v>
      </c>
      <c r="AV223" s="162" t="s">
        <v>7</v>
      </c>
      <c r="AW223" s="162" t="s">
        <v>9851</v>
      </c>
      <c r="AX223" s="162" t="s">
        <v>7</v>
      </c>
      <c r="AY223" s="162" t="s">
        <v>7</v>
      </c>
      <c r="AZ223" t="s">
        <v>7</v>
      </c>
      <c r="BA223" s="162" t="s">
        <v>7</v>
      </c>
      <c r="BB223" s="162" t="s">
        <v>7</v>
      </c>
      <c r="BC223" s="162" t="s">
        <v>7</v>
      </c>
      <c r="BD223" s="162" t="s">
        <v>7</v>
      </c>
      <c r="BE223" s="162" t="s">
        <v>7</v>
      </c>
      <c r="BF223" s="162" t="str">
        <f t="shared" si="6"/>
        <v>Sim</v>
      </c>
      <c r="BG223" s="162" t="str">
        <f t="shared" si="7"/>
        <v>Não</v>
      </c>
      <c r="BH223" s="162" t="s">
        <v>7</v>
      </c>
      <c r="BI223" t="s">
        <v>7</v>
      </c>
      <c r="BJ223" s="162" t="s">
        <v>7</v>
      </c>
      <c r="BK223" t="s">
        <v>9</v>
      </c>
      <c r="BL223" s="162">
        <v>60</v>
      </c>
      <c r="BM223" t="s">
        <v>35</v>
      </c>
      <c r="BN223" t="s">
        <v>44</v>
      </c>
      <c r="BO223" t="s">
        <v>1163</v>
      </c>
      <c r="BP223" s="162">
        <v>84</v>
      </c>
      <c r="BQ223" t="s">
        <v>35</v>
      </c>
      <c r="BR223" t="s">
        <v>1849</v>
      </c>
      <c r="BS223" s="162" t="s">
        <v>10170</v>
      </c>
    </row>
    <row r="224" spans="1:71">
      <c r="A224" s="162">
        <v>223</v>
      </c>
      <c r="B224" t="s">
        <v>286</v>
      </c>
      <c r="C224" s="162">
        <v>1</v>
      </c>
      <c r="D224" s="122">
        <v>42975</v>
      </c>
      <c r="E224" t="s">
        <v>2056</v>
      </c>
      <c r="F224" t="s">
        <v>515</v>
      </c>
      <c r="G224" t="s">
        <v>291</v>
      </c>
      <c r="H224" t="s">
        <v>2066</v>
      </c>
      <c r="I224" s="162">
        <v>1</v>
      </c>
      <c r="J224" t="s">
        <v>1855</v>
      </c>
      <c r="K224" t="s">
        <v>3</v>
      </c>
      <c r="L224" s="165">
        <v>35986</v>
      </c>
      <c r="M224" s="166">
        <v>19</v>
      </c>
      <c r="N224" t="s">
        <v>5</v>
      </c>
      <c r="O224" t="s">
        <v>10135</v>
      </c>
      <c r="P224" t="s">
        <v>48</v>
      </c>
      <c r="Q224" t="s">
        <v>1186</v>
      </c>
      <c r="R224" t="s">
        <v>2084</v>
      </c>
      <c r="S224" s="162">
        <v>196</v>
      </c>
      <c r="T224" t="s">
        <v>2087</v>
      </c>
      <c r="U224" s="162">
        <v>28.2</v>
      </c>
      <c r="V224" t="s">
        <v>2090</v>
      </c>
      <c r="W224" s="162">
        <v>14.1</v>
      </c>
      <c r="X224">
        <v>0</v>
      </c>
      <c r="Y224" s="162">
        <v>0</v>
      </c>
      <c r="Z224">
        <v>0</v>
      </c>
      <c r="AA224" s="162">
        <v>0</v>
      </c>
      <c r="AB224">
        <v>0</v>
      </c>
      <c r="AC224" s="162" t="s">
        <v>7</v>
      </c>
      <c r="AD224" s="162" t="s">
        <v>7</v>
      </c>
      <c r="AE224" s="162" t="s">
        <v>7</v>
      </c>
      <c r="AF224" s="162" t="s">
        <v>7</v>
      </c>
      <c r="AG224" s="162" t="s">
        <v>7</v>
      </c>
      <c r="AH224" s="162" t="s">
        <v>7</v>
      </c>
      <c r="AI224" t="s">
        <v>9843</v>
      </c>
      <c r="AJ224" t="s">
        <v>7</v>
      </c>
      <c r="AK224" t="s">
        <v>2067</v>
      </c>
      <c r="AL224" t="s">
        <v>36</v>
      </c>
      <c r="AM224" s="162" t="s">
        <v>10138</v>
      </c>
      <c r="AN224" t="s">
        <v>9843</v>
      </c>
      <c r="AO224" t="s">
        <v>35</v>
      </c>
      <c r="AP224" t="s">
        <v>9794</v>
      </c>
      <c r="AQ224" t="s">
        <v>1080</v>
      </c>
      <c r="AR224" t="s">
        <v>7</v>
      </c>
      <c r="AS224" s="162" t="s">
        <v>7</v>
      </c>
      <c r="AT224" s="117" t="s">
        <v>1244</v>
      </c>
      <c r="AU224" s="162" t="s">
        <v>7</v>
      </c>
      <c r="AV224" s="162" t="s">
        <v>9851</v>
      </c>
      <c r="AW224" s="162" t="s">
        <v>7</v>
      </c>
      <c r="AX224" s="162" t="s">
        <v>7</v>
      </c>
      <c r="AY224" s="162" t="s">
        <v>9851</v>
      </c>
      <c r="AZ224" t="s">
        <v>7</v>
      </c>
      <c r="BA224" s="162" t="s">
        <v>7</v>
      </c>
      <c r="BB224" s="162" t="s">
        <v>7</v>
      </c>
      <c r="BC224" s="162" t="s">
        <v>7</v>
      </c>
      <c r="BD224" s="162" t="s">
        <v>7</v>
      </c>
      <c r="BE224" s="162" t="s">
        <v>7</v>
      </c>
      <c r="BF224" s="162" t="str">
        <f t="shared" si="6"/>
        <v>Sim</v>
      </c>
      <c r="BG224" s="162" t="str">
        <f t="shared" si="7"/>
        <v>Não</v>
      </c>
      <c r="BH224" s="162" t="s">
        <v>7</v>
      </c>
      <c r="BI224" t="s">
        <v>7</v>
      </c>
      <c r="BJ224" s="162" t="s">
        <v>7</v>
      </c>
      <c r="BK224" t="s">
        <v>9</v>
      </c>
      <c r="BL224" s="162">
        <v>60</v>
      </c>
      <c r="BM224" t="s">
        <v>35</v>
      </c>
      <c r="BN224" t="s">
        <v>35</v>
      </c>
      <c r="BO224" t="s">
        <v>9</v>
      </c>
      <c r="BP224" s="162">
        <v>60</v>
      </c>
      <c r="BQ224" t="s">
        <v>35</v>
      </c>
      <c r="BR224" t="s">
        <v>1849</v>
      </c>
      <c r="BS224" s="162" t="s">
        <v>10170</v>
      </c>
    </row>
    <row r="225" spans="1:71">
      <c r="A225" s="162">
        <v>224</v>
      </c>
      <c r="B225" t="s">
        <v>424</v>
      </c>
      <c r="C225" s="162">
        <v>1</v>
      </c>
      <c r="D225" s="122" t="s">
        <v>528</v>
      </c>
      <c r="E225" t="s">
        <v>477</v>
      </c>
      <c r="F225" t="s">
        <v>515</v>
      </c>
      <c r="G225" t="s">
        <v>426</v>
      </c>
      <c r="H225" t="s">
        <v>991</v>
      </c>
      <c r="I225" s="162">
        <v>1</v>
      </c>
      <c r="J225" t="s">
        <v>1855</v>
      </c>
      <c r="K225" t="s">
        <v>515</v>
      </c>
      <c r="L225" s="165">
        <v>33396</v>
      </c>
      <c r="M225" s="166">
        <v>26</v>
      </c>
      <c r="N225" t="s">
        <v>4</v>
      </c>
      <c r="O225" t="s">
        <v>10134</v>
      </c>
      <c r="P225" t="s">
        <v>77</v>
      </c>
      <c r="Q225" t="s">
        <v>1573</v>
      </c>
      <c r="R225" t="s">
        <v>1575</v>
      </c>
      <c r="S225" s="162">
        <v>70.900000000000006</v>
      </c>
      <c r="T225" t="s">
        <v>1576</v>
      </c>
      <c r="U225" s="162">
        <v>32.700000000000003</v>
      </c>
      <c r="V225" t="s">
        <v>1574</v>
      </c>
      <c r="W225" s="162">
        <v>10.9</v>
      </c>
      <c r="X225">
        <v>0</v>
      </c>
      <c r="Y225" s="162">
        <v>0</v>
      </c>
      <c r="Z225">
        <v>0</v>
      </c>
      <c r="AA225" s="162">
        <v>0</v>
      </c>
      <c r="AB225">
        <v>0</v>
      </c>
      <c r="AC225" s="162" t="s">
        <v>7</v>
      </c>
      <c r="AD225" s="162" t="s">
        <v>7</v>
      </c>
      <c r="AE225" s="162" t="s">
        <v>7</v>
      </c>
      <c r="AF225" s="162" t="s">
        <v>7</v>
      </c>
      <c r="AG225" s="162" t="s">
        <v>7</v>
      </c>
      <c r="AH225" s="162" t="s">
        <v>7</v>
      </c>
      <c r="AI225" t="s">
        <v>9843</v>
      </c>
      <c r="AJ225" t="s">
        <v>7</v>
      </c>
      <c r="AK225" t="s">
        <v>1577</v>
      </c>
      <c r="AL225" t="s">
        <v>36</v>
      </c>
      <c r="AM225" s="162" t="s">
        <v>10138</v>
      </c>
      <c r="AN225" t="s">
        <v>9843</v>
      </c>
      <c r="AO225" t="s">
        <v>35</v>
      </c>
      <c r="AP225" t="s">
        <v>7</v>
      </c>
      <c r="AQ225" t="s">
        <v>9</v>
      </c>
      <c r="AR225" t="s">
        <v>7</v>
      </c>
      <c r="AS225" s="162" t="s">
        <v>7</v>
      </c>
      <c r="AT225" s="117" t="s">
        <v>7</v>
      </c>
      <c r="AU225" s="162" t="s">
        <v>7</v>
      </c>
      <c r="AV225" s="162" t="s">
        <v>7</v>
      </c>
      <c r="AW225" s="162" t="s">
        <v>9851</v>
      </c>
      <c r="AX225" s="162" t="s">
        <v>7</v>
      </c>
      <c r="AY225" s="162" t="s">
        <v>7</v>
      </c>
      <c r="AZ225" t="s">
        <v>7</v>
      </c>
      <c r="BA225" s="162" t="s">
        <v>7</v>
      </c>
      <c r="BB225" s="162" t="s">
        <v>7</v>
      </c>
      <c r="BC225" s="162" t="s">
        <v>7</v>
      </c>
      <c r="BD225" s="162" t="s">
        <v>7</v>
      </c>
      <c r="BE225" s="162" t="s">
        <v>7</v>
      </c>
      <c r="BF225" s="162" t="str">
        <f t="shared" si="6"/>
        <v>Sim</v>
      </c>
      <c r="BG225" s="162" t="str">
        <f t="shared" si="7"/>
        <v>Não</v>
      </c>
      <c r="BH225" s="162" t="s">
        <v>7</v>
      </c>
      <c r="BI225" t="s">
        <v>7</v>
      </c>
      <c r="BJ225" s="162" t="s">
        <v>7</v>
      </c>
      <c r="BK225" t="s">
        <v>9</v>
      </c>
      <c r="BL225" s="162">
        <v>60</v>
      </c>
      <c r="BM225" t="s">
        <v>35</v>
      </c>
      <c r="BN225" t="s">
        <v>35</v>
      </c>
      <c r="BO225" t="s">
        <v>9</v>
      </c>
      <c r="BP225" s="162">
        <v>60</v>
      </c>
      <c r="BQ225" t="s">
        <v>35</v>
      </c>
      <c r="BR225" t="s">
        <v>1849</v>
      </c>
      <c r="BS225" s="162" t="s">
        <v>10170</v>
      </c>
    </row>
    <row r="226" spans="1:71">
      <c r="A226" s="162">
        <v>225</v>
      </c>
      <c r="B226" t="s">
        <v>187</v>
      </c>
      <c r="C226" s="162">
        <v>0</v>
      </c>
      <c r="D226" s="122" t="s">
        <v>628</v>
      </c>
      <c r="E226" t="s">
        <v>626</v>
      </c>
      <c r="F226" t="s">
        <v>3</v>
      </c>
      <c r="G226" t="s">
        <v>198</v>
      </c>
      <c r="H226" t="s">
        <v>630</v>
      </c>
      <c r="I226" s="162">
        <v>1</v>
      </c>
      <c r="J226" t="s">
        <v>1855</v>
      </c>
      <c r="K226" t="s">
        <v>515</v>
      </c>
      <c r="L226" s="165">
        <v>29881</v>
      </c>
      <c r="M226" s="166">
        <v>35</v>
      </c>
      <c r="N226" t="s">
        <v>4</v>
      </c>
      <c r="O226" t="s">
        <v>10134</v>
      </c>
      <c r="P226" t="s">
        <v>41</v>
      </c>
      <c r="Q226" t="s">
        <v>1590</v>
      </c>
      <c r="R226">
        <v>0</v>
      </c>
      <c r="S226" s="162">
        <v>0</v>
      </c>
      <c r="T226">
        <v>0</v>
      </c>
      <c r="U226" s="162">
        <v>0</v>
      </c>
      <c r="V226" t="s">
        <v>9900</v>
      </c>
      <c r="W226" s="162">
        <v>60</v>
      </c>
      <c r="X226">
        <v>0</v>
      </c>
      <c r="Y226" s="162">
        <v>0</v>
      </c>
      <c r="Z226">
        <v>0</v>
      </c>
      <c r="AA226" s="162">
        <v>0</v>
      </c>
      <c r="AB226">
        <v>0</v>
      </c>
      <c r="AC226" s="162" t="s">
        <v>7</v>
      </c>
      <c r="AD226" s="162" t="s">
        <v>7</v>
      </c>
      <c r="AE226" s="162" t="s">
        <v>7</v>
      </c>
      <c r="AF226" s="162" t="s">
        <v>7</v>
      </c>
      <c r="AG226" s="162" t="s">
        <v>7</v>
      </c>
      <c r="AH226" s="162" t="s">
        <v>7</v>
      </c>
      <c r="AI226" t="s">
        <v>9843</v>
      </c>
      <c r="AJ226" t="s">
        <v>7</v>
      </c>
      <c r="AK226" t="s">
        <v>1591</v>
      </c>
      <c r="AL226" t="s">
        <v>36</v>
      </c>
      <c r="AM226" s="162" t="s">
        <v>10138</v>
      </c>
      <c r="AN226" t="s">
        <v>9843</v>
      </c>
      <c r="AO226" t="s">
        <v>35</v>
      </c>
      <c r="AP226" t="s">
        <v>7</v>
      </c>
      <c r="AQ226" t="s">
        <v>9</v>
      </c>
      <c r="AR226" t="s">
        <v>7</v>
      </c>
      <c r="AS226" s="162" t="s">
        <v>7</v>
      </c>
      <c r="AT226" s="117" t="s">
        <v>7</v>
      </c>
      <c r="AU226" s="162" t="s">
        <v>7</v>
      </c>
      <c r="AV226" s="162" t="s">
        <v>7</v>
      </c>
      <c r="AW226" s="162" t="s">
        <v>9851</v>
      </c>
      <c r="AX226" s="162" t="s">
        <v>7</v>
      </c>
      <c r="AY226" s="162" t="s">
        <v>7</v>
      </c>
      <c r="AZ226" t="s">
        <v>7</v>
      </c>
      <c r="BA226" s="162" t="s">
        <v>7</v>
      </c>
      <c r="BB226" s="162" t="s">
        <v>7</v>
      </c>
      <c r="BC226" s="162" t="s">
        <v>7</v>
      </c>
      <c r="BD226" s="162" t="s">
        <v>7</v>
      </c>
      <c r="BE226" s="162" t="s">
        <v>7</v>
      </c>
      <c r="BF226" s="162" t="str">
        <f t="shared" si="6"/>
        <v>Sim</v>
      </c>
      <c r="BG226" s="162" t="str">
        <f t="shared" si="7"/>
        <v>Não</v>
      </c>
      <c r="BH226" s="162" t="s">
        <v>7</v>
      </c>
      <c r="BI226" t="s">
        <v>7</v>
      </c>
      <c r="BJ226" s="162" t="s">
        <v>7</v>
      </c>
      <c r="BK226" t="s">
        <v>9</v>
      </c>
      <c r="BL226" s="162">
        <v>60</v>
      </c>
      <c r="BM226" t="s">
        <v>35</v>
      </c>
      <c r="BN226" t="s">
        <v>35</v>
      </c>
      <c r="BO226" t="s">
        <v>9</v>
      </c>
      <c r="BP226" s="162">
        <v>60</v>
      </c>
      <c r="BQ226" t="s">
        <v>35</v>
      </c>
      <c r="BR226" t="s">
        <v>1849</v>
      </c>
      <c r="BS226" s="162" t="s">
        <v>10170</v>
      </c>
    </row>
    <row r="227" spans="1:71">
      <c r="A227" s="162">
        <v>226</v>
      </c>
      <c r="B227" t="s">
        <v>81</v>
      </c>
      <c r="C227" s="162">
        <v>1</v>
      </c>
      <c r="D227" s="122" t="s">
        <v>82</v>
      </c>
      <c r="E227" t="s">
        <v>30</v>
      </c>
      <c r="F227" t="s">
        <v>3</v>
      </c>
      <c r="G227" t="s">
        <v>23</v>
      </c>
      <c r="H227" t="s">
        <v>83</v>
      </c>
      <c r="I227" s="162">
        <v>1</v>
      </c>
      <c r="J227" t="s">
        <v>76</v>
      </c>
      <c r="K227" t="s">
        <v>3</v>
      </c>
      <c r="L227" s="165">
        <v>32087</v>
      </c>
      <c r="M227" s="166">
        <v>29</v>
      </c>
      <c r="N227" t="s">
        <v>4</v>
      </c>
      <c r="O227" t="s">
        <v>10134</v>
      </c>
      <c r="P227" t="s">
        <v>48</v>
      </c>
      <c r="Q227" t="s">
        <v>1064</v>
      </c>
      <c r="R227" t="s">
        <v>84</v>
      </c>
      <c r="S227" s="162">
        <v>34.200000000000003</v>
      </c>
      <c r="T227" t="s">
        <v>85</v>
      </c>
      <c r="U227" s="162">
        <v>4.0999999999999996</v>
      </c>
      <c r="V227" t="s">
        <v>86</v>
      </c>
      <c r="W227" s="162">
        <v>2.2999999999999998</v>
      </c>
      <c r="X227">
        <v>0</v>
      </c>
      <c r="Y227" s="162">
        <v>0</v>
      </c>
      <c r="Z227">
        <v>0</v>
      </c>
      <c r="AA227" s="162">
        <v>0</v>
      </c>
      <c r="AB227">
        <v>0</v>
      </c>
      <c r="AC227" s="162" t="s">
        <v>7</v>
      </c>
      <c r="AD227" s="162" t="s">
        <v>7</v>
      </c>
      <c r="AE227" s="162" t="s">
        <v>7</v>
      </c>
      <c r="AF227" s="162" t="s">
        <v>7</v>
      </c>
      <c r="AG227" s="162" t="s">
        <v>7</v>
      </c>
      <c r="AH227" s="162" t="s">
        <v>7</v>
      </c>
      <c r="AI227" t="s">
        <v>9843</v>
      </c>
      <c r="AJ227" t="s">
        <v>7</v>
      </c>
      <c r="AK227" t="s">
        <v>80</v>
      </c>
      <c r="AL227" t="s">
        <v>36</v>
      </c>
      <c r="AM227" s="162" t="s">
        <v>10138</v>
      </c>
      <c r="AN227" t="s">
        <v>9843</v>
      </c>
      <c r="AO227" t="s">
        <v>35</v>
      </c>
      <c r="AP227" t="s">
        <v>7</v>
      </c>
      <c r="AQ227" t="s">
        <v>9</v>
      </c>
      <c r="AR227" t="s">
        <v>7</v>
      </c>
      <c r="AS227" s="162" t="s">
        <v>7</v>
      </c>
      <c r="AT227" s="117" t="s">
        <v>7</v>
      </c>
      <c r="AU227" s="162" t="s">
        <v>7</v>
      </c>
      <c r="AV227" s="162" t="s">
        <v>7</v>
      </c>
      <c r="AW227" s="162" t="s">
        <v>9851</v>
      </c>
      <c r="AX227" s="162" t="s">
        <v>7</v>
      </c>
      <c r="AY227" s="162" t="s">
        <v>7</v>
      </c>
      <c r="AZ227" t="s">
        <v>7</v>
      </c>
      <c r="BA227" s="162" t="s">
        <v>7</v>
      </c>
      <c r="BB227" s="162" t="s">
        <v>7</v>
      </c>
      <c r="BC227" s="162" t="s">
        <v>7</v>
      </c>
      <c r="BD227" s="162" t="s">
        <v>7</v>
      </c>
      <c r="BE227" s="162" t="s">
        <v>7</v>
      </c>
      <c r="BF227" s="162" t="str">
        <f t="shared" si="6"/>
        <v>Sim</v>
      </c>
      <c r="BG227" s="162" t="str">
        <f t="shared" si="7"/>
        <v>Não</v>
      </c>
      <c r="BH227" s="162" t="s">
        <v>7</v>
      </c>
      <c r="BI227" t="s">
        <v>9872</v>
      </c>
      <c r="BJ227" s="162" t="s">
        <v>10165</v>
      </c>
      <c r="BK227" t="s">
        <v>9</v>
      </c>
      <c r="BL227" s="162">
        <v>60</v>
      </c>
      <c r="BM227" t="s">
        <v>35</v>
      </c>
      <c r="BN227" t="s">
        <v>35</v>
      </c>
      <c r="BO227" t="s">
        <v>9</v>
      </c>
      <c r="BP227" s="162">
        <v>60</v>
      </c>
      <c r="BQ227" t="s">
        <v>35</v>
      </c>
      <c r="BR227" t="s">
        <v>1849</v>
      </c>
      <c r="BS227" s="162" t="s">
        <v>10170</v>
      </c>
    </row>
    <row r="228" spans="1:71">
      <c r="A228" s="162">
        <v>227</v>
      </c>
      <c r="B228" t="s">
        <v>203</v>
      </c>
      <c r="C228" s="162">
        <v>1</v>
      </c>
      <c r="D228" s="122" t="s">
        <v>523</v>
      </c>
      <c r="E228" t="s">
        <v>652</v>
      </c>
      <c r="F228" t="s">
        <v>3</v>
      </c>
      <c r="G228" t="s">
        <v>214</v>
      </c>
      <c r="H228" t="s">
        <v>660</v>
      </c>
      <c r="I228" s="162">
        <v>1</v>
      </c>
      <c r="J228" t="s">
        <v>1855</v>
      </c>
      <c r="K228" t="s">
        <v>3</v>
      </c>
      <c r="L228" s="165">
        <v>33584</v>
      </c>
      <c r="M228" s="166">
        <v>25</v>
      </c>
      <c r="N228" t="s">
        <v>1093</v>
      </c>
      <c r="O228" t="s">
        <v>10135</v>
      </c>
      <c r="P228" t="s">
        <v>1101</v>
      </c>
      <c r="Q228" t="s">
        <v>1713</v>
      </c>
      <c r="R228">
        <v>0</v>
      </c>
      <c r="S228" s="162">
        <v>0</v>
      </c>
      <c r="T228" t="s">
        <v>1715</v>
      </c>
      <c r="U228" s="162">
        <v>68.3</v>
      </c>
      <c r="V228" t="s">
        <v>1714</v>
      </c>
      <c r="W228" s="162">
        <v>18.5</v>
      </c>
      <c r="X228">
        <v>0</v>
      </c>
      <c r="Y228" s="162">
        <v>0</v>
      </c>
      <c r="Z228">
        <v>0</v>
      </c>
      <c r="AA228" s="162">
        <v>0</v>
      </c>
      <c r="AB228">
        <v>0</v>
      </c>
      <c r="AC228" s="162" t="s">
        <v>7</v>
      </c>
      <c r="AD228" s="162" t="s">
        <v>7</v>
      </c>
      <c r="AE228" s="162" t="s">
        <v>7</v>
      </c>
      <c r="AF228" s="162" t="s">
        <v>7</v>
      </c>
      <c r="AG228" s="162" t="s">
        <v>7</v>
      </c>
      <c r="AH228" s="162" t="s">
        <v>7</v>
      </c>
      <c r="AI228" t="s">
        <v>9843</v>
      </c>
      <c r="AJ228" t="s">
        <v>7</v>
      </c>
      <c r="AK228" t="s">
        <v>1716</v>
      </c>
      <c r="AL228" t="s">
        <v>36</v>
      </c>
      <c r="AM228" s="162" t="s">
        <v>10138</v>
      </c>
      <c r="AN228" t="s">
        <v>9843</v>
      </c>
      <c r="AO228" t="s">
        <v>35</v>
      </c>
      <c r="AP228" t="s">
        <v>7</v>
      </c>
      <c r="AQ228" t="s">
        <v>9</v>
      </c>
      <c r="AR228" t="s">
        <v>7</v>
      </c>
      <c r="AS228" s="162" t="s">
        <v>7</v>
      </c>
      <c r="AT228" s="117" t="s">
        <v>7</v>
      </c>
      <c r="AU228" s="162" t="s">
        <v>7</v>
      </c>
      <c r="AV228" s="162" t="s">
        <v>7</v>
      </c>
      <c r="AW228" s="162" t="s">
        <v>9851</v>
      </c>
      <c r="AX228" s="162" t="s">
        <v>7</v>
      </c>
      <c r="AY228" s="162" t="s">
        <v>7</v>
      </c>
      <c r="AZ228" t="s">
        <v>7</v>
      </c>
      <c r="BA228" s="162" t="s">
        <v>7</v>
      </c>
      <c r="BB228" s="162" t="s">
        <v>7</v>
      </c>
      <c r="BC228" s="162" t="s">
        <v>7</v>
      </c>
      <c r="BD228" s="162" t="s">
        <v>7</v>
      </c>
      <c r="BE228" s="162" t="s">
        <v>7</v>
      </c>
      <c r="BF228" s="162" t="str">
        <f t="shared" si="6"/>
        <v>Sim</v>
      </c>
      <c r="BG228" s="162" t="str">
        <f t="shared" si="7"/>
        <v>Não</v>
      </c>
      <c r="BH228" s="162" t="s">
        <v>7</v>
      </c>
      <c r="BI228" t="s">
        <v>9872</v>
      </c>
      <c r="BJ228" s="162" t="s">
        <v>10165</v>
      </c>
      <c r="BK228" t="s">
        <v>9</v>
      </c>
      <c r="BL228" s="162">
        <v>60</v>
      </c>
      <c r="BM228" t="s">
        <v>35</v>
      </c>
      <c r="BN228" t="s">
        <v>35</v>
      </c>
      <c r="BO228" t="s">
        <v>9</v>
      </c>
      <c r="BP228" s="162">
        <v>60</v>
      </c>
      <c r="BQ228" t="s">
        <v>35</v>
      </c>
      <c r="BR228" t="s">
        <v>1849</v>
      </c>
      <c r="BS228" s="162" t="s">
        <v>10170</v>
      </c>
    </row>
    <row r="229" spans="1:71">
      <c r="A229" s="162">
        <v>228</v>
      </c>
      <c r="B229" t="s">
        <v>143</v>
      </c>
      <c r="C229" s="162">
        <v>1</v>
      </c>
      <c r="D229" s="122" t="s">
        <v>542</v>
      </c>
      <c r="E229" t="s">
        <v>540</v>
      </c>
      <c r="F229" t="s">
        <v>3</v>
      </c>
      <c r="G229" t="s">
        <v>155</v>
      </c>
      <c r="H229" t="s">
        <v>543</v>
      </c>
      <c r="I229" s="162">
        <v>1</v>
      </c>
      <c r="J229" t="s">
        <v>1855</v>
      </c>
      <c r="K229" t="s">
        <v>3</v>
      </c>
      <c r="L229" s="165">
        <v>35522</v>
      </c>
      <c r="M229" s="166">
        <v>20</v>
      </c>
      <c r="N229" t="s">
        <v>5</v>
      </c>
      <c r="O229" t="s">
        <v>10135</v>
      </c>
      <c r="P229" t="s">
        <v>48</v>
      </c>
      <c r="Q229" t="s">
        <v>1660</v>
      </c>
      <c r="R229" t="s">
        <v>1748</v>
      </c>
      <c r="S229" s="162">
        <v>21</v>
      </c>
      <c r="T229">
        <v>0</v>
      </c>
      <c r="U229" s="162">
        <v>0</v>
      </c>
      <c r="V229">
        <v>0</v>
      </c>
      <c r="W229" s="162">
        <v>0</v>
      </c>
      <c r="X229" t="s">
        <v>9889</v>
      </c>
      <c r="Y229" s="162">
        <v>3.2</v>
      </c>
      <c r="Z229">
        <v>0</v>
      </c>
      <c r="AA229" s="162">
        <v>0</v>
      </c>
      <c r="AB229">
        <v>0</v>
      </c>
      <c r="AC229" s="162" t="s">
        <v>7</v>
      </c>
      <c r="AD229" s="162" t="s">
        <v>7</v>
      </c>
      <c r="AE229" s="162" t="s">
        <v>7</v>
      </c>
      <c r="AF229" s="162" t="s">
        <v>7</v>
      </c>
      <c r="AG229" s="162" t="s">
        <v>7</v>
      </c>
      <c r="AH229" s="162" t="s">
        <v>7</v>
      </c>
      <c r="AI229" t="s">
        <v>9843</v>
      </c>
      <c r="AJ229" t="s">
        <v>7</v>
      </c>
      <c r="AK229" t="s">
        <v>1749</v>
      </c>
      <c r="AL229" t="s">
        <v>36</v>
      </c>
      <c r="AM229" s="162" t="s">
        <v>10138</v>
      </c>
      <c r="AN229" t="s">
        <v>9843</v>
      </c>
      <c r="AO229" t="s">
        <v>35</v>
      </c>
      <c r="AP229" t="s">
        <v>7</v>
      </c>
      <c r="AQ229" t="s">
        <v>9</v>
      </c>
      <c r="AR229" t="s">
        <v>7</v>
      </c>
      <c r="AS229" s="162" t="s">
        <v>7</v>
      </c>
      <c r="AT229" s="117" t="s">
        <v>7</v>
      </c>
      <c r="AU229" s="162" t="s">
        <v>7</v>
      </c>
      <c r="AV229" s="162" t="s">
        <v>7</v>
      </c>
      <c r="AW229" s="162" t="s">
        <v>9851</v>
      </c>
      <c r="AX229" s="162" t="s">
        <v>7</v>
      </c>
      <c r="AY229" s="162" t="s">
        <v>7</v>
      </c>
      <c r="AZ229" t="s">
        <v>7</v>
      </c>
      <c r="BA229" s="162" t="s">
        <v>7</v>
      </c>
      <c r="BB229" s="162" t="s">
        <v>7</v>
      </c>
      <c r="BC229" s="162" t="s">
        <v>7</v>
      </c>
      <c r="BD229" s="162" t="s">
        <v>7</v>
      </c>
      <c r="BE229" s="162" t="s">
        <v>7</v>
      </c>
      <c r="BF229" s="162" t="str">
        <f t="shared" si="6"/>
        <v>Sim</v>
      </c>
      <c r="BG229" s="162" t="str">
        <f t="shared" si="7"/>
        <v>Não</v>
      </c>
      <c r="BH229" s="162" t="s">
        <v>7</v>
      </c>
      <c r="BI229" t="s">
        <v>7</v>
      </c>
      <c r="BJ229" s="162" t="s">
        <v>7</v>
      </c>
      <c r="BK229" t="s">
        <v>9</v>
      </c>
      <c r="BL229" s="162">
        <v>60</v>
      </c>
      <c r="BM229" t="s">
        <v>35</v>
      </c>
      <c r="BN229" t="s">
        <v>35</v>
      </c>
      <c r="BO229" t="s">
        <v>9</v>
      </c>
      <c r="BP229" s="162">
        <v>60</v>
      </c>
      <c r="BQ229" t="s">
        <v>35</v>
      </c>
      <c r="BR229" t="s">
        <v>1849</v>
      </c>
      <c r="BS229" s="162" t="s">
        <v>10170</v>
      </c>
    </row>
    <row r="230" spans="1:71">
      <c r="A230" s="162">
        <v>229</v>
      </c>
      <c r="B230" t="s">
        <v>2074</v>
      </c>
      <c r="C230" s="162">
        <v>1</v>
      </c>
      <c r="D230" s="122">
        <v>42776</v>
      </c>
      <c r="E230" t="s">
        <v>2056</v>
      </c>
      <c r="F230" t="s">
        <v>515</v>
      </c>
      <c r="G230" t="s">
        <v>291</v>
      </c>
      <c r="H230" t="s">
        <v>2075</v>
      </c>
      <c r="I230" s="162">
        <v>1</v>
      </c>
      <c r="J230" t="s">
        <v>1855</v>
      </c>
      <c r="K230" t="s">
        <v>3</v>
      </c>
      <c r="L230" s="165">
        <v>31796</v>
      </c>
      <c r="M230" s="166">
        <v>30</v>
      </c>
      <c r="N230" t="s">
        <v>5</v>
      </c>
      <c r="O230" t="s">
        <v>10135</v>
      </c>
      <c r="P230" t="s">
        <v>48</v>
      </c>
      <c r="Q230" t="s">
        <v>2076</v>
      </c>
      <c r="R230">
        <v>0</v>
      </c>
      <c r="S230" s="162">
        <v>0</v>
      </c>
      <c r="T230">
        <v>0</v>
      </c>
      <c r="U230" s="162">
        <v>0</v>
      </c>
      <c r="W230" s="162">
        <v>0</v>
      </c>
      <c r="X230" t="s">
        <v>9968</v>
      </c>
      <c r="Y230" s="162">
        <v>5.3</v>
      </c>
      <c r="Z230">
        <v>0</v>
      </c>
      <c r="AA230" s="162">
        <v>0</v>
      </c>
      <c r="AB230">
        <v>0</v>
      </c>
      <c r="AC230" s="162" t="s">
        <v>7</v>
      </c>
      <c r="AD230" s="162" t="s">
        <v>7</v>
      </c>
      <c r="AE230" s="162" t="s">
        <v>7</v>
      </c>
      <c r="AF230" s="162" t="s">
        <v>7</v>
      </c>
      <c r="AG230" s="162" t="s">
        <v>7</v>
      </c>
      <c r="AH230" s="162" t="s">
        <v>7</v>
      </c>
      <c r="AI230" t="s">
        <v>9843</v>
      </c>
      <c r="AJ230" t="s">
        <v>7</v>
      </c>
      <c r="AK230" t="s">
        <v>2072</v>
      </c>
      <c r="AL230" t="s">
        <v>36</v>
      </c>
      <c r="AM230" s="162" t="s">
        <v>10138</v>
      </c>
      <c r="AN230" t="s">
        <v>9843</v>
      </c>
      <c r="AO230" t="s">
        <v>35</v>
      </c>
      <c r="AP230" t="s">
        <v>9859</v>
      </c>
      <c r="AQ230" t="s">
        <v>1080</v>
      </c>
      <c r="AR230" t="s">
        <v>7</v>
      </c>
      <c r="AS230" s="162" t="s">
        <v>7</v>
      </c>
      <c r="AT230" s="117" t="s">
        <v>7</v>
      </c>
      <c r="AU230" s="162" t="s">
        <v>7</v>
      </c>
      <c r="AV230" s="162" t="s">
        <v>7</v>
      </c>
      <c r="AW230" s="162" t="s">
        <v>9851</v>
      </c>
      <c r="AX230" s="162" t="s">
        <v>7</v>
      </c>
      <c r="AY230" s="162" t="s">
        <v>7</v>
      </c>
      <c r="AZ230" t="s">
        <v>7</v>
      </c>
      <c r="BA230" s="162" t="s">
        <v>7</v>
      </c>
      <c r="BB230" s="162" t="s">
        <v>7</v>
      </c>
      <c r="BC230" s="162" t="s">
        <v>7</v>
      </c>
      <c r="BD230" s="162" t="s">
        <v>7</v>
      </c>
      <c r="BE230" s="162" t="s">
        <v>7</v>
      </c>
      <c r="BF230" s="162" t="str">
        <f t="shared" si="6"/>
        <v>Sim</v>
      </c>
      <c r="BG230" s="162" t="str">
        <f t="shared" si="7"/>
        <v>Não</v>
      </c>
      <c r="BH230" s="162" t="s">
        <v>7</v>
      </c>
      <c r="BI230" t="s">
        <v>9871</v>
      </c>
      <c r="BJ230" s="162" t="s">
        <v>10164</v>
      </c>
      <c r="BK230" t="s">
        <v>9</v>
      </c>
      <c r="BL230" s="162">
        <v>60</v>
      </c>
      <c r="BM230" t="s">
        <v>35</v>
      </c>
      <c r="BN230" t="s">
        <v>35</v>
      </c>
      <c r="BO230" t="s">
        <v>9</v>
      </c>
      <c r="BP230" s="162">
        <v>60</v>
      </c>
      <c r="BQ230" t="s">
        <v>35</v>
      </c>
      <c r="BR230" t="s">
        <v>1849</v>
      </c>
      <c r="BS230" s="162" t="s">
        <v>10170</v>
      </c>
    </row>
    <row r="231" spans="1:71">
      <c r="A231" s="162">
        <v>230</v>
      </c>
      <c r="B231" t="s">
        <v>376</v>
      </c>
      <c r="C231" s="162">
        <v>1</v>
      </c>
      <c r="D231" s="122">
        <v>42997</v>
      </c>
      <c r="E231" t="s">
        <v>873</v>
      </c>
      <c r="F231" t="s">
        <v>515</v>
      </c>
      <c r="G231" t="s">
        <v>378</v>
      </c>
      <c r="H231" t="s">
        <v>894</v>
      </c>
      <c r="I231" s="162">
        <v>1</v>
      </c>
      <c r="J231" t="s">
        <v>1855</v>
      </c>
      <c r="K231" t="s">
        <v>3</v>
      </c>
      <c r="L231" s="165">
        <v>35680</v>
      </c>
      <c r="M231" s="166">
        <v>20</v>
      </c>
      <c r="N231" t="s">
        <v>5</v>
      </c>
      <c r="O231" t="s">
        <v>10135</v>
      </c>
      <c r="P231" t="s">
        <v>1101</v>
      </c>
      <c r="Q231" t="s">
        <v>1801</v>
      </c>
      <c r="R231" t="s">
        <v>1803</v>
      </c>
      <c r="S231" s="162">
        <v>569</v>
      </c>
      <c r="T231" t="s">
        <v>1804</v>
      </c>
      <c r="U231" s="162">
        <v>328.4</v>
      </c>
      <c r="V231" t="s">
        <v>1802</v>
      </c>
      <c r="W231" s="162">
        <v>15.3</v>
      </c>
      <c r="X231" t="s">
        <v>10011</v>
      </c>
      <c r="Y231" s="162">
        <v>5.3</v>
      </c>
      <c r="Z231" t="s">
        <v>10012</v>
      </c>
      <c r="AA231" s="162">
        <v>0.5</v>
      </c>
      <c r="AB231" t="s">
        <v>10085</v>
      </c>
      <c r="AC231" s="162" t="s">
        <v>7</v>
      </c>
      <c r="AD231" s="162" t="s">
        <v>7</v>
      </c>
      <c r="AE231" s="162" t="s">
        <v>9851</v>
      </c>
      <c r="AF231" s="162" t="s">
        <v>7</v>
      </c>
      <c r="AG231" s="162" t="s">
        <v>9851</v>
      </c>
      <c r="AH231" s="162" t="s">
        <v>7</v>
      </c>
      <c r="AI231" t="s">
        <v>9843</v>
      </c>
      <c r="AJ231" t="s">
        <v>7</v>
      </c>
      <c r="AK231" t="s">
        <v>1805</v>
      </c>
      <c r="AL231" t="s">
        <v>36</v>
      </c>
      <c r="AM231" s="162" t="s">
        <v>10138</v>
      </c>
      <c r="AN231" t="s">
        <v>9843</v>
      </c>
      <c r="AO231" t="s">
        <v>35</v>
      </c>
      <c r="AP231" t="s">
        <v>1350</v>
      </c>
      <c r="AQ231" t="s">
        <v>1100</v>
      </c>
      <c r="AR231" t="s">
        <v>7</v>
      </c>
      <c r="AS231" s="162" t="s">
        <v>7</v>
      </c>
      <c r="AT231" s="117" t="s">
        <v>1677</v>
      </c>
      <c r="AU231" s="162" t="s">
        <v>9851</v>
      </c>
      <c r="AV231" s="162" t="s">
        <v>9851</v>
      </c>
      <c r="AW231" s="162" t="s">
        <v>7</v>
      </c>
      <c r="AX231" s="162" t="s">
        <v>7</v>
      </c>
      <c r="AY231" s="162" t="s">
        <v>9851</v>
      </c>
      <c r="AZ231" t="s">
        <v>7</v>
      </c>
      <c r="BA231" s="162" t="s">
        <v>7</v>
      </c>
      <c r="BB231" s="162" t="s">
        <v>7</v>
      </c>
      <c r="BC231" s="162" t="s">
        <v>7</v>
      </c>
      <c r="BD231" s="162" t="s">
        <v>7</v>
      </c>
      <c r="BE231" s="162" t="s">
        <v>7</v>
      </c>
      <c r="BF231" s="162" t="str">
        <f t="shared" si="6"/>
        <v>Sim</v>
      </c>
      <c r="BG231" s="162" t="str">
        <f t="shared" si="7"/>
        <v>Não</v>
      </c>
      <c r="BH231" s="162" t="s">
        <v>7</v>
      </c>
      <c r="BI231" t="s">
        <v>7</v>
      </c>
      <c r="BJ231" s="162" t="s">
        <v>7</v>
      </c>
      <c r="BK231" t="s">
        <v>9</v>
      </c>
      <c r="BL231" s="162">
        <v>60</v>
      </c>
      <c r="BM231" t="s">
        <v>35</v>
      </c>
      <c r="BN231" t="s">
        <v>35</v>
      </c>
      <c r="BO231" t="s">
        <v>9</v>
      </c>
      <c r="BP231" s="162">
        <v>60</v>
      </c>
      <c r="BQ231" t="s">
        <v>35</v>
      </c>
      <c r="BR231" t="s">
        <v>1849</v>
      </c>
      <c r="BS231" s="162" t="s">
        <v>10170</v>
      </c>
    </row>
    <row r="232" spans="1:71">
      <c r="A232" s="162">
        <v>231</v>
      </c>
      <c r="B232" t="s">
        <v>415</v>
      </c>
      <c r="C232" s="162">
        <v>1</v>
      </c>
      <c r="D232" s="122" t="s">
        <v>786</v>
      </c>
      <c r="E232" t="s">
        <v>477</v>
      </c>
      <c r="F232" t="s">
        <v>515</v>
      </c>
      <c r="G232" t="s">
        <v>426</v>
      </c>
      <c r="H232" t="s">
        <v>979</v>
      </c>
      <c r="I232" s="162">
        <v>1</v>
      </c>
      <c r="J232" t="s">
        <v>1547</v>
      </c>
      <c r="K232" t="s">
        <v>3</v>
      </c>
      <c r="L232" s="165">
        <v>34331</v>
      </c>
      <c r="M232" s="166">
        <v>23</v>
      </c>
      <c r="N232" t="s">
        <v>5</v>
      </c>
      <c r="O232" t="s">
        <v>10135</v>
      </c>
      <c r="P232" t="s">
        <v>1074</v>
      </c>
      <c r="Q232" t="s">
        <v>1210</v>
      </c>
      <c r="R232">
        <v>0</v>
      </c>
      <c r="S232" s="162">
        <v>0</v>
      </c>
      <c r="T232" t="s">
        <v>1548</v>
      </c>
      <c r="U232" s="162">
        <v>6.4</v>
      </c>
      <c r="V232">
        <v>0</v>
      </c>
      <c r="W232" s="162">
        <v>0</v>
      </c>
      <c r="X232">
        <v>0</v>
      </c>
      <c r="Y232" s="162">
        <v>0</v>
      </c>
      <c r="Z232">
        <v>0</v>
      </c>
      <c r="AA232" s="162">
        <v>0</v>
      </c>
      <c r="AB232">
        <v>0</v>
      </c>
      <c r="AC232" s="162" t="s">
        <v>7</v>
      </c>
      <c r="AD232" s="162" t="s">
        <v>7</v>
      </c>
      <c r="AE232" s="162" t="s">
        <v>7</v>
      </c>
      <c r="AF232" s="162" t="s">
        <v>7</v>
      </c>
      <c r="AG232" s="162" t="s">
        <v>7</v>
      </c>
      <c r="AH232" s="162" t="s">
        <v>7</v>
      </c>
      <c r="AI232" t="s">
        <v>9843</v>
      </c>
      <c r="AJ232" t="s">
        <v>7</v>
      </c>
      <c r="AK232" t="s">
        <v>1555</v>
      </c>
      <c r="AL232" t="s">
        <v>36</v>
      </c>
      <c r="AM232" s="162" t="s">
        <v>10138</v>
      </c>
      <c r="AN232" t="s">
        <v>9843</v>
      </c>
      <c r="AO232" t="s">
        <v>35</v>
      </c>
      <c r="AP232" t="s">
        <v>7</v>
      </c>
      <c r="AQ232" t="s">
        <v>9</v>
      </c>
      <c r="AR232" t="s">
        <v>7</v>
      </c>
      <c r="AS232" s="162" t="s">
        <v>7</v>
      </c>
      <c r="AT232" s="117" t="s">
        <v>7</v>
      </c>
      <c r="AU232" s="162" t="s">
        <v>7</v>
      </c>
      <c r="AV232" s="162" t="s">
        <v>7</v>
      </c>
      <c r="AW232" s="162" t="s">
        <v>9851</v>
      </c>
      <c r="AX232" s="162" t="s">
        <v>7</v>
      </c>
      <c r="AY232" s="162" t="s">
        <v>7</v>
      </c>
      <c r="AZ232" t="s">
        <v>7</v>
      </c>
      <c r="BA232" s="162" t="s">
        <v>7</v>
      </c>
      <c r="BB232" s="162" t="s">
        <v>7</v>
      </c>
      <c r="BC232" s="162" t="s">
        <v>7</v>
      </c>
      <c r="BD232" s="162" t="s">
        <v>7</v>
      </c>
      <c r="BE232" s="162" t="s">
        <v>7</v>
      </c>
      <c r="BF232" s="162" t="str">
        <f t="shared" si="6"/>
        <v>Sim</v>
      </c>
      <c r="BG232" s="162" t="str">
        <f t="shared" si="7"/>
        <v>Não</v>
      </c>
      <c r="BH232" s="162" t="s">
        <v>7</v>
      </c>
      <c r="BI232" t="s">
        <v>7</v>
      </c>
      <c r="BJ232" s="162" t="s">
        <v>7</v>
      </c>
      <c r="BK232" t="s">
        <v>1549</v>
      </c>
      <c r="BL232" s="162">
        <v>60</v>
      </c>
      <c r="BM232" t="s">
        <v>35</v>
      </c>
      <c r="BN232" t="s">
        <v>35</v>
      </c>
      <c r="BO232" t="s">
        <v>1549</v>
      </c>
      <c r="BP232" s="162">
        <v>60</v>
      </c>
      <c r="BQ232" t="s">
        <v>35</v>
      </c>
      <c r="BR232" t="s">
        <v>1849</v>
      </c>
      <c r="BS232" s="162" t="s">
        <v>10170</v>
      </c>
    </row>
    <row r="233" spans="1:71">
      <c r="A233" s="162">
        <v>232</v>
      </c>
      <c r="B233" t="s">
        <v>197</v>
      </c>
      <c r="C233" s="162">
        <v>1</v>
      </c>
      <c r="D233" s="122" t="s">
        <v>649</v>
      </c>
      <c r="E233" t="s">
        <v>632</v>
      </c>
      <c r="F233" t="s">
        <v>515</v>
      </c>
      <c r="G233" t="s">
        <v>198</v>
      </c>
      <c r="H233" t="s">
        <v>650</v>
      </c>
      <c r="I233" s="162">
        <v>1</v>
      </c>
      <c r="J233" t="s">
        <v>1855</v>
      </c>
      <c r="K233" t="s">
        <v>3</v>
      </c>
      <c r="L233" s="165">
        <v>33948</v>
      </c>
      <c r="M233" s="166">
        <v>24</v>
      </c>
      <c r="N233" t="s">
        <v>5</v>
      </c>
      <c r="O233" t="s">
        <v>10135</v>
      </c>
      <c r="P233" t="s">
        <v>1101</v>
      </c>
      <c r="Q233" t="s">
        <v>1603</v>
      </c>
      <c r="R233" t="s">
        <v>9915</v>
      </c>
      <c r="S233" s="162">
        <v>26.2</v>
      </c>
      <c r="T233" t="s">
        <v>9916</v>
      </c>
      <c r="U233" s="162">
        <v>8.3000000000000007</v>
      </c>
      <c r="V233" t="s">
        <v>9917</v>
      </c>
      <c r="W233" s="162">
        <v>2.4</v>
      </c>
      <c r="X233">
        <v>0</v>
      </c>
      <c r="Y233" s="162">
        <v>0</v>
      </c>
      <c r="Z233">
        <v>0</v>
      </c>
      <c r="AA233" s="162">
        <v>0</v>
      </c>
      <c r="AB233">
        <v>0</v>
      </c>
      <c r="AC233" s="162" t="s">
        <v>7</v>
      </c>
      <c r="AD233" s="162" t="s">
        <v>7</v>
      </c>
      <c r="AE233" s="162" t="s">
        <v>7</v>
      </c>
      <c r="AF233" s="162" t="s">
        <v>7</v>
      </c>
      <c r="AG233" s="162" t="s">
        <v>7</v>
      </c>
      <c r="AH233" s="162" t="s">
        <v>7</v>
      </c>
      <c r="AI233" t="s">
        <v>9843</v>
      </c>
      <c r="AJ233" t="s">
        <v>7</v>
      </c>
      <c r="AK233" t="s">
        <v>1277</v>
      </c>
      <c r="AL233" t="s">
        <v>36</v>
      </c>
      <c r="AM233" s="162" t="s">
        <v>10138</v>
      </c>
      <c r="AN233" t="s">
        <v>9843</v>
      </c>
      <c r="AO233" t="s">
        <v>35</v>
      </c>
      <c r="AP233" t="s">
        <v>7</v>
      </c>
      <c r="AQ233" t="s">
        <v>9</v>
      </c>
      <c r="AR233" t="s">
        <v>7</v>
      </c>
      <c r="AS233" s="162" t="s">
        <v>7</v>
      </c>
      <c r="AT233" s="117" t="s">
        <v>7</v>
      </c>
      <c r="AU233" s="162" t="s">
        <v>7</v>
      </c>
      <c r="AV233" s="162" t="s">
        <v>7</v>
      </c>
      <c r="AW233" s="162" t="s">
        <v>9851</v>
      </c>
      <c r="AX233" s="162" t="s">
        <v>7</v>
      </c>
      <c r="AY233" s="162" t="s">
        <v>7</v>
      </c>
      <c r="AZ233" t="s">
        <v>7</v>
      </c>
      <c r="BA233" s="162" t="s">
        <v>7</v>
      </c>
      <c r="BB233" s="162" t="s">
        <v>7</v>
      </c>
      <c r="BC233" s="162" t="s">
        <v>7</v>
      </c>
      <c r="BD233" s="162" t="s">
        <v>7</v>
      </c>
      <c r="BE233" s="162" t="s">
        <v>7</v>
      </c>
      <c r="BF233" s="162" t="str">
        <f t="shared" si="6"/>
        <v>Sim</v>
      </c>
      <c r="BG233" s="162" t="str">
        <f t="shared" si="7"/>
        <v>Não</v>
      </c>
      <c r="BH233" s="162" t="s">
        <v>7</v>
      </c>
      <c r="BI233" t="s">
        <v>7</v>
      </c>
      <c r="BJ233" s="162" t="s">
        <v>7</v>
      </c>
      <c r="BK233" t="s">
        <v>1549</v>
      </c>
      <c r="BL233" s="162">
        <v>60</v>
      </c>
      <c r="BM233" t="s">
        <v>35</v>
      </c>
      <c r="BN233" t="s">
        <v>35</v>
      </c>
      <c r="BO233" t="s">
        <v>1549</v>
      </c>
      <c r="BP233" s="162">
        <v>60</v>
      </c>
      <c r="BQ233" t="s">
        <v>35</v>
      </c>
      <c r="BR233" t="s">
        <v>1849</v>
      </c>
      <c r="BS233" s="162" t="s">
        <v>10170</v>
      </c>
    </row>
    <row r="234" spans="1:71">
      <c r="A234" s="162">
        <v>233</v>
      </c>
      <c r="B234" t="s">
        <v>150</v>
      </c>
      <c r="C234" s="162">
        <v>1</v>
      </c>
      <c r="D234" s="122" t="s">
        <v>558</v>
      </c>
      <c r="E234" t="s">
        <v>540</v>
      </c>
      <c r="F234" t="s">
        <v>3</v>
      </c>
      <c r="G234" t="s">
        <v>155</v>
      </c>
      <c r="H234" t="s">
        <v>559</v>
      </c>
      <c r="I234" s="162">
        <v>1</v>
      </c>
      <c r="J234" t="s">
        <v>1855</v>
      </c>
      <c r="K234" t="s">
        <v>3</v>
      </c>
      <c r="L234" s="165">
        <v>29354</v>
      </c>
      <c r="M234" s="166">
        <v>36</v>
      </c>
      <c r="N234" t="s">
        <v>5</v>
      </c>
      <c r="O234" t="s">
        <v>10135</v>
      </c>
      <c r="P234" t="s">
        <v>48</v>
      </c>
      <c r="Q234" t="s">
        <v>9786</v>
      </c>
      <c r="R234" t="s">
        <v>1765</v>
      </c>
      <c r="S234" s="162">
        <v>48.5</v>
      </c>
      <c r="T234">
        <v>0</v>
      </c>
      <c r="U234" s="162">
        <v>0</v>
      </c>
      <c r="V234">
        <v>0</v>
      </c>
      <c r="W234" s="162">
        <v>0</v>
      </c>
      <c r="X234">
        <v>0</v>
      </c>
      <c r="Y234" s="162">
        <v>0</v>
      </c>
      <c r="Z234">
        <v>0</v>
      </c>
      <c r="AA234" s="162">
        <v>0</v>
      </c>
      <c r="AB234">
        <v>0</v>
      </c>
      <c r="AC234" s="162" t="s">
        <v>7</v>
      </c>
      <c r="AD234" s="162" t="s">
        <v>7</v>
      </c>
      <c r="AE234" s="162" t="s">
        <v>7</v>
      </c>
      <c r="AF234" s="162" t="s">
        <v>7</v>
      </c>
      <c r="AG234" s="162" t="s">
        <v>7</v>
      </c>
      <c r="AH234" s="162" t="s">
        <v>7</v>
      </c>
      <c r="AI234" t="s">
        <v>9843</v>
      </c>
      <c r="AJ234" t="s">
        <v>7</v>
      </c>
      <c r="AK234" t="s">
        <v>1082</v>
      </c>
      <c r="AL234" t="s">
        <v>36</v>
      </c>
      <c r="AM234" s="162" t="s">
        <v>10138</v>
      </c>
      <c r="AN234" t="s">
        <v>9843</v>
      </c>
      <c r="AO234" t="s">
        <v>35</v>
      </c>
      <c r="AP234" t="s">
        <v>7</v>
      </c>
      <c r="AQ234" t="s">
        <v>9</v>
      </c>
      <c r="AR234" t="s">
        <v>1097</v>
      </c>
      <c r="AS234" s="162" t="s">
        <v>9851</v>
      </c>
      <c r="AT234" s="117" t="s">
        <v>7</v>
      </c>
      <c r="AU234" s="162" t="s">
        <v>7</v>
      </c>
      <c r="AV234" s="162" t="s">
        <v>7</v>
      </c>
      <c r="AW234" s="162" t="s">
        <v>9851</v>
      </c>
      <c r="AX234" s="162" t="s">
        <v>7</v>
      </c>
      <c r="AY234" s="162" t="s">
        <v>7</v>
      </c>
      <c r="AZ234" t="s">
        <v>7</v>
      </c>
      <c r="BA234" s="162" t="s">
        <v>7</v>
      </c>
      <c r="BB234" s="162" t="s">
        <v>7</v>
      </c>
      <c r="BC234" s="162" t="s">
        <v>7</v>
      </c>
      <c r="BD234" s="162" t="s">
        <v>7</v>
      </c>
      <c r="BE234" s="162" t="s">
        <v>7</v>
      </c>
      <c r="BF234" s="162" t="str">
        <f t="shared" si="6"/>
        <v>Sim</v>
      </c>
      <c r="BG234" s="162" t="str">
        <f t="shared" si="7"/>
        <v>Não</v>
      </c>
      <c r="BH234" s="162" t="s">
        <v>7</v>
      </c>
      <c r="BI234" t="s">
        <v>9872</v>
      </c>
      <c r="BJ234" s="162" t="s">
        <v>10165</v>
      </c>
      <c r="BK234" t="s">
        <v>1100</v>
      </c>
      <c r="BL234" s="162">
        <v>70</v>
      </c>
      <c r="BM234" t="s">
        <v>35</v>
      </c>
      <c r="BN234" t="s">
        <v>35</v>
      </c>
      <c r="BO234" t="s">
        <v>1100</v>
      </c>
      <c r="BP234" s="162">
        <v>70</v>
      </c>
      <c r="BQ234" t="s">
        <v>35</v>
      </c>
      <c r="BR234" t="s">
        <v>1849</v>
      </c>
      <c r="BS234" s="162" t="s">
        <v>10170</v>
      </c>
    </row>
    <row r="235" spans="1:71">
      <c r="A235" s="162">
        <v>234</v>
      </c>
      <c r="B235" t="s">
        <v>435</v>
      </c>
      <c r="C235" s="162">
        <v>1</v>
      </c>
      <c r="D235" s="122" t="s">
        <v>592</v>
      </c>
      <c r="E235" t="s">
        <v>1020</v>
      </c>
      <c r="F235" t="s">
        <v>515</v>
      </c>
      <c r="G235" t="s">
        <v>443</v>
      </c>
      <c r="H235" t="s">
        <v>1021</v>
      </c>
      <c r="I235" s="162">
        <v>1</v>
      </c>
      <c r="J235" t="s">
        <v>1855</v>
      </c>
      <c r="K235" t="s">
        <v>3</v>
      </c>
      <c r="L235" s="165">
        <v>31371</v>
      </c>
      <c r="M235" s="166">
        <v>31</v>
      </c>
      <c r="N235" t="s">
        <v>5</v>
      </c>
      <c r="O235" t="s">
        <v>10135</v>
      </c>
      <c r="P235" t="s">
        <v>1101</v>
      </c>
      <c r="Q235" t="s">
        <v>1094</v>
      </c>
      <c r="R235" t="s">
        <v>10036</v>
      </c>
      <c r="S235" s="162">
        <v>46.1</v>
      </c>
      <c r="T235">
        <v>0</v>
      </c>
      <c r="U235" s="162">
        <v>0</v>
      </c>
      <c r="V235">
        <v>0</v>
      </c>
      <c r="W235" s="162">
        <v>0</v>
      </c>
      <c r="X235">
        <v>0</v>
      </c>
      <c r="Y235" s="162">
        <v>0</v>
      </c>
      <c r="Z235">
        <v>0</v>
      </c>
      <c r="AA235" s="162">
        <v>0</v>
      </c>
      <c r="AB235">
        <v>0</v>
      </c>
      <c r="AC235" s="162" t="s">
        <v>7</v>
      </c>
      <c r="AD235" s="162" t="s">
        <v>7</v>
      </c>
      <c r="AE235" s="162" t="s">
        <v>7</v>
      </c>
      <c r="AF235" s="162" t="s">
        <v>7</v>
      </c>
      <c r="AG235" s="162" t="s">
        <v>7</v>
      </c>
      <c r="AH235" s="162" t="s">
        <v>7</v>
      </c>
      <c r="AI235" t="s">
        <v>9843</v>
      </c>
      <c r="AJ235" t="s">
        <v>7</v>
      </c>
      <c r="AK235" t="s">
        <v>1414</v>
      </c>
      <c r="AL235" t="s">
        <v>36</v>
      </c>
      <c r="AM235" s="162" t="s">
        <v>10138</v>
      </c>
      <c r="AN235" t="s">
        <v>9843</v>
      </c>
      <c r="AO235" t="s">
        <v>35</v>
      </c>
      <c r="AP235" t="s">
        <v>7</v>
      </c>
      <c r="AQ235" t="s">
        <v>9</v>
      </c>
      <c r="AR235" t="s">
        <v>1097</v>
      </c>
      <c r="AS235" s="162" t="s">
        <v>9851</v>
      </c>
      <c r="AT235" s="117" t="s">
        <v>7</v>
      </c>
      <c r="AU235" s="162" t="s">
        <v>7</v>
      </c>
      <c r="AV235" s="162" t="s">
        <v>7</v>
      </c>
      <c r="AW235" s="162" t="s">
        <v>9851</v>
      </c>
      <c r="AX235" s="162" t="s">
        <v>7</v>
      </c>
      <c r="AY235" s="162" t="s">
        <v>7</v>
      </c>
      <c r="AZ235" t="s">
        <v>7</v>
      </c>
      <c r="BA235" s="162" t="s">
        <v>7</v>
      </c>
      <c r="BB235" s="162" t="s">
        <v>7</v>
      </c>
      <c r="BC235" s="162" t="s">
        <v>7</v>
      </c>
      <c r="BD235" s="162" t="s">
        <v>7</v>
      </c>
      <c r="BE235" s="162" t="s">
        <v>7</v>
      </c>
      <c r="BF235" s="162" t="str">
        <f t="shared" si="6"/>
        <v>Sim</v>
      </c>
      <c r="BG235" s="162" t="str">
        <f t="shared" si="7"/>
        <v>Não</v>
      </c>
      <c r="BH235" s="162" t="s">
        <v>7</v>
      </c>
      <c r="BI235" t="s">
        <v>9872</v>
      </c>
      <c r="BJ235" s="162" t="s">
        <v>10165</v>
      </c>
      <c r="BK235" t="s">
        <v>1100</v>
      </c>
      <c r="BL235" s="162">
        <v>70</v>
      </c>
      <c r="BM235" t="s">
        <v>35</v>
      </c>
      <c r="BN235" t="s">
        <v>35</v>
      </c>
      <c r="BO235" t="s">
        <v>1100</v>
      </c>
      <c r="BP235" s="162">
        <v>70</v>
      </c>
      <c r="BQ235" t="s">
        <v>35</v>
      </c>
      <c r="BR235" t="s">
        <v>1849</v>
      </c>
      <c r="BS235" s="162" t="s">
        <v>10170</v>
      </c>
    </row>
    <row r="236" spans="1:71">
      <c r="A236" s="162">
        <v>235</v>
      </c>
      <c r="B236" t="s">
        <v>471</v>
      </c>
      <c r="C236" s="162">
        <v>1</v>
      </c>
      <c r="D236" s="122" t="s">
        <v>525</v>
      </c>
      <c r="E236" t="s">
        <v>1050</v>
      </c>
      <c r="F236" t="s">
        <v>515</v>
      </c>
      <c r="G236" t="s">
        <v>473</v>
      </c>
      <c r="H236" t="s">
        <v>1035</v>
      </c>
      <c r="I236" s="162">
        <v>0</v>
      </c>
      <c r="J236" t="s">
        <v>1855</v>
      </c>
      <c r="K236" t="s">
        <v>3</v>
      </c>
      <c r="L236" s="165">
        <v>27653</v>
      </c>
      <c r="M236" s="166">
        <v>42</v>
      </c>
      <c r="N236" t="s">
        <v>4</v>
      </c>
      <c r="O236" t="s">
        <v>10134</v>
      </c>
      <c r="P236" t="s">
        <v>41</v>
      </c>
      <c r="Q236" t="s">
        <v>1463</v>
      </c>
      <c r="R236" t="s">
        <v>1464</v>
      </c>
      <c r="S236" s="162">
        <v>1654.6</v>
      </c>
      <c r="T236">
        <v>0</v>
      </c>
      <c r="U236" s="162">
        <v>0</v>
      </c>
      <c r="V236">
        <v>0</v>
      </c>
      <c r="W236" s="162">
        <v>0</v>
      </c>
      <c r="X236">
        <v>0</v>
      </c>
      <c r="Y236" s="162">
        <v>0</v>
      </c>
      <c r="Z236">
        <v>0</v>
      </c>
      <c r="AA236" s="162">
        <v>0</v>
      </c>
      <c r="AB236">
        <v>0</v>
      </c>
      <c r="AC236" s="162" t="s">
        <v>7</v>
      </c>
      <c r="AD236" s="162" t="s">
        <v>7</v>
      </c>
      <c r="AE236" s="162" t="s">
        <v>7</v>
      </c>
      <c r="AF236" s="162" t="s">
        <v>7</v>
      </c>
      <c r="AG236" s="162" t="s">
        <v>7</v>
      </c>
      <c r="AH236" s="162" t="s">
        <v>7</v>
      </c>
      <c r="AI236" t="s">
        <v>9843</v>
      </c>
      <c r="AJ236" t="s">
        <v>7</v>
      </c>
      <c r="AK236" t="s">
        <v>80</v>
      </c>
      <c r="AL236" t="s">
        <v>36</v>
      </c>
      <c r="AM236" s="162" t="s">
        <v>10138</v>
      </c>
      <c r="AN236" t="s">
        <v>9843</v>
      </c>
      <c r="AO236" t="s">
        <v>35</v>
      </c>
      <c r="AP236" t="s">
        <v>1104</v>
      </c>
      <c r="AQ236" t="s">
        <v>1100</v>
      </c>
      <c r="AR236" t="s">
        <v>7</v>
      </c>
      <c r="AS236" s="162" t="s">
        <v>7</v>
      </c>
      <c r="AT236" s="117" t="s">
        <v>7</v>
      </c>
      <c r="AU236" s="162" t="s">
        <v>7</v>
      </c>
      <c r="AV236" s="162" t="s">
        <v>7</v>
      </c>
      <c r="AW236" s="162" t="s">
        <v>9851</v>
      </c>
      <c r="AX236" s="162" t="s">
        <v>7</v>
      </c>
      <c r="AY236" s="162" t="s">
        <v>7</v>
      </c>
      <c r="AZ236" t="s">
        <v>7</v>
      </c>
      <c r="BA236" s="162" t="s">
        <v>7</v>
      </c>
      <c r="BB236" s="162" t="s">
        <v>7</v>
      </c>
      <c r="BC236" s="162" t="s">
        <v>7</v>
      </c>
      <c r="BD236" s="162" t="s">
        <v>7</v>
      </c>
      <c r="BE236" s="162" t="s">
        <v>7</v>
      </c>
      <c r="BF236" s="162" t="str">
        <f t="shared" si="6"/>
        <v>Sim</v>
      </c>
      <c r="BG236" s="162" t="str">
        <f t="shared" si="7"/>
        <v>Não</v>
      </c>
      <c r="BH236" s="162" t="s">
        <v>7</v>
      </c>
      <c r="BI236" t="s">
        <v>9872</v>
      </c>
      <c r="BJ236" s="162" t="s">
        <v>10165</v>
      </c>
      <c r="BK236" t="s">
        <v>1100</v>
      </c>
      <c r="BL236" s="162">
        <v>70</v>
      </c>
      <c r="BM236" t="s">
        <v>35</v>
      </c>
      <c r="BN236" t="s">
        <v>35</v>
      </c>
      <c r="BO236" t="s">
        <v>1100</v>
      </c>
      <c r="BP236" s="162">
        <v>70</v>
      </c>
      <c r="BQ236" t="s">
        <v>35</v>
      </c>
      <c r="BR236" t="s">
        <v>1114</v>
      </c>
      <c r="BS236" s="162" t="s">
        <v>1114</v>
      </c>
    </row>
    <row r="237" spans="1:71">
      <c r="A237" s="162">
        <v>236</v>
      </c>
      <c r="B237" t="s">
        <v>363</v>
      </c>
      <c r="C237" s="162">
        <v>0</v>
      </c>
      <c r="D237" s="122" t="s">
        <v>970</v>
      </c>
      <c r="E237" t="s">
        <v>951</v>
      </c>
      <c r="F237" t="s">
        <v>515</v>
      </c>
      <c r="G237" t="s">
        <v>364</v>
      </c>
      <c r="H237" t="s">
        <v>973</v>
      </c>
      <c r="I237" s="162">
        <v>1</v>
      </c>
      <c r="J237" t="s">
        <v>1115</v>
      </c>
      <c r="K237" t="s">
        <v>3</v>
      </c>
      <c r="L237" s="165">
        <v>35303</v>
      </c>
      <c r="M237" s="166">
        <v>20</v>
      </c>
      <c r="N237" t="s">
        <v>4</v>
      </c>
      <c r="O237" t="s">
        <v>10134</v>
      </c>
      <c r="P237" t="s">
        <v>41</v>
      </c>
      <c r="Q237" t="s">
        <v>9777</v>
      </c>
      <c r="R237" t="s">
        <v>1228</v>
      </c>
      <c r="S237" s="162">
        <v>209300</v>
      </c>
      <c r="T237">
        <v>0</v>
      </c>
      <c r="U237" s="162">
        <v>0</v>
      </c>
      <c r="V237">
        <v>0</v>
      </c>
      <c r="W237" s="162">
        <v>0</v>
      </c>
      <c r="X237">
        <v>0</v>
      </c>
      <c r="Y237" s="162">
        <v>0</v>
      </c>
      <c r="Z237">
        <v>0</v>
      </c>
      <c r="AA237" s="162">
        <v>0</v>
      </c>
      <c r="AB237">
        <v>0</v>
      </c>
      <c r="AC237" s="162" t="s">
        <v>7</v>
      </c>
      <c r="AD237" s="162" t="s">
        <v>7</v>
      </c>
      <c r="AE237" s="162" t="s">
        <v>7</v>
      </c>
      <c r="AF237" s="162" t="s">
        <v>7</v>
      </c>
      <c r="AG237" s="162" t="s">
        <v>7</v>
      </c>
      <c r="AH237" s="162" t="s">
        <v>7</v>
      </c>
      <c r="AI237" t="s">
        <v>9846</v>
      </c>
      <c r="AJ237" t="s">
        <v>7</v>
      </c>
      <c r="AK237" t="s">
        <v>9780</v>
      </c>
      <c r="AL237" t="s">
        <v>78</v>
      </c>
      <c r="AM237" s="162" t="s">
        <v>10138</v>
      </c>
      <c r="AN237" t="s">
        <v>9843</v>
      </c>
      <c r="AO237" t="s">
        <v>35</v>
      </c>
      <c r="AP237" t="s">
        <v>1104</v>
      </c>
      <c r="AQ237" t="s">
        <v>1100</v>
      </c>
      <c r="AR237" t="s">
        <v>7</v>
      </c>
      <c r="AS237" s="162" t="s">
        <v>7</v>
      </c>
      <c r="AT237" s="117" t="s">
        <v>7</v>
      </c>
      <c r="AU237" s="162" t="s">
        <v>7</v>
      </c>
      <c r="AV237" s="162" t="s">
        <v>7</v>
      </c>
      <c r="AW237" s="162" t="s">
        <v>9851</v>
      </c>
      <c r="AX237" s="162" t="s">
        <v>7</v>
      </c>
      <c r="AY237" s="162" t="s">
        <v>7</v>
      </c>
      <c r="AZ237" t="s">
        <v>7</v>
      </c>
      <c r="BA237" s="162" t="s">
        <v>7</v>
      </c>
      <c r="BB237" s="162" t="s">
        <v>7</v>
      </c>
      <c r="BC237" s="162" t="s">
        <v>7</v>
      </c>
      <c r="BD237" s="162" t="s">
        <v>7</v>
      </c>
      <c r="BE237" s="162" t="s">
        <v>7</v>
      </c>
      <c r="BF237" s="162" t="str">
        <f t="shared" si="6"/>
        <v>Sim</v>
      </c>
      <c r="BG237" s="162" t="str">
        <f t="shared" si="7"/>
        <v>Não</v>
      </c>
      <c r="BH237" s="162" t="s">
        <v>7</v>
      </c>
      <c r="BI237" t="s">
        <v>7</v>
      </c>
      <c r="BJ237" s="162" t="s">
        <v>7</v>
      </c>
      <c r="BK237" t="s">
        <v>1100</v>
      </c>
      <c r="BL237" s="162">
        <v>70</v>
      </c>
      <c r="BM237" t="s">
        <v>35</v>
      </c>
      <c r="BN237" t="s">
        <v>35</v>
      </c>
      <c r="BO237" t="s">
        <v>1100</v>
      </c>
      <c r="BP237" s="162">
        <v>70</v>
      </c>
      <c r="BQ237" t="s">
        <v>35</v>
      </c>
      <c r="BR237" t="s">
        <v>1849</v>
      </c>
      <c r="BS237" s="162" t="s">
        <v>10170</v>
      </c>
    </row>
    <row r="238" spans="1:71">
      <c r="A238" s="162">
        <v>237</v>
      </c>
      <c r="B238" t="s">
        <v>363</v>
      </c>
      <c r="C238" s="162">
        <v>0</v>
      </c>
      <c r="D238" s="122" t="s">
        <v>970</v>
      </c>
      <c r="E238" t="s">
        <v>951</v>
      </c>
      <c r="F238" t="s">
        <v>515</v>
      </c>
      <c r="G238" t="s">
        <v>364</v>
      </c>
      <c r="H238" t="s">
        <v>974</v>
      </c>
      <c r="I238" s="162">
        <v>1</v>
      </c>
      <c r="J238" t="s">
        <v>1115</v>
      </c>
      <c r="K238" t="s">
        <v>3</v>
      </c>
      <c r="L238" s="165">
        <v>35366</v>
      </c>
      <c r="M238" s="166">
        <v>20</v>
      </c>
      <c r="N238" t="s">
        <v>4</v>
      </c>
      <c r="O238" t="s">
        <v>10134</v>
      </c>
      <c r="P238" t="s">
        <v>41</v>
      </c>
      <c r="Q238" t="s">
        <v>9777</v>
      </c>
      <c r="R238" t="s">
        <v>1228</v>
      </c>
      <c r="S238" s="162">
        <v>209300</v>
      </c>
      <c r="T238">
        <v>0</v>
      </c>
      <c r="U238" s="162">
        <v>0</v>
      </c>
      <c r="V238">
        <v>0</v>
      </c>
      <c r="W238" s="162">
        <v>0</v>
      </c>
      <c r="X238">
        <v>0</v>
      </c>
      <c r="Y238" s="162">
        <v>0</v>
      </c>
      <c r="Z238">
        <v>0</v>
      </c>
      <c r="AA238" s="162">
        <v>0</v>
      </c>
      <c r="AB238">
        <v>0</v>
      </c>
      <c r="AC238" s="162" t="s">
        <v>7</v>
      </c>
      <c r="AD238" s="162" t="s">
        <v>7</v>
      </c>
      <c r="AE238" s="162" t="s">
        <v>7</v>
      </c>
      <c r="AF238" s="162" t="s">
        <v>7</v>
      </c>
      <c r="AG238" s="162" t="s">
        <v>7</v>
      </c>
      <c r="AH238" s="162" t="s">
        <v>7</v>
      </c>
      <c r="AI238" t="s">
        <v>9846</v>
      </c>
      <c r="AJ238" t="s">
        <v>7</v>
      </c>
      <c r="AK238" t="s">
        <v>9780</v>
      </c>
      <c r="AL238" t="s">
        <v>78</v>
      </c>
      <c r="AM238" s="162" t="s">
        <v>10138</v>
      </c>
      <c r="AN238" t="s">
        <v>9843</v>
      </c>
      <c r="AO238" t="s">
        <v>35</v>
      </c>
      <c r="AP238" t="s">
        <v>1104</v>
      </c>
      <c r="AQ238" t="s">
        <v>1100</v>
      </c>
      <c r="AR238" t="s">
        <v>7</v>
      </c>
      <c r="AS238" s="162" t="s">
        <v>7</v>
      </c>
      <c r="AT238" s="117" t="s">
        <v>7</v>
      </c>
      <c r="AU238" s="162" t="s">
        <v>7</v>
      </c>
      <c r="AV238" s="162" t="s">
        <v>7</v>
      </c>
      <c r="AW238" s="162" t="s">
        <v>9851</v>
      </c>
      <c r="AX238" s="162" t="s">
        <v>7</v>
      </c>
      <c r="AY238" s="162" t="s">
        <v>7</v>
      </c>
      <c r="AZ238" t="s">
        <v>7</v>
      </c>
      <c r="BA238" s="162" t="s">
        <v>7</v>
      </c>
      <c r="BB238" s="162" t="s">
        <v>7</v>
      </c>
      <c r="BC238" s="162" t="s">
        <v>7</v>
      </c>
      <c r="BD238" s="162" t="s">
        <v>7</v>
      </c>
      <c r="BE238" s="162" t="s">
        <v>7</v>
      </c>
      <c r="BF238" s="162" t="str">
        <f t="shared" si="6"/>
        <v>Sim</v>
      </c>
      <c r="BG238" s="162" t="str">
        <f t="shared" si="7"/>
        <v>Não</v>
      </c>
      <c r="BH238" s="162" t="s">
        <v>7</v>
      </c>
      <c r="BI238" t="s">
        <v>7</v>
      </c>
      <c r="BJ238" s="162" t="s">
        <v>7</v>
      </c>
      <c r="BK238" t="s">
        <v>1100</v>
      </c>
      <c r="BL238" s="162">
        <v>70</v>
      </c>
      <c r="BM238" t="s">
        <v>35</v>
      </c>
      <c r="BN238" t="s">
        <v>35</v>
      </c>
      <c r="BO238" t="s">
        <v>1100</v>
      </c>
      <c r="BP238" s="162">
        <v>70</v>
      </c>
      <c r="BQ238" t="s">
        <v>35</v>
      </c>
      <c r="BR238" t="s">
        <v>1849</v>
      </c>
      <c r="BS238" s="162" t="s">
        <v>10170</v>
      </c>
    </row>
    <row r="239" spans="1:71">
      <c r="A239" s="162">
        <v>238</v>
      </c>
      <c r="B239" t="s">
        <v>429</v>
      </c>
      <c r="C239" s="162">
        <v>1</v>
      </c>
      <c r="D239" s="122" t="s">
        <v>558</v>
      </c>
      <c r="E239" t="s">
        <v>998</v>
      </c>
      <c r="F239" t="s">
        <v>3</v>
      </c>
      <c r="G239" t="s">
        <v>433</v>
      </c>
      <c r="H239" t="s">
        <v>999</v>
      </c>
      <c r="I239" s="162">
        <v>1</v>
      </c>
      <c r="J239" t="s">
        <v>1855</v>
      </c>
      <c r="K239" t="s">
        <v>3</v>
      </c>
      <c r="L239" s="165">
        <v>32735</v>
      </c>
      <c r="M239" s="166">
        <v>27</v>
      </c>
      <c r="N239" t="s">
        <v>5</v>
      </c>
      <c r="O239" t="s">
        <v>10135</v>
      </c>
      <c r="P239" t="s">
        <v>48</v>
      </c>
      <c r="Q239" t="s">
        <v>1886</v>
      </c>
      <c r="R239" t="s">
        <v>1965</v>
      </c>
      <c r="S239" s="162">
        <v>136.5</v>
      </c>
      <c r="T239">
        <v>0</v>
      </c>
      <c r="U239" s="162">
        <v>0</v>
      </c>
      <c r="V239">
        <v>0</v>
      </c>
      <c r="W239" s="162">
        <v>0</v>
      </c>
      <c r="X239">
        <v>0</v>
      </c>
      <c r="Y239" s="162">
        <v>0</v>
      </c>
      <c r="Z239">
        <v>0</v>
      </c>
      <c r="AA239" s="162">
        <v>0</v>
      </c>
      <c r="AB239">
        <v>0</v>
      </c>
      <c r="AC239" s="162" t="s">
        <v>7</v>
      </c>
      <c r="AD239" s="162" t="s">
        <v>7</v>
      </c>
      <c r="AE239" s="162" t="s">
        <v>7</v>
      </c>
      <c r="AF239" s="162" t="s">
        <v>7</v>
      </c>
      <c r="AG239" s="162" t="s">
        <v>7</v>
      </c>
      <c r="AH239" s="162" t="s">
        <v>7</v>
      </c>
      <c r="AI239" t="s">
        <v>9843</v>
      </c>
      <c r="AJ239" t="s">
        <v>7</v>
      </c>
      <c r="AK239" t="s">
        <v>1173</v>
      </c>
      <c r="AL239" t="s">
        <v>36</v>
      </c>
      <c r="AM239" s="162" t="s">
        <v>10138</v>
      </c>
      <c r="AN239" t="s">
        <v>9843</v>
      </c>
      <c r="AO239" t="s">
        <v>35</v>
      </c>
      <c r="AP239" t="s">
        <v>7</v>
      </c>
      <c r="AQ239" t="s">
        <v>9</v>
      </c>
      <c r="AR239" t="s">
        <v>1097</v>
      </c>
      <c r="AS239" s="162" t="s">
        <v>9851</v>
      </c>
      <c r="AT239" s="117" t="s">
        <v>7</v>
      </c>
      <c r="AU239" s="162" t="s">
        <v>7</v>
      </c>
      <c r="AV239" s="162" t="s">
        <v>7</v>
      </c>
      <c r="AW239" s="162" t="s">
        <v>9851</v>
      </c>
      <c r="AX239" s="162" t="s">
        <v>7</v>
      </c>
      <c r="AY239" s="162" t="s">
        <v>7</v>
      </c>
      <c r="AZ239" t="s">
        <v>7</v>
      </c>
      <c r="BA239" s="162" t="s">
        <v>7</v>
      </c>
      <c r="BB239" s="162" t="s">
        <v>7</v>
      </c>
      <c r="BC239" s="162" t="s">
        <v>7</v>
      </c>
      <c r="BD239" s="162" t="s">
        <v>7</v>
      </c>
      <c r="BE239" s="162" t="s">
        <v>7</v>
      </c>
      <c r="BF239" s="162" t="str">
        <f t="shared" si="6"/>
        <v>Sim</v>
      </c>
      <c r="BG239" s="162" t="str">
        <f t="shared" si="7"/>
        <v>Não</v>
      </c>
      <c r="BH239" s="162" t="s">
        <v>7</v>
      </c>
      <c r="BI239" t="s">
        <v>9872</v>
      </c>
      <c r="BJ239" s="162" t="s">
        <v>10165</v>
      </c>
      <c r="BK239" t="s">
        <v>1100</v>
      </c>
      <c r="BL239" s="162">
        <v>70</v>
      </c>
      <c r="BM239" t="s">
        <v>35</v>
      </c>
      <c r="BN239" t="s">
        <v>35</v>
      </c>
      <c r="BO239" t="s">
        <v>1100</v>
      </c>
      <c r="BP239" s="162">
        <v>70</v>
      </c>
      <c r="BQ239" t="s">
        <v>35</v>
      </c>
      <c r="BR239" t="s">
        <v>1849</v>
      </c>
      <c r="BS239" s="162" t="s">
        <v>10170</v>
      </c>
    </row>
    <row r="240" spans="1:71">
      <c r="A240" s="162">
        <v>239</v>
      </c>
      <c r="B240" t="s">
        <v>276</v>
      </c>
      <c r="C240" s="162">
        <v>1</v>
      </c>
      <c r="D240" s="122" t="s">
        <v>667</v>
      </c>
      <c r="E240" t="s">
        <v>746</v>
      </c>
      <c r="F240" t="s">
        <v>3</v>
      </c>
      <c r="G240" t="s">
        <v>277</v>
      </c>
      <c r="H240" t="s">
        <v>768</v>
      </c>
      <c r="I240" s="162">
        <v>1</v>
      </c>
      <c r="J240" t="s">
        <v>1855</v>
      </c>
      <c r="K240" t="s">
        <v>3</v>
      </c>
      <c r="L240" s="165">
        <v>32759</v>
      </c>
      <c r="M240" s="166">
        <v>28</v>
      </c>
      <c r="N240" t="s">
        <v>4</v>
      </c>
      <c r="O240" t="s">
        <v>10134</v>
      </c>
      <c r="P240" t="s">
        <v>77</v>
      </c>
      <c r="Q240" t="s">
        <v>1409</v>
      </c>
      <c r="R240">
        <v>0</v>
      </c>
      <c r="S240" s="162">
        <v>0</v>
      </c>
      <c r="T240" t="s">
        <v>9950</v>
      </c>
      <c r="U240" s="162">
        <v>75.599999999999994</v>
      </c>
      <c r="V240">
        <v>0</v>
      </c>
      <c r="W240" s="162">
        <v>0</v>
      </c>
      <c r="X240">
        <v>0</v>
      </c>
      <c r="Y240" s="162">
        <v>0</v>
      </c>
      <c r="Z240">
        <v>0</v>
      </c>
      <c r="AA240" s="162">
        <v>0</v>
      </c>
      <c r="AB240">
        <v>0</v>
      </c>
      <c r="AC240" s="162" t="s">
        <v>7</v>
      </c>
      <c r="AD240" s="162" t="s">
        <v>7</v>
      </c>
      <c r="AE240" s="162" t="s">
        <v>7</v>
      </c>
      <c r="AF240" s="162" t="s">
        <v>7</v>
      </c>
      <c r="AG240" s="162" t="s">
        <v>7</v>
      </c>
      <c r="AH240" s="162" t="s">
        <v>7</v>
      </c>
      <c r="AI240" t="s">
        <v>9843</v>
      </c>
      <c r="AJ240" t="s">
        <v>7</v>
      </c>
      <c r="AK240" t="s">
        <v>1410</v>
      </c>
      <c r="AL240" t="s">
        <v>36</v>
      </c>
      <c r="AM240" s="162" t="s">
        <v>10138</v>
      </c>
      <c r="AN240" t="s">
        <v>9843</v>
      </c>
      <c r="AO240" t="s">
        <v>35</v>
      </c>
      <c r="AP240" t="s">
        <v>7</v>
      </c>
      <c r="AQ240" t="s">
        <v>9</v>
      </c>
      <c r="AR240" t="s">
        <v>1097</v>
      </c>
      <c r="AS240" s="162" t="s">
        <v>9851</v>
      </c>
      <c r="AT240" s="117" t="s">
        <v>7</v>
      </c>
      <c r="AU240" s="162" t="s">
        <v>7</v>
      </c>
      <c r="AV240" s="162" t="s">
        <v>7</v>
      </c>
      <c r="AW240" s="162" t="s">
        <v>9851</v>
      </c>
      <c r="AX240" s="162" t="s">
        <v>7</v>
      </c>
      <c r="AY240" s="162" t="s">
        <v>7</v>
      </c>
      <c r="AZ240" t="s">
        <v>7</v>
      </c>
      <c r="BA240" s="162" t="s">
        <v>7</v>
      </c>
      <c r="BB240" s="162" t="s">
        <v>7</v>
      </c>
      <c r="BC240" s="162" t="s">
        <v>7</v>
      </c>
      <c r="BD240" s="162" t="s">
        <v>7</v>
      </c>
      <c r="BE240" s="162" t="s">
        <v>7</v>
      </c>
      <c r="BF240" s="162" t="str">
        <f t="shared" si="6"/>
        <v>Sim</v>
      </c>
      <c r="BG240" s="162" t="str">
        <f t="shared" si="7"/>
        <v>Não</v>
      </c>
      <c r="BH240" s="162" t="s">
        <v>7</v>
      </c>
      <c r="BI240" t="s">
        <v>9872</v>
      </c>
      <c r="BJ240" s="162" t="s">
        <v>10165</v>
      </c>
      <c r="BK240" t="s">
        <v>1100</v>
      </c>
      <c r="BL240" s="162">
        <v>70</v>
      </c>
      <c r="BM240" t="s">
        <v>35</v>
      </c>
      <c r="BN240" t="s">
        <v>35</v>
      </c>
      <c r="BO240" t="s">
        <v>1100</v>
      </c>
      <c r="BP240" s="162">
        <v>70</v>
      </c>
      <c r="BQ240" t="s">
        <v>35</v>
      </c>
      <c r="BR240" t="s">
        <v>1849</v>
      </c>
      <c r="BS240" s="162" t="s">
        <v>10170</v>
      </c>
    </row>
    <row r="241" spans="1:71">
      <c r="A241" s="162">
        <v>240</v>
      </c>
      <c r="B241" t="s">
        <v>472</v>
      </c>
      <c r="C241" s="162">
        <v>1</v>
      </c>
      <c r="D241" s="122" t="s">
        <v>525</v>
      </c>
      <c r="E241" t="s">
        <v>1050</v>
      </c>
      <c r="F241" t="s">
        <v>515</v>
      </c>
      <c r="G241" t="s">
        <v>473</v>
      </c>
      <c r="H241" t="s">
        <v>1063</v>
      </c>
      <c r="I241" s="162">
        <v>1</v>
      </c>
      <c r="J241" t="s">
        <v>1855</v>
      </c>
      <c r="K241" t="s">
        <v>3</v>
      </c>
      <c r="L241" s="165">
        <v>31834</v>
      </c>
      <c r="M241" s="166">
        <v>30</v>
      </c>
      <c r="N241" t="s">
        <v>5</v>
      </c>
      <c r="O241" t="s">
        <v>10135</v>
      </c>
      <c r="P241" t="s">
        <v>1101</v>
      </c>
      <c r="Q241" t="s">
        <v>1420</v>
      </c>
      <c r="R241" t="s">
        <v>1465</v>
      </c>
      <c r="S241" s="162">
        <v>5.8</v>
      </c>
      <c r="T241" t="s">
        <v>1466</v>
      </c>
      <c r="U241" s="162">
        <v>17.899999999999999</v>
      </c>
      <c r="V241">
        <v>0</v>
      </c>
      <c r="W241" s="162">
        <v>0</v>
      </c>
      <c r="X241">
        <v>0</v>
      </c>
      <c r="Y241" s="162">
        <v>0</v>
      </c>
      <c r="Z241">
        <v>0</v>
      </c>
      <c r="AA241" s="162">
        <v>0</v>
      </c>
      <c r="AB241">
        <v>0</v>
      </c>
      <c r="AC241" s="162" t="s">
        <v>7</v>
      </c>
      <c r="AD241" s="162" t="s">
        <v>7</v>
      </c>
      <c r="AE241" s="162" t="s">
        <v>7</v>
      </c>
      <c r="AF241" s="162" t="s">
        <v>7</v>
      </c>
      <c r="AG241" s="162" t="s">
        <v>7</v>
      </c>
      <c r="AH241" s="162" t="s">
        <v>7</v>
      </c>
      <c r="AI241" t="s">
        <v>9843</v>
      </c>
      <c r="AJ241" t="s">
        <v>7</v>
      </c>
      <c r="AK241" t="s">
        <v>1150</v>
      </c>
      <c r="AL241" t="s">
        <v>36</v>
      </c>
      <c r="AM241" s="162" t="s">
        <v>10138</v>
      </c>
      <c r="AN241" t="s">
        <v>9843</v>
      </c>
      <c r="AO241" t="s">
        <v>35</v>
      </c>
      <c r="AP241" t="s">
        <v>7</v>
      </c>
      <c r="AQ241" t="s">
        <v>9</v>
      </c>
      <c r="AR241" t="s">
        <v>1097</v>
      </c>
      <c r="AS241" s="162" t="s">
        <v>9851</v>
      </c>
      <c r="AT241" s="117" t="s">
        <v>7</v>
      </c>
      <c r="AU241" s="162" t="s">
        <v>7</v>
      </c>
      <c r="AV241" s="162" t="s">
        <v>7</v>
      </c>
      <c r="AW241" s="162" t="s">
        <v>9851</v>
      </c>
      <c r="AX241" s="162" t="s">
        <v>7</v>
      </c>
      <c r="AY241" s="162" t="s">
        <v>7</v>
      </c>
      <c r="AZ241" t="s">
        <v>7</v>
      </c>
      <c r="BA241" s="162" t="s">
        <v>7</v>
      </c>
      <c r="BB241" s="162" t="s">
        <v>7</v>
      </c>
      <c r="BC241" s="162" t="s">
        <v>7</v>
      </c>
      <c r="BD241" s="162" t="s">
        <v>7</v>
      </c>
      <c r="BE241" s="162" t="s">
        <v>7</v>
      </c>
      <c r="BF241" s="162" t="str">
        <f t="shared" si="6"/>
        <v>Sim</v>
      </c>
      <c r="BG241" s="162" t="str">
        <f t="shared" si="7"/>
        <v>Não</v>
      </c>
      <c r="BH241" s="162" t="s">
        <v>7</v>
      </c>
      <c r="BI241" t="s">
        <v>9872</v>
      </c>
      <c r="BJ241" s="162" t="s">
        <v>10165</v>
      </c>
      <c r="BK241" t="s">
        <v>1100</v>
      </c>
      <c r="BL241" s="162">
        <v>70</v>
      </c>
      <c r="BM241" t="s">
        <v>35</v>
      </c>
      <c r="BN241" t="s">
        <v>35</v>
      </c>
      <c r="BO241" t="s">
        <v>1100</v>
      </c>
      <c r="BP241" s="162">
        <v>70</v>
      </c>
      <c r="BQ241" t="s">
        <v>35</v>
      </c>
      <c r="BR241" t="s">
        <v>1849</v>
      </c>
      <c r="BS241" s="162" t="s">
        <v>10170</v>
      </c>
    </row>
    <row r="242" spans="1:71">
      <c r="A242" s="162">
        <v>241</v>
      </c>
      <c r="B242" t="s">
        <v>430</v>
      </c>
      <c r="C242" s="162">
        <v>1</v>
      </c>
      <c r="D242" s="122" t="s">
        <v>940</v>
      </c>
      <c r="E242" t="s">
        <v>994</v>
      </c>
      <c r="F242" t="s">
        <v>515</v>
      </c>
      <c r="G242" t="s">
        <v>433</v>
      </c>
      <c r="H242" t="s">
        <v>1000</v>
      </c>
      <c r="I242" s="162">
        <v>1</v>
      </c>
      <c r="J242" t="s">
        <v>1855</v>
      </c>
      <c r="K242" t="s">
        <v>3</v>
      </c>
      <c r="L242" s="165">
        <v>31462</v>
      </c>
      <c r="M242" s="166">
        <v>30</v>
      </c>
      <c r="N242" t="s">
        <v>5</v>
      </c>
      <c r="O242" t="s">
        <v>10135</v>
      </c>
      <c r="P242" t="s">
        <v>1101</v>
      </c>
      <c r="Q242" t="s">
        <v>1186</v>
      </c>
      <c r="R242">
        <v>0</v>
      </c>
      <c r="S242" s="162">
        <v>0</v>
      </c>
      <c r="T242" t="s">
        <v>1971</v>
      </c>
      <c r="U242" s="162">
        <v>3.7</v>
      </c>
      <c r="V242">
        <v>0</v>
      </c>
      <c r="W242" s="162">
        <v>0</v>
      </c>
      <c r="X242">
        <v>0</v>
      </c>
      <c r="Y242" s="162">
        <v>0</v>
      </c>
      <c r="Z242">
        <v>0</v>
      </c>
      <c r="AA242" s="162">
        <v>0</v>
      </c>
      <c r="AB242">
        <v>0</v>
      </c>
      <c r="AC242" s="162" t="s">
        <v>7</v>
      </c>
      <c r="AD242" s="162" t="s">
        <v>7</v>
      </c>
      <c r="AE242" s="162" t="s">
        <v>7</v>
      </c>
      <c r="AF242" s="162" t="s">
        <v>7</v>
      </c>
      <c r="AG242" s="162" t="s">
        <v>7</v>
      </c>
      <c r="AH242" s="162" t="s">
        <v>7</v>
      </c>
      <c r="AI242" t="s">
        <v>9843</v>
      </c>
      <c r="AJ242" t="s">
        <v>7</v>
      </c>
      <c r="AK242" t="s">
        <v>1572</v>
      </c>
      <c r="AL242" t="s">
        <v>36</v>
      </c>
      <c r="AM242" s="162" t="s">
        <v>10138</v>
      </c>
      <c r="AN242" t="s">
        <v>9843</v>
      </c>
      <c r="AO242" t="s">
        <v>35</v>
      </c>
      <c r="AP242" t="s">
        <v>7</v>
      </c>
      <c r="AQ242" t="s">
        <v>1549</v>
      </c>
      <c r="AR242" t="s">
        <v>1097</v>
      </c>
      <c r="AS242" s="162" t="s">
        <v>9851</v>
      </c>
      <c r="AT242" s="117" t="s">
        <v>7</v>
      </c>
      <c r="AU242" s="162" t="s">
        <v>7</v>
      </c>
      <c r="AV242" s="162" t="s">
        <v>7</v>
      </c>
      <c r="AW242" s="162" t="s">
        <v>9851</v>
      </c>
      <c r="AX242" s="162" t="s">
        <v>7</v>
      </c>
      <c r="AY242" s="162" t="s">
        <v>7</v>
      </c>
      <c r="AZ242" t="s">
        <v>7</v>
      </c>
      <c r="BA242" s="162" t="s">
        <v>7</v>
      </c>
      <c r="BB242" s="162" t="s">
        <v>7</v>
      </c>
      <c r="BC242" s="162" t="s">
        <v>7</v>
      </c>
      <c r="BD242" s="162" t="s">
        <v>7</v>
      </c>
      <c r="BE242" s="162" t="s">
        <v>7</v>
      </c>
      <c r="BF242" s="162" t="str">
        <f t="shared" si="6"/>
        <v>Sim</v>
      </c>
      <c r="BG242" s="162" t="str">
        <f t="shared" si="7"/>
        <v>Não</v>
      </c>
      <c r="BH242" s="162" t="s">
        <v>7</v>
      </c>
      <c r="BI242" t="s">
        <v>9872</v>
      </c>
      <c r="BJ242" s="162" t="s">
        <v>10165</v>
      </c>
      <c r="BK242" t="s">
        <v>1100</v>
      </c>
      <c r="BL242" s="162">
        <v>70</v>
      </c>
      <c r="BM242" t="s">
        <v>35</v>
      </c>
      <c r="BN242" t="s">
        <v>35</v>
      </c>
      <c r="BO242" t="s">
        <v>1100</v>
      </c>
      <c r="BP242" s="162">
        <v>70</v>
      </c>
      <c r="BQ242" t="s">
        <v>35</v>
      </c>
      <c r="BR242" t="s">
        <v>1849</v>
      </c>
      <c r="BS242" s="162" t="s">
        <v>10170</v>
      </c>
    </row>
    <row r="243" spans="1:71">
      <c r="A243" s="162">
        <v>242</v>
      </c>
      <c r="B243" t="s">
        <v>439</v>
      </c>
      <c r="C243" s="162">
        <v>1</v>
      </c>
      <c r="D243" s="122" t="s">
        <v>904</v>
      </c>
      <c r="E243" t="s">
        <v>1018</v>
      </c>
      <c r="F243" t="s">
        <v>3</v>
      </c>
      <c r="G243" t="s">
        <v>443</v>
      </c>
      <c r="H243" t="s">
        <v>1027</v>
      </c>
      <c r="I243" s="162">
        <v>1</v>
      </c>
      <c r="J243" t="s">
        <v>1855</v>
      </c>
      <c r="K243" t="s">
        <v>515</v>
      </c>
      <c r="L243" s="165">
        <v>21180</v>
      </c>
      <c r="M243" s="166">
        <v>59</v>
      </c>
      <c r="N243" t="s">
        <v>4</v>
      </c>
      <c r="O243" t="s">
        <v>10134</v>
      </c>
      <c r="P243" t="s">
        <v>48</v>
      </c>
      <c r="Q243" t="s">
        <v>1143</v>
      </c>
      <c r="R243">
        <v>0</v>
      </c>
      <c r="S243" s="162">
        <v>0</v>
      </c>
      <c r="T243" t="s">
        <v>1422</v>
      </c>
      <c r="U243" s="162">
        <v>11.3</v>
      </c>
      <c r="V243">
        <v>0</v>
      </c>
      <c r="W243" s="162">
        <v>0</v>
      </c>
      <c r="X243">
        <v>0</v>
      </c>
      <c r="Y243" s="162">
        <v>0</v>
      </c>
      <c r="Z243">
        <v>0</v>
      </c>
      <c r="AA243" s="162">
        <v>0</v>
      </c>
      <c r="AB243">
        <v>0</v>
      </c>
      <c r="AC243" s="162" t="s">
        <v>7</v>
      </c>
      <c r="AD243" s="162" t="s">
        <v>7</v>
      </c>
      <c r="AE243" s="162" t="s">
        <v>7</v>
      </c>
      <c r="AF243" s="162" t="s">
        <v>7</v>
      </c>
      <c r="AG243" s="162" t="s">
        <v>7</v>
      </c>
      <c r="AH243" s="162" t="s">
        <v>7</v>
      </c>
      <c r="AI243" t="s">
        <v>9843</v>
      </c>
      <c r="AJ243" t="s">
        <v>7</v>
      </c>
      <c r="AK243" t="s">
        <v>1137</v>
      </c>
      <c r="AL243" t="s">
        <v>36</v>
      </c>
      <c r="AM243" s="162" t="s">
        <v>10138</v>
      </c>
      <c r="AN243" t="s">
        <v>9843</v>
      </c>
      <c r="AO243" t="s">
        <v>35</v>
      </c>
      <c r="AP243" t="s">
        <v>1199</v>
      </c>
      <c r="AQ243" t="s">
        <v>1418</v>
      </c>
      <c r="AR243" t="s">
        <v>7</v>
      </c>
      <c r="AS243" s="162" t="s">
        <v>7</v>
      </c>
      <c r="AT243" s="117" t="s">
        <v>7</v>
      </c>
      <c r="AU243" s="162" t="s">
        <v>7</v>
      </c>
      <c r="AV243" s="162" t="s">
        <v>7</v>
      </c>
      <c r="AW243" s="162" t="s">
        <v>9851</v>
      </c>
      <c r="AX243" s="162" t="s">
        <v>7</v>
      </c>
      <c r="AY243" s="162" t="s">
        <v>7</v>
      </c>
      <c r="AZ243" t="s">
        <v>7</v>
      </c>
      <c r="BA243" s="162" t="s">
        <v>7</v>
      </c>
      <c r="BB243" s="162" t="s">
        <v>7</v>
      </c>
      <c r="BC243" s="162" t="s">
        <v>7</v>
      </c>
      <c r="BD243" s="162" t="s">
        <v>7</v>
      </c>
      <c r="BE243" s="162" t="s">
        <v>7</v>
      </c>
      <c r="BF243" s="162" t="str">
        <f t="shared" si="6"/>
        <v>Sim</v>
      </c>
      <c r="BG243" s="162" t="str">
        <f t="shared" si="7"/>
        <v>Não</v>
      </c>
      <c r="BH243" s="162" t="s">
        <v>7</v>
      </c>
      <c r="BI243" t="s">
        <v>9872</v>
      </c>
      <c r="BJ243" s="162" t="s">
        <v>10165</v>
      </c>
      <c r="BK243" t="s">
        <v>1100</v>
      </c>
      <c r="BL243" s="162">
        <v>70</v>
      </c>
      <c r="BM243" t="s">
        <v>35</v>
      </c>
      <c r="BN243" t="s">
        <v>35</v>
      </c>
      <c r="BO243" t="s">
        <v>1100</v>
      </c>
      <c r="BP243" s="162">
        <v>70</v>
      </c>
      <c r="BQ243" t="s">
        <v>35</v>
      </c>
      <c r="BR243" t="s">
        <v>1849</v>
      </c>
      <c r="BS243" s="162" t="s">
        <v>10170</v>
      </c>
    </row>
    <row r="244" spans="1:71">
      <c r="A244" s="162">
        <v>243</v>
      </c>
      <c r="B244" t="s">
        <v>380</v>
      </c>
      <c r="C244" s="162">
        <v>0</v>
      </c>
      <c r="D244" s="122" t="s">
        <v>715</v>
      </c>
      <c r="E244" t="s">
        <v>898</v>
      </c>
      <c r="F244" t="s">
        <v>3</v>
      </c>
      <c r="G244" t="s">
        <v>392</v>
      </c>
      <c r="H244" t="s">
        <v>900</v>
      </c>
      <c r="I244" s="162">
        <v>1</v>
      </c>
      <c r="J244" t="s">
        <v>1550</v>
      </c>
      <c r="K244" t="s">
        <v>3</v>
      </c>
      <c r="L244" s="165">
        <v>34709</v>
      </c>
      <c r="M244" s="166">
        <v>22</v>
      </c>
      <c r="N244" t="s">
        <v>5</v>
      </c>
      <c r="O244" t="s">
        <v>10135</v>
      </c>
      <c r="P244" t="s">
        <v>1101</v>
      </c>
      <c r="Q244" t="s">
        <v>1811</v>
      </c>
      <c r="R244" t="s">
        <v>10051</v>
      </c>
      <c r="S244" s="162">
        <v>111.8</v>
      </c>
      <c r="T244" t="s">
        <v>1812</v>
      </c>
      <c r="U244" s="162">
        <v>194.6</v>
      </c>
      <c r="V244">
        <v>0</v>
      </c>
      <c r="W244" s="162">
        <v>0</v>
      </c>
      <c r="X244">
        <v>0</v>
      </c>
      <c r="Y244" s="162">
        <v>0</v>
      </c>
      <c r="Z244">
        <v>0</v>
      </c>
      <c r="AA244" s="162">
        <v>0</v>
      </c>
      <c r="AB244">
        <v>0</v>
      </c>
      <c r="AC244" s="162" t="s">
        <v>7</v>
      </c>
      <c r="AD244" s="162" t="s">
        <v>7</v>
      </c>
      <c r="AE244" s="162" t="s">
        <v>7</v>
      </c>
      <c r="AF244" s="162" t="s">
        <v>7</v>
      </c>
      <c r="AG244" s="162" t="s">
        <v>7</v>
      </c>
      <c r="AH244" s="162" t="s">
        <v>7</v>
      </c>
      <c r="AI244" t="s">
        <v>9846</v>
      </c>
      <c r="AJ244" t="s">
        <v>7</v>
      </c>
      <c r="AK244" t="s">
        <v>1212</v>
      </c>
      <c r="AL244" t="s">
        <v>78</v>
      </c>
      <c r="AM244" s="162" t="s">
        <v>10138</v>
      </c>
      <c r="AN244" t="s">
        <v>9843</v>
      </c>
      <c r="AO244" t="s">
        <v>35</v>
      </c>
      <c r="AP244" t="s">
        <v>7</v>
      </c>
      <c r="AQ244" t="s">
        <v>9</v>
      </c>
      <c r="AR244" t="s">
        <v>7</v>
      </c>
      <c r="AS244" s="162" t="s">
        <v>7</v>
      </c>
      <c r="AT244" s="117" t="s">
        <v>7</v>
      </c>
      <c r="AU244" s="162" t="s">
        <v>7</v>
      </c>
      <c r="AV244" s="162" t="s">
        <v>7</v>
      </c>
      <c r="AW244" s="162" t="s">
        <v>9851</v>
      </c>
      <c r="AX244" s="162" t="s">
        <v>7</v>
      </c>
      <c r="AY244" s="162" t="s">
        <v>7</v>
      </c>
      <c r="AZ244" t="s">
        <v>1937</v>
      </c>
      <c r="BA244" s="162" t="s">
        <v>9851</v>
      </c>
      <c r="BB244" s="162" t="s">
        <v>7</v>
      </c>
      <c r="BC244" s="162" t="s">
        <v>7</v>
      </c>
      <c r="BD244" s="162" t="s">
        <v>7</v>
      </c>
      <c r="BE244" s="162" t="s">
        <v>7</v>
      </c>
      <c r="BF244" s="162" t="str">
        <f t="shared" si="6"/>
        <v>Não</v>
      </c>
      <c r="BG244" s="162" t="str">
        <f t="shared" si="7"/>
        <v>Não</v>
      </c>
      <c r="BH244" s="162" t="s">
        <v>9851</v>
      </c>
      <c r="BI244" t="s">
        <v>7</v>
      </c>
      <c r="BJ244" s="162" t="s">
        <v>7</v>
      </c>
      <c r="BK244" t="s">
        <v>1100</v>
      </c>
      <c r="BL244" s="162">
        <v>70</v>
      </c>
      <c r="BM244" t="s">
        <v>35</v>
      </c>
      <c r="BN244" t="s">
        <v>35</v>
      </c>
      <c r="BO244" t="s">
        <v>1100</v>
      </c>
      <c r="BP244" s="162">
        <v>70</v>
      </c>
      <c r="BQ244" t="s">
        <v>35</v>
      </c>
      <c r="BR244" t="s">
        <v>1849</v>
      </c>
      <c r="BS244" s="162" t="s">
        <v>10170</v>
      </c>
    </row>
    <row r="245" spans="1:71">
      <c r="A245" s="162">
        <v>244</v>
      </c>
      <c r="B245" t="s">
        <v>380</v>
      </c>
      <c r="C245" s="162">
        <v>1</v>
      </c>
      <c r="D245" s="122" t="s">
        <v>715</v>
      </c>
      <c r="E245" t="s">
        <v>898</v>
      </c>
      <c r="F245" t="s">
        <v>3</v>
      </c>
      <c r="G245" t="s">
        <v>392</v>
      </c>
      <c r="H245" t="s">
        <v>899</v>
      </c>
      <c r="I245" s="162">
        <v>1</v>
      </c>
      <c r="J245" t="s">
        <v>1550</v>
      </c>
      <c r="K245" t="s">
        <v>3</v>
      </c>
      <c r="L245" s="165">
        <v>35855</v>
      </c>
      <c r="M245" s="166">
        <v>19</v>
      </c>
      <c r="N245" t="s">
        <v>5</v>
      </c>
      <c r="O245" t="s">
        <v>10135</v>
      </c>
      <c r="P245" t="s">
        <v>1101</v>
      </c>
      <c r="Q245" t="s">
        <v>1811</v>
      </c>
      <c r="R245" t="s">
        <v>10051</v>
      </c>
      <c r="S245" s="162">
        <v>111.8</v>
      </c>
      <c r="T245" t="s">
        <v>1812</v>
      </c>
      <c r="U245" s="162">
        <v>194.6</v>
      </c>
      <c r="V245">
        <v>0</v>
      </c>
      <c r="W245" s="162">
        <v>0</v>
      </c>
      <c r="X245">
        <v>0</v>
      </c>
      <c r="Y245" s="162">
        <v>0</v>
      </c>
      <c r="Z245">
        <v>0</v>
      </c>
      <c r="AA245" s="162">
        <v>0</v>
      </c>
      <c r="AB245">
        <v>0</v>
      </c>
      <c r="AC245" s="162" t="s">
        <v>7</v>
      </c>
      <c r="AD245" s="162" t="s">
        <v>7</v>
      </c>
      <c r="AE245" s="162" t="s">
        <v>7</v>
      </c>
      <c r="AF245" s="162" t="s">
        <v>7</v>
      </c>
      <c r="AG245" s="162" t="s">
        <v>7</v>
      </c>
      <c r="AH245" s="162" t="s">
        <v>7</v>
      </c>
      <c r="AI245" t="s">
        <v>9846</v>
      </c>
      <c r="AJ245" t="s">
        <v>7</v>
      </c>
      <c r="AK245" t="s">
        <v>1212</v>
      </c>
      <c r="AL245" t="s">
        <v>78</v>
      </c>
      <c r="AM245" s="162" t="s">
        <v>10138</v>
      </c>
      <c r="AN245" t="s">
        <v>9843</v>
      </c>
      <c r="AO245" t="s">
        <v>35</v>
      </c>
      <c r="AP245" t="s">
        <v>7</v>
      </c>
      <c r="AQ245" t="s">
        <v>9</v>
      </c>
      <c r="AR245" t="s">
        <v>7</v>
      </c>
      <c r="AS245" s="162" t="s">
        <v>7</v>
      </c>
      <c r="AT245" s="117" t="s">
        <v>7</v>
      </c>
      <c r="AU245" s="162" t="s">
        <v>7</v>
      </c>
      <c r="AV245" s="162" t="s">
        <v>7</v>
      </c>
      <c r="AW245" s="162" t="s">
        <v>9851</v>
      </c>
      <c r="AX245" s="162" t="s">
        <v>7</v>
      </c>
      <c r="AY245" s="162" t="s">
        <v>7</v>
      </c>
      <c r="AZ245" t="s">
        <v>1937</v>
      </c>
      <c r="BA245" s="162" t="s">
        <v>9851</v>
      </c>
      <c r="BB245" s="162" t="s">
        <v>7</v>
      </c>
      <c r="BC245" s="162" t="s">
        <v>7</v>
      </c>
      <c r="BD245" s="162" t="s">
        <v>7</v>
      </c>
      <c r="BE245" s="162" t="s">
        <v>7</v>
      </c>
      <c r="BF245" s="162" t="str">
        <f t="shared" si="6"/>
        <v>Não</v>
      </c>
      <c r="BG245" s="162" t="str">
        <f t="shared" si="7"/>
        <v>Não</v>
      </c>
      <c r="BH245" s="162" t="s">
        <v>9851</v>
      </c>
      <c r="BI245" t="s">
        <v>7</v>
      </c>
      <c r="BJ245" s="162" t="s">
        <v>7</v>
      </c>
      <c r="BK245" t="s">
        <v>1100</v>
      </c>
      <c r="BL245" s="162">
        <v>70</v>
      </c>
      <c r="BM245" t="s">
        <v>35</v>
      </c>
      <c r="BN245" t="s">
        <v>35</v>
      </c>
      <c r="BO245" t="s">
        <v>1100</v>
      </c>
      <c r="BP245" s="162">
        <v>70</v>
      </c>
      <c r="BQ245" t="s">
        <v>35</v>
      </c>
      <c r="BR245" t="s">
        <v>1849</v>
      </c>
      <c r="BS245" s="162" t="s">
        <v>10170</v>
      </c>
    </row>
    <row r="246" spans="1:71">
      <c r="A246" s="162">
        <v>245</v>
      </c>
      <c r="B246" t="s">
        <v>189</v>
      </c>
      <c r="C246" s="162">
        <v>1</v>
      </c>
      <c r="D246" s="122" t="s">
        <v>634</v>
      </c>
      <c r="E246" t="s">
        <v>632</v>
      </c>
      <c r="F246" t="s">
        <v>515</v>
      </c>
      <c r="G246" t="s">
        <v>198</v>
      </c>
      <c r="H246" t="s">
        <v>635</v>
      </c>
      <c r="I246" s="162">
        <v>1</v>
      </c>
      <c r="J246" t="s">
        <v>1855</v>
      </c>
      <c r="K246" t="s">
        <v>3</v>
      </c>
      <c r="L246" s="165">
        <v>34777</v>
      </c>
      <c r="M246" s="166">
        <v>22</v>
      </c>
      <c r="N246" t="s">
        <v>5</v>
      </c>
      <c r="O246" t="s">
        <v>10135</v>
      </c>
      <c r="P246" t="s">
        <v>48</v>
      </c>
      <c r="Q246" t="s">
        <v>1593</v>
      </c>
      <c r="R246">
        <v>0</v>
      </c>
      <c r="S246" s="162">
        <v>0</v>
      </c>
      <c r="T246" t="s">
        <v>10058</v>
      </c>
      <c r="U246" s="162">
        <v>22.4</v>
      </c>
      <c r="V246">
        <v>0</v>
      </c>
      <c r="W246" s="162">
        <v>0</v>
      </c>
      <c r="X246">
        <v>0</v>
      </c>
      <c r="Y246" s="162">
        <v>0</v>
      </c>
      <c r="Z246">
        <v>0</v>
      </c>
      <c r="AA246" s="162">
        <v>0</v>
      </c>
      <c r="AB246">
        <v>0</v>
      </c>
      <c r="AC246" s="162" t="s">
        <v>7</v>
      </c>
      <c r="AD246" s="162" t="s">
        <v>7</v>
      </c>
      <c r="AE246" s="162" t="s">
        <v>7</v>
      </c>
      <c r="AF246" s="162" t="s">
        <v>7</v>
      </c>
      <c r="AG246" s="162" t="s">
        <v>7</v>
      </c>
      <c r="AH246" s="162" t="s">
        <v>7</v>
      </c>
      <c r="AI246" t="s">
        <v>9843</v>
      </c>
      <c r="AJ246" t="s">
        <v>7</v>
      </c>
      <c r="AK246" t="s">
        <v>1098</v>
      </c>
      <c r="AL246" t="s">
        <v>36</v>
      </c>
      <c r="AM246" s="162" t="s">
        <v>10138</v>
      </c>
      <c r="AN246" t="s">
        <v>9843</v>
      </c>
      <c r="AO246" t="s">
        <v>35</v>
      </c>
      <c r="AP246" t="s">
        <v>7</v>
      </c>
      <c r="AQ246" t="s">
        <v>9</v>
      </c>
      <c r="AR246" t="s">
        <v>1097</v>
      </c>
      <c r="AS246" s="162" t="s">
        <v>9851</v>
      </c>
      <c r="AT246" s="117" t="s">
        <v>7</v>
      </c>
      <c r="AU246" s="162" t="s">
        <v>7</v>
      </c>
      <c r="AV246" s="162" t="s">
        <v>7</v>
      </c>
      <c r="AW246" s="162" t="s">
        <v>9851</v>
      </c>
      <c r="AX246" s="162" t="s">
        <v>7</v>
      </c>
      <c r="AY246" s="162" t="s">
        <v>7</v>
      </c>
      <c r="AZ246" t="s">
        <v>7</v>
      </c>
      <c r="BA246" s="162" t="s">
        <v>7</v>
      </c>
      <c r="BB246" s="162" t="s">
        <v>7</v>
      </c>
      <c r="BC246" s="162" t="s">
        <v>7</v>
      </c>
      <c r="BD246" s="162" t="s">
        <v>7</v>
      </c>
      <c r="BE246" s="162" t="s">
        <v>7</v>
      </c>
      <c r="BF246" s="162" t="str">
        <f t="shared" si="6"/>
        <v>Sim</v>
      </c>
      <c r="BG246" s="162" t="str">
        <f t="shared" si="7"/>
        <v>Não</v>
      </c>
      <c r="BH246" s="162" t="s">
        <v>7</v>
      </c>
      <c r="BI246" t="s">
        <v>9872</v>
      </c>
      <c r="BJ246" s="162" t="s">
        <v>10165</v>
      </c>
      <c r="BK246" t="s">
        <v>1100</v>
      </c>
      <c r="BL246" s="162">
        <v>70</v>
      </c>
      <c r="BM246" t="s">
        <v>35</v>
      </c>
      <c r="BN246" t="s">
        <v>35</v>
      </c>
      <c r="BO246" t="s">
        <v>1100</v>
      </c>
      <c r="BP246" s="162">
        <v>70</v>
      </c>
      <c r="BQ246" t="s">
        <v>35</v>
      </c>
      <c r="BR246" t="s">
        <v>1849</v>
      </c>
      <c r="BS246" s="162" t="s">
        <v>10170</v>
      </c>
    </row>
    <row r="247" spans="1:71">
      <c r="A247" s="162">
        <v>246</v>
      </c>
      <c r="B247" t="s">
        <v>441</v>
      </c>
      <c r="C247" s="162">
        <v>1</v>
      </c>
      <c r="D247" s="122" t="s">
        <v>1030</v>
      </c>
      <c r="E247" t="s">
        <v>1020</v>
      </c>
      <c r="F247" t="s">
        <v>515</v>
      </c>
      <c r="G247" t="s">
        <v>443</v>
      </c>
      <c r="H247" t="s">
        <v>1031</v>
      </c>
      <c r="I247" s="162">
        <v>1</v>
      </c>
      <c r="J247" t="s">
        <v>1855</v>
      </c>
      <c r="K247" t="s">
        <v>3</v>
      </c>
      <c r="L247" s="165">
        <v>33459</v>
      </c>
      <c r="M247" s="166">
        <v>25</v>
      </c>
      <c r="N247" t="s">
        <v>5</v>
      </c>
      <c r="O247" t="s">
        <v>10135</v>
      </c>
      <c r="P247" t="s">
        <v>48</v>
      </c>
      <c r="Q247" t="s">
        <v>1186</v>
      </c>
      <c r="R247" t="s">
        <v>1430</v>
      </c>
      <c r="S247" s="162">
        <v>38.700000000000003</v>
      </c>
      <c r="T247" t="s">
        <v>1431</v>
      </c>
      <c r="U247" s="162">
        <v>9.6999999999999993</v>
      </c>
      <c r="V247">
        <v>0</v>
      </c>
      <c r="W247" s="162">
        <v>0</v>
      </c>
      <c r="X247">
        <v>0</v>
      </c>
      <c r="Y247" s="162">
        <v>0</v>
      </c>
      <c r="Z247">
        <v>0</v>
      </c>
      <c r="AA247" s="162">
        <v>0</v>
      </c>
      <c r="AB247">
        <v>0</v>
      </c>
      <c r="AC247" s="162" t="s">
        <v>7</v>
      </c>
      <c r="AD247" s="162" t="s">
        <v>7</v>
      </c>
      <c r="AE247" s="162" t="s">
        <v>7</v>
      </c>
      <c r="AF247" s="162" t="s">
        <v>7</v>
      </c>
      <c r="AG247" s="162" t="s">
        <v>7</v>
      </c>
      <c r="AH247" s="162" t="s">
        <v>7</v>
      </c>
      <c r="AI247" t="s">
        <v>9843</v>
      </c>
      <c r="AJ247" t="s">
        <v>7</v>
      </c>
      <c r="AK247" t="s">
        <v>1137</v>
      </c>
      <c r="AL247" t="s">
        <v>36</v>
      </c>
      <c r="AM247" s="162" t="s">
        <v>10138</v>
      </c>
      <c r="AN247" t="s">
        <v>9843</v>
      </c>
      <c r="AO247" t="s">
        <v>35</v>
      </c>
      <c r="AP247" t="s">
        <v>7</v>
      </c>
      <c r="AQ247" t="s">
        <v>9</v>
      </c>
      <c r="AR247" t="s">
        <v>1097</v>
      </c>
      <c r="AS247" s="162" t="s">
        <v>9851</v>
      </c>
      <c r="AT247" s="117" t="s">
        <v>7</v>
      </c>
      <c r="AU247" s="162" t="s">
        <v>7</v>
      </c>
      <c r="AV247" s="162" t="s">
        <v>7</v>
      </c>
      <c r="AW247" s="162" t="s">
        <v>9851</v>
      </c>
      <c r="AX247" s="162" t="s">
        <v>7</v>
      </c>
      <c r="AY247" s="162" t="s">
        <v>7</v>
      </c>
      <c r="AZ247" t="s">
        <v>7</v>
      </c>
      <c r="BA247" s="162" t="s">
        <v>7</v>
      </c>
      <c r="BB247" s="162" t="s">
        <v>7</v>
      </c>
      <c r="BC247" s="162" t="s">
        <v>7</v>
      </c>
      <c r="BD247" s="162" t="s">
        <v>7</v>
      </c>
      <c r="BE247" s="162" t="s">
        <v>7</v>
      </c>
      <c r="BF247" s="162" t="str">
        <f t="shared" si="6"/>
        <v>Sim</v>
      </c>
      <c r="BG247" s="162" t="str">
        <f t="shared" si="7"/>
        <v>Não</v>
      </c>
      <c r="BH247" s="162" t="s">
        <v>7</v>
      </c>
      <c r="BI247" t="s">
        <v>9872</v>
      </c>
      <c r="BJ247" s="162" t="s">
        <v>10165</v>
      </c>
      <c r="BK247" t="s">
        <v>1100</v>
      </c>
      <c r="BL247" s="162">
        <v>70</v>
      </c>
      <c r="BM247" t="s">
        <v>35</v>
      </c>
      <c r="BN247" t="s">
        <v>35</v>
      </c>
      <c r="BO247" t="s">
        <v>1100</v>
      </c>
      <c r="BP247" s="162">
        <v>70</v>
      </c>
      <c r="BQ247" t="s">
        <v>35</v>
      </c>
      <c r="BR247" t="s">
        <v>1849</v>
      </c>
      <c r="BS247" s="162" t="s">
        <v>10170</v>
      </c>
    </row>
    <row r="248" spans="1:71">
      <c r="A248" s="162">
        <v>247</v>
      </c>
      <c r="B248" t="s">
        <v>981</v>
      </c>
      <c r="C248" s="162">
        <v>1</v>
      </c>
      <c r="D248" s="122" t="s">
        <v>987</v>
      </c>
      <c r="E248" t="s">
        <v>477</v>
      </c>
      <c r="F248" t="s">
        <v>515</v>
      </c>
      <c r="G248" t="s">
        <v>426</v>
      </c>
      <c r="H248" t="s">
        <v>993</v>
      </c>
      <c r="I248" s="162">
        <v>1</v>
      </c>
      <c r="J248" t="s">
        <v>1855</v>
      </c>
      <c r="K248" t="s">
        <v>3</v>
      </c>
      <c r="L248" s="165">
        <v>30783</v>
      </c>
      <c r="M248" s="166">
        <v>33</v>
      </c>
      <c r="N248" t="s">
        <v>4</v>
      </c>
      <c r="O248" t="s">
        <v>10134</v>
      </c>
      <c r="P248" t="s">
        <v>48</v>
      </c>
      <c r="Q248" t="s">
        <v>1186</v>
      </c>
      <c r="R248">
        <v>0</v>
      </c>
      <c r="S248" s="162">
        <v>0</v>
      </c>
      <c r="T248" t="s">
        <v>1581</v>
      </c>
      <c r="U248" s="162">
        <v>6.6</v>
      </c>
      <c r="V248">
        <v>0</v>
      </c>
      <c r="W248" s="162">
        <v>0</v>
      </c>
      <c r="X248">
        <v>0</v>
      </c>
      <c r="Y248" s="162">
        <v>0</v>
      </c>
      <c r="Z248">
        <v>0</v>
      </c>
      <c r="AA248" s="162">
        <v>0</v>
      </c>
      <c r="AB248">
        <v>0</v>
      </c>
      <c r="AC248" s="162" t="s">
        <v>7</v>
      </c>
      <c r="AD248" s="162" t="s">
        <v>7</v>
      </c>
      <c r="AE248" s="162" t="s">
        <v>7</v>
      </c>
      <c r="AF248" s="162" t="s">
        <v>7</v>
      </c>
      <c r="AG248" s="162" t="s">
        <v>7</v>
      </c>
      <c r="AH248" s="162" t="s">
        <v>7</v>
      </c>
      <c r="AI248" t="s">
        <v>9843</v>
      </c>
      <c r="AJ248" t="s">
        <v>1272</v>
      </c>
      <c r="AK248" t="s">
        <v>1173</v>
      </c>
      <c r="AL248" t="s">
        <v>36</v>
      </c>
      <c r="AM248" s="162" t="s">
        <v>10138</v>
      </c>
      <c r="AN248" t="s">
        <v>9843</v>
      </c>
      <c r="AO248" t="s">
        <v>1272</v>
      </c>
      <c r="AP248" t="s">
        <v>7</v>
      </c>
      <c r="AQ248" t="s">
        <v>9</v>
      </c>
      <c r="AR248" t="s">
        <v>1097</v>
      </c>
      <c r="AS248" s="162" t="s">
        <v>9851</v>
      </c>
      <c r="AT248" s="117" t="s">
        <v>7</v>
      </c>
      <c r="AU248" s="162" t="s">
        <v>7</v>
      </c>
      <c r="AV248" s="162" t="s">
        <v>7</v>
      </c>
      <c r="AW248" s="162" t="s">
        <v>9851</v>
      </c>
      <c r="AX248" s="162" t="s">
        <v>7</v>
      </c>
      <c r="AY248" s="162" t="s">
        <v>7</v>
      </c>
      <c r="AZ248" t="s">
        <v>7</v>
      </c>
      <c r="BA248" s="162" t="s">
        <v>7</v>
      </c>
      <c r="BB248" s="162" t="s">
        <v>7</v>
      </c>
      <c r="BC248" s="162" t="s">
        <v>7</v>
      </c>
      <c r="BD248" s="162" t="s">
        <v>7</v>
      </c>
      <c r="BE248" s="162" t="s">
        <v>7</v>
      </c>
      <c r="BF248" s="162" t="str">
        <f t="shared" si="6"/>
        <v>Sim</v>
      </c>
      <c r="BG248" s="162" t="str">
        <f t="shared" si="7"/>
        <v>Não</v>
      </c>
      <c r="BH248" s="162" t="s">
        <v>7</v>
      </c>
      <c r="BI248" t="s">
        <v>9872</v>
      </c>
      <c r="BJ248" s="162" t="s">
        <v>10165</v>
      </c>
      <c r="BK248" t="s">
        <v>1100</v>
      </c>
      <c r="BL248" s="162">
        <v>70</v>
      </c>
      <c r="BM248" t="s">
        <v>35</v>
      </c>
      <c r="BN248" t="s">
        <v>1582</v>
      </c>
      <c r="BO248" t="s">
        <v>1080</v>
      </c>
      <c r="BP248" s="162">
        <v>72</v>
      </c>
      <c r="BQ248" t="s">
        <v>35</v>
      </c>
      <c r="BR248" t="s">
        <v>1849</v>
      </c>
      <c r="BS248" s="162" t="s">
        <v>10170</v>
      </c>
    </row>
    <row r="249" spans="1:71">
      <c r="A249" s="162">
        <v>248</v>
      </c>
      <c r="B249" t="s">
        <v>470</v>
      </c>
      <c r="C249" s="162">
        <v>1</v>
      </c>
      <c r="D249" s="122" t="s">
        <v>1057</v>
      </c>
      <c r="E249" t="s">
        <v>1047</v>
      </c>
      <c r="F249" t="s">
        <v>515</v>
      </c>
      <c r="G249" t="s">
        <v>473</v>
      </c>
      <c r="H249" t="s">
        <v>1062</v>
      </c>
      <c r="I249" s="162">
        <v>1</v>
      </c>
      <c r="J249" t="s">
        <v>1855</v>
      </c>
      <c r="K249" t="s">
        <v>3</v>
      </c>
      <c r="L249" s="165">
        <v>32884</v>
      </c>
      <c r="M249" s="166">
        <v>27</v>
      </c>
      <c r="N249" t="s">
        <v>5</v>
      </c>
      <c r="O249" t="s">
        <v>10135</v>
      </c>
      <c r="P249" t="s">
        <v>1101</v>
      </c>
      <c r="Q249" t="s">
        <v>9793</v>
      </c>
      <c r="R249" t="s">
        <v>1461</v>
      </c>
      <c r="S249" s="162">
        <v>1292.8</v>
      </c>
      <c r="T249" t="s">
        <v>1462</v>
      </c>
      <c r="U249" s="162">
        <v>938.1</v>
      </c>
      <c r="V249">
        <v>0</v>
      </c>
      <c r="W249" s="162">
        <v>0</v>
      </c>
      <c r="X249">
        <v>0</v>
      </c>
      <c r="Y249" s="162">
        <v>0</v>
      </c>
      <c r="Z249">
        <v>0</v>
      </c>
      <c r="AA249" s="162">
        <v>0</v>
      </c>
      <c r="AB249">
        <v>0</v>
      </c>
      <c r="AC249" s="162" t="s">
        <v>7</v>
      </c>
      <c r="AD249" s="162" t="s">
        <v>7</v>
      </c>
      <c r="AE249" s="162" t="s">
        <v>7</v>
      </c>
      <c r="AF249" s="162" t="s">
        <v>7</v>
      </c>
      <c r="AG249" s="162" t="s">
        <v>7</v>
      </c>
      <c r="AH249" s="162" t="s">
        <v>7</v>
      </c>
      <c r="AI249" t="s">
        <v>9843</v>
      </c>
      <c r="AJ249" t="s">
        <v>7</v>
      </c>
      <c r="AK249" t="s">
        <v>72</v>
      </c>
      <c r="AL249" t="s">
        <v>36</v>
      </c>
      <c r="AM249" s="162" t="s">
        <v>10138</v>
      </c>
      <c r="AN249" t="s">
        <v>9843</v>
      </c>
      <c r="AO249" t="s">
        <v>35</v>
      </c>
      <c r="AP249" t="s">
        <v>7</v>
      </c>
      <c r="AQ249" t="s">
        <v>9</v>
      </c>
      <c r="AR249" t="s">
        <v>7</v>
      </c>
      <c r="AS249" s="162" t="s">
        <v>7</v>
      </c>
      <c r="AT249" s="117" t="s">
        <v>7</v>
      </c>
      <c r="AU249" s="162" t="s">
        <v>7</v>
      </c>
      <c r="AV249" s="162" t="s">
        <v>7</v>
      </c>
      <c r="AW249" s="162" t="s">
        <v>9851</v>
      </c>
      <c r="AX249" s="162" t="s">
        <v>7</v>
      </c>
      <c r="AY249" s="162" t="s">
        <v>7</v>
      </c>
      <c r="AZ249" t="s">
        <v>9868</v>
      </c>
      <c r="BA249" s="162" t="s">
        <v>7</v>
      </c>
      <c r="BB249" s="162" t="s">
        <v>7</v>
      </c>
      <c r="BC249" s="162" t="s">
        <v>7</v>
      </c>
      <c r="BD249" s="162" t="s">
        <v>7</v>
      </c>
      <c r="BE249" s="162" t="s">
        <v>9851</v>
      </c>
      <c r="BF249" s="162" t="str">
        <f t="shared" si="6"/>
        <v>Não</v>
      </c>
      <c r="BG249" s="162" t="str">
        <f t="shared" si="7"/>
        <v>Não</v>
      </c>
      <c r="BH249" s="162" t="s">
        <v>9851</v>
      </c>
      <c r="BI249" t="s">
        <v>7</v>
      </c>
      <c r="BJ249" s="162" t="s">
        <v>7</v>
      </c>
      <c r="BK249" t="s">
        <v>1100</v>
      </c>
      <c r="BL249" s="162">
        <v>70</v>
      </c>
      <c r="BM249" t="s">
        <v>35</v>
      </c>
      <c r="BN249" t="s">
        <v>35</v>
      </c>
      <c r="BO249" t="s">
        <v>1100</v>
      </c>
      <c r="BP249" s="162">
        <v>70</v>
      </c>
      <c r="BQ249" t="s">
        <v>35</v>
      </c>
      <c r="BR249" t="s">
        <v>1849</v>
      </c>
      <c r="BS249" s="162" t="s">
        <v>10170</v>
      </c>
    </row>
    <row r="250" spans="1:71">
      <c r="A250" s="162">
        <v>249</v>
      </c>
      <c r="B250" t="s">
        <v>195</v>
      </c>
      <c r="C250" s="162">
        <v>1</v>
      </c>
      <c r="D250" s="122" t="s">
        <v>109</v>
      </c>
      <c r="E250" t="s">
        <v>626</v>
      </c>
      <c r="F250" t="s">
        <v>3</v>
      </c>
      <c r="G250" t="s">
        <v>198</v>
      </c>
      <c r="H250" t="s">
        <v>647</v>
      </c>
      <c r="I250" s="162">
        <v>1</v>
      </c>
      <c r="J250" t="s">
        <v>1855</v>
      </c>
      <c r="K250" t="s">
        <v>3</v>
      </c>
      <c r="L250" s="165">
        <v>29790</v>
      </c>
      <c r="M250" s="166">
        <v>35</v>
      </c>
      <c r="N250" t="s">
        <v>4</v>
      </c>
      <c r="O250" t="s">
        <v>10134</v>
      </c>
      <c r="P250" t="s">
        <v>48</v>
      </c>
      <c r="Q250" t="s">
        <v>1148</v>
      </c>
      <c r="R250" t="s">
        <v>1601</v>
      </c>
      <c r="S250" s="162">
        <v>6.7</v>
      </c>
      <c r="T250" t="s">
        <v>1600</v>
      </c>
      <c r="U250" s="162">
        <v>23.1</v>
      </c>
      <c r="V250">
        <v>0</v>
      </c>
      <c r="W250" s="162">
        <v>0</v>
      </c>
      <c r="X250">
        <v>0</v>
      </c>
      <c r="Y250" s="162">
        <v>0</v>
      </c>
      <c r="Z250">
        <v>0</v>
      </c>
      <c r="AA250" s="162">
        <v>0</v>
      </c>
      <c r="AB250">
        <v>0</v>
      </c>
      <c r="AC250" s="162" t="s">
        <v>7</v>
      </c>
      <c r="AD250" s="162" t="s">
        <v>7</v>
      </c>
      <c r="AE250" s="162" t="s">
        <v>7</v>
      </c>
      <c r="AF250" s="162" t="s">
        <v>7</v>
      </c>
      <c r="AG250" s="162" t="s">
        <v>7</v>
      </c>
      <c r="AH250" s="162" t="s">
        <v>7</v>
      </c>
      <c r="AI250" t="s">
        <v>9843</v>
      </c>
      <c r="AJ250" t="s">
        <v>7</v>
      </c>
      <c r="AK250" t="s">
        <v>1173</v>
      </c>
      <c r="AL250" t="s">
        <v>36</v>
      </c>
      <c r="AM250" s="162" t="s">
        <v>10138</v>
      </c>
      <c r="AN250" t="s">
        <v>9843</v>
      </c>
      <c r="AO250" t="s">
        <v>35</v>
      </c>
      <c r="AP250" t="s">
        <v>7</v>
      </c>
      <c r="AQ250" t="s">
        <v>9</v>
      </c>
      <c r="AR250" t="s">
        <v>1097</v>
      </c>
      <c r="AS250" s="162" t="s">
        <v>9851</v>
      </c>
      <c r="AT250" s="117" t="s">
        <v>7</v>
      </c>
      <c r="AU250" s="162" t="s">
        <v>7</v>
      </c>
      <c r="AV250" s="162" t="s">
        <v>7</v>
      </c>
      <c r="AW250" s="162" t="s">
        <v>9851</v>
      </c>
      <c r="AX250" s="162" t="s">
        <v>7</v>
      </c>
      <c r="AY250" s="162" t="s">
        <v>7</v>
      </c>
      <c r="AZ250" t="s">
        <v>7</v>
      </c>
      <c r="BA250" s="162" t="s">
        <v>7</v>
      </c>
      <c r="BB250" s="162" t="s">
        <v>7</v>
      </c>
      <c r="BC250" s="162" t="s">
        <v>7</v>
      </c>
      <c r="BD250" s="162" t="s">
        <v>7</v>
      </c>
      <c r="BE250" s="162" t="s">
        <v>7</v>
      </c>
      <c r="BF250" s="162" t="str">
        <f t="shared" si="6"/>
        <v>Sim</v>
      </c>
      <c r="BG250" s="162" t="str">
        <f t="shared" si="7"/>
        <v>Não</v>
      </c>
      <c r="BH250" s="162" t="s">
        <v>7</v>
      </c>
      <c r="BI250" t="s">
        <v>9872</v>
      </c>
      <c r="BJ250" s="162" t="s">
        <v>10165</v>
      </c>
      <c r="BK250" t="s">
        <v>1100</v>
      </c>
      <c r="BL250" s="162">
        <v>70</v>
      </c>
      <c r="BM250" t="s">
        <v>35</v>
      </c>
      <c r="BN250" t="s">
        <v>35</v>
      </c>
      <c r="BO250" t="s">
        <v>1100</v>
      </c>
      <c r="BP250" s="162">
        <v>70</v>
      </c>
      <c r="BQ250" t="s">
        <v>35</v>
      </c>
      <c r="BR250" t="s">
        <v>1849</v>
      </c>
      <c r="BS250" s="162" t="s">
        <v>10170</v>
      </c>
    </row>
    <row r="251" spans="1:71">
      <c r="A251" s="162">
        <v>250</v>
      </c>
      <c r="B251" t="s">
        <v>423</v>
      </c>
      <c r="C251" s="162">
        <v>0</v>
      </c>
      <c r="D251" s="122" t="s">
        <v>556</v>
      </c>
      <c r="E251" t="s">
        <v>603</v>
      </c>
      <c r="F251" t="s">
        <v>515</v>
      </c>
      <c r="G251" t="s">
        <v>426</v>
      </c>
      <c r="H251" t="s">
        <v>990</v>
      </c>
      <c r="I251" s="162">
        <v>1</v>
      </c>
      <c r="J251" t="s">
        <v>1855</v>
      </c>
      <c r="K251" t="s">
        <v>3</v>
      </c>
      <c r="L251" s="165">
        <v>23864</v>
      </c>
      <c r="M251" s="166">
        <v>52</v>
      </c>
      <c r="N251" t="s">
        <v>4</v>
      </c>
      <c r="O251" t="s">
        <v>10134</v>
      </c>
      <c r="P251" t="s">
        <v>1074</v>
      </c>
      <c r="Q251" t="s">
        <v>9782</v>
      </c>
      <c r="R251" t="s">
        <v>1568</v>
      </c>
      <c r="S251" s="162">
        <v>316</v>
      </c>
      <c r="T251" t="s">
        <v>1569</v>
      </c>
      <c r="U251" s="162">
        <v>463.5</v>
      </c>
      <c r="V251">
        <v>0</v>
      </c>
      <c r="W251" s="162">
        <v>0</v>
      </c>
      <c r="X251">
        <v>0</v>
      </c>
      <c r="Y251" s="162">
        <v>0</v>
      </c>
      <c r="Z251">
        <v>0</v>
      </c>
      <c r="AA251" s="162">
        <v>0</v>
      </c>
      <c r="AB251">
        <v>0</v>
      </c>
      <c r="AC251" s="162" t="s">
        <v>7</v>
      </c>
      <c r="AD251" s="162" t="s">
        <v>7</v>
      </c>
      <c r="AE251" s="162" t="s">
        <v>7</v>
      </c>
      <c r="AF251" s="162" t="s">
        <v>7</v>
      </c>
      <c r="AG251" s="162" t="s">
        <v>7</v>
      </c>
      <c r="AH251" s="162" t="s">
        <v>7</v>
      </c>
      <c r="AI251" t="s">
        <v>9843</v>
      </c>
      <c r="AJ251" t="s">
        <v>7</v>
      </c>
      <c r="AK251" t="s">
        <v>1571</v>
      </c>
      <c r="AL251" t="s">
        <v>36</v>
      </c>
      <c r="AM251" s="162" t="s">
        <v>10138</v>
      </c>
      <c r="AN251" t="s">
        <v>9843</v>
      </c>
      <c r="AO251" t="s">
        <v>35</v>
      </c>
      <c r="AP251" t="s">
        <v>1199</v>
      </c>
      <c r="AQ251" t="s">
        <v>1100</v>
      </c>
      <c r="AR251" t="s">
        <v>7</v>
      </c>
      <c r="AS251" s="162" t="s">
        <v>7</v>
      </c>
      <c r="AT251" s="117" t="s">
        <v>1111</v>
      </c>
      <c r="AU251" s="162" t="s">
        <v>9851</v>
      </c>
      <c r="AV251" s="162" t="s">
        <v>7</v>
      </c>
      <c r="AW251" s="162" t="s">
        <v>7</v>
      </c>
      <c r="AX251" s="162" t="s">
        <v>7</v>
      </c>
      <c r="AY251" s="162" t="s">
        <v>9851</v>
      </c>
      <c r="AZ251" t="s">
        <v>1937</v>
      </c>
      <c r="BA251" s="162" t="s">
        <v>9851</v>
      </c>
      <c r="BB251" s="162" t="s">
        <v>7</v>
      </c>
      <c r="BC251" s="162" t="s">
        <v>7</v>
      </c>
      <c r="BD251" s="162" t="s">
        <v>7</v>
      </c>
      <c r="BE251" s="162" t="s">
        <v>7</v>
      </c>
      <c r="BF251" s="162" t="str">
        <f t="shared" si="6"/>
        <v>Não</v>
      </c>
      <c r="BG251" s="162" t="str">
        <f t="shared" si="7"/>
        <v>Não</v>
      </c>
      <c r="BH251" s="162" t="s">
        <v>9851</v>
      </c>
      <c r="BI251" t="s">
        <v>7</v>
      </c>
      <c r="BJ251" s="162" t="s">
        <v>7</v>
      </c>
      <c r="BK251" t="s">
        <v>1100</v>
      </c>
      <c r="BL251" s="162">
        <v>70</v>
      </c>
      <c r="BM251" t="s">
        <v>35</v>
      </c>
      <c r="BN251" t="s">
        <v>35</v>
      </c>
      <c r="BO251" t="s">
        <v>1100</v>
      </c>
      <c r="BP251" s="162">
        <v>70</v>
      </c>
      <c r="BQ251" t="s">
        <v>35</v>
      </c>
      <c r="BR251" t="s">
        <v>1849</v>
      </c>
      <c r="BS251" s="162" t="s">
        <v>10170</v>
      </c>
    </row>
    <row r="252" spans="1:71">
      <c r="A252" s="162">
        <v>251</v>
      </c>
      <c r="B252" t="s">
        <v>372</v>
      </c>
      <c r="C252" s="162">
        <v>1</v>
      </c>
      <c r="D252" s="122" t="s">
        <v>887</v>
      </c>
      <c r="E252" t="s">
        <v>876</v>
      </c>
      <c r="F252" t="s">
        <v>515</v>
      </c>
      <c r="G252" t="s">
        <v>378</v>
      </c>
      <c r="H252" t="s">
        <v>888</v>
      </c>
      <c r="I252" s="162">
        <v>1</v>
      </c>
      <c r="J252" t="s">
        <v>1855</v>
      </c>
      <c r="K252" t="s">
        <v>3</v>
      </c>
      <c r="L252" s="165">
        <v>33545</v>
      </c>
      <c r="M252" s="166">
        <v>26</v>
      </c>
      <c r="N252" t="s">
        <v>5</v>
      </c>
      <c r="O252" t="s">
        <v>10135</v>
      </c>
      <c r="P252" t="s">
        <v>1101</v>
      </c>
      <c r="Q252" t="s">
        <v>1449</v>
      </c>
      <c r="R252" t="s">
        <v>10007</v>
      </c>
      <c r="S252" s="162">
        <v>2.5</v>
      </c>
      <c r="T252" t="s">
        <v>10008</v>
      </c>
      <c r="U252" s="162">
        <v>37.799999999999997</v>
      </c>
      <c r="V252">
        <v>0</v>
      </c>
      <c r="W252" s="162">
        <v>0</v>
      </c>
      <c r="X252">
        <v>0</v>
      </c>
      <c r="Y252" s="162">
        <v>0</v>
      </c>
      <c r="Z252">
        <v>0</v>
      </c>
      <c r="AA252" s="162">
        <v>0</v>
      </c>
      <c r="AB252">
        <v>0</v>
      </c>
      <c r="AC252" s="162" t="s">
        <v>7</v>
      </c>
      <c r="AD252" s="162" t="s">
        <v>7</v>
      </c>
      <c r="AE252" s="162" t="s">
        <v>7</v>
      </c>
      <c r="AF252" s="162" t="s">
        <v>7</v>
      </c>
      <c r="AG252" s="162" t="s">
        <v>7</v>
      </c>
      <c r="AH252" s="162" t="s">
        <v>7</v>
      </c>
      <c r="AI252" t="s">
        <v>9843</v>
      </c>
      <c r="AJ252" t="s">
        <v>7</v>
      </c>
      <c r="AK252" t="s">
        <v>1122</v>
      </c>
      <c r="AL252" t="s">
        <v>36</v>
      </c>
      <c r="AM252" s="162" t="s">
        <v>10138</v>
      </c>
      <c r="AN252" t="s">
        <v>9843</v>
      </c>
      <c r="AO252" t="s">
        <v>35</v>
      </c>
      <c r="AP252" t="s">
        <v>7</v>
      </c>
      <c r="AQ252" t="s">
        <v>9</v>
      </c>
      <c r="AR252" t="s">
        <v>1097</v>
      </c>
      <c r="AS252" s="162" t="s">
        <v>9851</v>
      </c>
      <c r="AT252" s="117" t="s">
        <v>7</v>
      </c>
      <c r="AU252" s="162" t="s">
        <v>7</v>
      </c>
      <c r="AV252" s="162" t="s">
        <v>7</v>
      </c>
      <c r="AW252" s="162" t="s">
        <v>9851</v>
      </c>
      <c r="AX252" s="162" t="s">
        <v>7</v>
      </c>
      <c r="AY252" s="162" t="s">
        <v>7</v>
      </c>
      <c r="AZ252" t="s">
        <v>7</v>
      </c>
      <c r="BA252" s="162" t="s">
        <v>7</v>
      </c>
      <c r="BB252" s="162" t="s">
        <v>7</v>
      </c>
      <c r="BC252" s="162" t="s">
        <v>7</v>
      </c>
      <c r="BD252" s="162" t="s">
        <v>7</v>
      </c>
      <c r="BE252" s="162" t="s">
        <v>7</v>
      </c>
      <c r="BF252" s="162" t="str">
        <f t="shared" si="6"/>
        <v>Sim</v>
      </c>
      <c r="BG252" s="162" t="str">
        <f t="shared" si="7"/>
        <v>Não</v>
      </c>
      <c r="BH252" s="162" t="s">
        <v>7</v>
      </c>
      <c r="BI252" t="s">
        <v>9872</v>
      </c>
      <c r="BJ252" s="162" t="s">
        <v>10165</v>
      </c>
      <c r="BK252" t="s">
        <v>1100</v>
      </c>
      <c r="BL252" s="162">
        <v>70</v>
      </c>
      <c r="BM252" t="s">
        <v>35</v>
      </c>
      <c r="BN252" t="s">
        <v>35</v>
      </c>
      <c r="BO252" t="s">
        <v>1100</v>
      </c>
      <c r="BP252" s="162">
        <v>70</v>
      </c>
      <c r="BQ252" t="s">
        <v>35</v>
      </c>
      <c r="BR252" t="s">
        <v>1849</v>
      </c>
      <c r="BS252" s="162" t="s">
        <v>10170</v>
      </c>
    </row>
    <row r="253" spans="1:71">
      <c r="A253" s="162">
        <v>252</v>
      </c>
      <c r="B253" t="s">
        <v>462</v>
      </c>
      <c r="C253" s="162">
        <v>1</v>
      </c>
      <c r="D253" s="122" t="s">
        <v>843</v>
      </c>
      <c r="E253" t="s">
        <v>1047</v>
      </c>
      <c r="F253" t="s">
        <v>515</v>
      </c>
      <c r="G253" t="s">
        <v>473</v>
      </c>
      <c r="H253" t="s">
        <v>1048</v>
      </c>
      <c r="I253" s="162">
        <v>1</v>
      </c>
      <c r="J253" t="s">
        <v>1855</v>
      </c>
      <c r="K253" t="s">
        <v>3</v>
      </c>
      <c r="L253" s="165">
        <v>31148</v>
      </c>
      <c r="M253" s="166">
        <v>32</v>
      </c>
      <c r="N253" t="s">
        <v>5</v>
      </c>
      <c r="O253" t="s">
        <v>10135</v>
      </c>
      <c r="P253" t="s">
        <v>77</v>
      </c>
      <c r="Q253" t="s">
        <v>1441</v>
      </c>
      <c r="R253" t="s">
        <v>1443</v>
      </c>
      <c r="S253" s="162">
        <v>145.5</v>
      </c>
      <c r="T253" t="s">
        <v>1442</v>
      </c>
      <c r="U253" s="162">
        <v>26.1</v>
      </c>
      <c r="V253">
        <v>0</v>
      </c>
      <c r="W253" s="162">
        <v>0</v>
      </c>
      <c r="X253">
        <v>0</v>
      </c>
      <c r="Y253" s="162">
        <v>0</v>
      </c>
      <c r="Z253">
        <v>0</v>
      </c>
      <c r="AA253" s="162">
        <v>0</v>
      </c>
      <c r="AB253">
        <v>0</v>
      </c>
      <c r="AC253" s="162" t="s">
        <v>7</v>
      </c>
      <c r="AD253" s="162" t="s">
        <v>7</v>
      </c>
      <c r="AE253" s="162" t="s">
        <v>7</v>
      </c>
      <c r="AF253" s="162" t="s">
        <v>7</v>
      </c>
      <c r="AG253" s="162" t="s">
        <v>7</v>
      </c>
      <c r="AH253" s="162" t="s">
        <v>7</v>
      </c>
      <c r="AI253" t="s">
        <v>9843</v>
      </c>
      <c r="AJ253" t="s">
        <v>7</v>
      </c>
      <c r="AK253" t="s">
        <v>80</v>
      </c>
      <c r="AL253" t="s">
        <v>36</v>
      </c>
      <c r="AM253" s="162" t="s">
        <v>10138</v>
      </c>
      <c r="AN253" t="s">
        <v>9843</v>
      </c>
      <c r="AO253" t="s">
        <v>35</v>
      </c>
      <c r="AP253" t="s">
        <v>7</v>
      </c>
      <c r="AQ253" t="s">
        <v>9</v>
      </c>
      <c r="AR253" t="s">
        <v>1097</v>
      </c>
      <c r="AS253" s="162" t="s">
        <v>9851</v>
      </c>
      <c r="AT253" s="117" t="s">
        <v>7</v>
      </c>
      <c r="AU253" s="162" t="s">
        <v>7</v>
      </c>
      <c r="AV253" s="162" t="s">
        <v>7</v>
      </c>
      <c r="AW253" s="162" t="s">
        <v>9851</v>
      </c>
      <c r="AX253" s="162" t="s">
        <v>7</v>
      </c>
      <c r="AY253" s="162" t="s">
        <v>7</v>
      </c>
      <c r="AZ253" t="s">
        <v>7</v>
      </c>
      <c r="BA253" s="162" t="s">
        <v>7</v>
      </c>
      <c r="BB253" s="162" t="s">
        <v>7</v>
      </c>
      <c r="BC253" s="162" t="s">
        <v>7</v>
      </c>
      <c r="BD253" s="162" t="s">
        <v>7</v>
      </c>
      <c r="BE253" s="162" t="s">
        <v>7</v>
      </c>
      <c r="BF253" s="162" t="str">
        <f t="shared" si="6"/>
        <v>Sim</v>
      </c>
      <c r="BG253" s="162" t="str">
        <f t="shared" si="7"/>
        <v>Não</v>
      </c>
      <c r="BH253" s="162" t="s">
        <v>7</v>
      </c>
      <c r="BI253" t="s">
        <v>9872</v>
      </c>
      <c r="BJ253" s="162" t="s">
        <v>10165</v>
      </c>
      <c r="BK253" t="s">
        <v>1100</v>
      </c>
      <c r="BL253" s="162">
        <v>70</v>
      </c>
      <c r="BM253" t="s">
        <v>35</v>
      </c>
      <c r="BN253" t="s">
        <v>35</v>
      </c>
      <c r="BO253" t="s">
        <v>1100</v>
      </c>
      <c r="BP253" s="162">
        <v>70</v>
      </c>
      <c r="BQ253" t="s">
        <v>35</v>
      </c>
      <c r="BR253" t="s">
        <v>1849</v>
      </c>
      <c r="BS253" s="162" t="s">
        <v>10170</v>
      </c>
    </row>
    <row r="254" spans="1:71">
      <c r="A254" s="162">
        <v>253</v>
      </c>
      <c r="B254" t="s">
        <v>129</v>
      </c>
      <c r="C254" s="162">
        <v>1</v>
      </c>
      <c r="D254" s="122" t="s">
        <v>508</v>
      </c>
      <c r="E254" t="s">
        <v>495</v>
      </c>
      <c r="F254" t="s">
        <v>3</v>
      </c>
      <c r="G254" t="s">
        <v>131</v>
      </c>
      <c r="H254" t="s">
        <v>509</v>
      </c>
      <c r="I254" s="162">
        <v>1</v>
      </c>
      <c r="J254" t="s">
        <v>1855</v>
      </c>
      <c r="K254" t="s">
        <v>3</v>
      </c>
      <c r="L254" s="165">
        <v>29927</v>
      </c>
      <c r="M254" s="166">
        <v>35</v>
      </c>
      <c r="N254" t="s">
        <v>5</v>
      </c>
      <c r="O254" t="s">
        <v>10135</v>
      </c>
      <c r="P254" t="s">
        <v>48</v>
      </c>
      <c r="Q254" t="s">
        <v>1305</v>
      </c>
      <c r="R254">
        <v>0</v>
      </c>
      <c r="S254" s="162">
        <v>0</v>
      </c>
      <c r="T254" t="s">
        <v>1304</v>
      </c>
      <c r="U254" s="162">
        <v>26.5</v>
      </c>
      <c r="V254">
        <v>0</v>
      </c>
      <c r="W254" s="162">
        <v>0</v>
      </c>
      <c r="X254">
        <v>0</v>
      </c>
      <c r="Y254" s="162">
        <v>0</v>
      </c>
      <c r="Z254">
        <v>0</v>
      </c>
      <c r="AA254" s="162">
        <v>0</v>
      </c>
      <c r="AB254">
        <v>0</v>
      </c>
      <c r="AC254" s="162" t="s">
        <v>7</v>
      </c>
      <c r="AD254" s="162" t="s">
        <v>7</v>
      </c>
      <c r="AE254" s="162" t="s">
        <v>7</v>
      </c>
      <c r="AF254" s="162" t="s">
        <v>7</v>
      </c>
      <c r="AG254" s="162" t="s">
        <v>7</v>
      </c>
      <c r="AH254" s="162" t="s">
        <v>7</v>
      </c>
      <c r="AI254" t="s">
        <v>9843</v>
      </c>
      <c r="AJ254" t="s">
        <v>7</v>
      </c>
      <c r="AK254" t="s">
        <v>80</v>
      </c>
      <c r="AL254" t="s">
        <v>36</v>
      </c>
      <c r="AM254" s="162" t="s">
        <v>10138</v>
      </c>
      <c r="AN254" t="s">
        <v>9843</v>
      </c>
      <c r="AO254" t="s">
        <v>35</v>
      </c>
      <c r="AP254" t="s">
        <v>7</v>
      </c>
      <c r="AQ254" t="s">
        <v>9</v>
      </c>
      <c r="AR254" t="s">
        <v>1097</v>
      </c>
      <c r="AS254" s="162" t="s">
        <v>9851</v>
      </c>
      <c r="AT254" s="117" t="s">
        <v>7</v>
      </c>
      <c r="AU254" s="162" t="s">
        <v>7</v>
      </c>
      <c r="AV254" s="162" t="s">
        <v>7</v>
      </c>
      <c r="AW254" s="162" t="s">
        <v>9851</v>
      </c>
      <c r="AX254" s="162" t="s">
        <v>7</v>
      </c>
      <c r="AY254" s="162" t="s">
        <v>7</v>
      </c>
      <c r="AZ254" t="s">
        <v>7</v>
      </c>
      <c r="BA254" s="162" t="s">
        <v>7</v>
      </c>
      <c r="BB254" s="162" t="s">
        <v>7</v>
      </c>
      <c r="BC254" s="162" t="s">
        <v>7</v>
      </c>
      <c r="BD254" s="162" t="s">
        <v>7</v>
      </c>
      <c r="BE254" s="162" t="s">
        <v>7</v>
      </c>
      <c r="BF254" s="162" t="str">
        <f t="shared" si="6"/>
        <v>Sim</v>
      </c>
      <c r="BG254" s="162" t="str">
        <f t="shared" si="7"/>
        <v>Não</v>
      </c>
      <c r="BH254" s="162" t="s">
        <v>7</v>
      </c>
      <c r="BI254" t="s">
        <v>9872</v>
      </c>
      <c r="BJ254" s="162" t="s">
        <v>10165</v>
      </c>
      <c r="BK254" t="s">
        <v>1100</v>
      </c>
      <c r="BL254" s="162">
        <v>70</v>
      </c>
      <c r="BM254" t="s">
        <v>35</v>
      </c>
      <c r="BN254" t="s">
        <v>35</v>
      </c>
      <c r="BO254" t="s">
        <v>1100</v>
      </c>
      <c r="BP254" s="162">
        <v>70</v>
      </c>
      <c r="BQ254" t="s">
        <v>35</v>
      </c>
      <c r="BR254" t="s">
        <v>1849</v>
      </c>
      <c r="BS254" s="162" t="s">
        <v>10170</v>
      </c>
    </row>
    <row r="255" spans="1:71">
      <c r="A255" s="162">
        <v>254</v>
      </c>
      <c r="B255" t="s">
        <v>247</v>
      </c>
      <c r="C255" s="162">
        <v>0</v>
      </c>
      <c r="D255" s="122" t="s">
        <v>715</v>
      </c>
      <c r="E255" t="s">
        <v>706</v>
      </c>
      <c r="F255" t="s">
        <v>515</v>
      </c>
      <c r="G255" t="s">
        <v>251</v>
      </c>
      <c r="H255" t="s">
        <v>717</v>
      </c>
      <c r="I255" s="162">
        <v>1</v>
      </c>
      <c r="J255" t="s">
        <v>1855</v>
      </c>
      <c r="K255" t="s">
        <v>3</v>
      </c>
      <c r="L255" s="165">
        <v>34143</v>
      </c>
      <c r="M255" s="166">
        <v>23</v>
      </c>
      <c r="N255" t="s">
        <v>4</v>
      </c>
      <c r="O255" t="s">
        <v>10134</v>
      </c>
      <c r="P255" t="s">
        <v>41</v>
      </c>
      <c r="Q255" t="s">
        <v>1210</v>
      </c>
      <c r="R255">
        <v>0</v>
      </c>
      <c r="S255" s="162">
        <v>0</v>
      </c>
      <c r="T255" t="s">
        <v>1337</v>
      </c>
      <c r="U255" s="162">
        <v>2.6</v>
      </c>
      <c r="V255">
        <v>0</v>
      </c>
      <c r="W255" s="162">
        <v>0</v>
      </c>
      <c r="X255">
        <v>0</v>
      </c>
      <c r="Y255" s="162">
        <v>0</v>
      </c>
      <c r="Z255">
        <v>0</v>
      </c>
      <c r="AA255" s="162">
        <v>0</v>
      </c>
      <c r="AB255">
        <v>0</v>
      </c>
      <c r="AC255" s="162" t="s">
        <v>7</v>
      </c>
      <c r="AD255" s="162" t="s">
        <v>7</v>
      </c>
      <c r="AE255" s="162" t="s">
        <v>7</v>
      </c>
      <c r="AF255" s="162" t="s">
        <v>7</v>
      </c>
      <c r="AG255" s="162" t="s">
        <v>7</v>
      </c>
      <c r="AH255" s="162" t="s">
        <v>7</v>
      </c>
      <c r="AI255" t="s">
        <v>9846</v>
      </c>
      <c r="AJ255" t="s">
        <v>7</v>
      </c>
      <c r="AK255" t="s">
        <v>1975</v>
      </c>
      <c r="AL255" t="s">
        <v>78</v>
      </c>
      <c r="AM255" s="162" t="s">
        <v>10138</v>
      </c>
      <c r="AN255" t="s">
        <v>9843</v>
      </c>
      <c r="AO255" t="s">
        <v>35</v>
      </c>
      <c r="AP255" t="s">
        <v>7</v>
      </c>
      <c r="AQ255" t="s">
        <v>9</v>
      </c>
      <c r="AR255" t="s">
        <v>7</v>
      </c>
      <c r="AS255" s="162" t="s">
        <v>7</v>
      </c>
      <c r="AT255" s="117" t="s">
        <v>7</v>
      </c>
      <c r="AU255" s="162" t="s">
        <v>7</v>
      </c>
      <c r="AV255" s="162" t="s">
        <v>7</v>
      </c>
      <c r="AW255" s="162" t="s">
        <v>9851</v>
      </c>
      <c r="AX255" s="162" t="s">
        <v>7</v>
      </c>
      <c r="AY255" s="162" t="s">
        <v>7</v>
      </c>
      <c r="AZ255" t="s">
        <v>1937</v>
      </c>
      <c r="BA255" s="162" t="s">
        <v>9851</v>
      </c>
      <c r="BB255" s="162" t="s">
        <v>7</v>
      </c>
      <c r="BC255" s="162" t="s">
        <v>7</v>
      </c>
      <c r="BD255" s="162" t="s">
        <v>7</v>
      </c>
      <c r="BE255" s="162" t="s">
        <v>7</v>
      </c>
      <c r="BF255" s="162" t="str">
        <f t="shared" si="6"/>
        <v>Não</v>
      </c>
      <c r="BG255" s="162" t="str">
        <f t="shared" si="7"/>
        <v>Não</v>
      </c>
      <c r="BH255" s="162" t="s">
        <v>9851</v>
      </c>
      <c r="BI255" t="s">
        <v>7</v>
      </c>
      <c r="BJ255" s="162" t="s">
        <v>7</v>
      </c>
      <c r="BK255" t="s">
        <v>1100</v>
      </c>
      <c r="BL255" s="162">
        <v>70</v>
      </c>
      <c r="BM255" t="s">
        <v>35</v>
      </c>
      <c r="BN255" t="s">
        <v>35</v>
      </c>
      <c r="BO255" t="s">
        <v>1100</v>
      </c>
      <c r="BP255" s="162">
        <v>70</v>
      </c>
      <c r="BQ255" t="s">
        <v>35</v>
      </c>
      <c r="BR255" t="s">
        <v>1849</v>
      </c>
      <c r="BS255" s="162" t="s">
        <v>10170</v>
      </c>
    </row>
    <row r="256" spans="1:71">
      <c r="A256" s="162">
        <v>255</v>
      </c>
      <c r="B256" t="s">
        <v>240</v>
      </c>
      <c r="C256" s="162">
        <v>1</v>
      </c>
      <c r="D256" s="122" t="s">
        <v>649</v>
      </c>
      <c r="E256" t="s">
        <v>679</v>
      </c>
      <c r="F256" t="s">
        <v>3</v>
      </c>
      <c r="G256" t="s">
        <v>241</v>
      </c>
      <c r="H256" t="s">
        <v>701</v>
      </c>
      <c r="I256" s="162">
        <v>1</v>
      </c>
      <c r="J256" t="s">
        <v>1855</v>
      </c>
      <c r="K256" t="s">
        <v>3</v>
      </c>
      <c r="L256" s="165">
        <v>32284</v>
      </c>
      <c r="M256" s="166">
        <v>29</v>
      </c>
      <c r="N256" t="s">
        <v>4</v>
      </c>
      <c r="O256" t="s">
        <v>10134</v>
      </c>
      <c r="P256" t="s">
        <v>41</v>
      </c>
      <c r="Q256" t="s">
        <v>1699</v>
      </c>
      <c r="R256" t="s">
        <v>1701</v>
      </c>
      <c r="S256" s="162">
        <v>24.4</v>
      </c>
      <c r="T256" t="s">
        <v>1700</v>
      </c>
      <c r="U256" s="162">
        <v>1.3</v>
      </c>
      <c r="V256">
        <v>0</v>
      </c>
      <c r="W256" s="162">
        <v>0</v>
      </c>
      <c r="X256">
        <v>0</v>
      </c>
      <c r="Y256" s="162">
        <v>0</v>
      </c>
      <c r="Z256">
        <v>0</v>
      </c>
      <c r="AA256" s="162">
        <v>0</v>
      </c>
      <c r="AB256">
        <v>0</v>
      </c>
      <c r="AC256" s="162" t="s">
        <v>7</v>
      </c>
      <c r="AD256" s="162" t="s">
        <v>7</v>
      </c>
      <c r="AE256" s="162" t="s">
        <v>7</v>
      </c>
      <c r="AF256" s="162" t="s">
        <v>7</v>
      </c>
      <c r="AG256" s="162" t="s">
        <v>7</v>
      </c>
      <c r="AH256" s="162" t="s">
        <v>7</v>
      </c>
      <c r="AI256" t="s">
        <v>9843</v>
      </c>
      <c r="AJ256" t="s">
        <v>7</v>
      </c>
      <c r="AK256" t="s">
        <v>1702</v>
      </c>
      <c r="AL256" t="s">
        <v>36</v>
      </c>
      <c r="AM256" s="162" t="s">
        <v>10138</v>
      </c>
      <c r="AN256" t="s">
        <v>9843</v>
      </c>
      <c r="AO256" t="s">
        <v>35</v>
      </c>
      <c r="AP256" t="s">
        <v>7</v>
      </c>
      <c r="AQ256" t="s">
        <v>9</v>
      </c>
      <c r="AR256" t="s">
        <v>7</v>
      </c>
      <c r="AS256" s="162" t="s">
        <v>7</v>
      </c>
      <c r="AT256" s="117" t="s">
        <v>7</v>
      </c>
      <c r="AU256" s="162" t="s">
        <v>7</v>
      </c>
      <c r="AV256" s="162" t="s">
        <v>7</v>
      </c>
      <c r="AW256" s="162" t="s">
        <v>9851</v>
      </c>
      <c r="AX256" s="162" t="s">
        <v>7</v>
      </c>
      <c r="AY256" s="162" t="s">
        <v>7</v>
      </c>
      <c r="AZ256" t="s">
        <v>9868</v>
      </c>
      <c r="BA256" s="162" t="s">
        <v>7</v>
      </c>
      <c r="BB256" s="162" t="s">
        <v>7</v>
      </c>
      <c r="BC256" s="162" t="s">
        <v>7</v>
      </c>
      <c r="BD256" s="162" t="s">
        <v>7</v>
      </c>
      <c r="BE256" s="162" t="s">
        <v>9851</v>
      </c>
      <c r="BF256" s="162" t="str">
        <f t="shared" si="6"/>
        <v>Não</v>
      </c>
      <c r="BG256" s="162" t="str">
        <f t="shared" si="7"/>
        <v>Não</v>
      </c>
      <c r="BH256" s="162" t="s">
        <v>9851</v>
      </c>
      <c r="BI256" t="s">
        <v>7</v>
      </c>
      <c r="BJ256" s="162" t="s">
        <v>7</v>
      </c>
      <c r="BK256" t="s">
        <v>1100</v>
      </c>
      <c r="BL256" s="162">
        <v>70</v>
      </c>
      <c r="BM256" t="s">
        <v>35</v>
      </c>
      <c r="BN256" t="s">
        <v>35</v>
      </c>
      <c r="BO256" t="s">
        <v>1100</v>
      </c>
      <c r="BP256" s="162">
        <v>70</v>
      </c>
      <c r="BQ256" t="s">
        <v>35</v>
      </c>
      <c r="BR256" t="s">
        <v>1849</v>
      </c>
      <c r="BS256" s="162" t="s">
        <v>10170</v>
      </c>
    </row>
    <row r="257" spans="1:71">
      <c r="A257" s="162">
        <v>256</v>
      </c>
      <c r="B257" t="s">
        <v>265</v>
      </c>
      <c r="C257" s="162">
        <v>1</v>
      </c>
      <c r="D257" s="122" t="s">
        <v>699</v>
      </c>
      <c r="E257" t="s">
        <v>746</v>
      </c>
      <c r="F257" t="s">
        <v>3</v>
      </c>
      <c r="G257" t="s">
        <v>277</v>
      </c>
      <c r="H257" t="s">
        <v>747</v>
      </c>
      <c r="I257" s="162">
        <v>1</v>
      </c>
      <c r="J257" t="s">
        <v>1855</v>
      </c>
      <c r="K257" t="s">
        <v>3</v>
      </c>
      <c r="L257" s="165">
        <v>30958</v>
      </c>
      <c r="M257" s="166">
        <v>33</v>
      </c>
      <c r="N257" t="s">
        <v>4</v>
      </c>
      <c r="O257" t="s">
        <v>10134</v>
      </c>
      <c r="P257" t="s">
        <v>41</v>
      </c>
      <c r="Q257" t="s">
        <v>9826</v>
      </c>
      <c r="R257" t="s">
        <v>1382</v>
      </c>
      <c r="S257" s="162">
        <v>121.6</v>
      </c>
      <c r="T257" t="s">
        <v>1381</v>
      </c>
      <c r="U257" s="162">
        <v>27.9</v>
      </c>
      <c r="V257">
        <v>0</v>
      </c>
      <c r="W257" s="162">
        <v>0</v>
      </c>
      <c r="X257">
        <v>0</v>
      </c>
      <c r="Y257" s="162">
        <v>0</v>
      </c>
      <c r="Z257">
        <v>0</v>
      </c>
      <c r="AA257" s="162">
        <v>0</v>
      </c>
      <c r="AB257">
        <v>0</v>
      </c>
      <c r="AC257" s="162" t="s">
        <v>7</v>
      </c>
      <c r="AD257" s="162" t="s">
        <v>7</v>
      </c>
      <c r="AE257" s="162" t="s">
        <v>7</v>
      </c>
      <c r="AF257" s="162" t="s">
        <v>7</v>
      </c>
      <c r="AG257" s="162" t="s">
        <v>7</v>
      </c>
      <c r="AH257" s="162" t="s">
        <v>7</v>
      </c>
      <c r="AI257" t="s">
        <v>9843</v>
      </c>
      <c r="AJ257" t="s">
        <v>7</v>
      </c>
      <c r="AK257" t="s">
        <v>1137</v>
      </c>
      <c r="AL257" t="s">
        <v>36</v>
      </c>
      <c r="AM257" s="162" t="s">
        <v>10138</v>
      </c>
      <c r="AN257" t="s">
        <v>9843</v>
      </c>
      <c r="AO257" t="s">
        <v>35</v>
      </c>
      <c r="AP257" t="s">
        <v>7</v>
      </c>
      <c r="AQ257" t="s">
        <v>9</v>
      </c>
      <c r="AR257" t="s">
        <v>1097</v>
      </c>
      <c r="AS257" s="162" t="s">
        <v>9851</v>
      </c>
      <c r="AT257" s="117" t="s">
        <v>7</v>
      </c>
      <c r="AU257" s="162" t="s">
        <v>7</v>
      </c>
      <c r="AV257" s="162" t="s">
        <v>7</v>
      </c>
      <c r="AW257" s="162" t="s">
        <v>9851</v>
      </c>
      <c r="AX257" s="162" t="s">
        <v>7</v>
      </c>
      <c r="AY257" s="162" t="s">
        <v>7</v>
      </c>
      <c r="AZ257" t="s">
        <v>7</v>
      </c>
      <c r="BA257" s="162" t="s">
        <v>7</v>
      </c>
      <c r="BB257" s="162" t="s">
        <v>7</v>
      </c>
      <c r="BC257" s="162" t="s">
        <v>7</v>
      </c>
      <c r="BD257" s="162" t="s">
        <v>7</v>
      </c>
      <c r="BE257" s="162" t="s">
        <v>7</v>
      </c>
      <c r="BF257" s="162" t="str">
        <f t="shared" si="6"/>
        <v>Sim</v>
      </c>
      <c r="BG257" s="162" t="str">
        <f t="shared" si="7"/>
        <v>Não</v>
      </c>
      <c r="BH257" s="162" t="s">
        <v>7</v>
      </c>
      <c r="BI257" t="s">
        <v>9872</v>
      </c>
      <c r="BJ257" s="162" t="s">
        <v>10165</v>
      </c>
      <c r="BK257" t="s">
        <v>1100</v>
      </c>
      <c r="BL257" s="162">
        <v>70</v>
      </c>
      <c r="BM257" t="s">
        <v>35</v>
      </c>
      <c r="BN257" t="s">
        <v>35</v>
      </c>
      <c r="BO257" t="s">
        <v>1100</v>
      </c>
      <c r="BP257" s="162">
        <v>70</v>
      </c>
      <c r="BQ257" t="s">
        <v>35</v>
      </c>
      <c r="BR257" t="s">
        <v>1849</v>
      </c>
      <c r="BS257" s="162" t="s">
        <v>10170</v>
      </c>
    </row>
    <row r="258" spans="1:71">
      <c r="A258" s="162">
        <v>257</v>
      </c>
      <c r="B258" t="s">
        <v>464</v>
      </c>
      <c r="C258" s="162">
        <v>1</v>
      </c>
      <c r="D258" s="122" t="s">
        <v>1052</v>
      </c>
      <c r="E258" t="s">
        <v>1047</v>
      </c>
      <c r="F258" t="s">
        <v>515</v>
      </c>
      <c r="G258" t="s">
        <v>473</v>
      </c>
      <c r="H258" t="s">
        <v>1053</v>
      </c>
      <c r="I258" s="162">
        <v>1</v>
      </c>
      <c r="J258" t="s">
        <v>1855</v>
      </c>
      <c r="K258" t="s">
        <v>3</v>
      </c>
      <c r="L258" s="165">
        <v>35155</v>
      </c>
      <c r="M258" s="166">
        <v>20</v>
      </c>
      <c r="N258" t="s">
        <v>5</v>
      </c>
      <c r="O258" t="s">
        <v>10135</v>
      </c>
      <c r="P258" t="s">
        <v>1074</v>
      </c>
      <c r="Q258" t="s">
        <v>1444</v>
      </c>
      <c r="R258">
        <v>0</v>
      </c>
      <c r="S258" s="162">
        <v>0</v>
      </c>
      <c r="T258" t="s">
        <v>1445</v>
      </c>
      <c r="U258" s="162">
        <v>16.8</v>
      </c>
      <c r="V258">
        <v>0</v>
      </c>
      <c r="W258" s="162">
        <v>0</v>
      </c>
      <c r="X258">
        <v>0</v>
      </c>
      <c r="Y258" s="162">
        <v>0</v>
      </c>
      <c r="Z258">
        <v>0</v>
      </c>
      <c r="AA258" s="162">
        <v>0</v>
      </c>
      <c r="AB258">
        <v>0</v>
      </c>
      <c r="AC258" s="162" t="s">
        <v>7</v>
      </c>
      <c r="AD258" s="162" t="s">
        <v>7</v>
      </c>
      <c r="AE258" s="162" t="s">
        <v>7</v>
      </c>
      <c r="AF258" s="162" t="s">
        <v>7</v>
      </c>
      <c r="AG258" s="162" t="s">
        <v>7</v>
      </c>
      <c r="AH258" s="162" t="s">
        <v>7</v>
      </c>
      <c r="AI258" t="s">
        <v>9843</v>
      </c>
      <c r="AJ258" t="s">
        <v>7</v>
      </c>
      <c r="AK258" t="s">
        <v>1173</v>
      </c>
      <c r="AL258" t="s">
        <v>36</v>
      </c>
      <c r="AM258" s="162" t="s">
        <v>10138</v>
      </c>
      <c r="AN258" t="s">
        <v>9843</v>
      </c>
      <c r="AO258" t="s">
        <v>35</v>
      </c>
      <c r="AP258" t="s">
        <v>7</v>
      </c>
      <c r="AQ258" t="s">
        <v>9</v>
      </c>
      <c r="AR258" t="s">
        <v>7</v>
      </c>
      <c r="AS258" s="162" t="s">
        <v>7</v>
      </c>
      <c r="AT258" s="117" t="s">
        <v>7</v>
      </c>
      <c r="AU258" s="162" t="s">
        <v>7</v>
      </c>
      <c r="AV258" s="162" t="s">
        <v>7</v>
      </c>
      <c r="AW258" s="162" t="s">
        <v>9851</v>
      </c>
      <c r="AX258" s="162" t="s">
        <v>7</v>
      </c>
      <c r="AY258" s="162" t="s">
        <v>7</v>
      </c>
      <c r="AZ258" t="s">
        <v>9868</v>
      </c>
      <c r="BA258" s="162" t="s">
        <v>7</v>
      </c>
      <c r="BB258" s="162" t="s">
        <v>7</v>
      </c>
      <c r="BC258" s="162" t="s">
        <v>7</v>
      </c>
      <c r="BD258" s="162" t="s">
        <v>7</v>
      </c>
      <c r="BE258" s="162" t="s">
        <v>9851</v>
      </c>
      <c r="BF258" s="162" t="str">
        <f t="shared" ref="BF258:BF321" si="8">IF(AZ258="Não","Sim","Não")</f>
        <v>Não</v>
      </c>
      <c r="BG258" s="162" t="str">
        <f t="shared" ref="BG258:BG321" si="9">IF(AZ258="NA","Sim","Não")</f>
        <v>Não</v>
      </c>
      <c r="BH258" s="162" t="s">
        <v>9851</v>
      </c>
      <c r="BI258" t="s">
        <v>7</v>
      </c>
      <c r="BJ258" s="162" t="s">
        <v>7</v>
      </c>
      <c r="BK258" t="s">
        <v>1100</v>
      </c>
      <c r="BL258" s="162">
        <v>70</v>
      </c>
      <c r="BM258" t="s">
        <v>35</v>
      </c>
      <c r="BN258" t="s">
        <v>35</v>
      </c>
      <c r="BO258" t="s">
        <v>1100</v>
      </c>
      <c r="BP258" s="162">
        <v>70</v>
      </c>
      <c r="BQ258" t="s">
        <v>35</v>
      </c>
      <c r="BR258" t="s">
        <v>1849</v>
      </c>
      <c r="BS258" s="162" t="s">
        <v>10170</v>
      </c>
    </row>
    <row r="259" spans="1:71">
      <c r="A259" s="162">
        <v>258</v>
      </c>
      <c r="B259" t="s">
        <v>162</v>
      </c>
      <c r="C259" s="162">
        <v>1</v>
      </c>
      <c r="D259" s="122" t="s">
        <v>584</v>
      </c>
      <c r="E259" t="s">
        <v>569</v>
      </c>
      <c r="F259" t="s">
        <v>3</v>
      </c>
      <c r="G259" t="s">
        <v>166</v>
      </c>
      <c r="H259" t="s">
        <v>585</v>
      </c>
      <c r="I259" s="162">
        <v>1</v>
      </c>
      <c r="J259" t="s">
        <v>1855</v>
      </c>
      <c r="K259" t="s">
        <v>3</v>
      </c>
      <c r="L259" s="165">
        <v>35247</v>
      </c>
      <c r="M259" s="166">
        <v>20</v>
      </c>
      <c r="N259" t="s">
        <v>5</v>
      </c>
      <c r="O259" t="s">
        <v>10135</v>
      </c>
      <c r="P259" t="s">
        <v>77</v>
      </c>
      <c r="Q259" t="s">
        <v>1363</v>
      </c>
      <c r="R259" t="s">
        <v>1364</v>
      </c>
      <c r="S259" s="162">
        <v>31.4</v>
      </c>
      <c r="T259">
        <v>0</v>
      </c>
      <c r="U259" s="162">
        <v>0</v>
      </c>
      <c r="V259" t="s">
        <v>1365</v>
      </c>
      <c r="W259" s="162">
        <v>2.5</v>
      </c>
      <c r="X259">
        <v>0</v>
      </c>
      <c r="Y259" s="162">
        <v>0</v>
      </c>
      <c r="Z259">
        <v>0</v>
      </c>
      <c r="AA259" s="162">
        <v>0</v>
      </c>
      <c r="AB259">
        <v>0</v>
      </c>
      <c r="AC259" s="162" t="s">
        <v>7</v>
      </c>
      <c r="AD259" s="162" t="s">
        <v>7</v>
      </c>
      <c r="AE259" s="162" t="s">
        <v>7</v>
      </c>
      <c r="AF259" s="162" t="s">
        <v>7</v>
      </c>
      <c r="AG259" s="162" t="s">
        <v>7</v>
      </c>
      <c r="AH259" s="162" t="s">
        <v>7</v>
      </c>
      <c r="AI259" t="s">
        <v>9843</v>
      </c>
      <c r="AJ259" t="s">
        <v>7</v>
      </c>
      <c r="AK259" t="s">
        <v>9808</v>
      </c>
      <c r="AL259" t="s">
        <v>36</v>
      </c>
      <c r="AM259" s="162" t="s">
        <v>10138</v>
      </c>
      <c r="AN259" t="s">
        <v>9843</v>
      </c>
      <c r="AO259" t="s">
        <v>35</v>
      </c>
      <c r="AP259" t="s">
        <v>7</v>
      </c>
      <c r="AQ259" t="s">
        <v>9</v>
      </c>
      <c r="AR259" t="s">
        <v>7</v>
      </c>
      <c r="AS259" s="162" t="s">
        <v>7</v>
      </c>
      <c r="AT259" s="117" t="s">
        <v>7</v>
      </c>
      <c r="AU259" s="162" t="s">
        <v>7</v>
      </c>
      <c r="AV259" s="162" t="s">
        <v>7</v>
      </c>
      <c r="AW259" s="162" t="s">
        <v>9851</v>
      </c>
      <c r="AX259" s="162" t="s">
        <v>7</v>
      </c>
      <c r="AY259" s="162" t="s">
        <v>7</v>
      </c>
      <c r="AZ259" t="s">
        <v>9868</v>
      </c>
      <c r="BA259" s="162" t="s">
        <v>7</v>
      </c>
      <c r="BB259" s="162" t="s">
        <v>7</v>
      </c>
      <c r="BC259" s="162" t="s">
        <v>7</v>
      </c>
      <c r="BD259" s="162" t="s">
        <v>7</v>
      </c>
      <c r="BE259" s="162" t="s">
        <v>9851</v>
      </c>
      <c r="BF259" s="162" t="str">
        <f t="shared" si="8"/>
        <v>Não</v>
      </c>
      <c r="BG259" s="162" t="str">
        <f t="shared" si="9"/>
        <v>Não</v>
      </c>
      <c r="BH259" s="162" t="s">
        <v>9851</v>
      </c>
      <c r="BI259" t="s">
        <v>7</v>
      </c>
      <c r="BJ259" s="162" t="s">
        <v>7</v>
      </c>
      <c r="BK259" t="s">
        <v>1100</v>
      </c>
      <c r="BL259" s="162">
        <v>70</v>
      </c>
      <c r="BM259" t="s">
        <v>35</v>
      </c>
      <c r="BN259" t="s">
        <v>35</v>
      </c>
      <c r="BO259" t="s">
        <v>1100</v>
      </c>
      <c r="BP259" s="162">
        <v>70</v>
      </c>
      <c r="BQ259" t="s">
        <v>35</v>
      </c>
      <c r="BR259" t="s">
        <v>1849</v>
      </c>
      <c r="BS259" s="162" t="s">
        <v>10170</v>
      </c>
    </row>
    <row r="260" spans="1:71">
      <c r="A260" s="162">
        <v>259</v>
      </c>
      <c r="B260" t="s">
        <v>436</v>
      </c>
      <c r="C260" s="162">
        <v>1</v>
      </c>
      <c r="D260" s="122" t="s">
        <v>806</v>
      </c>
      <c r="E260" t="s">
        <v>1018</v>
      </c>
      <c r="F260" t="s">
        <v>3</v>
      </c>
      <c r="G260" t="s">
        <v>443</v>
      </c>
      <c r="H260" t="s">
        <v>1022</v>
      </c>
      <c r="I260" s="162">
        <v>1</v>
      </c>
      <c r="J260" t="s">
        <v>1855</v>
      </c>
      <c r="K260" t="s">
        <v>3</v>
      </c>
      <c r="L260" s="165">
        <v>30534</v>
      </c>
      <c r="M260" s="166">
        <v>33</v>
      </c>
      <c r="N260" t="s">
        <v>5</v>
      </c>
      <c r="O260" t="s">
        <v>10135</v>
      </c>
      <c r="P260" t="s">
        <v>1101</v>
      </c>
      <c r="Q260" t="s">
        <v>1415</v>
      </c>
      <c r="R260">
        <v>0</v>
      </c>
      <c r="S260" s="162">
        <v>0</v>
      </c>
      <c r="T260" t="s">
        <v>1417</v>
      </c>
      <c r="U260" s="162">
        <v>26.2</v>
      </c>
      <c r="V260" t="s">
        <v>1416</v>
      </c>
      <c r="W260" s="162">
        <v>53</v>
      </c>
      <c r="X260">
        <v>0</v>
      </c>
      <c r="Y260" s="162">
        <v>0</v>
      </c>
      <c r="Z260">
        <v>0</v>
      </c>
      <c r="AA260" s="162">
        <v>0</v>
      </c>
      <c r="AB260">
        <v>0</v>
      </c>
      <c r="AC260" s="162" t="s">
        <v>7</v>
      </c>
      <c r="AD260" s="162" t="s">
        <v>7</v>
      </c>
      <c r="AE260" s="162" t="s">
        <v>7</v>
      </c>
      <c r="AF260" s="162" t="s">
        <v>7</v>
      </c>
      <c r="AG260" s="162" t="s">
        <v>7</v>
      </c>
      <c r="AH260" s="162" t="s">
        <v>7</v>
      </c>
      <c r="AI260" t="s">
        <v>9843</v>
      </c>
      <c r="AJ260" t="s">
        <v>7</v>
      </c>
      <c r="AK260" t="s">
        <v>1132</v>
      </c>
      <c r="AL260" t="s">
        <v>36</v>
      </c>
      <c r="AM260" s="162" t="s">
        <v>10138</v>
      </c>
      <c r="AN260" t="s">
        <v>9843</v>
      </c>
      <c r="AO260" t="s">
        <v>35</v>
      </c>
      <c r="AP260" t="s">
        <v>1199</v>
      </c>
      <c r="AQ260" t="s">
        <v>1418</v>
      </c>
      <c r="AR260" t="s">
        <v>7</v>
      </c>
      <c r="AS260" s="162" t="s">
        <v>7</v>
      </c>
      <c r="AT260" s="117" t="s">
        <v>7</v>
      </c>
      <c r="AU260" s="162" t="s">
        <v>7</v>
      </c>
      <c r="AV260" s="162" t="s">
        <v>7</v>
      </c>
      <c r="AW260" s="162" t="s">
        <v>9851</v>
      </c>
      <c r="AX260" s="162" t="s">
        <v>7</v>
      </c>
      <c r="AY260" s="162" t="s">
        <v>7</v>
      </c>
      <c r="AZ260" t="s">
        <v>7</v>
      </c>
      <c r="BA260" s="162" t="s">
        <v>7</v>
      </c>
      <c r="BB260" s="162" t="s">
        <v>7</v>
      </c>
      <c r="BC260" s="162" t="s">
        <v>7</v>
      </c>
      <c r="BD260" s="162" t="s">
        <v>7</v>
      </c>
      <c r="BE260" s="162" t="s">
        <v>7</v>
      </c>
      <c r="BF260" s="162" t="str">
        <f t="shared" si="8"/>
        <v>Sim</v>
      </c>
      <c r="BG260" s="162" t="str">
        <f t="shared" si="9"/>
        <v>Não</v>
      </c>
      <c r="BH260" s="162" t="s">
        <v>7</v>
      </c>
      <c r="BI260" t="s">
        <v>9872</v>
      </c>
      <c r="BJ260" s="162" t="s">
        <v>10165</v>
      </c>
      <c r="BK260" t="s">
        <v>1100</v>
      </c>
      <c r="BL260" s="162">
        <v>70</v>
      </c>
      <c r="BM260" t="s">
        <v>35</v>
      </c>
      <c r="BN260" t="s">
        <v>35</v>
      </c>
      <c r="BO260" t="s">
        <v>1100</v>
      </c>
      <c r="BP260" s="162">
        <v>70</v>
      </c>
      <c r="BQ260" t="s">
        <v>35</v>
      </c>
      <c r="BR260" t="s">
        <v>1849</v>
      </c>
      <c r="BS260" s="162" t="s">
        <v>10170</v>
      </c>
    </row>
    <row r="261" spans="1:71">
      <c r="A261" s="162">
        <v>260</v>
      </c>
      <c r="B261" t="s">
        <v>290</v>
      </c>
      <c r="C261" s="162">
        <v>1</v>
      </c>
      <c r="D261" s="122">
        <v>43034</v>
      </c>
      <c r="E261" t="s">
        <v>2056</v>
      </c>
      <c r="F261" t="s">
        <v>515</v>
      </c>
      <c r="G261" t="s">
        <v>291</v>
      </c>
      <c r="H261" t="s">
        <v>800</v>
      </c>
      <c r="I261" s="162">
        <v>1</v>
      </c>
      <c r="J261" t="s">
        <v>1855</v>
      </c>
      <c r="K261" t="s">
        <v>3</v>
      </c>
      <c r="L261" s="165">
        <v>34366</v>
      </c>
      <c r="M261" s="166">
        <v>23</v>
      </c>
      <c r="N261" t="s">
        <v>4</v>
      </c>
      <c r="O261" t="s">
        <v>10134</v>
      </c>
      <c r="P261" t="s">
        <v>48</v>
      </c>
      <c r="Q261" t="s">
        <v>2079</v>
      </c>
      <c r="R261" t="s">
        <v>9966</v>
      </c>
      <c r="S261" s="162">
        <v>177.2</v>
      </c>
      <c r="T261" t="s">
        <v>9967</v>
      </c>
      <c r="U261" s="162">
        <v>25.7</v>
      </c>
      <c r="V261" t="s">
        <v>9960</v>
      </c>
      <c r="W261" s="162">
        <v>5.8</v>
      </c>
      <c r="X261">
        <v>0</v>
      </c>
      <c r="Y261" s="162">
        <v>0</v>
      </c>
      <c r="Z261">
        <v>0</v>
      </c>
      <c r="AA261" s="162">
        <v>0</v>
      </c>
      <c r="AB261">
        <v>0</v>
      </c>
      <c r="AC261" s="162" t="s">
        <v>7</v>
      </c>
      <c r="AD261" s="162" t="s">
        <v>7</v>
      </c>
      <c r="AE261" s="162" t="s">
        <v>7</v>
      </c>
      <c r="AF261" s="162" t="s">
        <v>7</v>
      </c>
      <c r="AG261" s="162" t="s">
        <v>7</v>
      </c>
      <c r="AH261" s="162" t="s">
        <v>7</v>
      </c>
      <c r="AI261" t="s">
        <v>9843</v>
      </c>
      <c r="AJ261" t="s">
        <v>7</v>
      </c>
      <c r="AK261" t="s">
        <v>1333</v>
      </c>
      <c r="AL261" t="s">
        <v>36</v>
      </c>
      <c r="AM261" s="162" t="s">
        <v>10138</v>
      </c>
      <c r="AN261" t="s">
        <v>9843</v>
      </c>
      <c r="AO261" t="s">
        <v>35</v>
      </c>
      <c r="AP261" t="s">
        <v>1079</v>
      </c>
      <c r="AQ261" t="s">
        <v>1080</v>
      </c>
      <c r="AR261" t="s">
        <v>1097</v>
      </c>
      <c r="AS261" s="162" t="s">
        <v>9851</v>
      </c>
      <c r="AT261" s="117" t="s">
        <v>1111</v>
      </c>
      <c r="AU261" s="162" t="s">
        <v>9851</v>
      </c>
      <c r="AV261" s="162" t="s">
        <v>7</v>
      </c>
      <c r="AW261" s="162" t="s">
        <v>7</v>
      </c>
      <c r="AX261" s="162" t="s">
        <v>7</v>
      </c>
      <c r="AY261" s="162" t="s">
        <v>9851</v>
      </c>
      <c r="AZ261" t="s">
        <v>7</v>
      </c>
      <c r="BA261" s="162" t="s">
        <v>7</v>
      </c>
      <c r="BB261" s="162" t="s">
        <v>7</v>
      </c>
      <c r="BC261" s="162" t="s">
        <v>7</v>
      </c>
      <c r="BD261" s="162" t="s">
        <v>7</v>
      </c>
      <c r="BE261" s="162" t="s">
        <v>7</v>
      </c>
      <c r="BF261" s="162" t="str">
        <f t="shared" si="8"/>
        <v>Sim</v>
      </c>
      <c r="BG261" s="162" t="str">
        <f t="shared" si="9"/>
        <v>Não</v>
      </c>
      <c r="BH261" s="162" t="s">
        <v>7</v>
      </c>
      <c r="BI261" t="s">
        <v>7</v>
      </c>
      <c r="BJ261" s="162" t="s">
        <v>7</v>
      </c>
      <c r="BK261" t="s">
        <v>1100</v>
      </c>
      <c r="BL261" s="162">
        <v>70</v>
      </c>
      <c r="BM261" t="s">
        <v>35</v>
      </c>
      <c r="BN261" t="s">
        <v>35</v>
      </c>
      <c r="BO261" t="s">
        <v>1100</v>
      </c>
      <c r="BP261" s="162">
        <v>70</v>
      </c>
      <c r="BQ261" t="s">
        <v>35</v>
      </c>
      <c r="BR261" t="s">
        <v>1849</v>
      </c>
      <c r="BS261" s="162" t="s">
        <v>10170</v>
      </c>
    </row>
    <row r="262" spans="1:71">
      <c r="A262" s="162">
        <v>261</v>
      </c>
      <c r="B262" t="s">
        <v>205</v>
      </c>
      <c r="C262" s="162">
        <v>1</v>
      </c>
      <c r="D262" s="122" t="s">
        <v>662</v>
      </c>
      <c r="E262" t="s">
        <v>656</v>
      </c>
      <c r="F262" t="s">
        <v>515</v>
      </c>
      <c r="G262" t="s">
        <v>214</v>
      </c>
      <c r="H262" t="s">
        <v>663</v>
      </c>
      <c r="I262" s="162">
        <v>1</v>
      </c>
      <c r="J262" t="s">
        <v>1855</v>
      </c>
      <c r="K262" t="s">
        <v>3</v>
      </c>
      <c r="L262" s="165">
        <v>32580</v>
      </c>
      <c r="M262" s="166">
        <v>27</v>
      </c>
      <c r="N262" t="s">
        <v>4</v>
      </c>
      <c r="O262" t="s">
        <v>10134</v>
      </c>
      <c r="P262" t="s">
        <v>48</v>
      </c>
      <c r="Q262" t="s">
        <v>1718</v>
      </c>
      <c r="R262">
        <v>0</v>
      </c>
      <c r="S262" s="162">
        <v>0</v>
      </c>
      <c r="T262" t="s">
        <v>1719</v>
      </c>
      <c r="U262" s="162">
        <v>20.3</v>
      </c>
      <c r="V262" t="s">
        <v>1720</v>
      </c>
      <c r="W262" s="162">
        <v>34.9</v>
      </c>
      <c r="X262">
        <v>0</v>
      </c>
      <c r="Y262" s="162">
        <v>0</v>
      </c>
      <c r="Z262">
        <v>0</v>
      </c>
      <c r="AA262" s="162">
        <v>0</v>
      </c>
      <c r="AB262">
        <v>0</v>
      </c>
      <c r="AC262" s="162" t="s">
        <v>7</v>
      </c>
      <c r="AD262" s="162" t="s">
        <v>7</v>
      </c>
      <c r="AE262" s="162" t="s">
        <v>7</v>
      </c>
      <c r="AF262" s="162" t="s">
        <v>7</v>
      </c>
      <c r="AG262" s="162" t="s">
        <v>7</v>
      </c>
      <c r="AH262" s="162" t="s">
        <v>7</v>
      </c>
      <c r="AI262" t="s">
        <v>9843</v>
      </c>
      <c r="AJ262" t="s">
        <v>7</v>
      </c>
      <c r="AK262" t="s">
        <v>1132</v>
      </c>
      <c r="AL262" t="s">
        <v>36</v>
      </c>
      <c r="AM262" s="162" t="s">
        <v>10138</v>
      </c>
      <c r="AN262" t="s">
        <v>9843</v>
      </c>
      <c r="AO262" t="s">
        <v>35</v>
      </c>
      <c r="AP262" t="s">
        <v>7</v>
      </c>
      <c r="AQ262" t="s">
        <v>9</v>
      </c>
      <c r="AR262" t="s">
        <v>1097</v>
      </c>
      <c r="AS262" s="162" t="s">
        <v>9851</v>
      </c>
      <c r="AT262" s="117" t="s">
        <v>7</v>
      </c>
      <c r="AU262" s="162" t="s">
        <v>7</v>
      </c>
      <c r="AV262" s="162" t="s">
        <v>7</v>
      </c>
      <c r="AW262" s="162" t="s">
        <v>9851</v>
      </c>
      <c r="AX262" s="162" t="s">
        <v>7</v>
      </c>
      <c r="AY262" s="162" t="s">
        <v>7</v>
      </c>
      <c r="AZ262" t="s">
        <v>7</v>
      </c>
      <c r="BA262" s="162" t="s">
        <v>7</v>
      </c>
      <c r="BB262" s="162" t="s">
        <v>7</v>
      </c>
      <c r="BC262" s="162" t="s">
        <v>7</v>
      </c>
      <c r="BD262" s="162" t="s">
        <v>7</v>
      </c>
      <c r="BE262" s="162" t="s">
        <v>7</v>
      </c>
      <c r="BF262" s="162" t="str">
        <f t="shared" si="8"/>
        <v>Sim</v>
      </c>
      <c r="BG262" s="162" t="str">
        <f t="shared" si="9"/>
        <v>Não</v>
      </c>
      <c r="BH262" s="162" t="s">
        <v>7</v>
      </c>
      <c r="BI262" t="s">
        <v>9872</v>
      </c>
      <c r="BJ262" s="162" t="s">
        <v>10165</v>
      </c>
      <c r="BK262" t="s">
        <v>1100</v>
      </c>
      <c r="BL262" s="162">
        <v>70</v>
      </c>
      <c r="BM262" t="s">
        <v>35</v>
      </c>
      <c r="BN262" t="s">
        <v>35</v>
      </c>
      <c r="BO262" t="s">
        <v>1100</v>
      </c>
      <c r="BP262" s="162">
        <v>70</v>
      </c>
      <c r="BQ262" t="s">
        <v>35</v>
      </c>
      <c r="BR262" t="s">
        <v>1849</v>
      </c>
      <c r="BS262" s="162" t="s">
        <v>10170</v>
      </c>
    </row>
    <row r="263" spans="1:71">
      <c r="A263" s="162">
        <v>262</v>
      </c>
      <c r="B263" t="s">
        <v>365</v>
      </c>
      <c r="C263" s="162">
        <v>0</v>
      </c>
      <c r="D263" s="122" t="s">
        <v>505</v>
      </c>
      <c r="E263" t="s">
        <v>873</v>
      </c>
      <c r="F263" t="s">
        <v>515</v>
      </c>
      <c r="G263" t="s">
        <v>378</v>
      </c>
      <c r="H263" t="s">
        <v>875</v>
      </c>
      <c r="I263" s="162">
        <v>1</v>
      </c>
      <c r="J263" t="s">
        <v>1855</v>
      </c>
      <c r="K263" t="s">
        <v>3</v>
      </c>
      <c r="L263" s="165">
        <v>30426</v>
      </c>
      <c r="M263" s="166">
        <v>34</v>
      </c>
      <c r="N263" t="s">
        <v>5</v>
      </c>
      <c r="O263" t="s">
        <v>10135</v>
      </c>
      <c r="P263" t="s">
        <v>1101</v>
      </c>
      <c r="Q263" t="s">
        <v>1186</v>
      </c>
      <c r="R263" t="s">
        <v>1781</v>
      </c>
      <c r="S263" s="162">
        <v>21.4</v>
      </c>
      <c r="T263" t="s">
        <v>1779</v>
      </c>
      <c r="U263" s="162">
        <v>1.5</v>
      </c>
      <c r="V263" t="s">
        <v>1780</v>
      </c>
      <c r="W263" s="162">
        <v>5.0999999999999996</v>
      </c>
      <c r="X263">
        <v>0</v>
      </c>
      <c r="Y263" s="162">
        <v>0</v>
      </c>
      <c r="Z263">
        <v>0</v>
      </c>
      <c r="AA263" s="162">
        <v>0</v>
      </c>
      <c r="AB263">
        <v>0</v>
      </c>
      <c r="AC263" s="162" t="s">
        <v>7</v>
      </c>
      <c r="AD263" s="162" t="s">
        <v>7</v>
      </c>
      <c r="AE263" s="162" t="s">
        <v>7</v>
      </c>
      <c r="AF263" s="162" t="s">
        <v>7</v>
      </c>
      <c r="AG263" s="162" t="s">
        <v>7</v>
      </c>
      <c r="AH263" s="162" t="s">
        <v>7</v>
      </c>
      <c r="AI263" t="s">
        <v>9846</v>
      </c>
      <c r="AJ263" t="s">
        <v>7</v>
      </c>
      <c r="AK263" t="s">
        <v>1784</v>
      </c>
      <c r="AL263" t="s">
        <v>78</v>
      </c>
      <c r="AM263" s="162" t="s">
        <v>10138</v>
      </c>
      <c r="AN263" t="s">
        <v>9843</v>
      </c>
      <c r="AO263" t="s">
        <v>35</v>
      </c>
      <c r="AP263" t="s">
        <v>7</v>
      </c>
      <c r="AQ263" t="s">
        <v>9</v>
      </c>
      <c r="AR263" t="s">
        <v>1097</v>
      </c>
      <c r="AS263" s="162" t="s">
        <v>9851</v>
      </c>
      <c r="AT263" s="117" t="s">
        <v>7</v>
      </c>
      <c r="AU263" s="162" t="s">
        <v>7</v>
      </c>
      <c r="AV263" s="162" t="s">
        <v>7</v>
      </c>
      <c r="AW263" s="162" t="s">
        <v>9851</v>
      </c>
      <c r="AX263" s="162" t="s">
        <v>7</v>
      </c>
      <c r="AY263" s="162" t="s">
        <v>7</v>
      </c>
      <c r="AZ263" t="s">
        <v>7</v>
      </c>
      <c r="BA263" s="162" t="s">
        <v>7</v>
      </c>
      <c r="BB263" s="162" t="s">
        <v>7</v>
      </c>
      <c r="BC263" s="162" t="s">
        <v>7</v>
      </c>
      <c r="BD263" s="162" t="s">
        <v>7</v>
      </c>
      <c r="BE263" s="162" t="s">
        <v>7</v>
      </c>
      <c r="BF263" s="162" t="str">
        <f t="shared" si="8"/>
        <v>Sim</v>
      </c>
      <c r="BG263" s="162" t="str">
        <f t="shared" si="9"/>
        <v>Não</v>
      </c>
      <c r="BH263" s="162" t="s">
        <v>7</v>
      </c>
      <c r="BI263" t="s">
        <v>9872</v>
      </c>
      <c r="BJ263" s="162" t="s">
        <v>10165</v>
      </c>
      <c r="BK263" t="s">
        <v>1100</v>
      </c>
      <c r="BL263" s="162">
        <v>70</v>
      </c>
      <c r="BM263" t="s">
        <v>35</v>
      </c>
      <c r="BN263" t="s">
        <v>35</v>
      </c>
      <c r="BO263" t="s">
        <v>1100</v>
      </c>
      <c r="BP263" s="162">
        <v>70</v>
      </c>
      <c r="BQ263" t="s">
        <v>35</v>
      </c>
      <c r="BR263" t="s">
        <v>1849</v>
      </c>
      <c r="BS263" s="162" t="s">
        <v>10170</v>
      </c>
    </row>
    <row r="264" spans="1:71">
      <c r="A264" s="162">
        <v>263</v>
      </c>
      <c r="B264" t="s">
        <v>1586</v>
      </c>
      <c r="C264" s="162">
        <v>1</v>
      </c>
      <c r="D264" s="122" t="s">
        <v>1587</v>
      </c>
      <c r="E264" t="s">
        <v>876</v>
      </c>
      <c r="F264" t="s">
        <v>515</v>
      </c>
      <c r="G264" t="s">
        <v>378</v>
      </c>
      <c r="H264" t="s">
        <v>1775</v>
      </c>
      <c r="I264" s="162">
        <v>1</v>
      </c>
      <c r="J264" t="s">
        <v>1855</v>
      </c>
      <c r="K264" t="s">
        <v>3</v>
      </c>
      <c r="L264" s="165">
        <v>29755</v>
      </c>
      <c r="M264" s="166">
        <v>36</v>
      </c>
      <c r="N264" t="s">
        <v>5</v>
      </c>
      <c r="O264" t="s">
        <v>10135</v>
      </c>
      <c r="P264" t="s">
        <v>1074</v>
      </c>
      <c r="Q264" t="s">
        <v>1808</v>
      </c>
      <c r="R264" t="s">
        <v>10014</v>
      </c>
      <c r="S264" s="162">
        <v>103.7</v>
      </c>
      <c r="T264" t="s">
        <v>10015</v>
      </c>
      <c r="U264" s="162">
        <v>22.2</v>
      </c>
      <c r="V264" t="s">
        <v>10016</v>
      </c>
      <c r="W264" s="162">
        <v>8.6999999999999993</v>
      </c>
      <c r="X264">
        <v>0</v>
      </c>
      <c r="Y264" s="162">
        <v>0</v>
      </c>
      <c r="Z264">
        <v>0</v>
      </c>
      <c r="AA264" s="162">
        <v>0</v>
      </c>
      <c r="AB264">
        <v>0</v>
      </c>
      <c r="AC264" s="162" t="s">
        <v>7</v>
      </c>
      <c r="AD264" s="162" t="s">
        <v>7</v>
      </c>
      <c r="AE264" s="162" t="s">
        <v>7</v>
      </c>
      <c r="AF264" s="162" t="s">
        <v>7</v>
      </c>
      <c r="AG264" s="162" t="s">
        <v>7</v>
      </c>
      <c r="AH264" s="162" t="s">
        <v>7</v>
      </c>
      <c r="AI264" t="s">
        <v>9843</v>
      </c>
      <c r="AJ264" t="s">
        <v>7</v>
      </c>
      <c r="AK264" t="s">
        <v>1809</v>
      </c>
      <c r="AL264" t="s">
        <v>36</v>
      </c>
      <c r="AM264" s="162" t="s">
        <v>10138</v>
      </c>
      <c r="AN264" t="s">
        <v>9843</v>
      </c>
      <c r="AO264" t="s">
        <v>35</v>
      </c>
      <c r="AP264" t="s">
        <v>7</v>
      </c>
      <c r="AQ264" t="s">
        <v>9</v>
      </c>
      <c r="AR264" t="s">
        <v>1097</v>
      </c>
      <c r="AS264" s="162" t="s">
        <v>9851</v>
      </c>
      <c r="AT264" s="117" t="s">
        <v>7</v>
      </c>
      <c r="AU264" s="162" t="s">
        <v>7</v>
      </c>
      <c r="AV264" s="162" t="s">
        <v>7</v>
      </c>
      <c r="AW264" s="162" t="s">
        <v>9851</v>
      </c>
      <c r="AX264" s="162" t="s">
        <v>7</v>
      </c>
      <c r="AY264" s="162" t="s">
        <v>7</v>
      </c>
      <c r="AZ264" t="s">
        <v>7</v>
      </c>
      <c r="BA264" s="162" t="s">
        <v>7</v>
      </c>
      <c r="BB264" s="162" t="s">
        <v>7</v>
      </c>
      <c r="BC264" s="162" t="s">
        <v>7</v>
      </c>
      <c r="BD264" s="162" t="s">
        <v>7</v>
      </c>
      <c r="BE264" s="162" t="s">
        <v>7</v>
      </c>
      <c r="BF264" s="162" t="str">
        <f t="shared" si="8"/>
        <v>Sim</v>
      </c>
      <c r="BG264" s="162" t="str">
        <f t="shared" si="9"/>
        <v>Não</v>
      </c>
      <c r="BH264" s="162" t="s">
        <v>7</v>
      </c>
      <c r="BI264" t="s">
        <v>9872</v>
      </c>
      <c r="BJ264" s="162" t="s">
        <v>10165</v>
      </c>
      <c r="BK264" t="s">
        <v>1100</v>
      </c>
      <c r="BL264" s="162">
        <v>70</v>
      </c>
      <c r="BM264" t="s">
        <v>35</v>
      </c>
      <c r="BN264" t="s">
        <v>35</v>
      </c>
      <c r="BO264" t="s">
        <v>1100</v>
      </c>
      <c r="BP264" s="162">
        <v>70</v>
      </c>
      <c r="BQ264" t="s">
        <v>35</v>
      </c>
      <c r="BR264" t="s">
        <v>1849</v>
      </c>
      <c r="BS264" s="162" t="s">
        <v>10170</v>
      </c>
    </row>
    <row r="265" spans="1:71">
      <c r="A265" s="162">
        <v>264</v>
      </c>
      <c r="B265" t="s">
        <v>267</v>
      </c>
      <c r="C265" s="162">
        <v>1</v>
      </c>
      <c r="D265" s="122" t="s">
        <v>752</v>
      </c>
      <c r="E265" t="s">
        <v>746</v>
      </c>
      <c r="F265" t="s">
        <v>3</v>
      </c>
      <c r="G265" t="s">
        <v>277</v>
      </c>
      <c r="H265" t="s">
        <v>753</v>
      </c>
      <c r="I265" s="162">
        <v>1</v>
      </c>
      <c r="J265" t="s">
        <v>1855</v>
      </c>
      <c r="K265" t="s">
        <v>3</v>
      </c>
      <c r="L265" s="165">
        <v>33719</v>
      </c>
      <c r="M265" s="166">
        <v>25</v>
      </c>
      <c r="N265" t="s">
        <v>1093</v>
      </c>
      <c r="O265" t="s">
        <v>10135</v>
      </c>
      <c r="P265" t="s">
        <v>1101</v>
      </c>
      <c r="Q265" t="s">
        <v>1385</v>
      </c>
      <c r="R265">
        <v>0</v>
      </c>
      <c r="S265" s="162">
        <v>0</v>
      </c>
      <c r="T265">
        <v>0</v>
      </c>
      <c r="U265" s="162">
        <v>0</v>
      </c>
      <c r="V265" t="s">
        <v>1386</v>
      </c>
      <c r="W265" s="162">
        <v>7.8</v>
      </c>
      <c r="X265">
        <v>0</v>
      </c>
      <c r="Y265" s="162">
        <v>0</v>
      </c>
      <c r="Z265">
        <v>0</v>
      </c>
      <c r="AA265" s="162">
        <v>0</v>
      </c>
      <c r="AB265">
        <v>0</v>
      </c>
      <c r="AC265" s="162" t="s">
        <v>7</v>
      </c>
      <c r="AD265" s="162" t="s">
        <v>7</v>
      </c>
      <c r="AE265" s="162" t="s">
        <v>7</v>
      </c>
      <c r="AF265" s="162" t="s">
        <v>7</v>
      </c>
      <c r="AG265" s="162" t="s">
        <v>7</v>
      </c>
      <c r="AH265" s="162" t="s">
        <v>7</v>
      </c>
      <c r="AI265" t="s">
        <v>9843</v>
      </c>
      <c r="AJ265" t="s">
        <v>7</v>
      </c>
      <c r="AK265" t="s">
        <v>1387</v>
      </c>
      <c r="AL265" t="s">
        <v>36</v>
      </c>
      <c r="AM265" s="162" t="s">
        <v>10138</v>
      </c>
      <c r="AN265" t="s">
        <v>9843</v>
      </c>
      <c r="AO265" t="s">
        <v>35</v>
      </c>
      <c r="AP265" t="s">
        <v>7</v>
      </c>
      <c r="AQ265" t="s">
        <v>9</v>
      </c>
      <c r="AR265" t="s">
        <v>1097</v>
      </c>
      <c r="AS265" s="162" t="s">
        <v>9851</v>
      </c>
      <c r="AT265" s="117" t="s">
        <v>7</v>
      </c>
      <c r="AU265" s="162" t="s">
        <v>7</v>
      </c>
      <c r="AV265" s="162" t="s">
        <v>7</v>
      </c>
      <c r="AW265" s="162" t="s">
        <v>9851</v>
      </c>
      <c r="AX265" s="162" t="s">
        <v>7</v>
      </c>
      <c r="AY265" s="162" t="s">
        <v>7</v>
      </c>
      <c r="AZ265" t="s">
        <v>7</v>
      </c>
      <c r="BA265" s="162" t="s">
        <v>7</v>
      </c>
      <c r="BB265" s="162" t="s">
        <v>7</v>
      </c>
      <c r="BC265" s="162" t="s">
        <v>7</v>
      </c>
      <c r="BD265" s="162" t="s">
        <v>7</v>
      </c>
      <c r="BE265" s="162" t="s">
        <v>7</v>
      </c>
      <c r="BF265" s="162" t="str">
        <f t="shared" si="8"/>
        <v>Sim</v>
      </c>
      <c r="BG265" s="162" t="str">
        <f t="shared" si="9"/>
        <v>Não</v>
      </c>
      <c r="BH265" s="162" t="s">
        <v>7</v>
      </c>
      <c r="BI265" t="s">
        <v>9872</v>
      </c>
      <c r="BJ265" s="162" t="s">
        <v>10165</v>
      </c>
      <c r="BK265" t="s">
        <v>1100</v>
      </c>
      <c r="BL265" s="162">
        <v>70</v>
      </c>
      <c r="BM265" t="s">
        <v>35</v>
      </c>
      <c r="BN265" t="s">
        <v>35</v>
      </c>
      <c r="BO265" t="s">
        <v>1100</v>
      </c>
      <c r="BP265" s="162">
        <v>70</v>
      </c>
      <c r="BQ265" t="s">
        <v>35</v>
      </c>
      <c r="BR265" t="s">
        <v>1849</v>
      </c>
      <c r="BS265" s="162" t="s">
        <v>10170</v>
      </c>
    </row>
    <row r="266" spans="1:71">
      <c r="A266" s="162">
        <v>265</v>
      </c>
      <c r="B266" t="s">
        <v>395</v>
      </c>
      <c r="C266" s="162">
        <v>1</v>
      </c>
      <c r="D266" s="122" t="s">
        <v>797</v>
      </c>
      <c r="E266" t="s">
        <v>791</v>
      </c>
      <c r="F266" t="s">
        <v>515</v>
      </c>
      <c r="G266" t="s">
        <v>411</v>
      </c>
      <c r="H266" t="s">
        <v>924</v>
      </c>
      <c r="I266" s="162">
        <v>1</v>
      </c>
      <c r="J266" t="s">
        <v>1855</v>
      </c>
      <c r="K266" t="s">
        <v>3</v>
      </c>
      <c r="L266" s="165">
        <v>33287</v>
      </c>
      <c r="M266" s="166">
        <v>26</v>
      </c>
      <c r="N266" t="s">
        <v>5</v>
      </c>
      <c r="O266" t="s">
        <v>10135</v>
      </c>
      <c r="P266" t="s">
        <v>48</v>
      </c>
      <c r="Q266" t="s">
        <v>1135</v>
      </c>
      <c r="R266" t="s">
        <v>1140</v>
      </c>
      <c r="S266" s="162">
        <v>40.299999999999997</v>
      </c>
      <c r="T266" t="s">
        <v>1139</v>
      </c>
      <c r="U266" s="167">
        <v>5.0999999999999996</v>
      </c>
      <c r="V266" t="s">
        <v>1138</v>
      </c>
      <c r="W266" s="167">
        <v>0.6</v>
      </c>
      <c r="X266">
        <v>0</v>
      </c>
      <c r="Y266" s="162">
        <v>0</v>
      </c>
      <c r="Z266">
        <v>0</v>
      </c>
      <c r="AA266" s="162">
        <v>0</v>
      </c>
      <c r="AB266">
        <v>0</v>
      </c>
      <c r="AC266" s="162" t="s">
        <v>7</v>
      </c>
      <c r="AD266" s="162" t="s">
        <v>7</v>
      </c>
      <c r="AE266" s="162" t="s">
        <v>7</v>
      </c>
      <c r="AF266" s="162" t="s">
        <v>7</v>
      </c>
      <c r="AG266" s="162" t="s">
        <v>7</v>
      </c>
      <c r="AH266" s="162" t="s">
        <v>7</v>
      </c>
      <c r="AI266" t="s">
        <v>9846</v>
      </c>
      <c r="AJ266" t="s">
        <v>7</v>
      </c>
      <c r="AK266" t="s">
        <v>9833</v>
      </c>
      <c r="AL266" t="s">
        <v>78</v>
      </c>
      <c r="AM266" s="162" t="s">
        <v>10138</v>
      </c>
      <c r="AN266" t="s">
        <v>9843</v>
      </c>
      <c r="AO266" t="s">
        <v>35</v>
      </c>
      <c r="AP266" t="s">
        <v>7</v>
      </c>
      <c r="AQ266" t="s">
        <v>9</v>
      </c>
      <c r="AR266" t="s">
        <v>1097</v>
      </c>
      <c r="AS266" s="162" t="s">
        <v>9851</v>
      </c>
      <c r="AT266" s="117" t="s">
        <v>7</v>
      </c>
      <c r="AU266" s="162" t="s">
        <v>7</v>
      </c>
      <c r="AV266" s="162" t="s">
        <v>7</v>
      </c>
      <c r="AW266" s="162" t="s">
        <v>9851</v>
      </c>
      <c r="AX266" s="162" t="s">
        <v>7</v>
      </c>
      <c r="AY266" s="162" t="s">
        <v>7</v>
      </c>
      <c r="AZ266" t="s">
        <v>7</v>
      </c>
      <c r="BA266" s="162" t="s">
        <v>7</v>
      </c>
      <c r="BB266" s="162" t="s">
        <v>7</v>
      </c>
      <c r="BC266" s="162" t="s">
        <v>7</v>
      </c>
      <c r="BD266" s="162" t="s">
        <v>7</v>
      </c>
      <c r="BE266" s="162" t="s">
        <v>7</v>
      </c>
      <c r="BF266" s="162" t="str">
        <f t="shared" si="8"/>
        <v>Sim</v>
      </c>
      <c r="BG266" s="162" t="str">
        <f t="shared" si="9"/>
        <v>Não</v>
      </c>
      <c r="BH266" s="162" t="s">
        <v>7</v>
      </c>
      <c r="BI266" t="s">
        <v>9872</v>
      </c>
      <c r="BJ266" s="162" t="s">
        <v>10165</v>
      </c>
      <c r="BK266" t="s">
        <v>1100</v>
      </c>
      <c r="BL266" s="162">
        <v>70</v>
      </c>
      <c r="BM266" t="s">
        <v>35</v>
      </c>
      <c r="BN266" t="s">
        <v>35</v>
      </c>
      <c r="BO266" t="s">
        <v>1100</v>
      </c>
      <c r="BP266" s="162">
        <v>70</v>
      </c>
      <c r="BQ266" t="s">
        <v>35</v>
      </c>
      <c r="BR266" t="s">
        <v>1849</v>
      </c>
      <c r="BS266" s="162" t="s">
        <v>10170</v>
      </c>
    </row>
    <row r="267" spans="1:71">
      <c r="A267" s="162">
        <v>266</v>
      </c>
      <c r="B267" t="s">
        <v>420</v>
      </c>
      <c r="C267" s="162">
        <v>1</v>
      </c>
      <c r="D267" s="122" t="s">
        <v>46</v>
      </c>
      <c r="E267" t="s">
        <v>984</v>
      </c>
      <c r="F267" t="s">
        <v>515</v>
      </c>
      <c r="G267" t="s">
        <v>426</v>
      </c>
      <c r="H267" t="s">
        <v>985</v>
      </c>
      <c r="I267" s="162">
        <v>1</v>
      </c>
      <c r="J267" t="s">
        <v>1864</v>
      </c>
      <c r="K267" t="s">
        <v>3</v>
      </c>
      <c r="L267" s="165">
        <v>33514</v>
      </c>
      <c r="M267" s="166">
        <v>25</v>
      </c>
      <c r="N267" t="s">
        <v>5</v>
      </c>
      <c r="O267" t="s">
        <v>10135</v>
      </c>
      <c r="P267" t="s">
        <v>48</v>
      </c>
      <c r="Q267" t="s">
        <v>1562</v>
      </c>
      <c r="R267" t="s">
        <v>10030</v>
      </c>
      <c r="S267" s="162">
        <v>47.4</v>
      </c>
      <c r="T267">
        <v>0</v>
      </c>
      <c r="U267" s="162">
        <v>0</v>
      </c>
      <c r="V267" t="s">
        <v>10031</v>
      </c>
      <c r="W267" s="162">
        <v>5.6</v>
      </c>
      <c r="X267">
        <v>0</v>
      </c>
      <c r="Y267" s="162">
        <v>0</v>
      </c>
      <c r="Z267">
        <v>0</v>
      </c>
      <c r="AA267" s="162">
        <v>0</v>
      </c>
      <c r="AB267">
        <v>0</v>
      </c>
      <c r="AC267" s="162" t="s">
        <v>7</v>
      </c>
      <c r="AD267" s="162" t="s">
        <v>7</v>
      </c>
      <c r="AE267" s="162" t="s">
        <v>7</v>
      </c>
      <c r="AF267" s="162" t="s">
        <v>7</v>
      </c>
      <c r="AG267" s="162" t="s">
        <v>7</v>
      </c>
      <c r="AH267" s="162" t="s">
        <v>7</v>
      </c>
      <c r="AI267" t="s">
        <v>9843</v>
      </c>
      <c r="AJ267" t="s">
        <v>7</v>
      </c>
      <c r="AK267" t="s">
        <v>1563</v>
      </c>
      <c r="AL267" t="s">
        <v>36</v>
      </c>
      <c r="AM267" s="162" t="s">
        <v>10138</v>
      </c>
      <c r="AN267" t="s">
        <v>9843</v>
      </c>
      <c r="AO267" t="s">
        <v>35</v>
      </c>
      <c r="AP267" t="s">
        <v>7</v>
      </c>
      <c r="AQ267" t="s">
        <v>9</v>
      </c>
      <c r="AR267" t="s">
        <v>1097</v>
      </c>
      <c r="AS267" s="162" t="s">
        <v>9851</v>
      </c>
      <c r="AT267" s="117" t="s">
        <v>7</v>
      </c>
      <c r="AU267" s="162" t="s">
        <v>7</v>
      </c>
      <c r="AV267" s="162" t="s">
        <v>7</v>
      </c>
      <c r="AW267" s="162" t="s">
        <v>9851</v>
      </c>
      <c r="AX267" s="162" t="s">
        <v>7</v>
      </c>
      <c r="AY267" s="162" t="s">
        <v>7</v>
      </c>
      <c r="AZ267" t="s">
        <v>7</v>
      </c>
      <c r="BA267" s="162" t="s">
        <v>7</v>
      </c>
      <c r="BB267" s="162" t="s">
        <v>7</v>
      </c>
      <c r="BC267" s="162" t="s">
        <v>7</v>
      </c>
      <c r="BD267" s="162" t="s">
        <v>7</v>
      </c>
      <c r="BE267" s="162" t="s">
        <v>7</v>
      </c>
      <c r="BF267" s="162" t="str">
        <f t="shared" si="8"/>
        <v>Sim</v>
      </c>
      <c r="BG267" s="162" t="str">
        <f t="shared" si="9"/>
        <v>Não</v>
      </c>
      <c r="BH267" s="162" t="s">
        <v>7</v>
      </c>
      <c r="BI267" t="s">
        <v>9872</v>
      </c>
      <c r="BJ267" s="162" t="s">
        <v>10165</v>
      </c>
      <c r="BK267" t="s">
        <v>1100</v>
      </c>
      <c r="BL267" s="162">
        <v>70</v>
      </c>
      <c r="BM267" t="s">
        <v>35</v>
      </c>
      <c r="BN267" t="s">
        <v>35</v>
      </c>
      <c r="BO267" t="s">
        <v>1100</v>
      </c>
      <c r="BP267" s="162">
        <v>70</v>
      </c>
      <c r="BQ267" t="s">
        <v>35</v>
      </c>
      <c r="BR267" t="s">
        <v>1849</v>
      </c>
      <c r="BS267" s="162" t="s">
        <v>10170</v>
      </c>
    </row>
    <row r="268" spans="1:71">
      <c r="A268" s="162">
        <v>267</v>
      </c>
      <c r="B268" t="s">
        <v>308</v>
      </c>
      <c r="C268" s="162">
        <v>1</v>
      </c>
      <c r="D268" s="122">
        <v>42892</v>
      </c>
      <c r="E268" t="s">
        <v>823</v>
      </c>
      <c r="F268" t="s">
        <v>515</v>
      </c>
      <c r="G268" t="s">
        <v>316</v>
      </c>
      <c r="H268" t="s">
        <v>828</v>
      </c>
      <c r="I268" s="162">
        <v>1</v>
      </c>
      <c r="J268" t="s">
        <v>1855</v>
      </c>
      <c r="K268" t="s">
        <v>3</v>
      </c>
      <c r="L268" s="165">
        <v>34774</v>
      </c>
      <c r="M268" s="166">
        <v>22</v>
      </c>
      <c r="N268" t="s">
        <v>4</v>
      </c>
      <c r="O268" t="s">
        <v>10134</v>
      </c>
      <c r="P268" t="s">
        <v>1074</v>
      </c>
      <c r="Q268" t="s">
        <v>2030</v>
      </c>
      <c r="R268" t="s">
        <v>2036</v>
      </c>
      <c r="S268" s="162">
        <v>996.7</v>
      </c>
      <c r="T268" t="s">
        <v>2042</v>
      </c>
      <c r="U268" s="162">
        <v>143.5</v>
      </c>
      <c r="V268" t="s">
        <v>2050</v>
      </c>
      <c r="W268" s="162">
        <v>56.1</v>
      </c>
      <c r="X268">
        <v>0</v>
      </c>
      <c r="Y268" s="162">
        <v>0</v>
      </c>
      <c r="Z268">
        <v>0</v>
      </c>
      <c r="AA268" s="162">
        <v>0</v>
      </c>
      <c r="AB268">
        <v>0</v>
      </c>
      <c r="AC268" s="162" t="s">
        <v>7</v>
      </c>
      <c r="AD268" s="162" t="s">
        <v>7</v>
      </c>
      <c r="AE268" s="162" t="s">
        <v>7</v>
      </c>
      <c r="AF268" s="162" t="s">
        <v>7</v>
      </c>
      <c r="AG268" s="162" t="s">
        <v>7</v>
      </c>
      <c r="AH268" s="162" t="s">
        <v>7</v>
      </c>
      <c r="AI268" t="s">
        <v>9846</v>
      </c>
      <c r="AJ268" t="s">
        <v>7</v>
      </c>
      <c r="AK268" t="s">
        <v>1809</v>
      </c>
      <c r="AL268" t="s">
        <v>36</v>
      </c>
      <c r="AM268" s="162" t="s">
        <v>10138</v>
      </c>
      <c r="AN268" t="s">
        <v>9846</v>
      </c>
      <c r="AO268" t="s">
        <v>35</v>
      </c>
      <c r="AP268" t="s">
        <v>1643</v>
      </c>
      <c r="AQ268" t="s">
        <v>1100</v>
      </c>
      <c r="AR268" t="s">
        <v>7</v>
      </c>
      <c r="AS268" s="162" t="s">
        <v>7</v>
      </c>
      <c r="AT268" s="117" t="s">
        <v>7</v>
      </c>
      <c r="AU268" s="162" t="s">
        <v>7</v>
      </c>
      <c r="AV268" s="162" t="s">
        <v>7</v>
      </c>
      <c r="AW268" s="162" t="s">
        <v>9851</v>
      </c>
      <c r="AX268" s="162" t="s">
        <v>7</v>
      </c>
      <c r="AY268" s="162" t="s">
        <v>7</v>
      </c>
      <c r="AZ268" t="s">
        <v>7</v>
      </c>
      <c r="BA268" s="162" t="s">
        <v>7</v>
      </c>
      <c r="BB268" s="162" t="s">
        <v>7</v>
      </c>
      <c r="BC268" s="162" t="s">
        <v>7</v>
      </c>
      <c r="BD268" s="162" t="s">
        <v>7</v>
      </c>
      <c r="BE268" s="162" t="s">
        <v>7</v>
      </c>
      <c r="BF268" s="162" t="str">
        <f t="shared" si="8"/>
        <v>Sim</v>
      </c>
      <c r="BG268" s="162" t="str">
        <f t="shared" si="9"/>
        <v>Não</v>
      </c>
      <c r="BH268" s="162" t="s">
        <v>7</v>
      </c>
      <c r="BI268" t="s">
        <v>7</v>
      </c>
      <c r="BJ268" s="162" t="s">
        <v>7</v>
      </c>
      <c r="BK268" t="s">
        <v>1100</v>
      </c>
      <c r="BL268" s="162">
        <v>70</v>
      </c>
      <c r="BM268" t="s">
        <v>1782</v>
      </c>
      <c r="BN268" t="s">
        <v>35</v>
      </c>
      <c r="BO268" t="s">
        <v>1330</v>
      </c>
      <c r="BP268" s="162">
        <v>112</v>
      </c>
      <c r="BQ268" t="s">
        <v>35</v>
      </c>
      <c r="BR268" t="s">
        <v>1849</v>
      </c>
      <c r="BS268" s="162" t="s">
        <v>10253</v>
      </c>
    </row>
    <row r="269" spans="1:71">
      <c r="A269" s="162">
        <v>268</v>
      </c>
      <c r="B269" t="s">
        <v>306</v>
      </c>
      <c r="C269" s="162">
        <v>1</v>
      </c>
      <c r="D269" s="122">
        <v>42947</v>
      </c>
      <c r="E269" t="s">
        <v>825</v>
      </c>
      <c r="F269" t="s">
        <v>3</v>
      </c>
      <c r="G269" t="s">
        <v>316</v>
      </c>
      <c r="H269" t="s">
        <v>826</v>
      </c>
      <c r="I269" s="162">
        <v>1</v>
      </c>
      <c r="J269" t="s">
        <v>1855</v>
      </c>
      <c r="K269" t="s">
        <v>3</v>
      </c>
      <c r="L269" s="165">
        <v>33749</v>
      </c>
      <c r="M269" s="166">
        <v>25</v>
      </c>
      <c r="N269" t="s">
        <v>5</v>
      </c>
      <c r="O269" t="s">
        <v>10135</v>
      </c>
      <c r="P269" t="s">
        <v>1074</v>
      </c>
      <c r="Q269" t="s">
        <v>1220</v>
      </c>
      <c r="R269" t="s">
        <v>2034</v>
      </c>
      <c r="S269" s="162">
        <v>14.7</v>
      </c>
      <c r="T269" t="s">
        <v>2041</v>
      </c>
      <c r="U269" s="162">
        <v>6.2</v>
      </c>
      <c r="V269" t="s">
        <v>2049</v>
      </c>
      <c r="W269" s="162">
        <v>14.5</v>
      </c>
      <c r="X269">
        <v>0</v>
      </c>
      <c r="Y269" s="162">
        <v>0</v>
      </c>
      <c r="Z269">
        <v>0</v>
      </c>
      <c r="AA269" s="162">
        <v>0</v>
      </c>
      <c r="AB269">
        <v>0</v>
      </c>
      <c r="AC269" s="162" t="s">
        <v>7</v>
      </c>
      <c r="AD269" s="162" t="s">
        <v>7</v>
      </c>
      <c r="AE269" s="162" t="s">
        <v>7</v>
      </c>
      <c r="AF269" s="162" t="s">
        <v>7</v>
      </c>
      <c r="AG269" s="162" t="s">
        <v>7</v>
      </c>
      <c r="AH269" s="162" t="s">
        <v>7</v>
      </c>
      <c r="AI269" t="s">
        <v>9843</v>
      </c>
      <c r="AJ269" t="s">
        <v>7</v>
      </c>
      <c r="AK269" t="s">
        <v>1800</v>
      </c>
      <c r="AL269" t="s">
        <v>36</v>
      </c>
      <c r="AM269" s="162" t="s">
        <v>10138</v>
      </c>
      <c r="AN269" t="s">
        <v>9843</v>
      </c>
      <c r="AO269" t="s">
        <v>35</v>
      </c>
      <c r="AP269" t="s">
        <v>7</v>
      </c>
      <c r="AQ269" t="s">
        <v>9</v>
      </c>
      <c r="AR269" t="s">
        <v>1097</v>
      </c>
      <c r="AS269" s="162" t="s">
        <v>9851</v>
      </c>
      <c r="AT269" s="117" t="s">
        <v>7</v>
      </c>
      <c r="AU269" s="162" t="s">
        <v>7</v>
      </c>
      <c r="AV269" s="162" t="s">
        <v>7</v>
      </c>
      <c r="AW269" s="162" t="s">
        <v>9851</v>
      </c>
      <c r="AX269" s="162" t="s">
        <v>7</v>
      </c>
      <c r="AY269" s="162" t="s">
        <v>7</v>
      </c>
      <c r="AZ269" t="s">
        <v>7</v>
      </c>
      <c r="BA269" s="162" t="s">
        <v>7</v>
      </c>
      <c r="BB269" s="162" t="s">
        <v>7</v>
      </c>
      <c r="BC269" s="162" t="s">
        <v>7</v>
      </c>
      <c r="BD269" s="162" t="s">
        <v>7</v>
      </c>
      <c r="BE269" s="162" t="s">
        <v>7</v>
      </c>
      <c r="BF269" s="162" t="str">
        <f t="shared" si="8"/>
        <v>Sim</v>
      </c>
      <c r="BG269" s="162" t="str">
        <f t="shared" si="9"/>
        <v>Não</v>
      </c>
      <c r="BH269" s="162" t="s">
        <v>7</v>
      </c>
      <c r="BI269" t="s">
        <v>9872</v>
      </c>
      <c r="BJ269" s="162" t="s">
        <v>10165</v>
      </c>
      <c r="BK269" t="s">
        <v>1100</v>
      </c>
      <c r="BL269" s="162">
        <v>70</v>
      </c>
      <c r="BM269" t="s">
        <v>35</v>
      </c>
      <c r="BN269" t="s">
        <v>35</v>
      </c>
      <c r="BO269" t="s">
        <v>1100</v>
      </c>
      <c r="BP269" s="162">
        <v>70</v>
      </c>
      <c r="BQ269" t="s">
        <v>35</v>
      </c>
      <c r="BR269" t="s">
        <v>1849</v>
      </c>
      <c r="BS269" s="162" t="s">
        <v>10170</v>
      </c>
    </row>
    <row r="270" spans="1:71">
      <c r="A270" s="162">
        <v>269</v>
      </c>
      <c r="B270" t="s">
        <v>175</v>
      </c>
      <c r="C270" s="162">
        <v>1</v>
      </c>
      <c r="D270" s="122">
        <v>42878</v>
      </c>
      <c r="E270" t="s">
        <v>610</v>
      </c>
      <c r="F270" t="s">
        <v>515</v>
      </c>
      <c r="G270" t="s">
        <v>185</v>
      </c>
      <c r="H270" t="s">
        <v>611</v>
      </c>
      <c r="I270" s="162">
        <v>1</v>
      </c>
      <c r="J270" t="s">
        <v>1855</v>
      </c>
      <c r="K270" t="s">
        <v>3</v>
      </c>
      <c r="L270" s="165">
        <v>28902</v>
      </c>
      <c r="M270" s="166">
        <v>38</v>
      </c>
      <c r="N270" t="s">
        <v>1093</v>
      </c>
      <c r="O270" t="s">
        <v>10135</v>
      </c>
      <c r="P270" t="s">
        <v>1101</v>
      </c>
      <c r="Q270" t="s">
        <v>1999</v>
      </c>
      <c r="R270" t="s">
        <v>2009</v>
      </c>
      <c r="S270" s="162">
        <v>17.7</v>
      </c>
      <c r="T270" t="s">
        <v>2012</v>
      </c>
      <c r="U270" s="162">
        <v>10.4</v>
      </c>
      <c r="V270" t="s">
        <v>2017</v>
      </c>
      <c r="W270" s="162">
        <v>49.7</v>
      </c>
      <c r="X270">
        <v>0</v>
      </c>
      <c r="Y270" s="162">
        <v>0</v>
      </c>
      <c r="Z270">
        <v>0</v>
      </c>
      <c r="AA270" s="162">
        <v>0</v>
      </c>
      <c r="AB270">
        <v>0</v>
      </c>
      <c r="AC270" s="162" t="s">
        <v>7</v>
      </c>
      <c r="AD270" s="162" t="s">
        <v>7</v>
      </c>
      <c r="AE270" s="162" t="s">
        <v>7</v>
      </c>
      <c r="AF270" s="162" t="s">
        <v>7</v>
      </c>
      <c r="AG270" s="162" t="s">
        <v>7</v>
      </c>
      <c r="AH270" s="162" t="s">
        <v>7</v>
      </c>
      <c r="AI270" t="s">
        <v>9843</v>
      </c>
      <c r="AJ270" t="s">
        <v>7</v>
      </c>
      <c r="AK270" t="s">
        <v>2022</v>
      </c>
      <c r="AL270" t="s">
        <v>36</v>
      </c>
      <c r="AM270" s="162" t="s">
        <v>10138</v>
      </c>
      <c r="AN270" t="s">
        <v>9843</v>
      </c>
      <c r="AO270" t="s">
        <v>35</v>
      </c>
      <c r="AP270" t="s">
        <v>7</v>
      </c>
      <c r="AQ270" t="s">
        <v>9</v>
      </c>
      <c r="AR270" t="s">
        <v>1097</v>
      </c>
      <c r="AS270" s="162" t="s">
        <v>9851</v>
      </c>
      <c r="AT270" s="117" t="s">
        <v>7</v>
      </c>
      <c r="AU270" s="162" t="s">
        <v>7</v>
      </c>
      <c r="AV270" s="162" t="s">
        <v>7</v>
      </c>
      <c r="AW270" s="162" t="s">
        <v>9851</v>
      </c>
      <c r="AX270" s="162" t="s">
        <v>7</v>
      </c>
      <c r="AY270" s="162" t="s">
        <v>7</v>
      </c>
      <c r="AZ270" t="s">
        <v>7</v>
      </c>
      <c r="BA270" s="162" t="s">
        <v>7</v>
      </c>
      <c r="BB270" s="162" t="s">
        <v>7</v>
      </c>
      <c r="BC270" s="162" t="s">
        <v>7</v>
      </c>
      <c r="BD270" s="162" t="s">
        <v>7</v>
      </c>
      <c r="BE270" s="162" t="s">
        <v>7</v>
      </c>
      <c r="BF270" s="162" t="str">
        <f t="shared" si="8"/>
        <v>Sim</v>
      </c>
      <c r="BG270" s="162" t="str">
        <f t="shared" si="9"/>
        <v>Não</v>
      </c>
      <c r="BH270" s="162" t="s">
        <v>7</v>
      </c>
      <c r="BI270" t="s">
        <v>9872</v>
      </c>
      <c r="BJ270" s="162" t="s">
        <v>10165</v>
      </c>
      <c r="BK270" t="s">
        <v>1100</v>
      </c>
      <c r="BL270" s="162">
        <v>70</v>
      </c>
      <c r="BM270" t="s">
        <v>35</v>
      </c>
      <c r="BN270" t="s">
        <v>35</v>
      </c>
      <c r="BO270" t="s">
        <v>1100</v>
      </c>
      <c r="BP270" s="162">
        <v>70</v>
      </c>
      <c r="BQ270" t="s">
        <v>35</v>
      </c>
      <c r="BR270" t="s">
        <v>1849</v>
      </c>
      <c r="BS270" s="162" t="s">
        <v>10170</v>
      </c>
    </row>
    <row r="271" spans="1:71">
      <c r="A271" s="162">
        <v>270</v>
      </c>
      <c r="B271" t="s">
        <v>237</v>
      </c>
      <c r="C271" s="162">
        <v>1</v>
      </c>
      <c r="D271" s="122" t="s">
        <v>623</v>
      </c>
      <c r="E271" t="s">
        <v>679</v>
      </c>
      <c r="F271" t="s">
        <v>3</v>
      </c>
      <c r="G271" t="s">
        <v>241</v>
      </c>
      <c r="H271" t="s">
        <v>697</v>
      </c>
      <c r="I271" s="162">
        <v>1</v>
      </c>
      <c r="J271" t="s">
        <v>1855</v>
      </c>
      <c r="K271" t="s">
        <v>3</v>
      </c>
      <c r="L271" s="165">
        <v>34627</v>
      </c>
      <c r="M271" s="166">
        <v>22</v>
      </c>
      <c r="N271" t="s">
        <v>4</v>
      </c>
      <c r="O271" t="s">
        <v>10134</v>
      </c>
      <c r="P271" t="s">
        <v>48</v>
      </c>
      <c r="Q271" t="s">
        <v>1689</v>
      </c>
      <c r="R271" t="s">
        <v>1692</v>
      </c>
      <c r="S271" s="162">
        <v>135.69999999999999</v>
      </c>
      <c r="T271" t="s">
        <v>1690</v>
      </c>
      <c r="U271" s="162">
        <v>112.8</v>
      </c>
      <c r="V271" t="s">
        <v>1691</v>
      </c>
      <c r="W271" s="162">
        <v>17.5</v>
      </c>
      <c r="X271" t="s">
        <v>9842</v>
      </c>
      <c r="Y271" s="162">
        <v>0.4</v>
      </c>
      <c r="Z271">
        <v>0</v>
      </c>
      <c r="AA271" s="162">
        <v>0</v>
      </c>
      <c r="AB271">
        <v>0</v>
      </c>
      <c r="AC271" s="162" t="s">
        <v>7</v>
      </c>
      <c r="AD271" s="162" t="s">
        <v>7</v>
      </c>
      <c r="AE271" s="162" t="s">
        <v>7</v>
      </c>
      <c r="AF271" s="162" t="s">
        <v>7</v>
      </c>
      <c r="AG271" s="162" t="s">
        <v>7</v>
      </c>
      <c r="AH271" s="162" t="s">
        <v>7</v>
      </c>
      <c r="AI271" t="s">
        <v>9846</v>
      </c>
      <c r="AJ271" t="s">
        <v>7</v>
      </c>
      <c r="AK271" t="s">
        <v>1693</v>
      </c>
      <c r="AL271" t="s">
        <v>78</v>
      </c>
      <c r="AM271" s="162" t="s">
        <v>10138</v>
      </c>
      <c r="AN271" t="s">
        <v>9843</v>
      </c>
      <c r="AO271" t="s">
        <v>35</v>
      </c>
      <c r="AP271" t="s">
        <v>7</v>
      </c>
      <c r="AQ271" t="s">
        <v>9</v>
      </c>
      <c r="AR271" t="s">
        <v>7</v>
      </c>
      <c r="AS271" s="162" t="s">
        <v>7</v>
      </c>
      <c r="AT271" s="117" t="s">
        <v>7</v>
      </c>
      <c r="AU271" s="162" t="s">
        <v>7</v>
      </c>
      <c r="AV271" s="162" t="s">
        <v>7</v>
      </c>
      <c r="AW271" s="162" t="s">
        <v>9851</v>
      </c>
      <c r="AX271" s="162" t="s">
        <v>7</v>
      </c>
      <c r="AY271" s="162" t="s">
        <v>7</v>
      </c>
      <c r="AZ271" t="s">
        <v>9868</v>
      </c>
      <c r="BA271" s="162" t="s">
        <v>7</v>
      </c>
      <c r="BB271" s="162" t="s">
        <v>7</v>
      </c>
      <c r="BC271" s="162" t="s">
        <v>7</v>
      </c>
      <c r="BD271" s="162" t="s">
        <v>7</v>
      </c>
      <c r="BE271" s="162" t="s">
        <v>9851</v>
      </c>
      <c r="BF271" s="162" t="str">
        <f t="shared" si="8"/>
        <v>Não</v>
      </c>
      <c r="BG271" s="162" t="str">
        <f t="shared" si="9"/>
        <v>Não</v>
      </c>
      <c r="BH271" s="162" t="s">
        <v>9851</v>
      </c>
      <c r="BI271" t="s">
        <v>7</v>
      </c>
      <c r="BJ271" s="162" t="s">
        <v>7</v>
      </c>
      <c r="BK271" t="s">
        <v>1100</v>
      </c>
      <c r="BL271" s="162">
        <v>70</v>
      </c>
      <c r="BM271" t="s">
        <v>35</v>
      </c>
      <c r="BN271" t="s">
        <v>35</v>
      </c>
      <c r="BO271" t="s">
        <v>1100</v>
      </c>
      <c r="BP271" s="162">
        <v>70</v>
      </c>
      <c r="BQ271" t="s">
        <v>35</v>
      </c>
      <c r="BR271" t="s">
        <v>1849</v>
      </c>
      <c r="BS271" s="162" t="s">
        <v>10170</v>
      </c>
    </row>
    <row r="272" spans="1:71">
      <c r="A272" s="162">
        <v>271</v>
      </c>
      <c r="B272" t="s">
        <v>457</v>
      </c>
      <c r="C272" s="162">
        <v>1</v>
      </c>
      <c r="D272" s="122" t="s">
        <v>1042</v>
      </c>
      <c r="E272" t="s">
        <v>1036</v>
      </c>
      <c r="F272" t="s">
        <v>3</v>
      </c>
      <c r="G272" t="s">
        <v>461</v>
      </c>
      <c r="H272" t="s">
        <v>1043</v>
      </c>
      <c r="I272" s="162">
        <v>1</v>
      </c>
      <c r="J272" t="s">
        <v>1855</v>
      </c>
      <c r="K272" t="s">
        <v>3</v>
      </c>
      <c r="L272" s="165">
        <v>34312</v>
      </c>
      <c r="M272" s="166">
        <v>23</v>
      </c>
      <c r="N272" t="s">
        <v>5</v>
      </c>
      <c r="O272" t="s">
        <v>10135</v>
      </c>
      <c r="P272" t="s">
        <v>1101</v>
      </c>
      <c r="Q272" t="s">
        <v>1487</v>
      </c>
      <c r="R272" t="s">
        <v>1488</v>
      </c>
      <c r="S272" s="162">
        <v>66.7</v>
      </c>
      <c r="T272" t="s">
        <v>1489</v>
      </c>
      <c r="U272" s="162">
        <v>5.5</v>
      </c>
      <c r="V272" t="s">
        <v>1490</v>
      </c>
      <c r="W272" s="162">
        <v>12.4</v>
      </c>
      <c r="X272">
        <v>0</v>
      </c>
      <c r="Y272" s="162">
        <v>0</v>
      </c>
      <c r="Z272">
        <v>0</v>
      </c>
      <c r="AA272" s="162">
        <v>0</v>
      </c>
      <c r="AB272">
        <v>0</v>
      </c>
      <c r="AC272" s="162" t="s">
        <v>7</v>
      </c>
      <c r="AD272" s="162" t="s">
        <v>7</v>
      </c>
      <c r="AE272" s="162" t="s">
        <v>7</v>
      </c>
      <c r="AF272" s="162" t="s">
        <v>7</v>
      </c>
      <c r="AG272" s="162" t="s">
        <v>7</v>
      </c>
      <c r="AH272" s="162" t="s">
        <v>7</v>
      </c>
      <c r="AI272" t="s">
        <v>9843</v>
      </c>
      <c r="AJ272" t="s">
        <v>7</v>
      </c>
      <c r="AK272" t="s">
        <v>1281</v>
      </c>
      <c r="AL272" t="s">
        <v>36</v>
      </c>
      <c r="AM272" s="162" t="s">
        <v>10138</v>
      </c>
      <c r="AN272" t="s">
        <v>9843</v>
      </c>
      <c r="AO272" t="s">
        <v>35</v>
      </c>
      <c r="AP272" t="s">
        <v>1199</v>
      </c>
      <c r="AQ272" t="s">
        <v>1476</v>
      </c>
      <c r="AR272" t="s">
        <v>1097</v>
      </c>
      <c r="AS272" s="162" t="s">
        <v>9851</v>
      </c>
      <c r="AT272" s="117" t="s">
        <v>1111</v>
      </c>
      <c r="AU272" s="162" t="s">
        <v>9851</v>
      </c>
      <c r="AV272" s="162" t="s">
        <v>7</v>
      </c>
      <c r="AW272" s="162" t="s">
        <v>7</v>
      </c>
      <c r="AX272" s="162" t="s">
        <v>7</v>
      </c>
      <c r="AY272" s="162" t="s">
        <v>9851</v>
      </c>
      <c r="AZ272" t="s">
        <v>7</v>
      </c>
      <c r="BA272" s="162" t="s">
        <v>7</v>
      </c>
      <c r="BB272" s="162" t="s">
        <v>7</v>
      </c>
      <c r="BC272" s="162" t="s">
        <v>7</v>
      </c>
      <c r="BD272" s="162" t="s">
        <v>7</v>
      </c>
      <c r="BE272" s="162" t="s">
        <v>7</v>
      </c>
      <c r="BF272" s="162" t="str">
        <f t="shared" si="8"/>
        <v>Sim</v>
      </c>
      <c r="BG272" s="162" t="str">
        <f t="shared" si="9"/>
        <v>Não</v>
      </c>
      <c r="BH272" s="162" t="s">
        <v>7</v>
      </c>
      <c r="BI272" t="s">
        <v>9872</v>
      </c>
      <c r="BJ272" s="162" t="s">
        <v>10165</v>
      </c>
      <c r="BK272" t="s">
        <v>1476</v>
      </c>
      <c r="BL272" s="162">
        <v>63</v>
      </c>
      <c r="BM272" t="s">
        <v>35</v>
      </c>
      <c r="BN272" t="s">
        <v>35</v>
      </c>
      <c r="BO272" t="s">
        <v>1476</v>
      </c>
      <c r="BP272" s="162">
        <v>63</v>
      </c>
      <c r="BQ272" t="s">
        <v>35</v>
      </c>
      <c r="BR272" t="s">
        <v>1114</v>
      </c>
      <c r="BS272" s="162" t="s">
        <v>1114</v>
      </c>
    </row>
    <row r="273" spans="1:71">
      <c r="A273" s="162">
        <v>272</v>
      </c>
      <c r="B273" t="s">
        <v>453</v>
      </c>
      <c r="C273" s="162">
        <v>1</v>
      </c>
      <c r="D273" s="122" t="s">
        <v>921</v>
      </c>
      <c r="E273" t="s">
        <v>1036</v>
      </c>
      <c r="F273" t="s">
        <v>3</v>
      </c>
      <c r="G273" t="s">
        <v>461</v>
      </c>
      <c r="H273" t="s">
        <v>1038</v>
      </c>
      <c r="I273" s="162">
        <v>1</v>
      </c>
      <c r="J273" t="s">
        <v>76</v>
      </c>
      <c r="K273" t="s">
        <v>3</v>
      </c>
      <c r="L273" s="165">
        <v>34492</v>
      </c>
      <c r="M273" s="166">
        <v>22</v>
      </c>
      <c r="N273" t="s">
        <v>1093</v>
      </c>
      <c r="O273" t="s">
        <v>10135</v>
      </c>
      <c r="P273" t="s">
        <v>48</v>
      </c>
      <c r="Q273" t="s">
        <v>1186</v>
      </c>
      <c r="R273" t="s">
        <v>1479</v>
      </c>
      <c r="S273" s="162">
        <v>132</v>
      </c>
      <c r="T273" t="s">
        <v>1478</v>
      </c>
      <c r="U273" s="162">
        <v>27.5</v>
      </c>
      <c r="V273" t="s">
        <v>1477</v>
      </c>
      <c r="W273" s="162">
        <v>11.5</v>
      </c>
      <c r="X273">
        <v>0</v>
      </c>
      <c r="Y273" s="162">
        <v>0</v>
      </c>
      <c r="Z273">
        <v>0</v>
      </c>
      <c r="AA273" s="162">
        <v>0</v>
      </c>
      <c r="AB273">
        <v>0</v>
      </c>
      <c r="AC273" s="162" t="s">
        <v>7</v>
      </c>
      <c r="AD273" s="162" t="s">
        <v>7</v>
      </c>
      <c r="AE273" s="162" t="s">
        <v>7</v>
      </c>
      <c r="AF273" s="162" t="s">
        <v>7</v>
      </c>
      <c r="AG273" s="162" t="s">
        <v>7</v>
      </c>
      <c r="AH273" s="162" t="s">
        <v>7</v>
      </c>
      <c r="AI273" t="s">
        <v>9843</v>
      </c>
      <c r="AJ273" t="s">
        <v>7</v>
      </c>
      <c r="AK273" t="s">
        <v>1480</v>
      </c>
      <c r="AL273" t="s">
        <v>36</v>
      </c>
      <c r="AM273" s="162" t="s">
        <v>10138</v>
      </c>
      <c r="AN273" t="s">
        <v>9843</v>
      </c>
      <c r="AO273" t="s">
        <v>35</v>
      </c>
      <c r="AP273" t="s">
        <v>7</v>
      </c>
      <c r="AQ273" t="s">
        <v>9</v>
      </c>
      <c r="AR273" t="s">
        <v>1097</v>
      </c>
      <c r="AS273" s="162" t="s">
        <v>9851</v>
      </c>
      <c r="AT273" s="117" t="s">
        <v>7</v>
      </c>
      <c r="AU273" s="162" t="s">
        <v>7</v>
      </c>
      <c r="AV273" s="162" t="s">
        <v>7</v>
      </c>
      <c r="AW273" s="162" t="s">
        <v>9851</v>
      </c>
      <c r="AX273" s="162" t="s">
        <v>7</v>
      </c>
      <c r="AY273" s="162" t="s">
        <v>7</v>
      </c>
      <c r="AZ273" t="s">
        <v>7</v>
      </c>
      <c r="BA273" s="162" t="s">
        <v>7</v>
      </c>
      <c r="BB273" s="162" t="s">
        <v>7</v>
      </c>
      <c r="BC273" s="162" t="s">
        <v>7</v>
      </c>
      <c r="BD273" s="162" t="s">
        <v>7</v>
      </c>
      <c r="BE273" s="162" t="s">
        <v>7</v>
      </c>
      <c r="BF273" s="162" t="str">
        <f t="shared" si="8"/>
        <v>Sim</v>
      </c>
      <c r="BG273" s="162" t="str">
        <f t="shared" si="9"/>
        <v>Não</v>
      </c>
      <c r="BH273" s="162" t="s">
        <v>7</v>
      </c>
      <c r="BI273" t="s">
        <v>9872</v>
      </c>
      <c r="BJ273" s="162" t="s">
        <v>10165</v>
      </c>
      <c r="BK273" t="s">
        <v>1476</v>
      </c>
      <c r="BL273" s="162">
        <v>63</v>
      </c>
      <c r="BM273" t="s">
        <v>35</v>
      </c>
      <c r="BN273" t="s">
        <v>35</v>
      </c>
      <c r="BO273" t="s">
        <v>1476</v>
      </c>
      <c r="BP273" s="162">
        <v>63</v>
      </c>
      <c r="BQ273" t="s">
        <v>35</v>
      </c>
      <c r="BR273" t="s">
        <v>1849</v>
      </c>
      <c r="BS273" s="162" t="s">
        <v>10170</v>
      </c>
    </row>
    <row r="274" spans="1:71">
      <c r="A274" s="162">
        <v>273</v>
      </c>
      <c r="B274" t="s">
        <v>452</v>
      </c>
      <c r="C274" s="162">
        <v>1</v>
      </c>
      <c r="D274" s="122" t="s">
        <v>98</v>
      </c>
      <c r="E274" t="s">
        <v>1036</v>
      </c>
      <c r="F274" t="s">
        <v>3</v>
      </c>
      <c r="G274" t="s">
        <v>461</v>
      </c>
      <c r="H274" t="s">
        <v>1037</v>
      </c>
      <c r="I274" s="162">
        <v>1</v>
      </c>
      <c r="J274" t="s">
        <v>1855</v>
      </c>
      <c r="K274" t="s">
        <v>3</v>
      </c>
      <c r="L274" s="165">
        <v>31806</v>
      </c>
      <c r="M274" s="166">
        <v>30</v>
      </c>
      <c r="N274" t="s">
        <v>5</v>
      </c>
      <c r="O274" t="s">
        <v>10135</v>
      </c>
      <c r="P274" t="s">
        <v>1101</v>
      </c>
      <c r="Q274" t="s">
        <v>1471</v>
      </c>
      <c r="R274" t="s">
        <v>1473</v>
      </c>
      <c r="S274" s="162">
        <v>13.8</v>
      </c>
      <c r="T274" t="s">
        <v>1472</v>
      </c>
      <c r="U274" s="162">
        <v>50</v>
      </c>
      <c r="V274" t="s">
        <v>1474</v>
      </c>
      <c r="W274" s="162">
        <v>59.5</v>
      </c>
      <c r="X274">
        <v>0</v>
      </c>
      <c r="Y274" s="162">
        <v>0</v>
      </c>
      <c r="Z274">
        <v>0</v>
      </c>
      <c r="AA274" s="162">
        <v>0</v>
      </c>
      <c r="AB274">
        <v>0</v>
      </c>
      <c r="AC274" s="162" t="s">
        <v>7</v>
      </c>
      <c r="AD274" s="162" t="s">
        <v>7</v>
      </c>
      <c r="AE274" s="162" t="s">
        <v>7</v>
      </c>
      <c r="AF274" s="162" t="s">
        <v>7</v>
      </c>
      <c r="AG274" s="162" t="s">
        <v>7</v>
      </c>
      <c r="AH274" s="162" t="s">
        <v>7</v>
      </c>
      <c r="AI274" t="s">
        <v>9843</v>
      </c>
      <c r="AJ274" t="s">
        <v>7</v>
      </c>
      <c r="AK274" t="s">
        <v>1475</v>
      </c>
      <c r="AL274" t="s">
        <v>36</v>
      </c>
      <c r="AM274" s="162" t="s">
        <v>10138</v>
      </c>
      <c r="AN274" t="s">
        <v>9843</v>
      </c>
      <c r="AO274" t="s">
        <v>35</v>
      </c>
      <c r="AP274" t="s">
        <v>7</v>
      </c>
      <c r="AQ274" t="s">
        <v>9</v>
      </c>
      <c r="AR274" t="s">
        <v>1097</v>
      </c>
      <c r="AS274" s="162" t="s">
        <v>9851</v>
      </c>
      <c r="AT274" s="117" t="s">
        <v>7</v>
      </c>
      <c r="AU274" s="162" t="s">
        <v>7</v>
      </c>
      <c r="AV274" s="162" t="s">
        <v>7</v>
      </c>
      <c r="AW274" s="162" t="s">
        <v>9851</v>
      </c>
      <c r="AX274" s="162" t="s">
        <v>7</v>
      </c>
      <c r="AY274" s="162" t="s">
        <v>7</v>
      </c>
      <c r="AZ274" t="s">
        <v>7</v>
      </c>
      <c r="BA274" s="162" t="s">
        <v>7</v>
      </c>
      <c r="BB274" s="162" t="s">
        <v>7</v>
      </c>
      <c r="BC274" s="162" t="s">
        <v>7</v>
      </c>
      <c r="BD274" s="162" t="s">
        <v>7</v>
      </c>
      <c r="BE274" s="162" t="s">
        <v>7</v>
      </c>
      <c r="BF274" s="162" t="str">
        <f t="shared" si="8"/>
        <v>Sim</v>
      </c>
      <c r="BG274" s="162" t="str">
        <f t="shared" si="9"/>
        <v>Não</v>
      </c>
      <c r="BH274" s="162" t="s">
        <v>7</v>
      </c>
      <c r="BI274" t="s">
        <v>9872</v>
      </c>
      <c r="BJ274" s="162" t="s">
        <v>10165</v>
      </c>
      <c r="BK274" t="s">
        <v>1476</v>
      </c>
      <c r="BL274" s="162">
        <v>63</v>
      </c>
      <c r="BM274" t="s">
        <v>35</v>
      </c>
      <c r="BN274" t="s">
        <v>35</v>
      </c>
      <c r="BO274" t="s">
        <v>1476</v>
      </c>
      <c r="BP274" s="162">
        <v>63</v>
      </c>
      <c r="BQ274" t="s">
        <v>35</v>
      </c>
      <c r="BR274" t="s">
        <v>1849</v>
      </c>
      <c r="BS274" s="162" t="s">
        <v>10170</v>
      </c>
    </row>
    <row r="275" spans="1:71">
      <c r="A275" s="162">
        <v>274</v>
      </c>
      <c r="B275" t="s">
        <v>183</v>
      </c>
      <c r="C275" s="162">
        <v>1</v>
      </c>
      <c r="D275" s="122">
        <v>42758</v>
      </c>
      <c r="E275" t="s">
        <v>614</v>
      </c>
      <c r="F275" t="s">
        <v>515</v>
      </c>
      <c r="G275" t="s">
        <v>185</v>
      </c>
      <c r="H275" t="s">
        <v>622</v>
      </c>
      <c r="I275" s="162">
        <v>1</v>
      </c>
      <c r="J275" t="s">
        <v>1855</v>
      </c>
      <c r="K275" t="s">
        <v>3</v>
      </c>
      <c r="L275" s="165">
        <v>33875</v>
      </c>
      <c r="M275" s="166">
        <v>24</v>
      </c>
      <c r="N275" t="s">
        <v>5</v>
      </c>
      <c r="O275" t="s">
        <v>10135</v>
      </c>
      <c r="P275" t="s">
        <v>48</v>
      </c>
      <c r="Q275" t="s">
        <v>1820</v>
      </c>
      <c r="R275" t="s">
        <v>2005</v>
      </c>
      <c r="S275" s="162">
        <v>2900.5</v>
      </c>
      <c r="T275">
        <v>0</v>
      </c>
      <c r="U275" s="162">
        <v>0</v>
      </c>
      <c r="V275">
        <v>0</v>
      </c>
      <c r="W275" s="162">
        <v>0</v>
      </c>
      <c r="X275">
        <v>0</v>
      </c>
      <c r="Y275" s="162">
        <v>0</v>
      </c>
      <c r="Z275">
        <v>0</v>
      </c>
      <c r="AA275" s="162">
        <v>0</v>
      </c>
      <c r="AB275">
        <v>0</v>
      </c>
      <c r="AC275" s="162" t="s">
        <v>7</v>
      </c>
      <c r="AD275" s="162" t="s">
        <v>7</v>
      </c>
      <c r="AE275" s="162" t="s">
        <v>7</v>
      </c>
      <c r="AF275" s="162" t="s">
        <v>7</v>
      </c>
      <c r="AG275" s="162" t="s">
        <v>7</v>
      </c>
      <c r="AH275" s="162" t="s">
        <v>7</v>
      </c>
      <c r="AI275" t="s">
        <v>9843</v>
      </c>
      <c r="AJ275" t="s">
        <v>7</v>
      </c>
      <c r="AK275" t="s">
        <v>1440</v>
      </c>
      <c r="AL275" t="s">
        <v>36</v>
      </c>
      <c r="AM275" s="162" t="s">
        <v>10138</v>
      </c>
      <c r="AN275" t="s">
        <v>9843</v>
      </c>
      <c r="AO275" t="s">
        <v>35</v>
      </c>
      <c r="AP275" t="s">
        <v>9862</v>
      </c>
      <c r="AQ275" t="s">
        <v>1215</v>
      </c>
      <c r="AR275" t="s">
        <v>7</v>
      </c>
      <c r="AS275" s="162" t="s">
        <v>7</v>
      </c>
      <c r="AT275" s="117" t="s">
        <v>7</v>
      </c>
      <c r="AU275" s="162" t="s">
        <v>7</v>
      </c>
      <c r="AV275" s="162" t="s">
        <v>7</v>
      </c>
      <c r="AW275" s="162" t="s">
        <v>9851</v>
      </c>
      <c r="AX275" s="162" t="s">
        <v>7</v>
      </c>
      <c r="AY275" s="162" t="s">
        <v>7</v>
      </c>
      <c r="AZ275" t="s">
        <v>7</v>
      </c>
      <c r="BA275" s="162" t="s">
        <v>7</v>
      </c>
      <c r="BB275" s="162" t="s">
        <v>7</v>
      </c>
      <c r="BC275" s="162" t="s">
        <v>7</v>
      </c>
      <c r="BD275" s="162" t="s">
        <v>7</v>
      </c>
      <c r="BE275" s="162" t="s">
        <v>7</v>
      </c>
      <c r="BF275" s="162" t="str">
        <f t="shared" si="8"/>
        <v>Sim</v>
      </c>
      <c r="BG275" s="162" t="str">
        <f t="shared" si="9"/>
        <v>Não</v>
      </c>
      <c r="BH275" s="162" t="s">
        <v>7</v>
      </c>
      <c r="BI275" t="s">
        <v>7</v>
      </c>
      <c r="BJ275" s="162" t="s">
        <v>7</v>
      </c>
      <c r="BK275" t="s">
        <v>1215</v>
      </c>
      <c r="BL275" s="162">
        <v>66</v>
      </c>
      <c r="BM275" t="s">
        <v>35</v>
      </c>
      <c r="BN275" t="s">
        <v>35</v>
      </c>
      <c r="BO275" t="s">
        <v>1215</v>
      </c>
      <c r="BP275" s="162">
        <v>66</v>
      </c>
      <c r="BQ275" t="s">
        <v>35</v>
      </c>
      <c r="BR275" t="s">
        <v>1849</v>
      </c>
      <c r="BS275" s="162" t="s">
        <v>10170</v>
      </c>
    </row>
    <row r="276" spans="1:71">
      <c r="A276" s="162">
        <v>275</v>
      </c>
      <c r="B276" t="s">
        <v>163</v>
      </c>
      <c r="C276" s="162">
        <v>1</v>
      </c>
      <c r="D276" s="122" t="s">
        <v>587</v>
      </c>
      <c r="E276" t="s">
        <v>571</v>
      </c>
      <c r="F276" t="s">
        <v>515</v>
      </c>
      <c r="G276" t="s">
        <v>166</v>
      </c>
      <c r="H276" t="s">
        <v>588</v>
      </c>
      <c r="I276" s="162">
        <v>1</v>
      </c>
      <c r="J276" t="s">
        <v>1855</v>
      </c>
      <c r="K276" t="s">
        <v>3</v>
      </c>
      <c r="L276" s="165">
        <v>33014</v>
      </c>
      <c r="M276" s="166">
        <v>27</v>
      </c>
      <c r="N276" t="s">
        <v>1093</v>
      </c>
      <c r="O276" t="s">
        <v>10135</v>
      </c>
      <c r="P276" t="s">
        <v>1101</v>
      </c>
      <c r="Q276" t="s">
        <v>1369</v>
      </c>
      <c r="R276">
        <v>0</v>
      </c>
      <c r="S276" s="162">
        <v>0</v>
      </c>
      <c r="T276" t="s">
        <v>1368</v>
      </c>
      <c r="U276" s="162">
        <v>5.6</v>
      </c>
      <c r="V276">
        <v>0</v>
      </c>
      <c r="W276" s="162">
        <v>0</v>
      </c>
      <c r="X276">
        <v>0</v>
      </c>
      <c r="Y276" s="162">
        <v>0</v>
      </c>
      <c r="Z276">
        <v>0</v>
      </c>
      <c r="AA276" s="162">
        <v>0</v>
      </c>
      <c r="AB276">
        <v>0</v>
      </c>
      <c r="AC276" s="162" t="s">
        <v>7</v>
      </c>
      <c r="AD276" s="162" t="s">
        <v>7</v>
      </c>
      <c r="AE276" s="162" t="s">
        <v>7</v>
      </c>
      <c r="AF276" s="162" t="s">
        <v>7</v>
      </c>
      <c r="AG276" s="162" t="s">
        <v>7</v>
      </c>
      <c r="AH276" s="162" t="s">
        <v>7</v>
      </c>
      <c r="AI276" t="s">
        <v>9843</v>
      </c>
      <c r="AJ276" t="s">
        <v>7</v>
      </c>
      <c r="AK276" t="s">
        <v>1370</v>
      </c>
      <c r="AL276" t="s">
        <v>36</v>
      </c>
      <c r="AM276" s="162" t="s">
        <v>10138</v>
      </c>
      <c r="AN276" t="s">
        <v>9843</v>
      </c>
      <c r="AO276" t="s">
        <v>35</v>
      </c>
      <c r="AP276" t="s">
        <v>9859</v>
      </c>
      <c r="AQ276" t="s">
        <v>1215</v>
      </c>
      <c r="AR276" t="s">
        <v>7</v>
      </c>
      <c r="AS276" s="162" t="s">
        <v>7</v>
      </c>
      <c r="AT276" s="117" t="s">
        <v>7</v>
      </c>
      <c r="AU276" s="162" t="s">
        <v>7</v>
      </c>
      <c r="AV276" s="162" t="s">
        <v>7</v>
      </c>
      <c r="AW276" s="162" t="s">
        <v>9851</v>
      </c>
      <c r="AX276" s="162" t="s">
        <v>7</v>
      </c>
      <c r="AY276" s="162" t="s">
        <v>7</v>
      </c>
      <c r="AZ276" t="s">
        <v>7</v>
      </c>
      <c r="BA276" s="162" t="s">
        <v>7</v>
      </c>
      <c r="BB276" s="162" t="s">
        <v>7</v>
      </c>
      <c r="BC276" s="162" t="s">
        <v>7</v>
      </c>
      <c r="BD276" s="162" t="s">
        <v>7</v>
      </c>
      <c r="BE276" s="162" t="s">
        <v>7</v>
      </c>
      <c r="BF276" s="162" t="str">
        <f t="shared" si="8"/>
        <v>Sim</v>
      </c>
      <c r="BG276" s="162" t="str">
        <f t="shared" si="9"/>
        <v>Não</v>
      </c>
      <c r="BH276" s="162" t="s">
        <v>7</v>
      </c>
      <c r="BI276" t="s">
        <v>9872</v>
      </c>
      <c r="BJ276" s="162" t="s">
        <v>10165</v>
      </c>
      <c r="BK276" t="s">
        <v>1215</v>
      </c>
      <c r="BL276" s="162">
        <v>66</v>
      </c>
      <c r="BM276" t="s">
        <v>35</v>
      </c>
      <c r="BN276" t="s">
        <v>35</v>
      </c>
      <c r="BO276" t="s">
        <v>1215</v>
      </c>
      <c r="BP276" s="162">
        <v>66</v>
      </c>
      <c r="BQ276" t="s">
        <v>35</v>
      </c>
      <c r="BR276" t="s">
        <v>1849</v>
      </c>
      <c r="BS276" s="162" t="s">
        <v>10170</v>
      </c>
    </row>
    <row r="277" spans="1:71">
      <c r="A277" s="162">
        <v>276</v>
      </c>
      <c r="B277" t="s">
        <v>273</v>
      </c>
      <c r="C277" s="162">
        <v>1</v>
      </c>
      <c r="D277" s="122">
        <v>42769</v>
      </c>
      <c r="E277" t="s">
        <v>754</v>
      </c>
      <c r="F277" t="s">
        <v>515</v>
      </c>
      <c r="G277" t="s">
        <v>277</v>
      </c>
      <c r="H277" t="s">
        <v>763</v>
      </c>
      <c r="I277" s="162">
        <v>1</v>
      </c>
      <c r="J277" t="s">
        <v>1855</v>
      </c>
      <c r="K277" t="s">
        <v>3</v>
      </c>
      <c r="L277" s="165">
        <v>31634</v>
      </c>
      <c r="M277" s="166">
        <v>30</v>
      </c>
      <c r="N277" t="s">
        <v>5</v>
      </c>
      <c r="O277" t="s">
        <v>10135</v>
      </c>
      <c r="P277" t="s">
        <v>41</v>
      </c>
      <c r="Q277" t="s">
        <v>1399</v>
      </c>
      <c r="R277" t="s">
        <v>1403</v>
      </c>
      <c r="S277" s="162">
        <v>23.1</v>
      </c>
      <c r="T277" t="s">
        <v>1401</v>
      </c>
      <c r="U277" s="162">
        <v>503.5</v>
      </c>
      <c r="V277" t="s">
        <v>1402</v>
      </c>
      <c r="W277" s="162">
        <v>95.6</v>
      </c>
      <c r="X277">
        <v>0</v>
      </c>
      <c r="Y277" s="162">
        <v>0</v>
      </c>
      <c r="Z277">
        <v>0</v>
      </c>
      <c r="AA277" s="162">
        <v>0</v>
      </c>
      <c r="AB277" t="s">
        <v>9828</v>
      </c>
      <c r="AC277" s="162" t="s">
        <v>7</v>
      </c>
      <c r="AD277" s="162" t="s">
        <v>7</v>
      </c>
      <c r="AE277" s="162" t="s">
        <v>7</v>
      </c>
      <c r="AF277" s="162" t="s">
        <v>7</v>
      </c>
      <c r="AG277" s="162" t="s">
        <v>9851</v>
      </c>
      <c r="AH277" s="162" t="s">
        <v>7</v>
      </c>
      <c r="AI277" t="s">
        <v>9843</v>
      </c>
      <c r="AJ277" t="s">
        <v>7</v>
      </c>
      <c r="AK277" t="s">
        <v>1404</v>
      </c>
      <c r="AL277" t="s">
        <v>36</v>
      </c>
      <c r="AM277" s="162" t="s">
        <v>10138</v>
      </c>
      <c r="AN277" t="s">
        <v>9843</v>
      </c>
      <c r="AO277" t="s">
        <v>35</v>
      </c>
      <c r="AP277" t="s">
        <v>7</v>
      </c>
      <c r="AQ277" t="s">
        <v>9</v>
      </c>
      <c r="AR277" t="s">
        <v>1097</v>
      </c>
      <c r="AS277" s="162" t="s">
        <v>9851</v>
      </c>
      <c r="AT277" s="117" t="s">
        <v>1111</v>
      </c>
      <c r="AU277" s="162" t="s">
        <v>9851</v>
      </c>
      <c r="AV277" s="162" t="s">
        <v>7</v>
      </c>
      <c r="AW277" s="162" t="s">
        <v>7</v>
      </c>
      <c r="AX277" s="162" t="s">
        <v>7</v>
      </c>
      <c r="AY277" s="162" t="s">
        <v>9851</v>
      </c>
      <c r="AZ277" t="s">
        <v>7</v>
      </c>
      <c r="BA277" s="162" t="s">
        <v>7</v>
      </c>
      <c r="BB277" s="162" t="s">
        <v>7</v>
      </c>
      <c r="BC277" s="162" t="s">
        <v>7</v>
      </c>
      <c r="BD277" s="162" t="s">
        <v>7</v>
      </c>
      <c r="BE277" s="162" t="s">
        <v>7</v>
      </c>
      <c r="BF277" s="162" t="str">
        <f t="shared" si="8"/>
        <v>Sim</v>
      </c>
      <c r="BG277" s="162" t="str">
        <f t="shared" si="9"/>
        <v>Não</v>
      </c>
      <c r="BH277" s="162" t="s">
        <v>7</v>
      </c>
      <c r="BI277" t="s">
        <v>7</v>
      </c>
      <c r="BJ277" s="162" t="s">
        <v>7</v>
      </c>
      <c r="BK277" t="s">
        <v>1215</v>
      </c>
      <c r="BL277" s="162">
        <v>66</v>
      </c>
      <c r="BM277" t="s">
        <v>35</v>
      </c>
      <c r="BN277" t="s">
        <v>35</v>
      </c>
      <c r="BO277" t="s">
        <v>1215</v>
      </c>
      <c r="BP277" s="162">
        <v>66</v>
      </c>
      <c r="BQ277" t="s">
        <v>35</v>
      </c>
      <c r="BR277" t="s">
        <v>1849</v>
      </c>
      <c r="BS277" s="162" t="s">
        <v>10170</v>
      </c>
    </row>
    <row r="278" spans="1:71">
      <c r="A278" s="162">
        <v>277</v>
      </c>
      <c r="B278" t="s">
        <v>1380</v>
      </c>
      <c r="C278" s="162">
        <v>1</v>
      </c>
      <c r="D278" s="122" t="s">
        <v>1042</v>
      </c>
      <c r="E278" t="s">
        <v>1036</v>
      </c>
      <c r="F278" t="s">
        <v>3</v>
      </c>
      <c r="G278" t="s">
        <v>461</v>
      </c>
      <c r="H278" t="s">
        <v>1468</v>
      </c>
      <c r="I278" s="162">
        <v>1</v>
      </c>
      <c r="J278" t="s">
        <v>1855</v>
      </c>
      <c r="K278" t="s">
        <v>3</v>
      </c>
      <c r="L278" s="165">
        <v>25966</v>
      </c>
      <c r="M278" s="166">
        <v>46</v>
      </c>
      <c r="N278" t="s">
        <v>5</v>
      </c>
      <c r="O278" t="s">
        <v>10135</v>
      </c>
      <c r="P278" t="s">
        <v>1101</v>
      </c>
      <c r="Q278" t="s">
        <v>1503</v>
      </c>
      <c r="R278" t="s">
        <v>1506</v>
      </c>
      <c r="S278" s="162">
        <v>14.5</v>
      </c>
      <c r="T278" t="s">
        <v>1505</v>
      </c>
      <c r="U278" s="162">
        <v>1.6</v>
      </c>
      <c r="V278" t="s">
        <v>1504</v>
      </c>
      <c r="W278" s="162">
        <v>9.6999999999999993</v>
      </c>
      <c r="X278">
        <v>0</v>
      </c>
      <c r="Y278" s="162">
        <v>0</v>
      </c>
      <c r="Z278">
        <v>0</v>
      </c>
      <c r="AA278" s="162">
        <v>0</v>
      </c>
      <c r="AB278">
        <v>0</v>
      </c>
      <c r="AC278" s="162" t="s">
        <v>7</v>
      </c>
      <c r="AD278" s="162" t="s">
        <v>7</v>
      </c>
      <c r="AE278" s="162" t="s">
        <v>7</v>
      </c>
      <c r="AF278" s="162" t="s">
        <v>7</v>
      </c>
      <c r="AG278" s="162" t="s">
        <v>7</v>
      </c>
      <c r="AH278" s="162" t="s">
        <v>7</v>
      </c>
      <c r="AI278" t="s">
        <v>9843</v>
      </c>
      <c r="AJ278" t="s">
        <v>7</v>
      </c>
      <c r="AK278" t="s">
        <v>1370</v>
      </c>
      <c r="AL278" t="s">
        <v>36</v>
      </c>
      <c r="AM278" s="162" t="s">
        <v>10138</v>
      </c>
      <c r="AN278" t="s">
        <v>9843</v>
      </c>
      <c r="AO278" t="s">
        <v>35</v>
      </c>
      <c r="AP278" t="s">
        <v>1199</v>
      </c>
      <c r="AQ278" t="s">
        <v>1476</v>
      </c>
      <c r="AR278" t="s">
        <v>1097</v>
      </c>
      <c r="AS278" s="162" t="s">
        <v>9851</v>
      </c>
      <c r="AT278" s="117" t="s">
        <v>7</v>
      </c>
      <c r="AU278" s="162" t="s">
        <v>7</v>
      </c>
      <c r="AV278" s="162" t="s">
        <v>7</v>
      </c>
      <c r="AW278" s="162" t="s">
        <v>9851</v>
      </c>
      <c r="AX278" s="162" t="s">
        <v>7</v>
      </c>
      <c r="AY278" s="162" t="s">
        <v>7</v>
      </c>
      <c r="AZ278" t="s">
        <v>7</v>
      </c>
      <c r="BA278" s="162" t="s">
        <v>7</v>
      </c>
      <c r="BB278" s="162" t="s">
        <v>7</v>
      </c>
      <c r="BC278" s="162" t="s">
        <v>7</v>
      </c>
      <c r="BD278" s="162" t="s">
        <v>7</v>
      </c>
      <c r="BE278" s="162" t="s">
        <v>7</v>
      </c>
      <c r="BF278" s="162" t="str">
        <f t="shared" si="8"/>
        <v>Sim</v>
      </c>
      <c r="BG278" s="162" t="str">
        <f t="shared" si="9"/>
        <v>Não</v>
      </c>
      <c r="BH278" s="162" t="s">
        <v>7</v>
      </c>
      <c r="BI278" t="s">
        <v>9872</v>
      </c>
      <c r="BJ278" s="162" t="s">
        <v>10165</v>
      </c>
      <c r="BK278" t="s">
        <v>1215</v>
      </c>
      <c r="BL278" s="162">
        <v>66</v>
      </c>
      <c r="BM278" t="s">
        <v>35</v>
      </c>
      <c r="BN278" t="s">
        <v>35</v>
      </c>
      <c r="BO278" t="s">
        <v>1215</v>
      </c>
      <c r="BP278" s="162">
        <v>66</v>
      </c>
      <c r="BQ278" t="s">
        <v>35</v>
      </c>
      <c r="BR278" t="s">
        <v>1849</v>
      </c>
      <c r="BS278" s="162" t="s">
        <v>10170</v>
      </c>
    </row>
    <row r="279" spans="1:71">
      <c r="A279" s="162">
        <v>278</v>
      </c>
      <c r="B279" t="s">
        <v>147</v>
      </c>
      <c r="C279" s="162">
        <v>1</v>
      </c>
      <c r="D279" s="122" t="s">
        <v>539</v>
      </c>
      <c r="E279" t="s">
        <v>551</v>
      </c>
      <c r="F279" t="s">
        <v>3</v>
      </c>
      <c r="G279" t="s">
        <v>155</v>
      </c>
      <c r="H279" t="s">
        <v>552</v>
      </c>
      <c r="I279" s="162">
        <v>1</v>
      </c>
      <c r="J279" t="s">
        <v>1855</v>
      </c>
      <c r="K279" t="s">
        <v>3</v>
      </c>
      <c r="L279" s="165">
        <v>35263</v>
      </c>
      <c r="M279" s="166">
        <v>21</v>
      </c>
      <c r="N279" t="s">
        <v>4</v>
      </c>
      <c r="O279" t="s">
        <v>10134</v>
      </c>
      <c r="P279" t="s">
        <v>48</v>
      </c>
      <c r="Q279" t="s">
        <v>1071</v>
      </c>
      <c r="R279" t="s">
        <v>1760</v>
      </c>
      <c r="S279" s="162">
        <v>1625.9</v>
      </c>
      <c r="T279">
        <v>0</v>
      </c>
      <c r="U279" s="162">
        <v>0</v>
      </c>
      <c r="V279">
        <v>0</v>
      </c>
      <c r="W279" s="162">
        <v>0</v>
      </c>
      <c r="X279">
        <v>0</v>
      </c>
      <c r="Y279" s="162">
        <v>0</v>
      </c>
      <c r="Z279">
        <v>0</v>
      </c>
      <c r="AA279" s="162">
        <v>0</v>
      </c>
      <c r="AB279">
        <v>0</v>
      </c>
      <c r="AC279" s="162" t="s">
        <v>7</v>
      </c>
      <c r="AD279" s="162" t="s">
        <v>7</v>
      </c>
      <c r="AE279" s="162" t="s">
        <v>7</v>
      </c>
      <c r="AF279" s="162" t="s">
        <v>7</v>
      </c>
      <c r="AG279" s="162" t="s">
        <v>7</v>
      </c>
      <c r="AH279" s="162" t="s">
        <v>7</v>
      </c>
      <c r="AI279" t="s">
        <v>9843</v>
      </c>
      <c r="AJ279" t="s">
        <v>7</v>
      </c>
      <c r="AK279" t="s">
        <v>80</v>
      </c>
      <c r="AL279" t="s">
        <v>36</v>
      </c>
      <c r="AM279" s="162" t="s">
        <v>10138</v>
      </c>
      <c r="AN279" t="s">
        <v>9843</v>
      </c>
      <c r="AO279" t="s">
        <v>35</v>
      </c>
      <c r="AP279" t="s">
        <v>1104</v>
      </c>
      <c r="AQ279" t="s">
        <v>1080</v>
      </c>
      <c r="AR279" t="s">
        <v>7</v>
      </c>
      <c r="AS279" s="162" t="s">
        <v>7</v>
      </c>
      <c r="AT279" s="117" t="s">
        <v>7</v>
      </c>
      <c r="AU279" s="162" t="s">
        <v>7</v>
      </c>
      <c r="AV279" s="162" t="s">
        <v>7</v>
      </c>
      <c r="AW279" s="162" t="s">
        <v>9851</v>
      </c>
      <c r="AX279" s="162" t="s">
        <v>7</v>
      </c>
      <c r="AY279" s="162" t="s">
        <v>7</v>
      </c>
      <c r="AZ279" t="s">
        <v>7</v>
      </c>
      <c r="BA279" s="162" t="s">
        <v>7</v>
      </c>
      <c r="BB279" s="162" t="s">
        <v>7</v>
      </c>
      <c r="BC279" s="162" t="s">
        <v>7</v>
      </c>
      <c r="BD279" s="162" t="s">
        <v>7</v>
      </c>
      <c r="BE279" s="162" t="s">
        <v>7</v>
      </c>
      <c r="BF279" s="162" t="str">
        <f t="shared" si="8"/>
        <v>Sim</v>
      </c>
      <c r="BG279" s="162" t="str">
        <f t="shared" si="9"/>
        <v>Não</v>
      </c>
      <c r="BH279" s="162" t="s">
        <v>7</v>
      </c>
      <c r="BI279" t="s">
        <v>7</v>
      </c>
      <c r="BJ279" s="162" t="s">
        <v>7</v>
      </c>
      <c r="BK279" t="s">
        <v>1080</v>
      </c>
      <c r="BL279" s="162">
        <v>72</v>
      </c>
      <c r="BM279" t="s">
        <v>35</v>
      </c>
      <c r="BN279" t="s">
        <v>35</v>
      </c>
      <c r="BO279" t="s">
        <v>1080</v>
      </c>
      <c r="BP279" s="162">
        <v>72</v>
      </c>
      <c r="BQ279" t="s">
        <v>35</v>
      </c>
      <c r="BR279" t="s">
        <v>1849</v>
      </c>
      <c r="BS279" s="162" t="s">
        <v>10170</v>
      </c>
    </row>
    <row r="280" spans="1:71">
      <c r="A280" s="162">
        <v>279</v>
      </c>
      <c r="B280" t="s">
        <v>147</v>
      </c>
      <c r="C280" s="162">
        <v>0</v>
      </c>
      <c r="D280" s="122" t="s">
        <v>539</v>
      </c>
      <c r="E280" t="s">
        <v>551</v>
      </c>
      <c r="F280" t="s">
        <v>3</v>
      </c>
      <c r="G280" t="s">
        <v>155</v>
      </c>
      <c r="H280" t="s">
        <v>553</v>
      </c>
      <c r="I280" s="162">
        <v>1</v>
      </c>
      <c r="J280" t="s">
        <v>1855</v>
      </c>
      <c r="K280" t="s">
        <v>3</v>
      </c>
      <c r="L280" s="165">
        <v>34828</v>
      </c>
      <c r="M280" s="166">
        <v>22</v>
      </c>
      <c r="N280" t="s">
        <v>4</v>
      </c>
      <c r="O280" t="s">
        <v>10134</v>
      </c>
      <c r="P280" t="s">
        <v>48</v>
      </c>
      <c r="Q280" t="s">
        <v>1071</v>
      </c>
      <c r="R280" t="s">
        <v>1760</v>
      </c>
      <c r="S280" s="162">
        <v>1625.9</v>
      </c>
      <c r="T280">
        <v>0</v>
      </c>
      <c r="U280" s="162">
        <v>0</v>
      </c>
      <c r="V280">
        <v>0</v>
      </c>
      <c r="W280" s="162">
        <v>0</v>
      </c>
      <c r="X280">
        <v>0</v>
      </c>
      <c r="Y280" s="162">
        <v>0</v>
      </c>
      <c r="Z280">
        <v>0</v>
      </c>
      <c r="AA280" s="162">
        <v>0</v>
      </c>
      <c r="AB280">
        <v>0</v>
      </c>
      <c r="AC280" s="162" t="s">
        <v>7</v>
      </c>
      <c r="AD280" s="162" t="s">
        <v>7</v>
      </c>
      <c r="AE280" s="162" t="s">
        <v>7</v>
      </c>
      <c r="AF280" s="162" t="s">
        <v>7</v>
      </c>
      <c r="AG280" s="162" t="s">
        <v>7</v>
      </c>
      <c r="AH280" s="162" t="s">
        <v>7</v>
      </c>
      <c r="AI280" t="s">
        <v>9843</v>
      </c>
      <c r="AJ280" t="s">
        <v>7</v>
      </c>
      <c r="AK280" t="s">
        <v>1229</v>
      </c>
      <c r="AL280" t="s">
        <v>36</v>
      </c>
      <c r="AM280" s="162" t="s">
        <v>10138</v>
      </c>
      <c r="AN280" t="s">
        <v>9843</v>
      </c>
      <c r="AO280" t="s">
        <v>35</v>
      </c>
      <c r="AP280" t="s">
        <v>1104</v>
      </c>
      <c r="AQ280" t="s">
        <v>1080</v>
      </c>
      <c r="AR280" t="s">
        <v>7</v>
      </c>
      <c r="AS280" s="162" t="s">
        <v>7</v>
      </c>
      <c r="AT280" s="117" t="s">
        <v>7</v>
      </c>
      <c r="AU280" s="162" t="s">
        <v>7</v>
      </c>
      <c r="AV280" s="162" t="s">
        <v>7</v>
      </c>
      <c r="AW280" s="162" t="s">
        <v>9851</v>
      </c>
      <c r="AX280" s="162" t="s">
        <v>7</v>
      </c>
      <c r="AY280" s="162" t="s">
        <v>7</v>
      </c>
      <c r="AZ280" t="s">
        <v>7</v>
      </c>
      <c r="BA280" s="162" t="s">
        <v>7</v>
      </c>
      <c r="BB280" s="162" t="s">
        <v>7</v>
      </c>
      <c r="BC280" s="162" t="s">
        <v>7</v>
      </c>
      <c r="BD280" s="162" t="s">
        <v>7</v>
      </c>
      <c r="BE280" s="162" t="s">
        <v>7</v>
      </c>
      <c r="BF280" s="162" t="str">
        <f t="shared" si="8"/>
        <v>Sim</v>
      </c>
      <c r="BG280" s="162" t="str">
        <f t="shared" si="9"/>
        <v>Não</v>
      </c>
      <c r="BH280" s="162" t="s">
        <v>7</v>
      </c>
      <c r="BI280" t="s">
        <v>7</v>
      </c>
      <c r="BJ280" s="162" t="s">
        <v>7</v>
      </c>
      <c r="BK280" t="s">
        <v>1080</v>
      </c>
      <c r="BL280" s="162">
        <v>72</v>
      </c>
      <c r="BM280" t="s">
        <v>35</v>
      </c>
      <c r="BN280" t="s">
        <v>35</v>
      </c>
      <c r="BO280" t="s">
        <v>1080</v>
      </c>
      <c r="BP280" s="162">
        <v>72</v>
      </c>
      <c r="BQ280" t="s">
        <v>35</v>
      </c>
      <c r="BR280" t="s">
        <v>1849</v>
      </c>
      <c r="BS280" s="162" t="s">
        <v>10170</v>
      </c>
    </row>
    <row r="281" spans="1:71">
      <c r="A281" s="162">
        <v>280</v>
      </c>
      <c r="B281" t="s">
        <v>278</v>
      </c>
      <c r="C281" s="162">
        <v>1</v>
      </c>
      <c r="D281" s="122">
        <v>43379</v>
      </c>
      <c r="E281" t="s">
        <v>2056</v>
      </c>
      <c r="F281" t="s">
        <v>515</v>
      </c>
      <c r="G281" t="s">
        <v>291</v>
      </c>
      <c r="H281" t="s">
        <v>787</v>
      </c>
      <c r="I281" s="162">
        <v>1</v>
      </c>
      <c r="J281" t="s">
        <v>1855</v>
      </c>
      <c r="K281" t="s">
        <v>3</v>
      </c>
      <c r="L281" s="165">
        <v>32681</v>
      </c>
      <c r="M281" s="166">
        <v>29</v>
      </c>
      <c r="N281" t="s">
        <v>5</v>
      </c>
      <c r="O281" t="s">
        <v>10135</v>
      </c>
      <c r="P281" t="s">
        <v>1074</v>
      </c>
      <c r="Q281" t="s">
        <v>2057</v>
      </c>
      <c r="R281" t="s">
        <v>2080</v>
      </c>
      <c r="S281" s="162">
        <v>264.89999999999998</v>
      </c>
      <c r="T281">
        <v>0</v>
      </c>
      <c r="U281" s="162">
        <v>0</v>
      </c>
      <c r="V281">
        <v>0</v>
      </c>
      <c r="W281" s="162">
        <v>0</v>
      </c>
      <c r="X281">
        <v>0</v>
      </c>
      <c r="Y281" s="162">
        <v>0</v>
      </c>
      <c r="Z281">
        <v>0</v>
      </c>
      <c r="AA281" s="162">
        <v>0</v>
      </c>
      <c r="AB281">
        <v>0</v>
      </c>
      <c r="AC281" s="162" t="s">
        <v>7</v>
      </c>
      <c r="AD281" s="162" t="s">
        <v>7</v>
      </c>
      <c r="AE281" s="162" t="s">
        <v>7</v>
      </c>
      <c r="AF281" s="162" t="s">
        <v>7</v>
      </c>
      <c r="AG281" s="162" t="s">
        <v>7</v>
      </c>
      <c r="AH281" s="162" t="s">
        <v>7</v>
      </c>
      <c r="AI281" t="s">
        <v>9843</v>
      </c>
      <c r="AJ281" t="s">
        <v>7</v>
      </c>
      <c r="AK281" t="s">
        <v>1212</v>
      </c>
      <c r="AL281" t="s">
        <v>36</v>
      </c>
      <c r="AM281" s="162" t="s">
        <v>10138</v>
      </c>
      <c r="AN281" t="s">
        <v>9843</v>
      </c>
      <c r="AO281" t="s">
        <v>35</v>
      </c>
      <c r="AP281" t="s">
        <v>9860</v>
      </c>
      <c r="AQ281" t="s">
        <v>1080</v>
      </c>
      <c r="AR281" t="s">
        <v>7</v>
      </c>
      <c r="AS281" s="162" t="s">
        <v>7</v>
      </c>
      <c r="AT281" s="117" t="s">
        <v>7</v>
      </c>
      <c r="AU281" s="162" t="s">
        <v>7</v>
      </c>
      <c r="AV281" s="162" t="s">
        <v>7</v>
      </c>
      <c r="AW281" s="162" t="s">
        <v>9851</v>
      </c>
      <c r="AX281" s="162" t="s">
        <v>7</v>
      </c>
      <c r="AY281" s="162" t="s">
        <v>7</v>
      </c>
      <c r="AZ281" t="s">
        <v>7</v>
      </c>
      <c r="BA281" s="162" t="s">
        <v>7</v>
      </c>
      <c r="BB281" s="162" t="s">
        <v>7</v>
      </c>
      <c r="BC281" s="162" t="s">
        <v>7</v>
      </c>
      <c r="BD281" s="162" t="s">
        <v>7</v>
      </c>
      <c r="BE281" s="162" t="s">
        <v>7</v>
      </c>
      <c r="BF281" s="162" t="str">
        <f t="shared" si="8"/>
        <v>Sim</v>
      </c>
      <c r="BG281" s="162" t="str">
        <f t="shared" si="9"/>
        <v>Não</v>
      </c>
      <c r="BH281" s="162" t="s">
        <v>7</v>
      </c>
      <c r="BI281" t="s">
        <v>7</v>
      </c>
      <c r="BJ281" s="162" t="s">
        <v>7</v>
      </c>
      <c r="BK281" t="s">
        <v>1080</v>
      </c>
      <c r="BL281" s="162">
        <v>72</v>
      </c>
      <c r="BM281" t="s">
        <v>35</v>
      </c>
      <c r="BN281" t="s">
        <v>35</v>
      </c>
      <c r="BO281" t="s">
        <v>1080</v>
      </c>
      <c r="BP281" s="162">
        <v>72</v>
      </c>
      <c r="BQ281" t="s">
        <v>35</v>
      </c>
      <c r="BR281" t="s">
        <v>1849</v>
      </c>
      <c r="BS281" s="162" t="s">
        <v>10170</v>
      </c>
    </row>
    <row r="282" spans="1:71">
      <c r="A282" s="162">
        <v>281</v>
      </c>
      <c r="B282" t="s">
        <v>355</v>
      </c>
      <c r="C282" s="162">
        <v>1</v>
      </c>
      <c r="D282" s="122" t="s">
        <v>960</v>
      </c>
      <c r="E282" t="s">
        <v>949</v>
      </c>
      <c r="F282" t="s">
        <v>3</v>
      </c>
      <c r="G282" t="s">
        <v>364</v>
      </c>
      <c r="H282" t="s">
        <v>961</v>
      </c>
      <c r="I282" s="162">
        <v>1</v>
      </c>
      <c r="J282" t="s">
        <v>1855</v>
      </c>
      <c r="K282" t="s">
        <v>3</v>
      </c>
      <c r="L282" s="165">
        <v>26868</v>
      </c>
      <c r="M282" s="166">
        <v>43</v>
      </c>
      <c r="N282" t="s">
        <v>5</v>
      </c>
      <c r="O282" t="s">
        <v>10135</v>
      </c>
      <c r="P282" t="s">
        <v>48</v>
      </c>
      <c r="Q282" t="s">
        <v>1207</v>
      </c>
      <c r="R282" t="s">
        <v>1208</v>
      </c>
      <c r="S282" s="162">
        <v>800.5</v>
      </c>
      <c r="T282" t="s">
        <v>1209</v>
      </c>
      <c r="U282" s="162">
        <v>13.3</v>
      </c>
      <c r="V282">
        <v>0</v>
      </c>
      <c r="W282" s="162">
        <v>0</v>
      </c>
      <c r="X282">
        <v>0</v>
      </c>
      <c r="Y282" s="162">
        <v>0</v>
      </c>
      <c r="Z282">
        <v>0</v>
      </c>
      <c r="AA282" s="162">
        <v>0</v>
      </c>
      <c r="AB282">
        <v>0</v>
      </c>
      <c r="AC282" s="162" t="s">
        <v>7</v>
      </c>
      <c r="AD282" s="162" t="s">
        <v>7</v>
      </c>
      <c r="AE282" s="162" t="s">
        <v>7</v>
      </c>
      <c r="AF282" s="162" t="s">
        <v>7</v>
      </c>
      <c r="AG282" s="162" t="s">
        <v>7</v>
      </c>
      <c r="AH282" s="162" t="s">
        <v>7</v>
      </c>
      <c r="AI282" t="s">
        <v>9843</v>
      </c>
      <c r="AJ282" t="s">
        <v>7</v>
      </c>
      <c r="AK282" t="s">
        <v>1648</v>
      </c>
      <c r="AL282" t="s">
        <v>36</v>
      </c>
      <c r="AM282" s="162" t="s">
        <v>10138</v>
      </c>
      <c r="AN282" t="s">
        <v>9843</v>
      </c>
      <c r="AO282" t="s">
        <v>35</v>
      </c>
      <c r="AP282" t="s">
        <v>1104</v>
      </c>
      <c r="AQ282" t="s">
        <v>1080</v>
      </c>
      <c r="AR282" t="s">
        <v>7</v>
      </c>
      <c r="AS282" s="162" t="s">
        <v>7</v>
      </c>
      <c r="AT282" s="117" t="s">
        <v>7</v>
      </c>
      <c r="AU282" s="162" t="s">
        <v>7</v>
      </c>
      <c r="AV282" s="162" t="s">
        <v>7</v>
      </c>
      <c r="AW282" s="162" t="s">
        <v>9851</v>
      </c>
      <c r="AX282" s="162" t="s">
        <v>7</v>
      </c>
      <c r="AY282" s="162" t="s">
        <v>7</v>
      </c>
      <c r="AZ282" t="s">
        <v>7</v>
      </c>
      <c r="BA282" s="162" t="s">
        <v>7</v>
      </c>
      <c r="BB282" s="162" t="s">
        <v>7</v>
      </c>
      <c r="BC282" s="162" t="s">
        <v>7</v>
      </c>
      <c r="BD282" s="162" t="s">
        <v>7</v>
      </c>
      <c r="BE282" s="162" t="s">
        <v>7</v>
      </c>
      <c r="BF282" s="162" t="str">
        <f t="shared" si="8"/>
        <v>Sim</v>
      </c>
      <c r="BG282" s="162" t="str">
        <f t="shared" si="9"/>
        <v>Não</v>
      </c>
      <c r="BH282" s="162" t="s">
        <v>7</v>
      </c>
      <c r="BI282" t="s">
        <v>7</v>
      </c>
      <c r="BJ282" s="162" t="s">
        <v>7</v>
      </c>
      <c r="BK282" t="s">
        <v>1080</v>
      </c>
      <c r="BL282" s="162">
        <v>72</v>
      </c>
      <c r="BM282" t="s">
        <v>35</v>
      </c>
      <c r="BN282" t="s">
        <v>35</v>
      </c>
      <c r="BO282" t="s">
        <v>1080</v>
      </c>
      <c r="BP282" s="162">
        <v>72</v>
      </c>
      <c r="BQ282" t="s">
        <v>35</v>
      </c>
      <c r="BR282" t="s">
        <v>1849</v>
      </c>
      <c r="BS282" s="162" t="s">
        <v>10170</v>
      </c>
    </row>
    <row r="283" spans="1:71">
      <c r="A283" s="162">
        <v>282</v>
      </c>
      <c r="B283" t="s">
        <v>259</v>
      </c>
      <c r="C283" s="162">
        <v>1</v>
      </c>
      <c r="D283" s="122" t="s">
        <v>542</v>
      </c>
      <c r="E283" t="s">
        <v>723</v>
      </c>
      <c r="F283" t="s">
        <v>3</v>
      </c>
      <c r="G283" t="s">
        <v>264</v>
      </c>
      <c r="H283" t="s">
        <v>734</v>
      </c>
      <c r="I283" s="162">
        <v>1</v>
      </c>
      <c r="J283" t="s">
        <v>1855</v>
      </c>
      <c r="K283" t="s">
        <v>3</v>
      </c>
      <c r="L283" s="165">
        <v>26390</v>
      </c>
      <c r="M283" s="166">
        <v>45</v>
      </c>
      <c r="N283" t="s">
        <v>1093</v>
      </c>
      <c r="O283" t="s">
        <v>10135</v>
      </c>
      <c r="P283" t="s">
        <v>48</v>
      </c>
      <c r="Q283" t="s">
        <v>1186</v>
      </c>
      <c r="R283">
        <v>0</v>
      </c>
      <c r="S283" s="162">
        <v>0</v>
      </c>
      <c r="T283" t="s">
        <v>9949</v>
      </c>
      <c r="U283" s="162">
        <v>45.1</v>
      </c>
      <c r="V283">
        <v>0</v>
      </c>
      <c r="W283" s="162">
        <v>0</v>
      </c>
      <c r="X283">
        <v>0</v>
      </c>
      <c r="Y283" s="162">
        <v>0</v>
      </c>
      <c r="Z283">
        <v>0</v>
      </c>
      <c r="AA283" s="162">
        <v>0</v>
      </c>
      <c r="AB283">
        <v>0</v>
      </c>
      <c r="AC283" s="162" t="s">
        <v>7</v>
      </c>
      <c r="AD283" s="162" t="s">
        <v>7</v>
      </c>
      <c r="AE283" s="162" t="s">
        <v>7</v>
      </c>
      <c r="AF283" s="162" t="s">
        <v>7</v>
      </c>
      <c r="AG283" s="162" t="s">
        <v>7</v>
      </c>
      <c r="AH283" s="162" t="s">
        <v>7</v>
      </c>
      <c r="AI283" t="s">
        <v>9843</v>
      </c>
      <c r="AJ283" t="s">
        <v>7</v>
      </c>
      <c r="AK283" t="s">
        <v>80</v>
      </c>
      <c r="AL283" t="s">
        <v>36</v>
      </c>
      <c r="AM283" s="162" t="s">
        <v>10138</v>
      </c>
      <c r="AN283" t="s">
        <v>9843</v>
      </c>
      <c r="AO283" t="s">
        <v>35</v>
      </c>
      <c r="AP283" t="s">
        <v>7</v>
      </c>
      <c r="AQ283" t="s">
        <v>9</v>
      </c>
      <c r="AR283" t="s">
        <v>1097</v>
      </c>
      <c r="AS283" s="162" t="s">
        <v>9851</v>
      </c>
      <c r="AT283" s="117" t="s">
        <v>7</v>
      </c>
      <c r="AU283" s="162" t="s">
        <v>7</v>
      </c>
      <c r="AV283" s="162" t="s">
        <v>7</v>
      </c>
      <c r="AW283" s="162" t="s">
        <v>9851</v>
      </c>
      <c r="AX283" s="162" t="s">
        <v>7</v>
      </c>
      <c r="AY283" s="162" t="s">
        <v>7</v>
      </c>
      <c r="AZ283" t="s">
        <v>7</v>
      </c>
      <c r="BA283" s="162" t="s">
        <v>7</v>
      </c>
      <c r="BB283" s="162" t="s">
        <v>7</v>
      </c>
      <c r="BC283" s="162" t="s">
        <v>7</v>
      </c>
      <c r="BD283" s="162" t="s">
        <v>7</v>
      </c>
      <c r="BE283" s="162" t="s">
        <v>7</v>
      </c>
      <c r="BF283" s="162" t="str">
        <f t="shared" si="8"/>
        <v>Sim</v>
      </c>
      <c r="BG283" s="162" t="str">
        <f t="shared" si="9"/>
        <v>Não</v>
      </c>
      <c r="BH283" s="162" t="s">
        <v>7</v>
      </c>
      <c r="BI283" t="s">
        <v>9872</v>
      </c>
      <c r="BJ283" s="162" t="s">
        <v>10165</v>
      </c>
      <c r="BK283" t="s">
        <v>1080</v>
      </c>
      <c r="BL283" s="162">
        <v>72</v>
      </c>
      <c r="BM283" t="s">
        <v>35</v>
      </c>
      <c r="BN283" t="s">
        <v>35</v>
      </c>
      <c r="BO283" t="s">
        <v>1080</v>
      </c>
      <c r="BP283" s="162">
        <v>72</v>
      </c>
      <c r="BQ283" t="s">
        <v>35</v>
      </c>
      <c r="BR283" t="s">
        <v>1849</v>
      </c>
      <c r="BS283" s="162" t="s">
        <v>10170</v>
      </c>
    </row>
    <row r="284" spans="1:71">
      <c r="A284" s="162">
        <v>283</v>
      </c>
      <c r="B284" t="s">
        <v>151</v>
      </c>
      <c r="C284" s="162">
        <v>1</v>
      </c>
      <c r="D284" s="122" t="s">
        <v>505</v>
      </c>
      <c r="E284" t="s">
        <v>551</v>
      </c>
      <c r="F284" t="s">
        <v>3</v>
      </c>
      <c r="G284" t="s">
        <v>155</v>
      </c>
      <c r="H284" t="s">
        <v>561</v>
      </c>
      <c r="I284" s="162">
        <v>1</v>
      </c>
      <c r="J284" t="s">
        <v>1855</v>
      </c>
      <c r="K284" t="s">
        <v>3</v>
      </c>
      <c r="L284" s="165">
        <v>32079</v>
      </c>
      <c r="M284" s="166">
        <v>30</v>
      </c>
      <c r="N284" t="s">
        <v>4</v>
      </c>
      <c r="O284" t="s">
        <v>10134</v>
      </c>
      <c r="P284" t="s">
        <v>48</v>
      </c>
      <c r="Q284" t="s">
        <v>1767</v>
      </c>
      <c r="R284" t="s">
        <v>1769</v>
      </c>
      <c r="S284" s="162">
        <v>39.299999999999997</v>
      </c>
      <c r="T284" t="s">
        <v>1770</v>
      </c>
      <c r="U284" s="162">
        <v>27.4</v>
      </c>
      <c r="V284">
        <v>0</v>
      </c>
      <c r="W284" s="162">
        <v>0</v>
      </c>
      <c r="X284">
        <v>0</v>
      </c>
      <c r="Y284" s="162">
        <v>0</v>
      </c>
      <c r="Z284">
        <v>0</v>
      </c>
      <c r="AA284" s="162">
        <v>0</v>
      </c>
      <c r="AB284" t="s">
        <v>1768</v>
      </c>
      <c r="AC284" s="162" t="s">
        <v>7</v>
      </c>
      <c r="AD284" s="162" t="s">
        <v>7</v>
      </c>
      <c r="AE284" s="162" t="s">
        <v>7</v>
      </c>
      <c r="AF284" s="162" t="s">
        <v>7</v>
      </c>
      <c r="AG284" s="162" t="s">
        <v>9851</v>
      </c>
      <c r="AH284" s="162" t="s">
        <v>7</v>
      </c>
      <c r="AI284" t="s">
        <v>9843</v>
      </c>
      <c r="AJ284" t="s">
        <v>7</v>
      </c>
      <c r="AK284" t="s">
        <v>1666</v>
      </c>
      <c r="AL284" t="s">
        <v>36</v>
      </c>
      <c r="AM284" s="162" t="s">
        <v>10138</v>
      </c>
      <c r="AN284" t="s">
        <v>9843</v>
      </c>
      <c r="AO284" t="s">
        <v>35</v>
      </c>
      <c r="AP284" t="s">
        <v>7</v>
      </c>
      <c r="AQ284" t="s">
        <v>9</v>
      </c>
      <c r="AR284" t="s">
        <v>1097</v>
      </c>
      <c r="AS284" s="162" t="s">
        <v>9851</v>
      </c>
      <c r="AT284" s="117" t="s">
        <v>7</v>
      </c>
      <c r="AU284" s="162" t="s">
        <v>7</v>
      </c>
      <c r="AV284" s="162" t="s">
        <v>7</v>
      </c>
      <c r="AW284" s="162" t="s">
        <v>9851</v>
      </c>
      <c r="AX284" s="162" t="s">
        <v>7</v>
      </c>
      <c r="AY284" s="162" t="s">
        <v>7</v>
      </c>
      <c r="AZ284" t="s">
        <v>7</v>
      </c>
      <c r="BA284" s="162" t="s">
        <v>7</v>
      </c>
      <c r="BB284" s="162" t="s">
        <v>7</v>
      </c>
      <c r="BC284" s="162" t="s">
        <v>7</v>
      </c>
      <c r="BD284" s="162" t="s">
        <v>7</v>
      </c>
      <c r="BE284" s="162" t="s">
        <v>7</v>
      </c>
      <c r="BF284" s="162" t="str">
        <f t="shared" si="8"/>
        <v>Sim</v>
      </c>
      <c r="BG284" s="162" t="str">
        <f t="shared" si="9"/>
        <v>Não</v>
      </c>
      <c r="BH284" s="162" t="s">
        <v>7</v>
      </c>
      <c r="BI284" t="s">
        <v>9872</v>
      </c>
      <c r="BJ284" s="162" t="s">
        <v>10165</v>
      </c>
      <c r="BK284" t="s">
        <v>1080</v>
      </c>
      <c r="BL284" s="162">
        <v>72</v>
      </c>
      <c r="BM284" t="s">
        <v>35</v>
      </c>
      <c r="BN284" t="s">
        <v>35</v>
      </c>
      <c r="BO284" t="s">
        <v>1080</v>
      </c>
      <c r="BP284" s="162">
        <v>72</v>
      </c>
      <c r="BQ284" t="s">
        <v>35</v>
      </c>
      <c r="BR284" t="s">
        <v>1849</v>
      </c>
      <c r="BS284" s="162" t="s">
        <v>10170</v>
      </c>
    </row>
    <row r="285" spans="1:71">
      <c r="A285" s="162">
        <v>284</v>
      </c>
      <c r="B285" t="s">
        <v>339</v>
      </c>
      <c r="C285" s="162">
        <v>0</v>
      </c>
      <c r="D285" s="122" t="s">
        <v>861</v>
      </c>
      <c r="E285" t="s">
        <v>858</v>
      </c>
      <c r="F285" t="s">
        <v>515</v>
      </c>
      <c r="G285" t="s">
        <v>348</v>
      </c>
      <c r="H285" t="s">
        <v>863</v>
      </c>
      <c r="I285" s="162">
        <v>1</v>
      </c>
      <c r="J285" t="s">
        <v>1855</v>
      </c>
      <c r="K285" t="s">
        <v>3</v>
      </c>
      <c r="L285" s="165">
        <v>34912</v>
      </c>
      <c r="M285" s="166">
        <v>21</v>
      </c>
      <c r="N285" t="s">
        <v>5</v>
      </c>
      <c r="O285" t="s">
        <v>10135</v>
      </c>
      <c r="P285" t="s">
        <v>1101</v>
      </c>
      <c r="Q285" t="s">
        <v>1621</v>
      </c>
      <c r="R285" t="s">
        <v>1622</v>
      </c>
      <c r="S285" s="162">
        <v>1841.9</v>
      </c>
      <c r="T285" t="s">
        <v>1623</v>
      </c>
      <c r="U285" s="162">
        <v>2883</v>
      </c>
      <c r="V285">
        <v>0</v>
      </c>
      <c r="W285" s="162">
        <v>0</v>
      </c>
      <c r="X285">
        <v>0</v>
      </c>
      <c r="Y285" s="162">
        <v>0</v>
      </c>
      <c r="Z285">
        <v>0</v>
      </c>
      <c r="AA285" s="162">
        <v>0</v>
      </c>
      <c r="AB285">
        <v>0</v>
      </c>
      <c r="AC285" s="162" t="s">
        <v>7</v>
      </c>
      <c r="AD285" s="162" t="s">
        <v>7</v>
      </c>
      <c r="AE285" s="162" t="s">
        <v>7</v>
      </c>
      <c r="AF285" s="162" t="s">
        <v>7</v>
      </c>
      <c r="AG285" s="162" t="s">
        <v>7</v>
      </c>
      <c r="AH285" s="162" t="s">
        <v>7</v>
      </c>
      <c r="AI285" t="s">
        <v>9843</v>
      </c>
      <c r="AJ285" t="s">
        <v>7</v>
      </c>
      <c r="AK285" t="s">
        <v>1370</v>
      </c>
      <c r="AL285" t="s">
        <v>36</v>
      </c>
      <c r="AM285" s="162" t="s">
        <v>10138</v>
      </c>
      <c r="AN285" t="s">
        <v>9843</v>
      </c>
      <c r="AO285" t="s">
        <v>35</v>
      </c>
      <c r="AP285" t="s">
        <v>1643</v>
      </c>
      <c r="AQ285" t="s">
        <v>1080</v>
      </c>
      <c r="AR285" t="s">
        <v>7</v>
      </c>
      <c r="AS285" s="162" t="s">
        <v>7</v>
      </c>
      <c r="AT285" s="117" t="s">
        <v>7</v>
      </c>
      <c r="AU285" s="162" t="s">
        <v>7</v>
      </c>
      <c r="AV285" s="162" t="s">
        <v>7</v>
      </c>
      <c r="AW285" s="162" t="s">
        <v>9851</v>
      </c>
      <c r="AX285" s="162" t="s">
        <v>7</v>
      </c>
      <c r="AY285" s="162" t="s">
        <v>7</v>
      </c>
      <c r="AZ285" t="s">
        <v>7</v>
      </c>
      <c r="BA285" s="162" t="s">
        <v>7</v>
      </c>
      <c r="BB285" s="162" t="s">
        <v>7</v>
      </c>
      <c r="BC285" s="162" t="s">
        <v>7</v>
      </c>
      <c r="BD285" s="162" t="s">
        <v>7</v>
      </c>
      <c r="BE285" s="162" t="s">
        <v>7</v>
      </c>
      <c r="BF285" s="162" t="str">
        <f t="shared" si="8"/>
        <v>Sim</v>
      </c>
      <c r="BG285" s="162" t="str">
        <f t="shared" si="9"/>
        <v>Não</v>
      </c>
      <c r="BH285" s="162" t="s">
        <v>7</v>
      </c>
      <c r="BI285" t="s">
        <v>7</v>
      </c>
      <c r="BJ285" s="162" t="s">
        <v>7</v>
      </c>
      <c r="BK285" t="s">
        <v>1080</v>
      </c>
      <c r="BL285" s="162">
        <v>72</v>
      </c>
      <c r="BM285" t="s">
        <v>35</v>
      </c>
      <c r="BN285" t="s">
        <v>35</v>
      </c>
      <c r="BO285" t="s">
        <v>1080</v>
      </c>
      <c r="BP285" s="162">
        <v>72</v>
      </c>
      <c r="BQ285" t="s">
        <v>35</v>
      </c>
      <c r="BR285" t="s">
        <v>1849</v>
      </c>
      <c r="BS285" s="162" t="s">
        <v>10170</v>
      </c>
    </row>
    <row r="286" spans="1:71">
      <c r="A286" s="162">
        <v>285</v>
      </c>
      <c r="B286" t="s">
        <v>338</v>
      </c>
      <c r="C286" s="162">
        <v>1</v>
      </c>
      <c r="D286" s="122" t="s">
        <v>634</v>
      </c>
      <c r="E286" t="s">
        <v>858</v>
      </c>
      <c r="F286" t="s">
        <v>515</v>
      </c>
      <c r="G286" t="s">
        <v>348</v>
      </c>
      <c r="H286" t="s">
        <v>860</v>
      </c>
      <c r="I286" s="162">
        <v>1</v>
      </c>
      <c r="J286" t="s">
        <v>1855</v>
      </c>
      <c r="K286" t="s">
        <v>3</v>
      </c>
      <c r="L286" s="165">
        <v>33577</v>
      </c>
      <c r="M286" s="166">
        <v>25</v>
      </c>
      <c r="N286" t="s">
        <v>4</v>
      </c>
      <c r="O286" t="s">
        <v>10134</v>
      </c>
      <c r="P286" t="s">
        <v>48</v>
      </c>
      <c r="Q286" t="s">
        <v>1615</v>
      </c>
      <c r="R286" t="s">
        <v>1616</v>
      </c>
      <c r="S286" s="162">
        <v>99.7</v>
      </c>
      <c r="T286" t="s">
        <v>1617</v>
      </c>
      <c r="U286" s="162">
        <v>14.6</v>
      </c>
      <c r="V286" t="s">
        <v>1618</v>
      </c>
      <c r="W286" s="162">
        <v>0.1</v>
      </c>
      <c r="X286">
        <v>0</v>
      </c>
      <c r="Y286" s="162">
        <v>0</v>
      </c>
      <c r="Z286">
        <v>0</v>
      </c>
      <c r="AA286" s="162">
        <v>0</v>
      </c>
      <c r="AB286" t="s">
        <v>1619</v>
      </c>
      <c r="AC286" s="162" t="s">
        <v>7</v>
      </c>
      <c r="AD286" s="162" t="s">
        <v>7</v>
      </c>
      <c r="AE286" s="162" t="s">
        <v>7</v>
      </c>
      <c r="AF286" s="162" t="s">
        <v>7</v>
      </c>
      <c r="AG286" s="162" t="s">
        <v>9851</v>
      </c>
      <c r="AH286" s="162" t="s">
        <v>7</v>
      </c>
      <c r="AI286" t="s">
        <v>9843</v>
      </c>
      <c r="AJ286" t="s">
        <v>7</v>
      </c>
      <c r="AK286" t="s">
        <v>1620</v>
      </c>
      <c r="AL286" t="s">
        <v>36</v>
      </c>
      <c r="AM286" s="162" t="s">
        <v>10138</v>
      </c>
      <c r="AN286" t="s">
        <v>9843</v>
      </c>
      <c r="AO286" t="s">
        <v>35</v>
      </c>
      <c r="AP286" t="s">
        <v>9794</v>
      </c>
      <c r="AQ286" t="s">
        <v>1080</v>
      </c>
      <c r="AR286" t="s">
        <v>1097</v>
      </c>
      <c r="AS286" s="162" t="s">
        <v>9851</v>
      </c>
      <c r="AT286" s="117" t="s">
        <v>1111</v>
      </c>
      <c r="AU286" s="162" t="s">
        <v>9851</v>
      </c>
      <c r="AV286" s="162" t="s">
        <v>7</v>
      </c>
      <c r="AW286" s="162" t="s">
        <v>7</v>
      </c>
      <c r="AX286" s="162" t="s">
        <v>7</v>
      </c>
      <c r="AY286" s="162" t="s">
        <v>9851</v>
      </c>
      <c r="AZ286" t="s">
        <v>7</v>
      </c>
      <c r="BA286" s="162" t="s">
        <v>7</v>
      </c>
      <c r="BB286" s="162" t="s">
        <v>7</v>
      </c>
      <c r="BC286" s="162" t="s">
        <v>7</v>
      </c>
      <c r="BD286" s="162" t="s">
        <v>7</v>
      </c>
      <c r="BE286" s="162" t="s">
        <v>7</v>
      </c>
      <c r="BF286" s="162" t="str">
        <f t="shared" si="8"/>
        <v>Sim</v>
      </c>
      <c r="BG286" s="162" t="str">
        <f t="shared" si="9"/>
        <v>Não</v>
      </c>
      <c r="BH286" s="162" t="s">
        <v>7</v>
      </c>
      <c r="BI286" t="s">
        <v>9872</v>
      </c>
      <c r="BJ286" s="162" t="s">
        <v>10165</v>
      </c>
      <c r="BK286" t="s">
        <v>1080</v>
      </c>
      <c r="BL286" s="162">
        <v>72</v>
      </c>
      <c r="BM286" t="s">
        <v>35</v>
      </c>
      <c r="BN286" t="s">
        <v>35</v>
      </c>
      <c r="BO286" t="s">
        <v>1080</v>
      </c>
      <c r="BP286" s="162">
        <v>72</v>
      </c>
      <c r="BQ286" t="s">
        <v>35</v>
      </c>
      <c r="BR286" t="s">
        <v>1849</v>
      </c>
      <c r="BS286" s="162" t="s">
        <v>10170</v>
      </c>
    </row>
    <row r="287" spans="1:71">
      <c r="A287" s="162">
        <v>286</v>
      </c>
      <c r="B287" t="s">
        <v>150</v>
      </c>
      <c r="C287" s="162">
        <v>0</v>
      </c>
      <c r="D287" s="122" t="s">
        <v>558</v>
      </c>
      <c r="E287" t="s">
        <v>540</v>
      </c>
      <c r="F287" t="s">
        <v>3</v>
      </c>
      <c r="G287" t="s">
        <v>155</v>
      </c>
      <c r="H287" t="s">
        <v>560</v>
      </c>
      <c r="I287" s="162">
        <v>1</v>
      </c>
      <c r="J287" t="s">
        <v>1855</v>
      </c>
      <c r="K287" t="s">
        <v>3</v>
      </c>
      <c r="L287" s="165">
        <v>31515</v>
      </c>
      <c r="M287" s="166">
        <v>30</v>
      </c>
      <c r="N287" t="s">
        <v>5</v>
      </c>
      <c r="O287" t="s">
        <v>10135</v>
      </c>
      <c r="P287" t="s">
        <v>48</v>
      </c>
      <c r="Q287" t="s">
        <v>1213</v>
      </c>
      <c r="R287" t="s">
        <v>1766</v>
      </c>
      <c r="S287" s="162">
        <v>20.9</v>
      </c>
      <c r="T287">
        <v>0</v>
      </c>
      <c r="U287" s="162">
        <v>0</v>
      </c>
      <c r="V287" t="s">
        <v>1764</v>
      </c>
      <c r="W287" s="162">
        <v>3</v>
      </c>
      <c r="X287">
        <v>0</v>
      </c>
      <c r="Y287" s="162">
        <v>0</v>
      </c>
      <c r="Z287">
        <v>0</v>
      </c>
      <c r="AA287" s="162">
        <v>0</v>
      </c>
      <c r="AB287">
        <v>0</v>
      </c>
      <c r="AC287" s="162" t="s">
        <v>7</v>
      </c>
      <c r="AD287" s="162" t="s">
        <v>7</v>
      </c>
      <c r="AE287" s="162" t="s">
        <v>7</v>
      </c>
      <c r="AF287" s="162" t="s">
        <v>7</v>
      </c>
      <c r="AG287" s="162" t="s">
        <v>7</v>
      </c>
      <c r="AH287" s="162" t="s">
        <v>7</v>
      </c>
      <c r="AI287" t="s">
        <v>9843</v>
      </c>
      <c r="AJ287" t="s">
        <v>7</v>
      </c>
      <c r="AK287" t="s">
        <v>1082</v>
      </c>
      <c r="AL287" t="s">
        <v>36</v>
      </c>
      <c r="AM287" s="162" t="s">
        <v>10138</v>
      </c>
      <c r="AN287" t="s">
        <v>9843</v>
      </c>
      <c r="AO287" t="s">
        <v>35</v>
      </c>
      <c r="AP287" t="s">
        <v>7</v>
      </c>
      <c r="AQ287" t="s">
        <v>9</v>
      </c>
      <c r="AR287" t="s">
        <v>1097</v>
      </c>
      <c r="AS287" s="162" t="s">
        <v>9851</v>
      </c>
      <c r="AT287" s="117" t="s">
        <v>7</v>
      </c>
      <c r="AU287" s="162" t="s">
        <v>7</v>
      </c>
      <c r="AV287" s="162" t="s">
        <v>7</v>
      </c>
      <c r="AW287" s="162" t="s">
        <v>9851</v>
      </c>
      <c r="AX287" s="162" t="s">
        <v>7</v>
      </c>
      <c r="AY287" s="162" t="s">
        <v>7</v>
      </c>
      <c r="AZ287" t="s">
        <v>7</v>
      </c>
      <c r="BA287" s="162" t="s">
        <v>7</v>
      </c>
      <c r="BB287" s="162" t="s">
        <v>7</v>
      </c>
      <c r="BC287" s="162" t="s">
        <v>7</v>
      </c>
      <c r="BD287" s="162" t="s">
        <v>7</v>
      </c>
      <c r="BE287" s="162" t="s">
        <v>7</v>
      </c>
      <c r="BF287" s="162" t="str">
        <f t="shared" si="8"/>
        <v>Sim</v>
      </c>
      <c r="BG287" s="162" t="str">
        <f t="shared" si="9"/>
        <v>Não</v>
      </c>
      <c r="BH287" s="162" t="s">
        <v>7</v>
      </c>
      <c r="BI287" t="s">
        <v>9872</v>
      </c>
      <c r="BJ287" s="162" t="s">
        <v>10165</v>
      </c>
      <c r="BK287" t="s">
        <v>1080</v>
      </c>
      <c r="BL287" s="162">
        <v>72</v>
      </c>
      <c r="BM287" t="s">
        <v>35</v>
      </c>
      <c r="BN287" t="s">
        <v>35</v>
      </c>
      <c r="BO287" t="s">
        <v>1080</v>
      </c>
      <c r="BP287" s="162">
        <v>72</v>
      </c>
      <c r="BQ287" t="s">
        <v>35</v>
      </c>
      <c r="BR287" t="s">
        <v>1849</v>
      </c>
      <c r="BS287" s="162" t="s">
        <v>10170</v>
      </c>
    </row>
    <row r="288" spans="1:71">
      <c r="A288" s="162">
        <v>287</v>
      </c>
      <c r="B288" t="s">
        <v>206</v>
      </c>
      <c r="C288" s="162">
        <v>1</v>
      </c>
      <c r="D288" s="122" t="s">
        <v>664</v>
      </c>
      <c r="E288" t="s">
        <v>652</v>
      </c>
      <c r="F288" t="s">
        <v>3</v>
      </c>
      <c r="G288" t="s">
        <v>214</v>
      </c>
      <c r="H288" t="s">
        <v>665</v>
      </c>
      <c r="I288" s="162">
        <v>1</v>
      </c>
      <c r="J288" t="s">
        <v>1855</v>
      </c>
      <c r="K288" t="s">
        <v>3</v>
      </c>
      <c r="L288" s="165">
        <v>33720</v>
      </c>
      <c r="M288" s="166">
        <v>24</v>
      </c>
      <c r="N288" t="s">
        <v>5</v>
      </c>
      <c r="O288" t="s">
        <v>10135</v>
      </c>
      <c r="P288" t="s">
        <v>1101</v>
      </c>
      <c r="Q288" t="s">
        <v>1721</v>
      </c>
      <c r="R288">
        <v>0</v>
      </c>
      <c r="S288" s="162">
        <v>0</v>
      </c>
      <c r="T288" t="s">
        <v>9918</v>
      </c>
      <c r="U288" s="162">
        <v>18.7</v>
      </c>
      <c r="V288" t="s">
        <v>9919</v>
      </c>
      <c r="W288" s="162">
        <v>5.3</v>
      </c>
      <c r="X288">
        <v>0</v>
      </c>
      <c r="Y288" s="162">
        <v>0</v>
      </c>
      <c r="Z288">
        <v>0</v>
      </c>
      <c r="AA288" s="162">
        <v>0</v>
      </c>
      <c r="AB288" t="s">
        <v>9920</v>
      </c>
      <c r="AC288" s="162" t="s">
        <v>7</v>
      </c>
      <c r="AD288" s="162" t="s">
        <v>7</v>
      </c>
      <c r="AE288" s="162" t="s">
        <v>7</v>
      </c>
      <c r="AF288" s="162" t="s">
        <v>7</v>
      </c>
      <c r="AG288" s="162" t="s">
        <v>9851</v>
      </c>
      <c r="AH288" s="162" t="s">
        <v>7</v>
      </c>
      <c r="AI288" t="s">
        <v>9843</v>
      </c>
      <c r="AJ288" t="s">
        <v>7</v>
      </c>
      <c r="AK288" t="s">
        <v>80</v>
      </c>
      <c r="AL288" t="s">
        <v>36</v>
      </c>
      <c r="AM288" s="162" t="s">
        <v>10138</v>
      </c>
      <c r="AN288" t="s">
        <v>9843</v>
      </c>
      <c r="AO288" t="s">
        <v>35</v>
      </c>
      <c r="AP288" t="s">
        <v>7</v>
      </c>
      <c r="AQ288" t="s">
        <v>9</v>
      </c>
      <c r="AR288" t="s">
        <v>1097</v>
      </c>
      <c r="AS288" s="162" t="s">
        <v>9851</v>
      </c>
      <c r="AT288" s="117" t="s">
        <v>7</v>
      </c>
      <c r="AU288" s="162" t="s">
        <v>7</v>
      </c>
      <c r="AV288" s="162" t="s">
        <v>7</v>
      </c>
      <c r="AW288" s="162" t="s">
        <v>9851</v>
      </c>
      <c r="AX288" s="162" t="s">
        <v>7</v>
      </c>
      <c r="AY288" s="162" t="s">
        <v>7</v>
      </c>
      <c r="AZ288" t="s">
        <v>7</v>
      </c>
      <c r="BA288" s="162" t="s">
        <v>7</v>
      </c>
      <c r="BB288" s="162" t="s">
        <v>7</v>
      </c>
      <c r="BC288" s="162" t="s">
        <v>7</v>
      </c>
      <c r="BD288" s="162" t="s">
        <v>7</v>
      </c>
      <c r="BE288" s="162" t="s">
        <v>7</v>
      </c>
      <c r="BF288" s="162" t="str">
        <f t="shared" si="8"/>
        <v>Sim</v>
      </c>
      <c r="BG288" s="162" t="str">
        <f t="shared" si="9"/>
        <v>Não</v>
      </c>
      <c r="BH288" s="162" t="s">
        <v>7</v>
      </c>
      <c r="BI288" t="s">
        <v>9872</v>
      </c>
      <c r="BJ288" s="162" t="s">
        <v>10165</v>
      </c>
      <c r="BK288" t="s">
        <v>1080</v>
      </c>
      <c r="BL288" s="162">
        <v>72</v>
      </c>
      <c r="BM288" t="s">
        <v>35</v>
      </c>
      <c r="BN288" t="s">
        <v>35</v>
      </c>
      <c r="BO288" t="s">
        <v>1080</v>
      </c>
      <c r="BP288" s="162">
        <v>72</v>
      </c>
      <c r="BQ288" t="s">
        <v>35</v>
      </c>
      <c r="BR288" t="s">
        <v>1849</v>
      </c>
      <c r="BS288" s="162" t="s">
        <v>10170</v>
      </c>
    </row>
    <row r="289" spans="1:71">
      <c r="A289" s="162">
        <v>288</v>
      </c>
      <c r="B289" t="s">
        <v>256</v>
      </c>
      <c r="C289" s="162">
        <v>0</v>
      </c>
      <c r="D289" s="122" t="s">
        <v>501</v>
      </c>
      <c r="E289" t="s">
        <v>728</v>
      </c>
      <c r="F289" t="s">
        <v>3</v>
      </c>
      <c r="G289" t="s">
        <v>264</v>
      </c>
      <c r="H289" t="s">
        <v>731</v>
      </c>
      <c r="I289" s="162">
        <v>1</v>
      </c>
      <c r="J289" t="s">
        <v>76</v>
      </c>
      <c r="K289" t="s">
        <v>3</v>
      </c>
      <c r="L289" s="165">
        <v>33821</v>
      </c>
      <c r="M289" s="166">
        <v>24</v>
      </c>
      <c r="N289" t="s">
        <v>5</v>
      </c>
      <c r="O289" t="s">
        <v>10135</v>
      </c>
      <c r="P289" t="s">
        <v>1101</v>
      </c>
      <c r="Q289" t="s">
        <v>1186</v>
      </c>
      <c r="R289">
        <v>0</v>
      </c>
      <c r="S289" s="162">
        <v>0</v>
      </c>
      <c r="T289">
        <v>0</v>
      </c>
      <c r="U289" s="162">
        <v>0</v>
      </c>
      <c r="V289" t="s">
        <v>9945</v>
      </c>
      <c r="W289" s="162">
        <v>512.79999999999995</v>
      </c>
      <c r="X289">
        <v>0</v>
      </c>
      <c r="Y289" s="162">
        <v>0</v>
      </c>
      <c r="Z289">
        <v>0</v>
      </c>
      <c r="AA289" s="162">
        <v>0</v>
      </c>
      <c r="AB289">
        <v>0</v>
      </c>
      <c r="AC289" s="162" t="s">
        <v>7</v>
      </c>
      <c r="AD289" s="162" t="s">
        <v>7</v>
      </c>
      <c r="AE289" s="162" t="s">
        <v>7</v>
      </c>
      <c r="AF289" s="162" t="s">
        <v>7</v>
      </c>
      <c r="AG289" s="162" t="s">
        <v>7</v>
      </c>
      <c r="AH289" s="162" t="s">
        <v>7</v>
      </c>
      <c r="AI289" t="s">
        <v>9846</v>
      </c>
      <c r="AJ289" t="s">
        <v>7</v>
      </c>
      <c r="AK289" t="s">
        <v>1651</v>
      </c>
      <c r="AL289" t="s">
        <v>78</v>
      </c>
      <c r="AM289" s="162" t="s">
        <v>10138</v>
      </c>
      <c r="AN289" t="s">
        <v>9843</v>
      </c>
      <c r="AO289" t="s">
        <v>35</v>
      </c>
      <c r="AP289" t="s">
        <v>1079</v>
      </c>
      <c r="AQ289" t="s">
        <v>1080</v>
      </c>
      <c r="AR289" t="s">
        <v>7</v>
      </c>
      <c r="AS289" s="162" t="s">
        <v>7</v>
      </c>
      <c r="AT289" s="117" t="s">
        <v>7</v>
      </c>
      <c r="AU289" s="162" t="s">
        <v>7</v>
      </c>
      <c r="AV289" s="162" t="s">
        <v>7</v>
      </c>
      <c r="AW289" s="162" t="s">
        <v>9851</v>
      </c>
      <c r="AX289" s="162" t="s">
        <v>7</v>
      </c>
      <c r="AY289" s="162" t="s">
        <v>7</v>
      </c>
      <c r="AZ289" t="s">
        <v>7</v>
      </c>
      <c r="BA289" s="162" t="s">
        <v>7</v>
      </c>
      <c r="BB289" s="162" t="s">
        <v>7</v>
      </c>
      <c r="BC289" s="162" t="s">
        <v>7</v>
      </c>
      <c r="BD289" s="162" t="s">
        <v>7</v>
      </c>
      <c r="BE289" s="162" t="s">
        <v>7</v>
      </c>
      <c r="BF289" s="162" t="str">
        <f t="shared" si="8"/>
        <v>Sim</v>
      </c>
      <c r="BG289" s="162" t="str">
        <f t="shared" si="9"/>
        <v>Não</v>
      </c>
      <c r="BH289" s="162" t="s">
        <v>7</v>
      </c>
      <c r="BI289" t="s">
        <v>7</v>
      </c>
      <c r="BJ289" s="162" t="s">
        <v>7</v>
      </c>
      <c r="BK289" t="s">
        <v>1080</v>
      </c>
      <c r="BL289" s="162">
        <v>72</v>
      </c>
      <c r="BM289" t="s">
        <v>35</v>
      </c>
      <c r="BN289" t="s">
        <v>35</v>
      </c>
      <c r="BO289" t="s">
        <v>1080</v>
      </c>
      <c r="BP289" s="162">
        <v>72</v>
      </c>
      <c r="BQ289" t="s">
        <v>35</v>
      </c>
      <c r="BR289" t="s">
        <v>1849</v>
      </c>
      <c r="BS289" s="162" t="s">
        <v>10170</v>
      </c>
    </row>
    <row r="290" spans="1:71">
      <c r="A290" s="162">
        <v>289</v>
      </c>
      <c r="B290" t="s">
        <v>180</v>
      </c>
      <c r="C290" s="162">
        <v>1</v>
      </c>
      <c r="D290" s="122">
        <v>42800</v>
      </c>
      <c r="E290" t="s">
        <v>614</v>
      </c>
      <c r="F290" t="s">
        <v>515</v>
      </c>
      <c r="G290" t="s">
        <v>185</v>
      </c>
      <c r="H290" t="s">
        <v>1909</v>
      </c>
      <c r="I290" s="162">
        <v>1</v>
      </c>
      <c r="J290" t="s">
        <v>1855</v>
      </c>
      <c r="K290" t="s">
        <v>3</v>
      </c>
      <c r="L290" s="165">
        <v>34301</v>
      </c>
      <c r="M290" s="166">
        <v>23</v>
      </c>
      <c r="N290" t="s">
        <v>1093</v>
      </c>
      <c r="O290" t="s">
        <v>10135</v>
      </c>
      <c r="P290" t="s">
        <v>1101</v>
      </c>
      <c r="Q290" t="s">
        <v>1910</v>
      </c>
      <c r="R290" t="s">
        <v>2006</v>
      </c>
      <c r="S290" s="162">
        <v>102.3</v>
      </c>
      <c r="T290" t="s">
        <v>2014</v>
      </c>
      <c r="U290" s="162">
        <v>26.1</v>
      </c>
      <c r="V290" t="s">
        <v>2019</v>
      </c>
      <c r="W290" s="162">
        <v>6.4</v>
      </c>
      <c r="X290">
        <v>0</v>
      </c>
      <c r="Y290" s="162">
        <v>0</v>
      </c>
      <c r="Z290">
        <v>0</v>
      </c>
      <c r="AA290" s="162">
        <v>0</v>
      </c>
      <c r="AB290" t="s">
        <v>10081</v>
      </c>
      <c r="AC290" s="162" t="s">
        <v>7</v>
      </c>
      <c r="AD290" s="162" t="s">
        <v>7</v>
      </c>
      <c r="AE290" s="162" t="s">
        <v>7</v>
      </c>
      <c r="AF290" s="162" t="s">
        <v>7</v>
      </c>
      <c r="AG290" s="162" t="s">
        <v>9851</v>
      </c>
      <c r="AH290" s="162" t="s">
        <v>7</v>
      </c>
      <c r="AI290" t="s">
        <v>9843</v>
      </c>
      <c r="AJ290" t="s">
        <v>7</v>
      </c>
      <c r="AK290" t="s">
        <v>2025</v>
      </c>
      <c r="AL290" t="s">
        <v>36</v>
      </c>
      <c r="AM290" s="162" t="s">
        <v>10138</v>
      </c>
      <c r="AN290" t="s">
        <v>9843</v>
      </c>
      <c r="AO290" t="s">
        <v>35</v>
      </c>
      <c r="AP290" t="s">
        <v>7</v>
      </c>
      <c r="AQ290" t="s">
        <v>9</v>
      </c>
      <c r="AR290" t="s">
        <v>1097</v>
      </c>
      <c r="AS290" s="162" t="s">
        <v>9851</v>
      </c>
      <c r="AT290" s="117" t="s">
        <v>7</v>
      </c>
      <c r="AU290" s="162" t="s">
        <v>7</v>
      </c>
      <c r="AV290" s="162" t="s">
        <v>7</v>
      </c>
      <c r="AW290" s="162" t="s">
        <v>9851</v>
      </c>
      <c r="AX290" s="162" t="s">
        <v>7</v>
      </c>
      <c r="AY290" s="162" t="s">
        <v>7</v>
      </c>
      <c r="AZ290" t="s">
        <v>7</v>
      </c>
      <c r="BA290" s="162" t="s">
        <v>7</v>
      </c>
      <c r="BB290" s="162" t="s">
        <v>7</v>
      </c>
      <c r="BC290" s="162" t="s">
        <v>7</v>
      </c>
      <c r="BD290" s="162" t="s">
        <v>7</v>
      </c>
      <c r="BE290" s="162" t="s">
        <v>7</v>
      </c>
      <c r="BF290" s="162" t="str">
        <f t="shared" si="8"/>
        <v>Sim</v>
      </c>
      <c r="BG290" s="162" t="str">
        <f t="shared" si="9"/>
        <v>Não</v>
      </c>
      <c r="BH290" s="162" t="s">
        <v>7</v>
      </c>
      <c r="BI290" t="s">
        <v>9872</v>
      </c>
      <c r="BJ290" s="162" t="s">
        <v>10165</v>
      </c>
      <c r="BK290" t="s">
        <v>1080</v>
      </c>
      <c r="BL290" s="162">
        <v>72</v>
      </c>
      <c r="BM290" t="s">
        <v>35</v>
      </c>
      <c r="BN290" t="s">
        <v>35</v>
      </c>
      <c r="BO290" t="s">
        <v>1080</v>
      </c>
      <c r="BP290" s="162">
        <v>72</v>
      </c>
      <c r="BQ290" t="s">
        <v>35</v>
      </c>
      <c r="BR290" t="s">
        <v>1849</v>
      </c>
      <c r="BS290" s="162" t="s">
        <v>10170</v>
      </c>
    </row>
    <row r="291" spans="1:71">
      <c r="A291" s="162">
        <v>290</v>
      </c>
      <c r="B291" t="s">
        <v>369</v>
      </c>
      <c r="C291" s="162">
        <v>1</v>
      </c>
      <c r="D291" s="122" t="s">
        <v>528</v>
      </c>
      <c r="E291" t="s">
        <v>881</v>
      </c>
      <c r="F291" t="s">
        <v>3</v>
      </c>
      <c r="G291" t="s">
        <v>378</v>
      </c>
      <c r="H291" t="s">
        <v>882</v>
      </c>
      <c r="I291" s="162">
        <v>1</v>
      </c>
      <c r="J291" t="s">
        <v>1855</v>
      </c>
      <c r="K291" t="s">
        <v>3</v>
      </c>
      <c r="L291" s="165">
        <v>34118</v>
      </c>
      <c r="M291" s="166">
        <v>24</v>
      </c>
      <c r="N291" t="s">
        <v>1093</v>
      </c>
      <c r="O291" t="s">
        <v>10135</v>
      </c>
      <c r="P291" t="s">
        <v>48</v>
      </c>
      <c r="Q291" t="s">
        <v>1120</v>
      </c>
      <c r="R291" t="s">
        <v>10004</v>
      </c>
      <c r="S291" s="162">
        <v>65.3</v>
      </c>
      <c r="T291" t="s">
        <v>10005</v>
      </c>
      <c r="U291" s="162">
        <v>73.599999999999994</v>
      </c>
      <c r="V291" t="s">
        <v>10006</v>
      </c>
      <c r="W291" s="162">
        <v>29</v>
      </c>
      <c r="X291">
        <v>0</v>
      </c>
      <c r="Y291" s="162">
        <v>0</v>
      </c>
      <c r="Z291">
        <v>0</v>
      </c>
      <c r="AA291" s="162">
        <v>0</v>
      </c>
      <c r="AB291">
        <v>0</v>
      </c>
      <c r="AC291" s="162" t="s">
        <v>7</v>
      </c>
      <c r="AD291" s="162" t="s">
        <v>7</v>
      </c>
      <c r="AE291" s="162" t="s">
        <v>7</v>
      </c>
      <c r="AF291" s="162" t="s">
        <v>7</v>
      </c>
      <c r="AG291" s="162" t="s">
        <v>7</v>
      </c>
      <c r="AH291" s="162" t="s">
        <v>7</v>
      </c>
      <c r="AI291" t="s">
        <v>9843</v>
      </c>
      <c r="AJ291" t="s">
        <v>7</v>
      </c>
      <c r="AK291" t="s">
        <v>1137</v>
      </c>
      <c r="AL291" t="s">
        <v>36</v>
      </c>
      <c r="AM291" s="162" t="s">
        <v>10138</v>
      </c>
      <c r="AN291" t="s">
        <v>9843</v>
      </c>
      <c r="AO291" t="s">
        <v>35</v>
      </c>
      <c r="AP291" t="s">
        <v>7</v>
      </c>
      <c r="AQ291" t="s">
        <v>9</v>
      </c>
      <c r="AR291" t="s">
        <v>1097</v>
      </c>
      <c r="AS291" s="162" t="s">
        <v>9851</v>
      </c>
      <c r="AT291" s="117" t="s">
        <v>7</v>
      </c>
      <c r="AU291" s="162" t="s">
        <v>7</v>
      </c>
      <c r="AV291" s="162" t="s">
        <v>7</v>
      </c>
      <c r="AW291" s="162" t="s">
        <v>9851</v>
      </c>
      <c r="AX291" s="162" t="s">
        <v>7</v>
      </c>
      <c r="AY291" s="162" t="s">
        <v>7</v>
      </c>
      <c r="AZ291" t="s">
        <v>7</v>
      </c>
      <c r="BA291" s="162" t="s">
        <v>7</v>
      </c>
      <c r="BB291" s="162" t="s">
        <v>7</v>
      </c>
      <c r="BC291" s="162" t="s">
        <v>7</v>
      </c>
      <c r="BD291" s="162" t="s">
        <v>7</v>
      </c>
      <c r="BE291" s="162" t="s">
        <v>7</v>
      </c>
      <c r="BF291" s="162" t="str">
        <f t="shared" si="8"/>
        <v>Sim</v>
      </c>
      <c r="BG291" s="162" t="str">
        <f t="shared" si="9"/>
        <v>Não</v>
      </c>
      <c r="BH291" s="162" t="s">
        <v>7</v>
      </c>
      <c r="BI291" t="s">
        <v>9872</v>
      </c>
      <c r="BJ291" s="162" t="s">
        <v>10165</v>
      </c>
      <c r="BK291" t="s">
        <v>1080</v>
      </c>
      <c r="BL291" s="162">
        <v>72</v>
      </c>
      <c r="BM291" t="s">
        <v>35</v>
      </c>
      <c r="BN291" t="s">
        <v>35</v>
      </c>
      <c r="BO291" t="s">
        <v>1080</v>
      </c>
      <c r="BP291" s="162">
        <v>72</v>
      </c>
      <c r="BQ291" t="s">
        <v>35</v>
      </c>
      <c r="BR291" t="s">
        <v>1849</v>
      </c>
      <c r="BS291" s="162" t="s">
        <v>10170</v>
      </c>
    </row>
    <row r="292" spans="1:71">
      <c r="A292" s="162">
        <v>291</v>
      </c>
      <c r="B292" t="s">
        <v>418</v>
      </c>
      <c r="C292" s="162">
        <v>1</v>
      </c>
      <c r="D292" s="122" t="s">
        <v>879</v>
      </c>
      <c r="E292" t="s">
        <v>477</v>
      </c>
      <c r="F292" t="s">
        <v>515</v>
      </c>
      <c r="G292" t="s">
        <v>426</v>
      </c>
      <c r="H292" t="s">
        <v>982</v>
      </c>
      <c r="I292" s="162">
        <v>1</v>
      </c>
      <c r="J292" t="s">
        <v>1855</v>
      </c>
      <c r="K292" t="s">
        <v>3</v>
      </c>
      <c r="L292" s="165">
        <v>30354</v>
      </c>
      <c r="M292" s="166">
        <v>34</v>
      </c>
      <c r="N292" t="s">
        <v>5</v>
      </c>
      <c r="O292" t="s">
        <v>10135</v>
      </c>
      <c r="P292" t="s">
        <v>41</v>
      </c>
      <c r="Q292" t="s">
        <v>1385</v>
      </c>
      <c r="R292" t="s">
        <v>1557</v>
      </c>
      <c r="S292" s="162">
        <v>9.5</v>
      </c>
      <c r="T292" t="s">
        <v>1558</v>
      </c>
      <c r="U292" s="162">
        <v>13.5</v>
      </c>
      <c r="V292">
        <v>0</v>
      </c>
      <c r="W292" s="162">
        <v>0</v>
      </c>
      <c r="X292">
        <v>0</v>
      </c>
      <c r="Y292" s="162">
        <v>0</v>
      </c>
      <c r="Z292">
        <v>0</v>
      </c>
      <c r="AA292" s="162">
        <v>0</v>
      </c>
      <c r="AB292">
        <v>0</v>
      </c>
      <c r="AC292" s="162" t="s">
        <v>7</v>
      </c>
      <c r="AD292" s="162" t="s">
        <v>7</v>
      </c>
      <c r="AE292" s="162" t="s">
        <v>7</v>
      </c>
      <c r="AF292" s="162" t="s">
        <v>7</v>
      </c>
      <c r="AG292" s="162" t="s">
        <v>7</v>
      </c>
      <c r="AH292" s="162" t="s">
        <v>7</v>
      </c>
      <c r="AI292" t="s">
        <v>9843</v>
      </c>
      <c r="AJ292" t="s">
        <v>7</v>
      </c>
      <c r="AK292" t="s">
        <v>1559</v>
      </c>
      <c r="AL292" t="s">
        <v>36</v>
      </c>
      <c r="AM292" s="162" t="s">
        <v>10138</v>
      </c>
      <c r="AN292" t="s">
        <v>9843</v>
      </c>
      <c r="AO292" t="s">
        <v>35</v>
      </c>
      <c r="AP292" t="s">
        <v>1199</v>
      </c>
      <c r="AQ292" t="s">
        <v>1080</v>
      </c>
      <c r="AR292" t="s">
        <v>7</v>
      </c>
      <c r="AS292" s="162" t="s">
        <v>7</v>
      </c>
      <c r="AT292" s="117" t="s">
        <v>7</v>
      </c>
      <c r="AU292" s="162" t="s">
        <v>7</v>
      </c>
      <c r="AV292" s="162" t="s">
        <v>7</v>
      </c>
      <c r="AW292" s="162" t="s">
        <v>9851</v>
      </c>
      <c r="AX292" s="162" t="s">
        <v>7</v>
      </c>
      <c r="AY292" s="162" t="s">
        <v>7</v>
      </c>
      <c r="AZ292" t="s">
        <v>7</v>
      </c>
      <c r="BA292" s="162" t="s">
        <v>7</v>
      </c>
      <c r="BB292" s="162" t="s">
        <v>7</v>
      </c>
      <c r="BC292" s="162" t="s">
        <v>7</v>
      </c>
      <c r="BD292" s="162" t="s">
        <v>7</v>
      </c>
      <c r="BE292" s="162" t="s">
        <v>7</v>
      </c>
      <c r="BF292" s="162" t="str">
        <f t="shared" si="8"/>
        <v>Sim</v>
      </c>
      <c r="BG292" s="162" t="str">
        <f t="shared" si="9"/>
        <v>Não</v>
      </c>
      <c r="BH292" s="162" t="s">
        <v>7</v>
      </c>
      <c r="BI292" t="s">
        <v>7</v>
      </c>
      <c r="BJ292" s="162" t="s">
        <v>7</v>
      </c>
      <c r="BK292" t="s">
        <v>1377</v>
      </c>
      <c r="BL292" s="162">
        <v>72</v>
      </c>
      <c r="BM292" t="s">
        <v>35</v>
      </c>
      <c r="BN292" t="s">
        <v>35</v>
      </c>
      <c r="BO292" t="s">
        <v>1377</v>
      </c>
      <c r="BP292" s="162">
        <v>72</v>
      </c>
      <c r="BQ292" t="s">
        <v>35</v>
      </c>
      <c r="BR292" t="s">
        <v>1849</v>
      </c>
      <c r="BS292" s="162" t="s">
        <v>10170</v>
      </c>
    </row>
    <row r="293" spans="1:71">
      <c r="A293" s="162">
        <v>292</v>
      </c>
      <c r="B293" t="s">
        <v>298</v>
      </c>
      <c r="C293" s="162">
        <v>1</v>
      </c>
      <c r="D293" s="122" t="s">
        <v>542</v>
      </c>
      <c r="E293" t="s">
        <v>802</v>
      </c>
      <c r="F293" t="s">
        <v>3</v>
      </c>
      <c r="G293" t="s">
        <v>304</v>
      </c>
      <c r="H293" t="s">
        <v>814</v>
      </c>
      <c r="I293" s="162">
        <v>1</v>
      </c>
      <c r="J293" t="s">
        <v>1855</v>
      </c>
      <c r="K293" t="s">
        <v>515</v>
      </c>
      <c r="L293" s="165">
        <v>36201</v>
      </c>
      <c r="M293" s="166">
        <v>18</v>
      </c>
      <c r="N293" t="s">
        <v>4</v>
      </c>
      <c r="O293" t="s">
        <v>10134</v>
      </c>
      <c r="P293" t="s">
        <v>48</v>
      </c>
      <c r="Q293" t="s">
        <v>1523</v>
      </c>
      <c r="R293" t="s">
        <v>1524</v>
      </c>
      <c r="S293" s="162">
        <v>10700</v>
      </c>
      <c r="T293">
        <v>0</v>
      </c>
      <c r="U293" s="162">
        <v>0</v>
      </c>
      <c r="V293">
        <v>0</v>
      </c>
      <c r="W293" s="162">
        <v>0</v>
      </c>
      <c r="X293">
        <v>0</v>
      </c>
      <c r="Y293" s="162">
        <v>0</v>
      </c>
      <c r="Z293">
        <v>0</v>
      </c>
      <c r="AA293" s="162">
        <v>0</v>
      </c>
      <c r="AB293">
        <v>0</v>
      </c>
      <c r="AC293" s="162" t="s">
        <v>7</v>
      </c>
      <c r="AD293" s="162" t="s">
        <v>7</v>
      </c>
      <c r="AE293" s="162" t="s">
        <v>7</v>
      </c>
      <c r="AF293" s="162" t="s">
        <v>7</v>
      </c>
      <c r="AG293" s="162" t="s">
        <v>7</v>
      </c>
      <c r="AH293" s="162" t="s">
        <v>7</v>
      </c>
      <c r="AI293" t="s">
        <v>9843</v>
      </c>
      <c r="AJ293" t="s">
        <v>7</v>
      </c>
      <c r="AK293" t="s">
        <v>1526</v>
      </c>
      <c r="AL293" t="s">
        <v>36</v>
      </c>
      <c r="AM293" s="162" t="s">
        <v>10138</v>
      </c>
      <c r="AN293" t="s">
        <v>9843</v>
      </c>
      <c r="AO293" t="s">
        <v>35</v>
      </c>
      <c r="AP293" t="s">
        <v>1104</v>
      </c>
      <c r="AQ293" t="s">
        <v>1164</v>
      </c>
      <c r="AR293" t="s">
        <v>7</v>
      </c>
      <c r="AS293" s="162" t="s">
        <v>7</v>
      </c>
      <c r="AT293" s="117" t="s">
        <v>1677</v>
      </c>
      <c r="AU293" s="162" t="s">
        <v>9851</v>
      </c>
      <c r="AV293" s="162" t="s">
        <v>9851</v>
      </c>
      <c r="AW293" s="162" t="s">
        <v>7</v>
      </c>
      <c r="AX293" s="162" t="s">
        <v>7</v>
      </c>
      <c r="AY293" s="162" t="s">
        <v>9851</v>
      </c>
      <c r="AZ293" t="s">
        <v>9869</v>
      </c>
      <c r="BA293" s="162" t="s">
        <v>7</v>
      </c>
      <c r="BB293" s="162" t="s">
        <v>7</v>
      </c>
      <c r="BC293" s="162" t="s">
        <v>9851</v>
      </c>
      <c r="BD293" s="162" t="s">
        <v>7</v>
      </c>
      <c r="BE293" s="162" t="s">
        <v>7</v>
      </c>
      <c r="BF293" s="162" t="str">
        <f t="shared" si="8"/>
        <v>Não</v>
      </c>
      <c r="BG293" s="162" t="str">
        <f t="shared" si="9"/>
        <v>Não</v>
      </c>
      <c r="BH293" s="162" t="s">
        <v>9851</v>
      </c>
      <c r="BI293" t="s">
        <v>7</v>
      </c>
      <c r="BJ293" s="162" t="s">
        <v>7</v>
      </c>
      <c r="BK293" t="s">
        <v>1525</v>
      </c>
      <c r="BL293" s="162">
        <v>74.666666666666671</v>
      </c>
      <c r="BM293" t="s">
        <v>35</v>
      </c>
      <c r="BN293" t="s">
        <v>35</v>
      </c>
      <c r="BO293" t="s">
        <v>1525</v>
      </c>
      <c r="BP293" s="162">
        <v>74.666666666666671</v>
      </c>
      <c r="BQ293" t="s">
        <v>35</v>
      </c>
      <c r="BR293" t="s">
        <v>1849</v>
      </c>
      <c r="BS293" s="162" t="s">
        <v>10170</v>
      </c>
    </row>
    <row r="294" spans="1:71">
      <c r="A294" s="162">
        <v>293</v>
      </c>
      <c r="B294" t="s">
        <v>27</v>
      </c>
      <c r="C294" s="162">
        <v>1</v>
      </c>
      <c r="D294" s="122" t="s">
        <v>70</v>
      </c>
      <c r="E294" t="s">
        <v>30</v>
      </c>
      <c r="F294" t="s">
        <v>3</v>
      </c>
      <c r="G294" t="s">
        <v>23</v>
      </c>
      <c r="H294" t="s">
        <v>71</v>
      </c>
      <c r="I294" s="162">
        <v>1</v>
      </c>
      <c r="J294" t="s">
        <v>1855</v>
      </c>
      <c r="K294" t="s">
        <v>3</v>
      </c>
      <c r="L294" s="165">
        <v>31345</v>
      </c>
      <c r="M294" s="166">
        <v>31</v>
      </c>
      <c r="N294" t="s">
        <v>4</v>
      </c>
      <c r="O294" t="s">
        <v>10134</v>
      </c>
      <c r="P294" t="s">
        <v>9785</v>
      </c>
      <c r="Q294" t="s">
        <v>1071</v>
      </c>
      <c r="R294" t="s">
        <v>10052</v>
      </c>
      <c r="S294" s="162">
        <v>811.6</v>
      </c>
      <c r="T294" t="s">
        <v>9877</v>
      </c>
      <c r="U294" s="162">
        <v>233.5</v>
      </c>
      <c r="V294" t="s">
        <v>9878</v>
      </c>
      <c r="W294" s="162">
        <v>604.6</v>
      </c>
      <c r="X294">
        <v>0</v>
      </c>
      <c r="Y294" s="162">
        <v>0</v>
      </c>
      <c r="Z294">
        <v>0</v>
      </c>
      <c r="AA294" s="162">
        <v>0</v>
      </c>
      <c r="AB294" t="s">
        <v>9879</v>
      </c>
      <c r="AC294" s="162" t="s">
        <v>7</v>
      </c>
      <c r="AD294" s="162" t="s">
        <v>7</v>
      </c>
      <c r="AE294" s="162" t="s">
        <v>7</v>
      </c>
      <c r="AF294" s="162" t="s">
        <v>7</v>
      </c>
      <c r="AG294" s="162" t="s">
        <v>9851</v>
      </c>
      <c r="AH294" s="162" t="s">
        <v>7</v>
      </c>
      <c r="AI294" t="s">
        <v>9843</v>
      </c>
      <c r="AJ294" t="s">
        <v>7</v>
      </c>
      <c r="AK294" t="s">
        <v>72</v>
      </c>
      <c r="AL294" t="s">
        <v>36</v>
      </c>
      <c r="AM294" s="162" t="s">
        <v>10138</v>
      </c>
      <c r="AN294" t="s">
        <v>9843</v>
      </c>
      <c r="AO294" t="s">
        <v>35</v>
      </c>
      <c r="AP294" t="s">
        <v>9859</v>
      </c>
      <c r="AQ294" t="s">
        <v>8</v>
      </c>
      <c r="AR294" t="s">
        <v>7</v>
      </c>
      <c r="AS294" s="162" t="s">
        <v>7</v>
      </c>
      <c r="AT294" s="117" t="s">
        <v>1111</v>
      </c>
      <c r="AU294" s="162" t="s">
        <v>9851</v>
      </c>
      <c r="AV294" s="162" t="s">
        <v>7</v>
      </c>
      <c r="AW294" s="162" t="s">
        <v>7</v>
      </c>
      <c r="AX294" s="162" t="s">
        <v>7</v>
      </c>
      <c r="AY294" s="162" t="s">
        <v>9851</v>
      </c>
      <c r="AZ294" t="s">
        <v>7</v>
      </c>
      <c r="BA294" s="162" t="s">
        <v>7</v>
      </c>
      <c r="BB294" s="162" t="s">
        <v>7</v>
      </c>
      <c r="BC294" s="162" t="s">
        <v>7</v>
      </c>
      <c r="BD294" s="162" t="s">
        <v>7</v>
      </c>
      <c r="BE294" s="162" t="s">
        <v>7</v>
      </c>
      <c r="BF294" s="162" t="str">
        <f t="shared" si="8"/>
        <v>Sim</v>
      </c>
      <c r="BG294" s="162" t="str">
        <f t="shared" si="9"/>
        <v>Não</v>
      </c>
      <c r="BH294" s="162" t="s">
        <v>7</v>
      </c>
      <c r="BI294" t="s">
        <v>9872</v>
      </c>
      <c r="BJ294" s="162" t="s">
        <v>10165</v>
      </c>
      <c r="BK294" t="s">
        <v>8</v>
      </c>
      <c r="BL294" s="162">
        <v>75</v>
      </c>
      <c r="BM294" t="s">
        <v>35</v>
      </c>
      <c r="BN294" t="s">
        <v>35</v>
      </c>
      <c r="BO294" t="s">
        <v>8</v>
      </c>
      <c r="BP294" s="162">
        <v>75</v>
      </c>
      <c r="BQ294" t="s">
        <v>35</v>
      </c>
      <c r="BR294" t="s">
        <v>1849</v>
      </c>
      <c r="BS294" s="162" t="s">
        <v>10170</v>
      </c>
    </row>
    <row r="295" spans="1:71">
      <c r="A295" s="162">
        <v>294</v>
      </c>
      <c r="B295" t="s">
        <v>1310</v>
      </c>
      <c r="C295" s="162">
        <v>1</v>
      </c>
      <c r="D295" s="122" t="s">
        <v>579</v>
      </c>
      <c r="E295" t="s">
        <v>607</v>
      </c>
      <c r="F295" t="s">
        <v>3</v>
      </c>
      <c r="G295" t="s">
        <v>173</v>
      </c>
      <c r="H295" t="s">
        <v>1312</v>
      </c>
      <c r="I295" s="162">
        <v>1</v>
      </c>
      <c r="J295" t="s">
        <v>1311</v>
      </c>
      <c r="K295" t="s">
        <v>515</v>
      </c>
      <c r="L295" s="165">
        <v>27765</v>
      </c>
      <c r="M295" s="166">
        <v>41</v>
      </c>
      <c r="N295" t="s">
        <v>1093</v>
      </c>
      <c r="O295" t="s">
        <v>10135</v>
      </c>
      <c r="P295" t="s">
        <v>1074</v>
      </c>
      <c r="Q295" t="s">
        <v>1315</v>
      </c>
      <c r="R295">
        <v>0</v>
      </c>
      <c r="S295" s="162">
        <v>0</v>
      </c>
      <c r="T295" t="s">
        <v>1314</v>
      </c>
      <c r="U295" s="162">
        <v>3609.2</v>
      </c>
      <c r="V295">
        <v>0</v>
      </c>
      <c r="W295" s="162">
        <v>0</v>
      </c>
      <c r="X295">
        <v>0</v>
      </c>
      <c r="Y295" s="162">
        <v>0</v>
      </c>
      <c r="Z295">
        <v>0</v>
      </c>
      <c r="AA295" s="162">
        <v>0</v>
      </c>
      <c r="AB295">
        <v>0</v>
      </c>
      <c r="AC295" s="162" t="s">
        <v>7</v>
      </c>
      <c r="AD295" s="162" t="s">
        <v>7</v>
      </c>
      <c r="AE295" s="162" t="s">
        <v>7</v>
      </c>
      <c r="AF295" s="162" t="s">
        <v>7</v>
      </c>
      <c r="AG295" s="162" t="s">
        <v>7</v>
      </c>
      <c r="AH295" s="162" t="s">
        <v>7</v>
      </c>
      <c r="AI295" t="s">
        <v>9846</v>
      </c>
      <c r="AJ295" t="s">
        <v>7</v>
      </c>
      <c r="AK295" t="s">
        <v>9812</v>
      </c>
      <c r="AL295" t="s">
        <v>78</v>
      </c>
      <c r="AM295" s="162" t="s">
        <v>10138</v>
      </c>
      <c r="AN295" t="s">
        <v>9843</v>
      </c>
      <c r="AO295" t="s">
        <v>35</v>
      </c>
      <c r="AP295" t="s">
        <v>1079</v>
      </c>
      <c r="AQ295" t="s">
        <v>1164</v>
      </c>
      <c r="AR295" t="s">
        <v>7</v>
      </c>
      <c r="AS295" s="162" t="s">
        <v>7</v>
      </c>
      <c r="AT295" s="117" t="s">
        <v>1111</v>
      </c>
      <c r="AU295" s="162" t="s">
        <v>9851</v>
      </c>
      <c r="AV295" s="162" t="s">
        <v>7</v>
      </c>
      <c r="AW295" s="162" t="s">
        <v>7</v>
      </c>
      <c r="AX295" s="162" t="s">
        <v>7</v>
      </c>
      <c r="AY295" s="162" t="s">
        <v>9851</v>
      </c>
      <c r="AZ295" t="s">
        <v>9869</v>
      </c>
      <c r="BA295" s="162" t="s">
        <v>7</v>
      </c>
      <c r="BB295" s="162" t="s">
        <v>7</v>
      </c>
      <c r="BC295" s="162" t="s">
        <v>9851</v>
      </c>
      <c r="BD295" s="162" t="s">
        <v>7</v>
      </c>
      <c r="BE295" s="162" t="s">
        <v>7</v>
      </c>
      <c r="BF295" s="162" t="str">
        <f t="shared" si="8"/>
        <v>Não</v>
      </c>
      <c r="BG295" s="162" t="str">
        <f t="shared" si="9"/>
        <v>Não</v>
      </c>
      <c r="BH295" s="162" t="s">
        <v>9851</v>
      </c>
      <c r="BI295" t="s">
        <v>7</v>
      </c>
      <c r="BJ295" s="162" t="s">
        <v>7</v>
      </c>
      <c r="BK295" t="s">
        <v>1316</v>
      </c>
      <c r="BL295" s="162">
        <v>77.766666666666666</v>
      </c>
      <c r="BM295" t="s">
        <v>35</v>
      </c>
      <c r="BN295" t="s">
        <v>35</v>
      </c>
      <c r="BO295" t="s">
        <v>1316</v>
      </c>
      <c r="BP295" s="162">
        <v>77.766666666666666</v>
      </c>
      <c r="BQ295" t="s">
        <v>35</v>
      </c>
      <c r="BR295" t="s">
        <v>1849</v>
      </c>
      <c r="BS295" s="162" t="s">
        <v>10170</v>
      </c>
    </row>
    <row r="296" spans="1:71">
      <c r="A296" s="162">
        <v>295</v>
      </c>
      <c r="B296" t="s">
        <v>179</v>
      </c>
      <c r="C296" s="162">
        <v>1</v>
      </c>
      <c r="D296" s="122">
        <v>42907</v>
      </c>
      <c r="E296" t="s">
        <v>614</v>
      </c>
      <c r="F296" t="s">
        <v>515</v>
      </c>
      <c r="G296" t="s">
        <v>185</v>
      </c>
      <c r="H296" t="s">
        <v>618</v>
      </c>
      <c r="I296" s="162">
        <v>1</v>
      </c>
      <c r="J296" t="s">
        <v>76</v>
      </c>
      <c r="K296" t="s">
        <v>3</v>
      </c>
      <c r="L296" s="165">
        <v>34355</v>
      </c>
      <c r="M296" s="166">
        <v>23</v>
      </c>
      <c r="N296" t="s">
        <v>5</v>
      </c>
      <c r="O296" t="s">
        <v>10135</v>
      </c>
      <c r="P296" t="s">
        <v>48</v>
      </c>
      <c r="Q296" t="s">
        <v>1906</v>
      </c>
      <c r="R296" t="s">
        <v>2007</v>
      </c>
      <c r="S296" s="162">
        <v>97.3</v>
      </c>
      <c r="T296" t="s">
        <v>2013</v>
      </c>
      <c r="U296" s="162">
        <v>1150.2</v>
      </c>
      <c r="V296" t="s">
        <v>2018</v>
      </c>
      <c r="W296" s="162">
        <v>170.6</v>
      </c>
      <c r="X296">
        <v>0</v>
      </c>
      <c r="Y296" s="162">
        <v>0</v>
      </c>
      <c r="Z296">
        <v>0</v>
      </c>
      <c r="AA296" s="162">
        <v>0</v>
      </c>
      <c r="AB296">
        <v>0</v>
      </c>
      <c r="AC296" s="162" t="s">
        <v>7</v>
      </c>
      <c r="AD296" s="162" t="s">
        <v>7</v>
      </c>
      <c r="AE296" s="162" t="s">
        <v>7</v>
      </c>
      <c r="AF296" s="162" t="s">
        <v>7</v>
      </c>
      <c r="AG296" s="162" t="s">
        <v>7</v>
      </c>
      <c r="AH296" s="162" t="s">
        <v>7</v>
      </c>
      <c r="AI296" t="s">
        <v>9846</v>
      </c>
      <c r="AJ296" t="s">
        <v>9849</v>
      </c>
      <c r="AK296" t="s">
        <v>1106</v>
      </c>
      <c r="AL296" t="s">
        <v>78</v>
      </c>
      <c r="AM296" s="162" t="s">
        <v>10138</v>
      </c>
      <c r="AN296" t="s">
        <v>9843</v>
      </c>
      <c r="AO296" t="s">
        <v>9853</v>
      </c>
      <c r="AP296" t="s">
        <v>1280</v>
      </c>
      <c r="AQ296" t="s">
        <v>1080</v>
      </c>
      <c r="AR296" t="s">
        <v>1097</v>
      </c>
      <c r="AS296" s="162" t="s">
        <v>9851</v>
      </c>
      <c r="AT296" s="117" t="s">
        <v>1111</v>
      </c>
      <c r="AU296" s="162" t="s">
        <v>9851</v>
      </c>
      <c r="AV296" s="162" t="s">
        <v>7</v>
      </c>
      <c r="AW296" s="162" t="s">
        <v>7</v>
      </c>
      <c r="AX296" s="162" t="s">
        <v>7</v>
      </c>
      <c r="AY296" s="162" t="s">
        <v>9851</v>
      </c>
      <c r="AZ296" t="s">
        <v>7</v>
      </c>
      <c r="BA296" s="162" t="s">
        <v>7</v>
      </c>
      <c r="BB296" s="162" t="s">
        <v>7</v>
      </c>
      <c r="BC296" s="162" t="s">
        <v>7</v>
      </c>
      <c r="BD296" s="162" t="s">
        <v>7</v>
      </c>
      <c r="BE296" s="162" t="s">
        <v>7</v>
      </c>
      <c r="BF296" s="162" t="str">
        <f t="shared" si="8"/>
        <v>Sim</v>
      </c>
      <c r="BG296" s="162" t="str">
        <f t="shared" si="9"/>
        <v>Não</v>
      </c>
      <c r="BH296" s="162" t="s">
        <v>7</v>
      </c>
      <c r="BI296" t="s">
        <v>7</v>
      </c>
      <c r="BJ296" s="162" t="s">
        <v>7</v>
      </c>
      <c r="BK296" t="s">
        <v>1907</v>
      </c>
      <c r="BL296" s="162">
        <v>78</v>
      </c>
      <c r="BM296" t="s">
        <v>35</v>
      </c>
      <c r="BN296" t="s">
        <v>9873</v>
      </c>
      <c r="BO296" t="s">
        <v>1908</v>
      </c>
      <c r="BP296" s="162">
        <v>129</v>
      </c>
      <c r="BQ296" t="s">
        <v>35</v>
      </c>
      <c r="BR296" t="s">
        <v>1849</v>
      </c>
      <c r="BS296" s="162" t="s">
        <v>10253</v>
      </c>
    </row>
    <row r="297" spans="1:71">
      <c r="A297" s="162">
        <v>296</v>
      </c>
      <c r="B297" t="s">
        <v>159</v>
      </c>
      <c r="C297" s="162">
        <v>0</v>
      </c>
      <c r="D297" s="122" t="s">
        <v>575</v>
      </c>
      <c r="E297" t="s">
        <v>576</v>
      </c>
      <c r="F297" t="s">
        <v>515</v>
      </c>
      <c r="G297" t="s">
        <v>166</v>
      </c>
      <c r="H297" t="s">
        <v>578</v>
      </c>
      <c r="I297" s="162">
        <v>1</v>
      </c>
      <c r="J297" t="s">
        <v>1855</v>
      </c>
      <c r="K297" t="s">
        <v>3</v>
      </c>
      <c r="L297" s="165">
        <v>22780</v>
      </c>
      <c r="M297" s="166">
        <v>55</v>
      </c>
      <c r="N297" t="s">
        <v>4</v>
      </c>
      <c r="O297" t="s">
        <v>10134</v>
      </c>
      <c r="P297" t="s">
        <v>48</v>
      </c>
      <c r="Q297" t="s">
        <v>9803</v>
      </c>
      <c r="R297">
        <v>0</v>
      </c>
      <c r="S297" s="162">
        <v>0</v>
      </c>
      <c r="T297" t="s">
        <v>1355</v>
      </c>
      <c r="U297" s="162">
        <v>19488</v>
      </c>
      <c r="V297">
        <v>0</v>
      </c>
      <c r="W297" s="162">
        <v>0</v>
      </c>
      <c r="X297">
        <v>0</v>
      </c>
      <c r="Y297" s="162">
        <v>0</v>
      </c>
      <c r="Z297">
        <v>0</v>
      </c>
      <c r="AA297" s="162">
        <v>0</v>
      </c>
      <c r="AB297">
        <v>0</v>
      </c>
      <c r="AC297" s="162" t="s">
        <v>7</v>
      </c>
      <c r="AD297" s="162" t="s">
        <v>7</v>
      </c>
      <c r="AE297" s="162" t="s">
        <v>7</v>
      </c>
      <c r="AF297" s="162" t="s">
        <v>7</v>
      </c>
      <c r="AG297" s="162" t="s">
        <v>7</v>
      </c>
      <c r="AH297" s="162" t="s">
        <v>7</v>
      </c>
      <c r="AI297" t="s">
        <v>9846</v>
      </c>
      <c r="AJ297" t="s">
        <v>7</v>
      </c>
      <c r="AK297" t="s">
        <v>9806</v>
      </c>
      <c r="AL297" t="s">
        <v>78</v>
      </c>
      <c r="AM297" s="162" t="s">
        <v>10138</v>
      </c>
      <c r="AN297" t="s">
        <v>9843</v>
      </c>
      <c r="AO297" t="s">
        <v>35</v>
      </c>
      <c r="AP297" t="s">
        <v>1350</v>
      </c>
      <c r="AQ297" t="s">
        <v>1356</v>
      </c>
      <c r="AR297" t="s">
        <v>7</v>
      </c>
      <c r="AS297" s="162" t="s">
        <v>7</v>
      </c>
      <c r="AT297" s="117" t="s">
        <v>7</v>
      </c>
      <c r="AU297" s="162" t="s">
        <v>7</v>
      </c>
      <c r="AV297" s="162" t="s">
        <v>7</v>
      </c>
      <c r="AW297" s="162" t="s">
        <v>9851</v>
      </c>
      <c r="AX297" s="162" t="s">
        <v>7</v>
      </c>
      <c r="AY297" s="162" t="s">
        <v>7</v>
      </c>
      <c r="AZ297" t="s">
        <v>9869</v>
      </c>
      <c r="BA297" s="162" t="s">
        <v>7</v>
      </c>
      <c r="BB297" s="162" t="s">
        <v>7</v>
      </c>
      <c r="BC297" s="162" t="s">
        <v>9851</v>
      </c>
      <c r="BD297" s="162" t="s">
        <v>7</v>
      </c>
      <c r="BE297" s="162" t="s">
        <v>7</v>
      </c>
      <c r="BF297" s="162" t="str">
        <f t="shared" si="8"/>
        <v>Não</v>
      </c>
      <c r="BG297" s="162" t="str">
        <f t="shared" si="9"/>
        <v>Não</v>
      </c>
      <c r="BH297" s="162" t="s">
        <v>9851</v>
      </c>
      <c r="BI297" t="s">
        <v>7</v>
      </c>
      <c r="BJ297" s="162" t="s">
        <v>7</v>
      </c>
      <c r="BK297" t="s">
        <v>1357</v>
      </c>
      <c r="BL297" s="162">
        <v>78</v>
      </c>
      <c r="BM297" t="s">
        <v>35</v>
      </c>
      <c r="BN297" t="s">
        <v>35</v>
      </c>
      <c r="BO297" t="s">
        <v>1357</v>
      </c>
      <c r="BP297" s="162">
        <v>78.733333333333334</v>
      </c>
      <c r="BQ297" t="s">
        <v>35</v>
      </c>
      <c r="BR297" t="s">
        <v>1849</v>
      </c>
      <c r="BS297" s="162" t="s">
        <v>10170</v>
      </c>
    </row>
    <row r="298" spans="1:71">
      <c r="A298" s="162">
        <v>297</v>
      </c>
      <c r="B298" t="s">
        <v>113</v>
      </c>
      <c r="C298" s="162">
        <v>1</v>
      </c>
      <c r="D298" s="122">
        <v>42871</v>
      </c>
      <c r="E298" t="s">
        <v>477</v>
      </c>
      <c r="F298" t="s">
        <v>515</v>
      </c>
      <c r="G298" t="s">
        <v>120</v>
      </c>
      <c r="H298" t="s">
        <v>478</v>
      </c>
      <c r="I298" s="162">
        <v>1</v>
      </c>
      <c r="J298" t="s">
        <v>1085</v>
      </c>
      <c r="K298" t="s">
        <v>3</v>
      </c>
      <c r="L298" s="165">
        <v>30746</v>
      </c>
      <c r="M298" s="166">
        <v>33</v>
      </c>
      <c r="N298" t="s">
        <v>4</v>
      </c>
      <c r="O298" t="s">
        <v>10134</v>
      </c>
      <c r="P298" t="s">
        <v>41</v>
      </c>
      <c r="Q298" t="s">
        <v>1161</v>
      </c>
      <c r="R298" t="s">
        <v>1268</v>
      </c>
      <c r="S298" s="162">
        <v>7816</v>
      </c>
      <c r="T298">
        <v>0</v>
      </c>
      <c r="U298" s="162">
        <v>0</v>
      </c>
      <c r="V298">
        <v>0</v>
      </c>
      <c r="W298" s="162">
        <v>0</v>
      </c>
      <c r="X298">
        <v>0</v>
      </c>
      <c r="Y298" s="162">
        <v>0</v>
      </c>
      <c r="Z298">
        <v>0</v>
      </c>
      <c r="AA298" s="162">
        <v>0</v>
      </c>
      <c r="AB298">
        <v>0</v>
      </c>
      <c r="AC298" s="162" t="s">
        <v>7</v>
      </c>
      <c r="AD298" s="162" t="s">
        <v>7</v>
      </c>
      <c r="AE298" s="162" t="s">
        <v>7</v>
      </c>
      <c r="AF298" s="162" t="s">
        <v>7</v>
      </c>
      <c r="AG298" s="162" t="s">
        <v>7</v>
      </c>
      <c r="AH298" s="162" t="s">
        <v>7</v>
      </c>
      <c r="AI298" t="s">
        <v>9846</v>
      </c>
      <c r="AJ298" t="s">
        <v>7</v>
      </c>
      <c r="AK298" t="s">
        <v>9767</v>
      </c>
      <c r="AL298" t="s">
        <v>36</v>
      </c>
      <c r="AM298" s="162" t="s">
        <v>10138</v>
      </c>
      <c r="AN298" t="s">
        <v>9846</v>
      </c>
      <c r="AO298" t="s">
        <v>35</v>
      </c>
      <c r="AP298" t="s">
        <v>7</v>
      </c>
      <c r="AQ298" t="s">
        <v>9</v>
      </c>
      <c r="AR298" t="s">
        <v>1097</v>
      </c>
      <c r="AS298" s="162" t="s">
        <v>9851</v>
      </c>
      <c r="AT298" s="117" t="s">
        <v>7</v>
      </c>
      <c r="AU298" s="162" t="s">
        <v>7</v>
      </c>
      <c r="AV298" s="162" t="s">
        <v>7</v>
      </c>
      <c r="AW298" s="162" t="s">
        <v>9851</v>
      </c>
      <c r="AX298" s="162" t="s">
        <v>7</v>
      </c>
      <c r="AY298" s="162" t="s">
        <v>7</v>
      </c>
      <c r="AZ298" t="s">
        <v>7</v>
      </c>
      <c r="BA298" s="162" t="s">
        <v>7</v>
      </c>
      <c r="BB298" s="162" t="s">
        <v>7</v>
      </c>
      <c r="BC298" s="162" t="s">
        <v>7</v>
      </c>
      <c r="BD298" s="162" t="s">
        <v>7</v>
      </c>
      <c r="BE298" s="162" t="s">
        <v>7</v>
      </c>
      <c r="BF298" s="162" t="str">
        <f t="shared" si="8"/>
        <v>Sim</v>
      </c>
      <c r="BG298" s="162" t="str">
        <f t="shared" si="9"/>
        <v>Não</v>
      </c>
      <c r="BH298" s="162" t="s">
        <v>7</v>
      </c>
      <c r="BI298" t="s">
        <v>9872</v>
      </c>
      <c r="BJ298" s="162" t="s">
        <v>10165</v>
      </c>
      <c r="BK298" t="s">
        <v>1164</v>
      </c>
      <c r="BL298" s="162">
        <v>80</v>
      </c>
      <c r="BM298" t="s">
        <v>79</v>
      </c>
      <c r="BN298" t="s">
        <v>35</v>
      </c>
      <c r="BO298" t="s">
        <v>1165</v>
      </c>
      <c r="BP298" s="162">
        <v>128</v>
      </c>
      <c r="BQ298" t="s">
        <v>35</v>
      </c>
      <c r="BR298" t="s">
        <v>1849</v>
      </c>
      <c r="BS298" s="162" t="s">
        <v>10253</v>
      </c>
    </row>
    <row r="299" spans="1:71">
      <c r="A299" s="162">
        <v>298</v>
      </c>
      <c r="B299" t="s">
        <v>363</v>
      </c>
      <c r="C299" s="162">
        <v>1</v>
      </c>
      <c r="D299" s="122" t="s">
        <v>970</v>
      </c>
      <c r="E299" t="s">
        <v>951</v>
      </c>
      <c r="F299" t="s">
        <v>515</v>
      </c>
      <c r="G299" t="s">
        <v>364</v>
      </c>
      <c r="H299" t="s">
        <v>971</v>
      </c>
      <c r="I299" s="162">
        <v>1</v>
      </c>
      <c r="J299" t="s">
        <v>1115</v>
      </c>
      <c r="K299" t="s">
        <v>3</v>
      </c>
      <c r="L299" s="165">
        <v>26357</v>
      </c>
      <c r="M299" s="166">
        <v>45</v>
      </c>
      <c r="N299" t="s">
        <v>5</v>
      </c>
      <c r="O299" t="s">
        <v>10135</v>
      </c>
      <c r="P299" t="s">
        <v>1074</v>
      </c>
      <c r="Q299" t="s">
        <v>9777</v>
      </c>
      <c r="R299" t="s">
        <v>1228</v>
      </c>
      <c r="S299" s="162">
        <v>209300</v>
      </c>
      <c r="T299">
        <v>0</v>
      </c>
      <c r="U299" s="162">
        <v>0</v>
      </c>
      <c r="V299">
        <v>0</v>
      </c>
      <c r="W299" s="162">
        <v>0</v>
      </c>
      <c r="X299">
        <v>0</v>
      </c>
      <c r="Y299" s="162">
        <v>0</v>
      </c>
      <c r="Z299">
        <v>0</v>
      </c>
      <c r="AA299" s="162">
        <v>0</v>
      </c>
      <c r="AB299">
        <v>0</v>
      </c>
      <c r="AC299" s="162" t="s">
        <v>7</v>
      </c>
      <c r="AD299" s="162" t="s">
        <v>7</v>
      </c>
      <c r="AE299" s="162" t="s">
        <v>7</v>
      </c>
      <c r="AF299" s="162" t="s">
        <v>7</v>
      </c>
      <c r="AG299" s="162" t="s">
        <v>7</v>
      </c>
      <c r="AH299" s="162" t="s">
        <v>7</v>
      </c>
      <c r="AI299" t="s">
        <v>9846</v>
      </c>
      <c r="AJ299" t="s">
        <v>7</v>
      </c>
      <c r="AK299" t="s">
        <v>9767</v>
      </c>
      <c r="AL299" t="s">
        <v>78</v>
      </c>
      <c r="AM299" s="162" t="s">
        <v>10138</v>
      </c>
      <c r="AN299" t="s">
        <v>9843</v>
      </c>
      <c r="AO299" t="s">
        <v>35</v>
      </c>
      <c r="AP299" t="s">
        <v>1747</v>
      </c>
      <c r="AQ299" t="s">
        <v>1164</v>
      </c>
      <c r="AR299" t="s">
        <v>7</v>
      </c>
      <c r="AS299" s="162" t="s">
        <v>7</v>
      </c>
      <c r="AT299" s="117" t="s">
        <v>7</v>
      </c>
      <c r="AU299" s="162" t="s">
        <v>7</v>
      </c>
      <c r="AV299" s="162" t="s">
        <v>7</v>
      </c>
      <c r="AW299" s="162" t="s">
        <v>9851</v>
      </c>
      <c r="AX299" s="162" t="s">
        <v>7</v>
      </c>
      <c r="AY299" s="162" t="s">
        <v>7</v>
      </c>
      <c r="AZ299" t="s">
        <v>7</v>
      </c>
      <c r="BA299" s="162" t="s">
        <v>7</v>
      </c>
      <c r="BB299" s="162" t="s">
        <v>7</v>
      </c>
      <c r="BC299" s="162" t="s">
        <v>7</v>
      </c>
      <c r="BD299" s="162" t="s">
        <v>7</v>
      </c>
      <c r="BE299" s="162" t="s">
        <v>7</v>
      </c>
      <c r="BF299" s="162" t="str">
        <f t="shared" si="8"/>
        <v>Sim</v>
      </c>
      <c r="BG299" s="162" t="str">
        <f t="shared" si="9"/>
        <v>Não</v>
      </c>
      <c r="BH299" s="162" t="s">
        <v>7</v>
      </c>
      <c r="BI299" t="s">
        <v>7</v>
      </c>
      <c r="BJ299" s="162" t="s">
        <v>7</v>
      </c>
      <c r="BK299" t="s">
        <v>1164</v>
      </c>
      <c r="BL299" s="162">
        <v>80</v>
      </c>
      <c r="BM299" t="s">
        <v>35</v>
      </c>
      <c r="BN299" t="s">
        <v>35</v>
      </c>
      <c r="BO299" t="s">
        <v>1164</v>
      </c>
      <c r="BP299" s="162">
        <v>80</v>
      </c>
      <c r="BQ299" t="s">
        <v>35</v>
      </c>
      <c r="BR299" t="s">
        <v>1849</v>
      </c>
      <c r="BS299" s="162" t="s">
        <v>10170</v>
      </c>
    </row>
    <row r="300" spans="1:71">
      <c r="A300" s="162">
        <v>299</v>
      </c>
      <c r="B300" t="s">
        <v>363</v>
      </c>
      <c r="C300" s="162">
        <v>0</v>
      </c>
      <c r="D300" s="122" t="s">
        <v>970</v>
      </c>
      <c r="E300" t="s">
        <v>951</v>
      </c>
      <c r="F300" t="s">
        <v>515</v>
      </c>
      <c r="G300" t="s">
        <v>364</v>
      </c>
      <c r="H300" t="s">
        <v>972</v>
      </c>
      <c r="I300" s="162">
        <v>1</v>
      </c>
      <c r="J300" t="s">
        <v>1115</v>
      </c>
      <c r="K300" t="s">
        <v>3</v>
      </c>
      <c r="L300" s="165">
        <v>27893</v>
      </c>
      <c r="M300" s="166">
        <v>41</v>
      </c>
      <c r="N300" t="s">
        <v>4</v>
      </c>
      <c r="O300" t="s">
        <v>10134</v>
      </c>
      <c r="P300" t="s">
        <v>41</v>
      </c>
      <c r="Q300" t="s">
        <v>9777</v>
      </c>
      <c r="R300" t="s">
        <v>1228</v>
      </c>
      <c r="S300" s="162">
        <v>209300</v>
      </c>
      <c r="T300">
        <v>0</v>
      </c>
      <c r="U300" s="162">
        <v>0</v>
      </c>
      <c r="V300">
        <v>0</v>
      </c>
      <c r="W300" s="162">
        <v>0</v>
      </c>
      <c r="X300">
        <v>0</v>
      </c>
      <c r="Y300" s="162">
        <v>0</v>
      </c>
      <c r="Z300">
        <v>0</v>
      </c>
      <c r="AA300" s="162">
        <v>0</v>
      </c>
      <c r="AB300">
        <v>0</v>
      </c>
      <c r="AC300" s="162" t="s">
        <v>7</v>
      </c>
      <c r="AD300" s="162" t="s">
        <v>7</v>
      </c>
      <c r="AE300" s="162" t="s">
        <v>7</v>
      </c>
      <c r="AF300" s="162" t="s">
        <v>7</v>
      </c>
      <c r="AG300" s="162" t="s">
        <v>7</v>
      </c>
      <c r="AH300" s="162" t="s">
        <v>7</v>
      </c>
      <c r="AI300" t="s">
        <v>9846</v>
      </c>
      <c r="AJ300" t="s">
        <v>7</v>
      </c>
      <c r="AK300" t="s">
        <v>9767</v>
      </c>
      <c r="AL300" t="s">
        <v>78</v>
      </c>
      <c r="AM300" s="162" t="s">
        <v>10138</v>
      </c>
      <c r="AN300" t="s">
        <v>9843</v>
      </c>
      <c r="AO300" t="s">
        <v>35</v>
      </c>
      <c r="AP300" t="s">
        <v>1747</v>
      </c>
      <c r="AQ300" t="s">
        <v>1164</v>
      </c>
      <c r="AR300" t="s">
        <v>7</v>
      </c>
      <c r="AS300" s="162" t="s">
        <v>7</v>
      </c>
      <c r="AT300" s="117" t="s">
        <v>7</v>
      </c>
      <c r="AU300" s="162" t="s">
        <v>7</v>
      </c>
      <c r="AV300" s="162" t="s">
        <v>7</v>
      </c>
      <c r="AW300" s="162" t="s">
        <v>9851</v>
      </c>
      <c r="AX300" s="162" t="s">
        <v>7</v>
      </c>
      <c r="AY300" s="162" t="s">
        <v>7</v>
      </c>
      <c r="AZ300" t="s">
        <v>7</v>
      </c>
      <c r="BA300" s="162" t="s">
        <v>7</v>
      </c>
      <c r="BB300" s="162" t="s">
        <v>7</v>
      </c>
      <c r="BC300" s="162" t="s">
        <v>7</v>
      </c>
      <c r="BD300" s="162" t="s">
        <v>7</v>
      </c>
      <c r="BE300" s="162" t="s">
        <v>7</v>
      </c>
      <c r="BF300" s="162" t="str">
        <f t="shared" si="8"/>
        <v>Sim</v>
      </c>
      <c r="BG300" s="162" t="str">
        <f t="shared" si="9"/>
        <v>Não</v>
      </c>
      <c r="BH300" s="162" t="s">
        <v>7</v>
      </c>
      <c r="BI300" t="s">
        <v>7</v>
      </c>
      <c r="BJ300" s="162" t="s">
        <v>7</v>
      </c>
      <c r="BK300" t="s">
        <v>1164</v>
      </c>
      <c r="BL300" s="162">
        <v>80</v>
      </c>
      <c r="BM300" t="s">
        <v>35</v>
      </c>
      <c r="BN300" t="s">
        <v>35</v>
      </c>
      <c r="BO300" t="s">
        <v>1164</v>
      </c>
      <c r="BP300" s="162">
        <v>80</v>
      </c>
      <c r="BQ300" t="s">
        <v>35</v>
      </c>
      <c r="BR300" t="s">
        <v>1849</v>
      </c>
      <c r="BS300" s="162" t="s">
        <v>10170</v>
      </c>
    </row>
    <row r="301" spans="1:71">
      <c r="A301" s="162">
        <v>300</v>
      </c>
      <c r="B301" t="s">
        <v>283</v>
      </c>
      <c r="C301" s="162">
        <v>1</v>
      </c>
      <c r="D301" s="122">
        <v>42979</v>
      </c>
      <c r="E301" t="s">
        <v>477</v>
      </c>
      <c r="F301" t="s">
        <v>515</v>
      </c>
      <c r="G301" t="s">
        <v>291</v>
      </c>
      <c r="H301" t="s">
        <v>793</v>
      </c>
      <c r="I301" s="162">
        <v>1</v>
      </c>
      <c r="J301" t="s">
        <v>1855</v>
      </c>
      <c r="K301" t="s">
        <v>3</v>
      </c>
      <c r="L301" s="165">
        <v>32870</v>
      </c>
      <c r="M301" s="166">
        <v>27</v>
      </c>
      <c r="N301" t="s">
        <v>1093</v>
      </c>
      <c r="O301" t="s">
        <v>10135</v>
      </c>
      <c r="P301" t="s">
        <v>48</v>
      </c>
      <c r="Q301" t="s">
        <v>2065</v>
      </c>
      <c r="R301" t="s">
        <v>2083</v>
      </c>
      <c r="S301" s="162">
        <v>379.4</v>
      </c>
      <c r="T301" t="s">
        <v>2086</v>
      </c>
      <c r="U301" s="162">
        <v>44.6</v>
      </c>
      <c r="V301">
        <v>0</v>
      </c>
      <c r="W301" s="162">
        <v>0</v>
      </c>
      <c r="X301">
        <v>0</v>
      </c>
      <c r="Y301" s="162">
        <v>0</v>
      </c>
      <c r="Z301">
        <v>0</v>
      </c>
      <c r="AA301" s="162">
        <v>0</v>
      </c>
      <c r="AB301">
        <v>0</v>
      </c>
      <c r="AC301" s="162" t="s">
        <v>7</v>
      </c>
      <c r="AD301" s="162" t="s">
        <v>7</v>
      </c>
      <c r="AE301" s="162" t="s">
        <v>7</v>
      </c>
      <c r="AF301" s="162" t="s">
        <v>7</v>
      </c>
      <c r="AG301" s="162" t="s">
        <v>7</v>
      </c>
      <c r="AH301" s="162" t="s">
        <v>7</v>
      </c>
      <c r="AI301" t="s">
        <v>9843</v>
      </c>
      <c r="AJ301" t="s">
        <v>7</v>
      </c>
      <c r="AK301" t="s">
        <v>1212</v>
      </c>
      <c r="AL301" t="s">
        <v>36</v>
      </c>
      <c r="AM301" s="162" t="s">
        <v>10138</v>
      </c>
      <c r="AN301" t="s">
        <v>9843</v>
      </c>
      <c r="AO301" t="s">
        <v>35</v>
      </c>
      <c r="AP301" t="s">
        <v>7</v>
      </c>
      <c r="AQ301" t="s">
        <v>9</v>
      </c>
      <c r="AR301" t="s">
        <v>1097</v>
      </c>
      <c r="AS301" s="162" t="s">
        <v>9851</v>
      </c>
      <c r="AT301" s="117" t="s">
        <v>7</v>
      </c>
      <c r="AU301" s="162" t="s">
        <v>7</v>
      </c>
      <c r="AV301" s="162" t="s">
        <v>7</v>
      </c>
      <c r="AW301" s="162" t="s">
        <v>9851</v>
      </c>
      <c r="AX301" s="162" t="s">
        <v>7</v>
      </c>
      <c r="AY301" s="162" t="s">
        <v>7</v>
      </c>
      <c r="AZ301" t="s">
        <v>7</v>
      </c>
      <c r="BA301" s="162" t="s">
        <v>7</v>
      </c>
      <c r="BB301" s="162" t="s">
        <v>7</v>
      </c>
      <c r="BC301" s="162" t="s">
        <v>7</v>
      </c>
      <c r="BD301" s="162" t="s">
        <v>7</v>
      </c>
      <c r="BE301" s="162" t="s">
        <v>7</v>
      </c>
      <c r="BF301" s="162" t="str">
        <f t="shared" si="8"/>
        <v>Sim</v>
      </c>
      <c r="BG301" s="162" t="str">
        <f t="shared" si="9"/>
        <v>Não</v>
      </c>
      <c r="BH301" s="162" t="s">
        <v>7</v>
      </c>
      <c r="BI301" t="s">
        <v>9872</v>
      </c>
      <c r="BJ301" s="162" t="s">
        <v>10165</v>
      </c>
      <c r="BK301" t="s">
        <v>1164</v>
      </c>
      <c r="BL301" s="162">
        <v>80</v>
      </c>
      <c r="BM301" t="s">
        <v>35</v>
      </c>
      <c r="BN301" t="s">
        <v>35</v>
      </c>
      <c r="BO301" t="s">
        <v>1164</v>
      </c>
      <c r="BP301" s="162">
        <v>80</v>
      </c>
      <c r="BQ301" t="s">
        <v>35</v>
      </c>
      <c r="BR301" t="s">
        <v>1849</v>
      </c>
      <c r="BS301" s="162" t="s">
        <v>10170</v>
      </c>
    </row>
    <row r="302" spans="1:71">
      <c r="A302" s="162">
        <v>301</v>
      </c>
      <c r="B302" t="s">
        <v>445</v>
      </c>
      <c r="C302" s="162">
        <v>1</v>
      </c>
      <c r="D302" s="122" t="s">
        <v>606</v>
      </c>
      <c r="E302" t="s">
        <v>1006</v>
      </c>
      <c r="F302" t="s">
        <v>3</v>
      </c>
      <c r="G302" t="s">
        <v>450</v>
      </c>
      <c r="H302" t="s">
        <v>1009</v>
      </c>
      <c r="I302" s="162">
        <v>1</v>
      </c>
      <c r="J302" t="s">
        <v>1855</v>
      </c>
      <c r="K302" t="s">
        <v>515</v>
      </c>
      <c r="L302" s="165">
        <v>32387</v>
      </c>
      <c r="M302" s="166">
        <v>28</v>
      </c>
      <c r="N302" t="s">
        <v>4</v>
      </c>
      <c r="O302" t="s">
        <v>10134</v>
      </c>
      <c r="P302" t="s">
        <v>41</v>
      </c>
      <c r="Q302" t="s">
        <v>1861</v>
      </c>
      <c r="R302">
        <v>0</v>
      </c>
      <c r="S302" s="162">
        <v>0</v>
      </c>
      <c r="T302" t="s">
        <v>1954</v>
      </c>
      <c r="U302" s="162">
        <v>1802</v>
      </c>
      <c r="V302">
        <v>0</v>
      </c>
      <c r="W302" s="162">
        <v>0</v>
      </c>
      <c r="X302">
        <v>0</v>
      </c>
      <c r="Y302" s="162">
        <v>0</v>
      </c>
      <c r="Z302">
        <v>0</v>
      </c>
      <c r="AA302" s="162">
        <v>0</v>
      </c>
      <c r="AB302">
        <v>0</v>
      </c>
      <c r="AC302" s="162" t="s">
        <v>7</v>
      </c>
      <c r="AD302" s="162" t="s">
        <v>7</v>
      </c>
      <c r="AE302" s="162" t="s">
        <v>7</v>
      </c>
      <c r="AF302" s="162" t="s">
        <v>7</v>
      </c>
      <c r="AG302" s="162" t="s">
        <v>7</v>
      </c>
      <c r="AH302" s="162" t="s">
        <v>7</v>
      </c>
      <c r="AI302" t="s">
        <v>9846</v>
      </c>
      <c r="AJ302" t="s">
        <v>7</v>
      </c>
      <c r="AK302" t="s">
        <v>1935</v>
      </c>
      <c r="AL302" t="s">
        <v>36</v>
      </c>
      <c r="AM302" s="162" t="s">
        <v>10138</v>
      </c>
      <c r="AN302" t="s">
        <v>9846</v>
      </c>
      <c r="AO302" t="s">
        <v>35</v>
      </c>
      <c r="AP302" t="s">
        <v>9863</v>
      </c>
      <c r="AQ302" t="s">
        <v>1166</v>
      </c>
      <c r="AR302" t="s">
        <v>7</v>
      </c>
      <c r="AS302" s="162" t="s">
        <v>7</v>
      </c>
      <c r="AT302" s="117" t="s">
        <v>7</v>
      </c>
      <c r="AU302" s="162" t="s">
        <v>7</v>
      </c>
      <c r="AV302" s="162" t="s">
        <v>7</v>
      </c>
      <c r="AW302" s="162" t="s">
        <v>9851</v>
      </c>
      <c r="AX302" s="162" t="s">
        <v>7</v>
      </c>
      <c r="AY302" s="162" t="s">
        <v>7</v>
      </c>
      <c r="AZ302" t="s">
        <v>7</v>
      </c>
      <c r="BA302" s="162" t="s">
        <v>7</v>
      </c>
      <c r="BB302" s="162" t="s">
        <v>7</v>
      </c>
      <c r="BC302" s="162" t="s">
        <v>7</v>
      </c>
      <c r="BD302" s="162" t="s">
        <v>7</v>
      </c>
      <c r="BE302" s="162" t="s">
        <v>7</v>
      </c>
      <c r="BF302" s="162" t="str">
        <f t="shared" si="8"/>
        <v>Sim</v>
      </c>
      <c r="BG302" s="162" t="str">
        <f t="shared" si="9"/>
        <v>Não</v>
      </c>
      <c r="BH302" s="162" t="s">
        <v>7</v>
      </c>
      <c r="BI302" t="s">
        <v>9871</v>
      </c>
      <c r="BJ302" s="162" t="s">
        <v>10164</v>
      </c>
      <c r="BK302" t="s">
        <v>1164</v>
      </c>
      <c r="BL302" s="162">
        <v>80</v>
      </c>
      <c r="BM302" t="s">
        <v>1162</v>
      </c>
      <c r="BN302" t="s">
        <v>35</v>
      </c>
      <c r="BO302" t="s">
        <v>1862</v>
      </c>
      <c r="BP302" s="162">
        <v>116</v>
      </c>
      <c r="BQ302" t="s">
        <v>35</v>
      </c>
      <c r="BR302" t="s">
        <v>1849</v>
      </c>
      <c r="BS302" s="162" t="s">
        <v>10253</v>
      </c>
    </row>
    <row r="303" spans="1:71">
      <c r="A303" s="162">
        <v>302</v>
      </c>
      <c r="B303" t="s">
        <v>445</v>
      </c>
      <c r="C303" s="162">
        <v>0</v>
      </c>
      <c r="D303" s="122" t="s">
        <v>606</v>
      </c>
      <c r="E303" t="s">
        <v>1006</v>
      </c>
      <c r="F303" t="s">
        <v>3</v>
      </c>
      <c r="G303" t="s">
        <v>450</v>
      </c>
      <c r="H303" t="s">
        <v>1010</v>
      </c>
      <c r="I303" s="162">
        <v>1</v>
      </c>
      <c r="J303" t="s">
        <v>1855</v>
      </c>
      <c r="K303" t="s">
        <v>3</v>
      </c>
      <c r="L303" s="165">
        <v>23781</v>
      </c>
      <c r="M303" s="166">
        <v>52</v>
      </c>
      <c r="N303" t="s">
        <v>1093</v>
      </c>
      <c r="O303" t="s">
        <v>10135</v>
      </c>
      <c r="P303" t="s">
        <v>1101</v>
      </c>
      <c r="Q303" t="s">
        <v>1863</v>
      </c>
      <c r="R303">
        <v>0</v>
      </c>
      <c r="S303" s="162">
        <v>0</v>
      </c>
      <c r="T303" t="s">
        <v>1954</v>
      </c>
      <c r="U303" s="162">
        <v>1802</v>
      </c>
      <c r="V303">
        <v>0</v>
      </c>
      <c r="W303" s="162">
        <v>0</v>
      </c>
      <c r="X303">
        <v>0</v>
      </c>
      <c r="Y303" s="162">
        <v>0</v>
      </c>
      <c r="Z303">
        <v>0</v>
      </c>
      <c r="AA303" s="162">
        <v>0</v>
      </c>
      <c r="AB303">
        <v>0</v>
      </c>
      <c r="AC303" s="162" t="s">
        <v>7</v>
      </c>
      <c r="AD303" s="162" t="s">
        <v>7</v>
      </c>
      <c r="AE303" s="162" t="s">
        <v>7</v>
      </c>
      <c r="AF303" s="162" t="s">
        <v>7</v>
      </c>
      <c r="AG303" s="162" t="s">
        <v>7</v>
      </c>
      <c r="AH303" s="162" t="s">
        <v>7</v>
      </c>
      <c r="AI303" t="s">
        <v>9846</v>
      </c>
      <c r="AJ303" t="s">
        <v>7</v>
      </c>
      <c r="AK303" t="s">
        <v>1935</v>
      </c>
      <c r="AL303" t="s">
        <v>36</v>
      </c>
      <c r="AM303" s="162" t="s">
        <v>10138</v>
      </c>
      <c r="AN303" t="s">
        <v>9846</v>
      </c>
      <c r="AO303" t="s">
        <v>35</v>
      </c>
      <c r="AP303" t="s">
        <v>9863</v>
      </c>
      <c r="AQ303" t="s">
        <v>1166</v>
      </c>
      <c r="AR303" t="s">
        <v>7</v>
      </c>
      <c r="AS303" s="162" t="s">
        <v>7</v>
      </c>
      <c r="AT303" s="117" t="s">
        <v>7</v>
      </c>
      <c r="AU303" s="162" t="s">
        <v>7</v>
      </c>
      <c r="AV303" s="162" t="s">
        <v>7</v>
      </c>
      <c r="AW303" s="162" t="s">
        <v>9851</v>
      </c>
      <c r="AX303" s="162" t="s">
        <v>7</v>
      </c>
      <c r="AY303" s="162" t="s">
        <v>7</v>
      </c>
      <c r="AZ303" t="s">
        <v>7</v>
      </c>
      <c r="BA303" s="162" t="s">
        <v>7</v>
      </c>
      <c r="BB303" s="162" t="s">
        <v>7</v>
      </c>
      <c r="BC303" s="162" t="s">
        <v>7</v>
      </c>
      <c r="BD303" s="162" t="s">
        <v>7</v>
      </c>
      <c r="BE303" s="162" t="s">
        <v>7</v>
      </c>
      <c r="BF303" s="162" t="str">
        <f t="shared" si="8"/>
        <v>Sim</v>
      </c>
      <c r="BG303" s="162" t="str">
        <f t="shared" si="9"/>
        <v>Não</v>
      </c>
      <c r="BH303" s="162" t="s">
        <v>7</v>
      </c>
      <c r="BI303" t="s">
        <v>9871</v>
      </c>
      <c r="BJ303" s="162" t="s">
        <v>10164</v>
      </c>
      <c r="BK303" t="s">
        <v>1164</v>
      </c>
      <c r="BL303" s="162">
        <v>80</v>
      </c>
      <c r="BM303" t="s">
        <v>1162</v>
      </c>
      <c r="BN303" t="s">
        <v>35</v>
      </c>
      <c r="BO303" t="s">
        <v>1862</v>
      </c>
      <c r="BP303" s="162">
        <v>116</v>
      </c>
      <c r="BQ303" t="s">
        <v>35</v>
      </c>
      <c r="BR303" t="s">
        <v>1849</v>
      </c>
      <c r="BS303" s="162" t="s">
        <v>10253</v>
      </c>
    </row>
    <row r="304" spans="1:71">
      <c r="A304" s="162">
        <v>303</v>
      </c>
      <c r="B304" t="s">
        <v>220</v>
      </c>
      <c r="C304" s="162">
        <v>1</v>
      </c>
      <c r="D304" s="122" t="s">
        <v>498</v>
      </c>
      <c r="E304" t="s">
        <v>772</v>
      </c>
      <c r="F304" t="s">
        <v>515</v>
      </c>
      <c r="G304" t="s">
        <v>225</v>
      </c>
      <c r="H304" t="s">
        <v>1252</v>
      </c>
      <c r="I304" s="162">
        <v>1</v>
      </c>
      <c r="J304" t="s">
        <v>1855</v>
      </c>
      <c r="K304" t="s">
        <v>3</v>
      </c>
      <c r="L304" s="165">
        <v>34985</v>
      </c>
      <c r="M304" s="166">
        <v>21</v>
      </c>
      <c r="N304" t="s">
        <v>5</v>
      </c>
      <c r="O304" t="s">
        <v>10135</v>
      </c>
      <c r="P304" t="s">
        <v>41</v>
      </c>
      <c r="Q304" t="s">
        <v>1120</v>
      </c>
      <c r="R304">
        <v>0</v>
      </c>
      <c r="S304" s="162">
        <v>0</v>
      </c>
      <c r="T304" t="s">
        <v>1253</v>
      </c>
      <c r="U304" s="162">
        <v>4.8</v>
      </c>
      <c r="V304">
        <v>0</v>
      </c>
      <c r="W304" s="162">
        <v>0</v>
      </c>
      <c r="X304">
        <v>0</v>
      </c>
      <c r="Y304" s="162">
        <v>0</v>
      </c>
      <c r="Z304">
        <v>0</v>
      </c>
      <c r="AA304" s="162">
        <v>0</v>
      </c>
      <c r="AB304">
        <v>0</v>
      </c>
      <c r="AC304" s="162" t="s">
        <v>7</v>
      </c>
      <c r="AD304" s="162" t="s">
        <v>7</v>
      </c>
      <c r="AE304" s="162" t="s">
        <v>7</v>
      </c>
      <c r="AF304" s="162" t="s">
        <v>7</v>
      </c>
      <c r="AG304" s="162" t="s">
        <v>7</v>
      </c>
      <c r="AH304" s="162" t="s">
        <v>7</v>
      </c>
      <c r="AI304" t="s">
        <v>9843</v>
      </c>
      <c r="AJ304" t="s">
        <v>7</v>
      </c>
      <c r="AK304" t="s">
        <v>80</v>
      </c>
      <c r="AL304" t="s">
        <v>36</v>
      </c>
      <c r="AM304" s="162" t="s">
        <v>10138</v>
      </c>
      <c r="AN304" t="s">
        <v>9843</v>
      </c>
      <c r="AO304" t="s">
        <v>35</v>
      </c>
      <c r="AP304" t="s">
        <v>7</v>
      </c>
      <c r="AQ304" t="s">
        <v>9</v>
      </c>
      <c r="AR304" t="s">
        <v>1097</v>
      </c>
      <c r="AS304" s="162" t="s">
        <v>9851</v>
      </c>
      <c r="AT304" s="117" t="s">
        <v>7</v>
      </c>
      <c r="AU304" s="162" t="s">
        <v>7</v>
      </c>
      <c r="AV304" s="162" t="s">
        <v>7</v>
      </c>
      <c r="AW304" s="162" t="s">
        <v>9851</v>
      </c>
      <c r="AX304" s="162" t="s">
        <v>7</v>
      </c>
      <c r="AY304" s="162" t="s">
        <v>7</v>
      </c>
      <c r="AZ304" t="s">
        <v>7</v>
      </c>
      <c r="BA304" s="162" t="s">
        <v>7</v>
      </c>
      <c r="BB304" s="162" t="s">
        <v>7</v>
      </c>
      <c r="BC304" s="162" t="s">
        <v>7</v>
      </c>
      <c r="BD304" s="162" t="s">
        <v>7</v>
      </c>
      <c r="BE304" s="162" t="s">
        <v>7</v>
      </c>
      <c r="BF304" s="162" t="str">
        <f t="shared" si="8"/>
        <v>Sim</v>
      </c>
      <c r="BG304" s="162" t="str">
        <f t="shared" si="9"/>
        <v>Não</v>
      </c>
      <c r="BH304" s="162" t="s">
        <v>7</v>
      </c>
      <c r="BI304" t="s">
        <v>9872</v>
      </c>
      <c r="BJ304" s="162" t="s">
        <v>10165</v>
      </c>
      <c r="BK304" t="s">
        <v>1164</v>
      </c>
      <c r="BL304" s="162">
        <v>80</v>
      </c>
      <c r="BM304" t="s">
        <v>35</v>
      </c>
      <c r="BN304" t="s">
        <v>35</v>
      </c>
      <c r="BO304" t="s">
        <v>1164</v>
      </c>
      <c r="BP304" s="162">
        <v>80</v>
      </c>
      <c r="BQ304" t="s">
        <v>35</v>
      </c>
      <c r="BR304" t="s">
        <v>1849</v>
      </c>
      <c r="BS304" s="162" t="s">
        <v>10170</v>
      </c>
    </row>
    <row r="305" spans="1:71">
      <c r="A305" s="162">
        <v>304</v>
      </c>
      <c r="B305" t="s">
        <v>234</v>
      </c>
      <c r="C305" s="162">
        <v>1</v>
      </c>
      <c r="D305" s="122" t="s">
        <v>644</v>
      </c>
      <c r="E305" t="s">
        <v>677</v>
      </c>
      <c r="F305" t="s">
        <v>515</v>
      </c>
      <c r="G305" t="s">
        <v>241</v>
      </c>
      <c r="H305" t="s">
        <v>693</v>
      </c>
      <c r="I305" s="162">
        <v>1</v>
      </c>
      <c r="J305" t="s">
        <v>1855</v>
      </c>
      <c r="K305" t="s">
        <v>3</v>
      </c>
      <c r="L305" s="165">
        <v>27099</v>
      </c>
      <c r="M305" s="166">
        <v>43</v>
      </c>
      <c r="N305" t="s">
        <v>1093</v>
      </c>
      <c r="O305" t="s">
        <v>10135</v>
      </c>
      <c r="P305" t="s">
        <v>48</v>
      </c>
      <c r="Q305" t="s">
        <v>1297</v>
      </c>
      <c r="R305">
        <v>0</v>
      </c>
      <c r="S305" s="162">
        <v>0</v>
      </c>
      <c r="T305">
        <v>0</v>
      </c>
      <c r="U305" s="162">
        <v>0</v>
      </c>
      <c r="V305" t="s">
        <v>9817</v>
      </c>
      <c r="W305" s="162">
        <v>1031.2</v>
      </c>
      <c r="X305">
        <v>0</v>
      </c>
      <c r="Y305" s="162">
        <v>0</v>
      </c>
      <c r="Z305">
        <v>0</v>
      </c>
      <c r="AA305" s="162">
        <v>0</v>
      </c>
      <c r="AB305">
        <v>0</v>
      </c>
      <c r="AC305" s="162" t="s">
        <v>7</v>
      </c>
      <c r="AD305" s="162" t="s">
        <v>7</v>
      </c>
      <c r="AE305" s="162" t="s">
        <v>7</v>
      </c>
      <c r="AF305" s="162" t="s">
        <v>7</v>
      </c>
      <c r="AG305" s="162" t="s">
        <v>7</v>
      </c>
      <c r="AH305" s="162" t="s">
        <v>7</v>
      </c>
      <c r="AI305" t="s">
        <v>9843</v>
      </c>
      <c r="AJ305" t="s">
        <v>7</v>
      </c>
      <c r="AK305" t="s">
        <v>1546</v>
      </c>
      <c r="AL305" t="s">
        <v>36</v>
      </c>
      <c r="AM305" s="162" t="s">
        <v>10138</v>
      </c>
      <c r="AN305" t="s">
        <v>9843</v>
      </c>
      <c r="AO305" t="s">
        <v>35</v>
      </c>
      <c r="AP305" t="s">
        <v>1079</v>
      </c>
      <c r="AQ305" t="s">
        <v>1164</v>
      </c>
      <c r="AR305" t="s">
        <v>7</v>
      </c>
      <c r="AS305" s="162" t="s">
        <v>7</v>
      </c>
      <c r="AT305" s="117" t="s">
        <v>7</v>
      </c>
      <c r="AU305" s="162" t="s">
        <v>7</v>
      </c>
      <c r="AV305" s="162" t="s">
        <v>7</v>
      </c>
      <c r="AW305" s="162" t="s">
        <v>9851</v>
      </c>
      <c r="AX305" s="162" t="s">
        <v>7</v>
      </c>
      <c r="AY305" s="162" t="s">
        <v>7</v>
      </c>
      <c r="AZ305" t="s">
        <v>7</v>
      </c>
      <c r="BA305" s="162" t="s">
        <v>7</v>
      </c>
      <c r="BB305" s="162" t="s">
        <v>7</v>
      </c>
      <c r="BC305" s="162" t="s">
        <v>7</v>
      </c>
      <c r="BD305" s="162" t="s">
        <v>7</v>
      </c>
      <c r="BE305" s="162" t="s">
        <v>7</v>
      </c>
      <c r="BF305" s="162" t="str">
        <f t="shared" si="8"/>
        <v>Sim</v>
      </c>
      <c r="BG305" s="162" t="str">
        <f t="shared" si="9"/>
        <v>Não</v>
      </c>
      <c r="BH305" s="162" t="s">
        <v>7</v>
      </c>
      <c r="BI305" t="s">
        <v>7</v>
      </c>
      <c r="BJ305" s="162" t="s">
        <v>7</v>
      </c>
      <c r="BK305" t="s">
        <v>1164</v>
      </c>
      <c r="BL305" s="162">
        <v>80</v>
      </c>
      <c r="BM305" t="s">
        <v>35</v>
      </c>
      <c r="BN305" t="s">
        <v>35</v>
      </c>
      <c r="BO305" t="s">
        <v>1164</v>
      </c>
      <c r="BP305" s="162">
        <v>80</v>
      </c>
      <c r="BQ305" t="s">
        <v>35</v>
      </c>
      <c r="BR305" t="s">
        <v>1849</v>
      </c>
      <c r="BS305" s="162" t="s">
        <v>10170</v>
      </c>
    </row>
    <row r="306" spans="1:71">
      <c r="A306" s="162">
        <v>305</v>
      </c>
      <c r="B306" t="s">
        <v>219</v>
      </c>
      <c r="C306" s="162">
        <v>1</v>
      </c>
      <c r="D306" s="122" t="s">
        <v>628</v>
      </c>
      <c r="E306" t="s">
        <v>772</v>
      </c>
      <c r="F306" t="s">
        <v>515</v>
      </c>
      <c r="G306" t="s">
        <v>225</v>
      </c>
      <c r="H306" t="s">
        <v>777</v>
      </c>
      <c r="I306" s="162">
        <v>1</v>
      </c>
      <c r="J306" t="s">
        <v>1855</v>
      </c>
      <c r="K306" t="s">
        <v>3</v>
      </c>
      <c r="L306" s="165">
        <v>34295</v>
      </c>
      <c r="M306" s="166">
        <v>23</v>
      </c>
      <c r="N306" t="s">
        <v>5</v>
      </c>
      <c r="O306" t="s">
        <v>10135</v>
      </c>
      <c r="P306" t="s">
        <v>1101</v>
      </c>
      <c r="Q306" t="s">
        <v>1245</v>
      </c>
      <c r="R306" t="s">
        <v>1248</v>
      </c>
      <c r="S306" s="162">
        <v>23.3</v>
      </c>
      <c r="T306" t="s">
        <v>1247</v>
      </c>
      <c r="U306" s="162">
        <v>27.6</v>
      </c>
      <c r="V306" t="s">
        <v>1246</v>
      </c>
      <c r="W306" s="162">
        <v>3</v>
      </c>
      <c r="X306">
        <v>0</v>
      </c>
      <c r="Y306" s="162">
        <v>0</v>
      </c>
      <c r="Z306">
        <v>0</v>
      </c>
      <c r="AA306" s="162">
        <v>0</v>
      </c>
      <c r="AB306">
        <v>0</v>
      </c>
      <c r="AC306" s="162" t="s">
        <v>7</v>
      </c>
      <c r="AD306" s="162" t="s">
        <v>7</v>
      </c>
      <c r="AE306" s="162" t="s">
        <v>7</v>
      </c>
      <c r="AF306" s="162" t="s">
        <v>7</v>
      </c>
      <c r="AG306" s="162" t="s">
        <v>7</v>
      </c>
      <c r="AH306" s="162" t="s">
        <v>7</v>
      </c>
      <c r="AI306" t="s">
        <v>9843</v>
      </c>
      <c r="AJ306" t="s">
        <v>7</v>
      </c>
      <c r="AK306" t="s">
        <v>1150</v>
      </c>
      <c r="AL306" t="s">
        <v>36</v>
      </c>
      <c r="AM306" s="162" t="s">
        <v>10138</v>
      </c>
      <c r="AN306" t="s">
        <v>9843</v>
      </c>
      <c r="AO306" t="s">
        <v>35</v>
      </c>
      <c r="AP306" t="s">
        <v>7</v>
      </c>
      <c r="AQ306" t="s">
        <v>9</v>
      </c>
      <c r="AR306" t="s">
        <v>1097</v>
      </c>
      <c r="AS306" s="162" t="s">
        <v>9851</v>
      </c>
      <c r="AT306" s="117" t="s">
        <v>7</v>
      </c>
      <c r="AU306" s="162" t="s">
        <v>7</v>
      </c>
      <c r="AV306" s="162" t="s">
        <v>7</v>
      </c>
      <c r="AW306" s="162" t="s">
        <v>9851</v>
      </c>
      <c r="AX306" s="162" t="s">
        <v>7</v>
      </c>
      <c r="AY306" s="162" t="s">
        <v>7</v>
      </c>
      <c r="AZ306" t="s">
        <v>7</v>
      </c>
      <c r="BA306" s="162" t="s">
        <v>7</v>
      </c>
      <c r="BB306" s="162" t="s">
        <v>7</v>
      </c>
      <c r="BC306" s="162" t="s">
        <v>7</v>
      </c>
      <c r="BD306" s="162" t="s">
        <v>7</v>
      </c>
      <c r="BE306" s="162" t="s">
        <v>7</v>
      </c>
      <c r="BF306" s="162" t="str">
        <f t="shared" si="8"/>
        <v>Sim</v>
      </c>
      <c r="BG306" s="162" t="str">
        <f t="shared" si="9"/>
        <v>Não</v>
      </c>
      <c r="BH306" s="162" t="s">
        <v>7</v>
      </c>
      <c r="BI306" t="s">
        <v>9872</v>
      </c>
      <c r="BJ306" s="162" t="s">
        <v>10165</v>
      </c>
      <c r="BK306" t="s">
        <v>1164</v>
      </c>
      <c r="BL306" s="162">
        <v>80</v>
      </c>
      <c r="BM306" t="s">
        <v>35</v>
      </c>
      <c r="BN306" t="s">
        <v>35</v>
      </c>
      <c r="BO306" t="s">
        <v>1164</v>
      </c>
      <c r="BP306" s="162">
        <v>80</v>
      </c>
      <c r="BQ306" t="s">
        <v>35</v>
      </c>
      <c r="BR306" t="s">
        <v>1849</v>
      </c>
      <c r="BS306" s="162" t="s">
        <v>10170</v>
      </c>
    </row>
    <row r="307" spans="1:71">
      <c r="A307" s="162">
        <v>306</v>
      </c>
      <c r="B307" t="s">
        <v>153</v>
      </c>
      <c r="C307" s="162">
        <v>1</v>
      </c>
      <c r="D307" s="122" t="s">
        <v>563</v>
      </c>
      <c r="E307" t="s">
        <v>564</v>
      </c>
      <c r="F307" t="s">
        <v>3</v>
      </c>
      <c r="G307" t="s">
        <v>155</v>
      </c>
      <c r="H307" t="s">
        <v>565</v>
      </c>
      <c r="I307" s="162">
        <v>1</v>
      </c>
      <c r="J307" t="s">
        <v>76</v>
      </c>
      <c r="K307" t="s">
        <v>3</v>
      </c>
      <c r="L307" s="165">
        <v>28439</v>
      </c>
      <c r="M307" s="166">
        <v>39</v>
      </c>
      <c r="N307" t="s">
        <v>4</v>
      </c>
      <c r="O307" t="s">
        <v>10134</v>
      </c>
      <c r="P307" t="s">
        <v>48</v>
      </c>
      <c r="Q307" t="s">
        <v>1186</v>
      </c>
      <c r="R307" t="s">
        <v>1772</v>
      </c>
      <c r="S307" s="162">
        <v>674.4</v>
      </c>
      <c r="T307">
        <v>0</v>
      </c>
      <c r="U307" s="162">
        <v>0</v>
      </c>
      <c r="V307">
        <v>0</v>
      </c>
      <c r="W307" s="162">
        <v>0</v>
      </c>
      <c r="X307" t="s">
        <v>9954</v>
      </c>
      <c r="Y307" s="162">
        <v>8.6999999999999993</v>
      </c>
      <c r="Z307">
        <v>0</v>
      </c>
      <c r="AA307" s="162">
        <v>0</v>
      </c>
      <c r="AB307" t="s">
        <v>1771</v>
      </c>
      <c r="AC307" s="162" t="s">
        <v>7</v>
      </c>
      <c r="AD307" s="162" t="s">
        <v>7</v>
      </c>
      <c r="AE307" s="162" t="s">
        <v>9851</v>
      </c>
      <c r="AF307" s="162" t="s">
        <v>7</v>
      </c>
      <c r="AG307" s="162" t="s">
        <v>7</v>
      </c>
      <c r="AH307" s="162" t="s">
        <v>7</v>
      </c>
      <c r="AI307" t="s">
        <v>9843</v>
      </c>
      <c r="AJ307" t="s">
        <v>7</v>
      </c>
      <c r="AK307" t="s">
        <v>1414</v>
      </c>
      <c r="AL307" t="s">
        <v>36</v>
      </c>
      <c r="AM307" s="162" t="s">
        <v>10138</v>
      </c>
      <c r="AN307" t="s">
        <v>9843</v>
      </c>
      <c r="AO307" t="s">
        <v>35</v>
      </c>
      <c r="AP307" t="s">
        <v>7</v>
      </c>
      <c r="AQ307" t="s">
        <v>9</v>
      </c>
      <c r="AR307" t="s">
        <v>1097</v>
      </c>
      <c r="AS307" s="162" t="s">
        <v>9851</v>
      </c>
      <c r="AT307" s="117" t="s">
        <v>7</v>
      </c>
      <c r="AU307" s="162" t="s">
        <v>7</v>
      </c>
      <c r="AV307" s="162" t="s">
        <v>7</v>
      </c>
      <c r="AW307" s="162" t="s">
        <v>9851</v>
      </c>
      <c r="AX307" s="162" t="s">
        <v>7</v>
      </c>
      <c r="AY307" s="162" t="s">
        <v>7</v>
      </c>
      <c r="AZ307" t="s">
        <v>7</v>
      </c>
      <c r="BA307" s="162" t="s">
        <v>7</v>
      </c>
      <c r="BB307" s="162" t="s">
        <v>7</v>
      </c>
      <c r="BC307" s="162" t="s">
        <v>7</v>
      </c>
      <c r="BD307" s="162" t="s">
        <v>7</v>
      </c>
      <c r="BE307" s="162" t="s">
        <v>7</v>
      </c>
      <c r="BF307" s="162" t="str">
        <f t="shared" si="8"/>
        <v>Sim</v>
      </c>
      <c r="BG307" s="162" t="str">
        <f t="shared" si="9"/>
        <v>Não</v>
      </c>
      <c r="BH307" s="162" t="s">
        <v>7</v>
      </c>
      <c r="BI307" t="s">
        <v>9872</v>
      </c>
      <c r="BJ307" s="162" t="s">
        <v>10165</v>
      </c>
      <c r="BK307" t="s">
        <v>1164</v>
      </c>
      <c r="BL307" s="162">
        <v>80</v>
      </c>
      <c r="BM307" t="s">
        <v>35</v>
      </c>
      <c r="BN307" t="s">
        <v>35</v>
      </c>
      <c r="BO307" t="s">
        <v>1164</v>
      </c>
      <c r="BP307" s="162">
        <v>80</v>
      </c>
      <c r="BQ307" t="s">
        <v>35</v>
      </c>
      <c r="BR307" t="s">
        <v>1849</v>
      </c>
      <c r="BS307" s="162" t="s">
        <v>10170</v>
      </c>
    </row>
    <row r="308" spans="1:71">
      <c r="A308" s="162">
        <v>307</v>
      </c>
      <c r="B308" t="s">
        <v>362</v>
      </c>
      <c r="C308" s="162">
        <v>1</v>
      </c>
      <c r="D308" s="122" t="s">
        <v>542</v>
      </c>
      <c r="E308" t="s">
        <v>949</v>
      </c>
      <c r="F308" t="s">
        <v>3</v>
      </c>
      <c r="G308" t="s">
        <v>364</v>
      </c>
      <c r="H308" t="s">
        <v>969</v>
      </c>
      <c r="I308" s="162">
        <v>1</v>
      </c>
      <c r="J308" t="s">
        <v>1855</v>
      </c>
      <c r="K308" t="s">
        <v>3</v>
      </c>
      <c r="L308" s="165">
        <v>32963</v>
      </c>
      <c r="M308" s="166">
        <v>27</v>
      </c>
      <c r="N308" t="s">
        <v>4</v>
      </c>
      <c r="O308" t="s">
        <v>10134</v>
      </c>
      <c r="P308" t="s">
        <v>41</v>
      </c>
      <c r="Q308" t="s">
        <v>1226</v>
      </c>
      <c r="R308">
        <v>0</v>
      </c>
      <c r="S308" s="162">
        <v>0</v>
      </c>
      <c r="T308" t="s">
        <v>9997</v>
      </c>
      <c r="U308" s="162">
        <v>5</v>
      </c>
      <c r="V308" t="s">
        <v>9998</v>
      </c>
      <c r="W308" s="162">
        <v>1.9</v>
      </c>
      <c r="X308">
        <v>0</v>
      </c>
      <c r="Y308" s="162">
        <v>0</v>
      </c>
      <c r="Z308">
        <v>0</v>
      </c>
      <c r="AA308" s="162">
        <v>0</v>
      </c>
      <c r="AB308">
        <v>0</v>
      </c>
      <c r="AC308" s="162" t="s">
        <v>7</v>
      </c>
      <c r="AD308" s="162" t="s">
        <v>7</v>
      </c>
      <c r="AE308" s="162" t="s">
        <v>7</v>
      </c>
      <c r="AF308" s="162" t="s">
        <v>7</v>
      </c>
      <c r="AG308" s="162" t="s">
        <v>7</v>
      </c>
      <c r="AH308" s="162" t="s">
        <v>7</v>
      </c>
      <c r="AI308" t="s">
        <v>9843</v>
      </c>
      <c r="AJ308" t="s">
        <v>7</v>
      </c>
      <c r="AK308" t="s">
        <v>72</v>
      </c>
      <c r="AL308" t="s">
        <v>36</v>
      </c>
      <c r="AM308" s="162" t="s">
        <v>10138</v>
      </c>
      <c r="AN308" t="s">
        <v>9843</v>
      </c>
      <c r="AO308" t="s">
        <v>35</v>
      </c>
      <c r="AP308" t="s">
        <v>9857</v>
      </c>
      <c r="AQ308" t="s">
        <v>1080</v>
      </c>
      <c r="AR308" t="s">
        <v>1097</v>
      </c>
      <c r="AS308" s="162" t="s">
        <v>9851</v>
      </c>
      <c r="AT308" s="117" t="s">
        <v>1111</v>
      </c>
      <c r="AU308" s="162" t="s">
        <v>9851</v>
      </c>
      <c r="AV308" s="162" t="s">
        <v>7</v>
      </c>
      <c r="AW308" s="162" t="s">
        <v>7</v>
      </c>
      <c r="AX308" s="162" t="s">
        <v>7</v>
      </c>
      <c r="AY308" s="162" t="s">
        <v>9851</v>
      </c>
      <c r="AZ308" t="s">
        <v>7</v>
      </c>
      <c r="BA308" s="162" t="s">
        <v>7</v>
      </c>
      <c r="BB308" s="162" t="s">
        <v>7</v>
      </c>
      <c r="BC308" s="162" t="s">
        <v>7</v>
      </c>
      <c r="BD308" s="162" t="s">
        <v>7</v>
      </c>
      <c r="BE308" s="162" t="s">
        <v>7</v>
      </c>
      <c r="BF308" s="162" t="str">
        <f t="shared" si="8"/>
        <v>Sim</v>
      </c>
      <c r="BG308" s="162" t="str">
        <f t="shared" si="9"/>
        <v>Não</v>
      </c>
      <c r="BH308" s="162" t="s">
        <v>7</v>
      </c>
      <c r="BI308" t="s">
        <v>9872</v>
      </c>
      <c r="BJ308" s="162" t="s">
        <v>10165</v>
      </c>
      <c r="BK308" t="s">
        <v>1227</v>
      </c>
      <c r="BL308" s="162">
        <v>81</v>
      </c>
      <c r="BM308" t="s">
        <v>35</v>
      </c>
      <c r="BN308" t="s">
        <v>35</v>
      </c>
      <c r="BO308" t="s">
        <v>1227</v>
      </c>
      <c r="BP308" s="162">
        <v>81</v>
      </c>
      <c r="BQ308" t="s">
        <v>35</v>
      </c>
      <c r="BR308" t="s">
        <v>1849</v>
      </c>
      <c r="BS308" s="162" t="s">
        <v>10170</v>
      </c>
    </row>
    <row r="309" spans="1:71">
      <c r="A309" s="162">
        <v>308</v>
      </c>
      <c r="B309" t="s">
        <v>356</v>
      </c>
      <c r="C309" s="162">
        <v>1</v>
      </c>
      <c r="D309" s="122" t="s">
        <v>962</v>
      </c>
      <c r="E309" t="s">
        <v>951</v>
      </c>
      <c r="F309" t="s">
        <v>515</v>
      </c>
      <c r="G309" t="s">
        <v>364</v>
      </c>
      <c r="H309" t="s">
        <v>963</v>
      </c>
      <c r="I309" s="162">
        <v>1</v>
      </c>
      <c r="J309" t="s">
        <v>1855</v>
      </c>
      <c r="K309" t="s">
        <v>3</v>
      </c>
      <c r="L309" s="165">
        <v>32521</v>
      </c>
      <c r="M309" s="166">
        <v>28</v>
      </c>
      <c r="N309" t="s">
        <v>1093</v>
      </c>
      <c r="O309" t="s">
        <v>10135</v>
      </c>
      <c r="P309" t="s">
        <v>48</v>
      </c>
      <c r="Q309" t="s">
        <v>1210</v>
      </c>
      <c r="R309">
        <v>0</v>
      </c>
      <c r="S309" s="162">
        <v>0</v>
      </c>
      <c r="T309" t="s">
        <v>1211</v>
      </c>
      <c r="U309" s="162">
        <v>146.1</v>
      </c>
      <c r="V309">
        <v>0</v>
      </c>
      <c r="W309" s="162">
        <v>0</v>
      </c>
      <c r="X309">
        <v>0</v>
      </c>
      <c r="Y309" s="162">
        <v>0</v>
      </c>
      <c r="Z309">
        <v>0</v>
      </c>
      <c r="AA309" s="162">
        <v>0</v>
      </c>
      <c r="AB309">
        <v>0</v>
      </c>
      <c r="AC309" s="162" t="s">
        <v>7</v>
      </c>
      <c r="AD309" s="162" t="s">
        <v>7</v>
      </c>
      <c r="AE309" s="162" t="s">
        <v>7</v>
      </c>
      <c r="AF309" s="162" t="s">
        <v>7</v>
      </c>
      <c r="AG309" s="162" t="s">
        <v>7</v>
      </c>
      <c r="AH309" s="162" t="s">
        <v>7</v>
      </c>
      <c r="AI309" t="s">
        <v>9843</v>
      </c>
      <c r="AJ309" t="s">
        <v>7</v>
      </c>
      <c r="AK309" t="s">
        <v>9778</v>
      </c>
      <c r="AL309" t="s">
        <v>36</v>
      </c>
      <c r="AM309" s="162" t="s">
        <v>10138</v>
      </c>
      <c r="AN309" t="s">
        <v>9843</v>
      </c>
      <c r="AO309" t="s">
        <v>35</v>
      </c>
      <c r="AP309" t="s">
        <v>9862</v>
      </c>
      <c r="AQ309" t="s">
        <v>1100</v>
      </c>
      <c r="AR309" t="s">
        <v>1097</v>
      </c>
      <c r="AS309" s="162" t="s">
        <v>9851</v>
      </c>
      <c r="AT309" s="117" t="s">
        <v>7</v>
      </c>
      <c r="AU309" s="162" t="s">
        <v>7</v>
      </c>
      <c r="AV309" s="162" t="s">
        <v>7</v>
      </c>
      <c r="AW309" s="162" t="s">
        <v>9851</v>
      </c>
      <c r="AX309" s="162" t="s">
        <v>7</v>
      </c>
      <c r="AY309" s="162" t="s">
        <v>7</v>
      </c>
      <c r="AZ309" t="s">
        <v>7</v>
      </c>
      <c r="BA309" s="162" t="s">
        <v>7</v>
      </c>
      <c r="BB309" s="162" t="s">
        <v>7</v>
      </c>
      <c r="BC309" s="162" t="s">
        <v>7</v>
      </c>
      <c r="BD309" s="162" t="s">
        <v>7</v>
      </c>
      <c r="BE309" s="162" t="s">
        <v>7</v>
      </c>
      <c r="BF309" s="162" t="str">
        <f t="shared" si="8"/>
        <v>Sim</v>
      </c>
      <c r="BG309" s="162" t="str">
        <f t="shared" si="9"/>
        <v>Não</v>
      </c>
      <c r="BH309" s="162" t="s">
        <v>7</v>
      </c>
      <c r="BI309" t="s">
        <v>9872</v>
      </c>
      <c r="BJ309" s="162" t="s">
        <v>10165</v>
      </c>
      <c r="BK309" t="s">
        <v>1099</v>
      </c>
      <c r="BL309" s="162">
        <v>81.666666666666671</v>
      </c>
      <c r="BM309" t="s">
        <v>35</v>
      </c>
      <c r="BN309" t="s">
        <v>35</v>
      </c>
      <c r="BO309" t="s">
        <v>1099</v>
      </c>
      <c r="BP309" s="162">
        <v>81.666666666666671</v>
      </c>
      <c r="BQ309" t="s">
        <v>35</v>
      </c>
      <c r="BR309" t="s">
        <v>1849</v>
      </c>
      <c r="BS309" s="162" t="s">
        <v>10170</v>
      </c>
    </row>
    <row r="310" spans="1:71">
      <c r="A310" s="162">
        <v>309</v>
      </c>
      <c r="B310" t="s">
        <v>93</v>
      </c>
      <c r="C310" s="162">
        <v>1</v>
      </c>
      <c r="D310" s="122" t="s">
        <v>109</v>
      </c>
      <c r="E310" t="s">
        <v>102</v>
      </c>
      <c r="F310" t="s">
        <v>515</v>
      </c>
      <c r="G310" t="s">
        <v>87</v>
      </c>
      <c r="H310" t="s">
        <v>110</v>
      </c>
      <c r="I310" s="162">
        <v>1</v>
      </c>
      <c r="J310" t="s">
        <v>1855</v>
      </c>
      <c r="K310" t="s">
        <v>3</v>
      </c>
      <c r="L310" s="165">
        <v>29853</v>
      </c>
      <c r="M310" s="166">
        <v>35</v>
      </c>
      <c r="N310" t="s">
        <v>5</v>
      </c>
      <c r="O310" t="s">
        <v>10135</v>
      </c>
      <c r="P310" t="s">
        <v>48</v>
      </c>
      <c r="Q310" t="s">
        <v>1958</v>
      </c>
      <c r="R310">
        <v>0</v>
      </c>
      <c r="S310" s="162">
        <v>0</v>
      </c>
      <c r="T310" t="s">
        <v>1961</v>
      </c>
      <c r="U310" s="162">
        <v>15</v>
      </c>
      <c r="V310">
        <v>0</v>
      </c>
      <c r="W310" s="162">
        <v>0</v>
      </c>
      <c r="X310">
        <v>0</v>
      </c>
      <c r="Y310" s="162">
        <v>0</v>
      </c>
      <c r="Z310">
        <v>0</v>
      </c>
      <c r="AA310" s="162">
        <v>0</v>
      </c>
      <c r="AB310">
        <v>0</v>
      </c>
      <c r="AC310" s="162" t="s">
        <v>7</v>
      </c>
      <c r="AD310" s="162" t="s">
        <v>7</v>
      </c>
      <c r="AE310" s="162" t="s">
        <v>7</v>
      </c>
      <c r="AF310" s="162" t="s">
        <v>7</v>
      </c>
      <c r="AG310" s="162" t="s">
        <v>7</v>
      </c>
      <c r="AH310" s="162" t="s">
        <v>7</v>
      </c>
      <c r="AI310" t="s">
        <v>9845</v>
      </c>
      <c r="AJ310" t="s">
        <v>7</v>
      </c>
      <c r="AK310" t="s">
        <v>1229</v>
      </c>
      <c r="AL310" t="s">
        <v>36</v>
      </c>
      <c r="AM310" s="162" t="s">
        <v>10138</v>
      </c>
      <c r="AN310" t="s">
        <v>9845</v>
      </c>
      <c r="AO310" t="s">
        <v>35</v>
      </c>
      <c r="AP310" t="s">
        <v>1854</v>
      </c>
      <c r="AQ310" t="s">
        <v>1100</v>
      </c>
      <c r="AR310" t="s">
        <v>1097</v>
      </c>
      <c r="AS310" s="162" t="s">
        <v>9851</v>
      </c>
      <c r="AT310" s="117" t="s">
        <v>7</v>
      </c>
      <c r="AU310" s="162" t="s">
        <v>7</v>
      </c>
      <c r="AV310" s="162" t="s">
        <v>7</v>
      </c>
      <c r="AW310" s="162" t="s">
        <v>9851</v>
      </c>
      <c r="AX310" s="162" t="s">
        <v>7</v>
      </c>
      <c r="AY310" s="162" t="s">
        <v>7</v>
      </c>
      <c r="AZ310" t="s">
        <v>7</v>
      </c>
      <c r="BA310" s="162" t="s">
        <v>7</v>
      </c>
      <c r="BB310" s="162" t="s">
        <v>7</v>
      </c>
      <c r="BC310" s="162" t="s">
        <v>7</v>
      </c>
      <c r="BD310" s="162" t="s">
        <v>7</v>
      </c>
      <c r="BE310" s="162" t="s">
        <v>7</v>
      </c>
      <c r="BF310" s="162" t="str">
        <f t="shared" si="8"/>
        <v>Sim</v>
      </c>
      <c r="BG310" s="162" t="str">
        <f t="shared" si="9"/>
        <v>Não</v>
      </c>
      <c r="BH310" s="162" t="s">
        <v>7</v>
      </c>
      <c r="BI310" t="s">
        <v>9872</v>
      </c>
      <c r="BJ310" s="162" t="s">
        <v>10165</v>
      </c>
      <c r="BK310" t="s">
        <v>1099</v>
      </c>
      <c r="BL310" s="162">
        <v>81.666666666666671</v>
      </c>
      <c r="BM310" t="s">
        <v>1963</v>
      </c>
      <c r="BN310" t="s">
        <v>35</v>
      </c>
      <c r="BO310" t="s">
        <v>9876</v>
      </c>
      <c r="BP310" s="162">
        <v>130.66666666666666</v>
      </c>
      <c r="BQ310" t="s">
        <v>35</v>
      </c>
      <c r="BR310" t="s">
        <v>1849</v>
      </c>
      <c r="BS310" s="162" t="s">
        <v>10253</v>
      </c>
    </row>
    <row r="311" spans="1:71">
      <c r="A311" s="162">
        <v>310</v>
      </c>
      <c r="B311" t="s">
        <v>342</v>
      </c>
      <c r="C311" s="162">
        <v>1</v>
      </c>
      <c r="D311" s="122" t="s">
        <v>503</v>
      </c>
      <c r="E311" t="s">
        <v>855</v>
      </c>
      <c r="F311" t="s">
        <v>515</v>
      </c>
      <c r="G311" t="s">
        <v>348</v>
      </c>
      <c r="H311" t="s">
        <v>867</v>
      </c>
      <c r="I311" s="162">
        <v>1</v>
      </c>
      <c r="J311" t="s">
        <v>1855</v>
      </c>
      <c r="K311" t="s">
        <v>3</v>
      </c>
      <c r="L311" s="165">
        <v>34359</v>
      </c>
      <c r="M311" s="166">
        <v>23</v>
      </c>
      <c r="N311" t="s">
        <v>5</v>
      </c>
      <c r="O311" t="s">
        <v>10135</v>
      </c>
      <c r="P311" t="s">
        <v>1074</v>
      </c>
      <c r="Q311" t="s">
        <v>1630</v>
      </c>
      <c r="R311" t="s">
        <v>9987</v>
      </c>
      <c r="S311" s="162">
        <v>26.2</v>
      </c>
      <c r="T311" t="s">
        <v>9988</v>
      </c>
      <c r="U311" s="162">
        <v>70.5</v>
      </c>
      <c r="V311">
        <v>0</v>
      </c>
      <c r="W311" s="162">
        <v>0</v>
      </c>
      <c r="X311">
        <v>0</v>
      </c>
      <c r="Y311" s="162">
        <v>0</v>
      </c>
      <c r="Z311">
        <v>0</v>
      </c>
      <c r="AA311" s="162">
        <v>0</v>
      </c>
      <c r="AB311">
        <v>0</v>
      </c>
      <c r="AC311" s="162" t="s">
        <v>7</v>
      </c>
      <c r="AD311" s="162" t="s">
        <v>7</v>
      </c>
      <c r="AE311" s="162" t="s">
        <v>7</v>
      </c>
      <c r="AF311" s="162" t="s">
        <v>7</v>
      </c>
      <c r="AG311" s="162" t="s">
        <v>7</v>
      </c>
      <c r="AH311" s="162" t="s">
        <v>7</v>
      </c>
      <c r="AI311" t="s">
        <v>9843</v>
      </c>
      <c r="AJ311" t="s">
        <v>7</v>
      </c>
      <c r="AK311" t="s">
        <v>1173</v>
      </c>
      <c r="AL311" t="s">
        <v>36</v>
      </c>
      <c r="AM311" s="162" t="s">
        <v>10138</v>
      </c>
      <c r="AN311" t="s">
        <v>9843</v>
      </c>
      <c r="AO311" t="s">
        <v>35</v>
      </c>
      <c r="AP311" t="s">
        <v>1079</v>
      </c>
      <c r="AQ311" t="s">
        <v>1100</v>
      </c>
      <c r="AR311" t="s">
        <v>1097</v>
      </c>
      <c r="AS311" s="162" t="s">
        <v>9851</v>
      </c>
      <c r="AT311" s="117" t="s">
        <v>7</v>
      </c>
      <c r="AU311" s="162" t="s">
        <v>7</v>
      </c>
      <c r="AV311" s="162" t="s">
        <v>7</v>
      </c>
      <c r="AW311" s="162" t="s">
        <v>9851</v>
      </c>
      <c r="AX311" s="162" t="s">
        <v>7</v>
      </c>
      <c r="AY311" s="162" t="s">
        <v>7</v>
      </c>
      <c r="AZ311" t="s">
        <v>7</v>
      </c>
      <c r="BA311" s="162" t="s">
        <v>7</v>
      </c>
      <c r="BB311" s="162" t="s">
        <v>7</v>
      </c>
      <c r="BC311" s="162" t="s">
        <v>7</v>
      </c>
      <c r="BD311" s="162" t="s">
        <v>7</v>
      </c>
      <c r="BE311" s="162" t="s">
        <v>7</v>
      </c>
      <c r="BF311" s="162" t="str">
        <f t="shared" si="8"/>
        <v>Sim</v>
      </c>
      <c r="BG311" s="162" t="str">
        <f t="shared" si="9"/>
        <v>Não</v>
      </c>
      <c r="BH311" s="162" t="s">
        <v>7</v>
      </c>
      <c r="BI311" t="s">
        <v>9872</v>
      </c>
      <c r="BJ311" s="162" t="s">
        <v>10165</v>
      </c>
      <c r="BK311" t="s">
        <v>1099</v>
      </c>
      <c r="BL311" s="162">
        <v>81.666666666666671</v>
      </c>
      <c r="BM311" t="s">
        <v>35</v>
      </c>
      <c r="BN311" t="s">
        <v>35</v>
      </c>
      <c r="BO311" t="s">
        <v>1099</v>
      </c>
      <c r="BP311" s="162">
        <v>81.666666666666671</v>
      </c>
      <c r="BQ311" t="s">
        <v>35</v>
      </c>
      <c r="BR311" t="s">
        <v>1849</v>
      </c>
      <c r="BS311" s="162" t="s">
        <v>10170</v>
      </c>
    </row>
    <row r="312" spans="1:71">
      <c r="A312" s="162">
        <v>311</v>
      </c>
      <c r="B312" t="s">
        <v>326</v>
      </c>
      <c r="C312" s="162">
        <v>1</v>
      </c>
      <c r="D312" s="122">
        <v>42800</v>
      </c>
      <c r="E312" t="s">
        <v>847</v>
      </c>
      <c r="F312" t="s">
        <v>515</v>
      </c>
      <c r="G312" t="s">
        <v>335</v>
      </c>
      <c r="H312" t="s">
        <v>848</v>
      </c>
      <c r="I312" s="162">
        <v>1</v>
      </c>
      <c r="J312" t="s">
        <v>1855</v>
      </c>
      <c r="K312" t="s">
        <v>3</v>
      </c>
      <c r="L312" s="165">
        <v>29104</v>
      </c>
      <c r="M312" s="166">
        <v>37</v>
      </c>
      <c r="N312" t="s">
        <v>5</v>
      </c>
      <c r="O312" t="s">
        <v>10135</v>
      </c>
      <c r="P312" t="s">
        <v>1101</v>
      </c>
      <c r="Q312" t="s">
        <v>1977</v>
      </c>
      <c r="R312" t="s">
        <v>1980</v>
      </c>
      <c r="S312" s="162">
        <v>2.6</v>
      </c>
      <c r="T312" t="s">
        <v>1986</v>
      </c>
      <c r="U312" s="162">
        <v>73.3</v>
      </c>
      <c r="V312">
        <v>0</v>
      </c>
      <c r="W312" s="162">
        <v>0</v>
      </c>
      <c r="X312">
        <v>0</v>
      </c>
      <c r="Y312" s="162">
        <v>0</v>
      </c>
      <c r="Z312">
        <v>0</v>
      </c>
      <c r="AA312" s="162">
        <v>0</v>
      </c>
      <c r="AB312">
        <v>0</v>
      </c>
      <c r="AC312" s="162" t="s">
        <v>7</v>
      </c>
      <c r="AD312" s="162" t="s">
        <v>7</v>
      </c>
      <c r="AE312" s="162" t="s">
        <v>7</v>
      </c>
      <c r="AF312" s="162" t="s">
        <v>7</v>
      </c>
      <c r="AG312" s="162" t="s">
        <v>7</v>
      </c>
      <c r="AH312" s="162" t="s">
        <v>7</v>
      </c>
      <c r="AI312" t="s">
        <v>9843</v>
      </c>
      <c r="AJ312" t="s">
        <v>1273</v>
      </c>
      <c r="AK312" t="s">
        <v>1546</v>
      </c>
      <c r="AL312" t="s">
        <v>78</v>
      </c>
      <c r="AM312" s="162" t="s">
        <v>10138</v>
      </c>
      <c r="AN312" t="s">
        <v>9843</v>
      </c>
      <c r="AO312" t="s">
        <v>7</v>
      </c>
      <c r="AP312" t="s">
        <v>1854</v>
      </c>
      <c r="AQ312" t="s">
        <v>1100</v>
      </c>
      <c r="AR312" t="s">
        <v>1097</v>
      </c>
      <c r="AS312" s="162" t="s">
        <v>9851</v>
      </c>
      <c r="AT312" s="117" t="s">
        <v>7</v>
      </c>
      <c r="AU312" s="162" t="s">
        <v>7</v>
      </c>
      <c r="AV312" s="162" t="s">
        <v>7</v>
      </c>
      <c r="AW312" s="162" t="s">
        <v>9851</v>
      </c>
      <c r="AX312" s="162" t="s">
        <v>7</v>
      </c>
      <c r="AY312" s="162" t="s">
        <v>7</v>
      </c>
      <c r="AZ312" t="s">
        <v>7</v>
      </c>
      <c r="BA312" s="162" t="s">
        <v>7</v>
      </c>
      <c r="BB312" s="162" t="s">
        <v>7</v>
      </c>
      <c r="BC312" s="162" t="s">
        <v>7</v>
      </c>
      <c r="BD312" s="162" t="s">
        <v>7</v>
      </c>
      <c r="BE312" s="162" t="s">
        <v>7</v>
      </c>
      <c r="BF312" s="162" t="str">
        <f t="shared" si="8"/>
        <v>Sim</v>
      </c>
      <c r="BG312" s="162" t="str">
        <f t="shared" si="9"/>
        <v>Não</v>
      </c>
      <c r="BH312" s="162" t="s">
        <v>7</v>
      </c>
      <c r="BI312" t="s">
        <v>9872</v>
      </c>
      <c r="BJ312" s="162" t="s">
        <v>10165</v>
      </c>
      <c r="BK312" t="s">
        <v>1099</v>
      </c>
      <c r="BL312" s="162">
        <v>81.666666666666671</v>
      </c>
      <c r="BM312" t="s">
        <v>35</v>
      </c>
      <c r="BN312" t="s">
        <v>35</v>
      </c>
      <c r="BO312" t="s">
        <v>1099</v>
      </c>
      <c r="BP312" s="162">
        <v>81.666666666666671</v>
      </c>
      <c r="BQ312" t="s">
        <v>35</v>
      </c>
      <c r="BR312" t="s">
        <v>1849</v>
      </c>
      <c r="BS312" s="162" t="s">
        <v>10170</v>
      </c>
    </row>
    <row r="313" spans="1:71">
      <c r="A313" s="162">
        <v>312</v>
      </c>
      <c r="B313" t="s">
        <v>1091</v>
      </c>
      <c r="C313" s="162">
        <v>1</v>
      </c>
      <c r="D313" s="122">
        <v>42849</v>
      </c>
      <c r="E313" t="s">
        <v>607</v>
      </c>
      <c r="F313" t="s">
        <v>3</v>
      </c>
      <c r="G313" t="s">
        <v>173</v>
      </c>
      <c r="H313" t="s">
        <v>1092</v>
      </c>
      <c r="I313" s="162">
        <v>1</v>
      </c>
      <c r="J313" t="s">
        <v>1855</v>
      </c>
      <c r="K313" t="s">
        <v>3</v>
      </c>
      <c r="L313" s="165">
        <v>34241</v>
      </c>
      <c r="M313" s="166">
        <v>23</v>
      </c>
      <c r="N313" t="s">
        <v>1093</v>
      </c>
      <c r="O313" t="s">
        <v>10135</v>
      </c>
      <c r="P313" t="s">
        <v>48</v>
      </c>
      <c r="Q313" t="s">
        <v>1094</v>
      </c>
      <c r="R313" t="s">
        <v>1096</v>
      </c>
      <c r="S313" s="162">
        <v>0.9</v>
      </c>
      <c r="T313" t="s">
        <v>1095</v>
      </c>
      <c r="U313" s="162">
        <v>61.7</v>
      </c>
      <c r="V313">
        <v>0</v>
      </c>
      <c r="W313" s="162">
        <v>0</v>
      </c>
      <c r="X313">
        <v>0</v>
      </c>
      <c r="Y313" s="162">
        <v>0</v>
      </c>
      <c r="Z313">
        <v>0</v>
      </c>
      <c r="AA313" s="162">
        <v>0</v>
      </c>
      <c r="AB313">
        <v>0</v>
      </c>
      <c r="AC313" s="162" t="s">
        <v>7</v>
      </c>
      <c r="AD313" s="162" t="s">
        <v>7</v>
      </c>
      <c r="AE313" s="162" t="s">
        <v>7</v>
      </c>
      <c r="AF313" s="162" t="s">
        <v>7</v>
      </c>
      <c r="AG313" s="162" t="s">
        <v>7</v>
      </c>
      <c r="AH313" s="162" t="s">
        <v>7</v>
      </c>
      <c r="AI313" t="s">
        <v>9843</v>
      </c>
      <c r="AJ313" t="s">
        <v>7</v>
      </c>
      <c r="AK313" t="s">
        <v>1098</v>
      </c>
      <c r="AL313" t="s">
        <v>36</v>
      </c>
      <c r="AM313" s="162" t="s">
        <v>10138</v>
      </c>
      <c r="AN313" t="s">
        <v>9843</v>
      </c>
      <c r="AO313" t="s">
        <v>35</v>
      </c>
      <c r="AP313" t="s">
        <v>1079</v>
      </c>
      <c r="AQ313" t="s">
        <v>1100</v>
      </c>
      <c r="AR313" t="s">
        <v>1097</v>
      </c>
      <c r="AS313" s="162" t="s">
        <v>9851</v>
      </c>
      <c r="AT313" s="117" t="s">
        <v>7</v>
      </c>
      <c r="AU313" s="162" t="s">
        <v>7</v>
      </c>
      <c r="AV313" s="162" t="s">
        <v>7</v>
      </c>
      <c r="AW313" s="162" t="s">
        <v>9851</v>
      </c>
      <c r="AX313" s="162" t="s">
        <v>7</v>
      </c>
      <c r="AY313" s="162" t="s">
        <v>7</v>
      </c>
      <c r="AZ313" t="s">
        <v>7</v>
      </c>
      <c r="BA313" s="162" t="s">
        <v>7</v>
      </c>
      <c r="BB313" s="162" t="s">
        <v>7</v>
      </c>
      <c r="BC313" s="162" t="s">
        <v>7</v>
      </c>
      <c r="BD313" s="162" t="s">
        <v>7</v>
      </c>
      <c r="BE313" s="162" t="s">
        <v>7</v>
      </c>
      <c r="BF313" s="162" t="str">
        <f t="shared" si="8"/>
        <v>Sim</v>
      </c>
      <c r="BG313" s="162" t="str">
        <f t="shared" si="9"/>
        <v>Não</v>
      </c>
      <c r="BH313" s="162" t="s">
        <v>7</v>
      </c>
      <c r="BI313" t="s">
        <v>7</v>
      </c>
      <c r="BJ313" s="162" t="s">
        <v>7</v>
      </c>
      <c r="BK313" t="s">
        <v>1099</v>
      </c>
      <c r="BL313" s="162">
        <v>81.666666666666671</v>
      </c>
      <c r="BM313" t="s">
        <v>35</v>
      </c>
      <c r="BN313" t="s">
        <v>35</v>
      </c>
      <c r="BO313" t="s">
        <v>1099</v>
      </c>
      <c r="BP313" s="162">
        <v>81.666666666666671</v>
      </c>
      <c r="BQ313" t="s">
        <v>35</v>
      </c>
      <c r="BR313" t="s">
        <v>1849</v>
      </c>
      <c r="BS313" s="162" t="s">
        <v>10170</v>
      </c>
    </row>
    <row r="314" spans="1:71">
      <c r="A314" s="162">
        <v>313</v>
      </c>
      <c r="B314" t="s">
        <v>350</v>
      </c>
      <c r="C314" s="162">
        <v>1</v>
      </c>
      <c r="D314" s="122" t="s">
        <v>806</v>
      </c>
      <c r="E314" t="s">
        <v>951</v>
      </c>
      <c r="F314" t="s">
        <v>515</v>
      </c>
      <c r="G314" t="s">
        <v>364</v>
      </c>
      <c r="H314" t="s">
        <v>952</v>
      </c>
      <c r="I314" s="162">
        <v>1</v>
      </c>
      <c r="J314" t="s">
        <v>1855</v>
      </c>
      <c r="K314" t="s">
        <v>3</v>
      </c>
      <c r="L314" s="165">
        <v>30893</v>
      </c>
      <c r="M314" s="166">
        <v>32</v>
      </c>
      <c r="N314" t="s">
        <v>4</v>
      </c>
      <c r="O314" t="s">
        <v>10134</v>
      </c>
      <c r="P314" t="s">
        <v>41</v>
      </c>
      <c r="Q314" t="s">
        <v>1198</v>
      </c>
      <c r="R314">
        <v>0</v>
      </c>
      <c r="S314" s="162">
        <v>0</v>
      </c>
      <c r="T314" t="s">
        <v>9994</v>
      </c>
      <c r="U314" s="162">
        <v>1.5</v>
      </c>
      <c r="V314">
        <v>0</v>
      </c>
      <c r="W314" s="162">
        <v>0</v>
      </c>
      <c r="X314">
        <v>0</v>
      </c>
      <c r="Y314" s="162">
        <v>0</v>
      </c>
      <c r="Z314">
        <v>0</v>
      </c>
      <c r="AA314" s="162">
        <v>0</v>
      </c>
      <c r="AB314">
        <v>0</v>
      </c>
      <c r="AC314" s="162" t="s">
        <v>7</v>
      </c>
      <c r="AD314" s="162" t="s">
        <v>7</v>
      </c>
      <c r="AE314" s="162" t="s">
        <v>7</v>
      </c>
      <c r="AF314" s="162" t="s">
        <v>7</v>
      </c>
      <c r="AG314" s="162" t="s">
        <v>7</v>
      </c>
      <c r="AH314" s="162" t="s">
        <v>7</v>
      </c>
      <c r="AI314" t="s">
        <v>9846</v>
      </c>
      <c r="AJ314" t="s">
        <v>1271</v>
      </c>
      <c r="AK314" t="s">
        <v>1098</v>
      </c>
      <c r="AL314" t="s">
        <v>78</v>
      </c>
      <c r="AM314" s="162" t="s">
        <v>10138</v>
      </c>
      <c r="AN314" t="s">
        <v>9843</v>
      </c>
      <c r="AO314" t="s">
        <v>7</v>
      </c>
      <c r="AP314" t="s">
        <v>1199</v>
      </c>
      <c r="AQ314" t="s">
        <v>1100</v>
      </c>
      <c r="AR314" t="s">
        <v>7</v>
      </c>
      <c r="AS314" s="162" t="s">
        <v>7</v>
      </c>
      <c r="AT314" s="117" t="s">
        <v>7</v>
      </c>
      <c r="AU314" s="162" t="s">
        <v>7</v>
      </c>
      <c r="AV314" s="162" t="s">
        <v>7</v>
      </c>
      <c r="AW314" s="162" t="s">
        <v>9851</v>
      </c>
      <c r="AX314" s="162" t="s">
        <v>7</v>
      </c>
      <c r="AY314" s="162" t="s">
        <v>7</v>
      </c>
      <c r="AZ314" t="s">
        <v>1937</v>
      </c>
      <c r="BA314" s="162" t="s">
        <v>9851</v>
      </c>
      <c r="BB314" s="162" t="s">
        <v>7</v>
      </c>
      <c r="BC314" s="162" t="s">
        <v>7</v>
      </c>
      <c r="BD314" s="162" t="s">
        <v>7</v>
      </c>
      <c r="BE314" s="162" t="s">
        <v>7</v>
      </c>
      <c r="BF314" s="162" t="str">
        <f t="shared" si="8"/>
        <v>Não</v>
      </c>
      <c r="BG314" s="162" t="str">
        <f t="shared" si="9"/>
        <v>Não</v>
      </c>
      <c r="BH314" s="162" t="s">
        <v>9851</v>
      </c>
      <c r="BI314" t="s">
        <v>9872</v>
      </c>
      <c r="BJ314" s="162" t="s">
        <v>10165</v>
      </c>
      <c r="BK314" t="s">
        <v>1099</v>
      </c>
      <c r="BL314" s="162">
        <v>81.666666666666671</v>
      </c>
      <c r="BM314" t="s">
        <v>35</v>
      </c>
      <c r="BN314" t="s">
        <v>35</v>
      </c>
      <c r="BO314" t="s">
        <v>1099</v>
      </c>
      <c r="BP314" s="162">
        <v>81.666666666666671</v>
      </c>
      <c r="BQ314" t="s">
        <v>35</v>
      </c>
      <c r="BR314" t="s">
        <v>1114</v>
      </c>
      <c r="BS314" s="162" t="s">
        <v>1114</v>
      </c>
    </row>
    <row r="315" spans="1:71">
      <c r="A315" s="162">
        <v>314</v>
      </c>
      <c r="B315" t="s">
        <v>303</v>
      </c>
      <c r="C315" s="162">
        <v>1</v>
      </c>
      <c r="D315" s="122" t="s">
        <v>664</v>
      </c>
      <c r="E315" t="s">
        <v>807</v>
      </c>
      <c r="F315" t="s">
        <v>3</v>
      </c>
      <c r="G315" t="s">
        <v>304</v>
      </c>
      <c r="H315" t="s">
        <v>822</v>
      </c>
      <c r="I315" s="162">
        <v>1</v>
      </c>
      <c r="J315" t="s">
        <v>1855</v>
      </c>
      <c r="K315" t="s">
        <v>3</v>
      </c>
      <c r="L315" s="165">
        <v>34940</v>
      </c>
      <c r="M315" s="166">
        <v>21</v>
      </c>
      <c r="N315" t="s">
        <v>4</v>
      </c>
      <c r="O315" t="s">
        <v>10134</v>
      </c>
      <c r="P315" t="s">
        <v>41</v>
      </c>
      <c r="Q315" t="s">
        <v>1536</v>
      </c>
      <c r="R315">
        <v>0</v>
      </c>
      <c r="S315" s="162">
        <v>0</v>
      </c>
      <c r="T315" t="s">
        <v>1537</v>
      </c>
      <c r="U315" s="162">
        <v>19.5</v>
      </c>
      <c r="V315">
        <v>0</v>
      </c>
      <c r="W315" s="162">
        <v>0</v>
      </c>
      <c r="X315">
        <v>0</v>
      </c>
      <c r="Y315" s="162">
        <v>0</v>
      </c>
      <c r="Z315">
        <v>0</v>
      </c>
      <c r="AA315" s="162">
        <v>0</v>
      </c>
      <c r="AB315">
        <v>0</v>
      </c>
      <c r="AC315" s="162" t="s">
        <v>7</v>
      </c>
      <c r="AD315" s="162" t="s">
        <v>7</v>
      </c>
      <c r="AE315" s="162" t="s">
        <v>7</v>
      </c>
      <c r="AF315" s="162" t="s">
        <v>7</v>
      </c>
      <c r="AG315" s="162" t="s">
        <v>7</v>
      </c>
      <c r="AH315" s="162" t="s">
        <v>7</v>
      </c>
      <c r="AI315" t="s">
        <v>9843</v>
      </c>
      <c r="AJ315" t="s">
        <v>7</v>
      </c>
      <c r="AK315" t="s">
        <v>1480</v>
      </c>
      <c r="AL315" t="s">
        <v>36</v>
      </c>
      <c r="AM315" s="162" t="s">
        <v>10138</v>
      </c>
      <c r="AN315" t="s">
        <v>9843</v>
      </c>
      <c r="AO315" t="s">
        <v>35</v>
      </c>
      <c r="AP315" t="s">
        <v>1280</v>
      </c>
      <c r="AQ315" t="s">
        <v>1100</v>
      </c>
      <c r="AR315" t="s">
        <v>1097</v>
      </c>
      <c r="AS315" s="162" t="s">
        <v>9851</v>
      </c>
      <c r="AT315" s="117" t="s">
        <v>7</v>
      </c>
      <c r="AU315" s="162" t="s">
        <v>7</v>
      </c>
      <c r="AV315" s="162" t="s">
        <v>7</v>
      </c>
      <c r="AW315" s="162" t="s">
        <v>9851</v>
      </c>
      <c r="AX315" s="162" t="s">
        <v>7</v>
      </c>
      <c r="AY315" s="162" t="s">
        <v>7</v>
      </c>
      <c r="AZ315" t="s">
        <v>7</v>
      </c>
      <c r="BA315" s="162" t="s">
        <v>7</v>
      </c>
      <c r="BB315" s="162" t="s">
        <v>7</v>
      </c>
      <c r="BC315" s="162" t="s">
        <v>7</v>
      </c>
      <c r="BD315" s="162" t="s">
        <v>7</v>
      </c>
      <c r="BE315" s="162" t="s">
        <v>7</v>
      </c>
      <c r="BF315" s="162" t="str">
        <f t="shared" si="8"/>
        <v>Sim</v>
      </c>
      <c r="BG315" s="162" t="str">
        <f t="shared" si="9"/>
        <v>Não</v>
      </c>
      <c r="BH315" s="162" t="s">
        <v>7</v>
      </c>
      <c r="BI315" t="s">
        <v>9872</v>
      </c>
      <c r="BJ315" s="162" t="s">
        <v>10165</v>
      </c>
      <c r="BK315" t="s">
        <v>1099</v>
      </c>
      <c r="BL315" s="162">
        <v>81.666666666666671</v>
      </c>
      <c r="BM315" t="s">
        <v>35</v>
      </c>
      <c r="BN315" t="s">
        <v>35</v>
      </c>
      <c r="BO315" t="s">
        <v>1099</v>
      </c>
      <c r="BP315" s="162">
        <v>81.666666666666671</v>
      </c>
      <c r="BQ315" t="s">
        <v>35</v>
      </c>
      <c r="BR315" t="s">
        <v>1849</v>
      </c>
      <c r="BS315" s="162" t="s">
        <v>10170</v>
      </c>
    </row>
    <row r="316" spans="1:71">
      <c r="A316" s="162">
        <v>315</v>
      </c>
      <c r="B316" t="s">
        <v>250</v>
      </c>
      <c r="C316" s="162">
        <v>1</v>
      </c>
      <c r="D316" s="122" t="s">
        <v>544</v>
      </c>
      <c r="E316" t="s">
        <v>706</v>
      </c>
      <c r="F316" t="s">
        <v>515</v>
      </c>
      <c r="G316" t="s">
        <v>251</v>
      </c>
      <c r="H316" t="s">
        <v>721</v>
      </c>
      <c r="I316" s="162">
        <v>1</v>
      </c>
      <c r="J316" t="s">
        <v>1855</v>
      </c>
      <c r="K316" t="s">
        <v>3</v>
      </c>
      <c r="L316" s="165">
        <v>34530</v>
      </c>
      <c r="M316" s="166">
        <v>22</v>
      </c>
      <c r="N316" t="s">
        <v>5</v>
      </c>
      <c r="O316" t="s">
        <v>10135</v>
      </c>
      <c r="P316" t="s">
        <v>1101</v>
      </c>
      <c r="Q316" t="s">
        <v>1342</v>
      </c>
      <c r="R316" t="s">
        <v>1343</v>
      </c>
      <c r="S316" s="162">
        <v>275</v>
      </c>
      <c r="T316" t="s">
        <v>1344</v>
      </c>
      <c r="U316" s="162">
        <v>61.6</v>
      </c>
      <c r="V316">
        <v>0</v>
      </c>
      <c r="W316" s="162">
        <v>0</v>
      </c>
      <c r="X316">
        <v>0</v>
      </c>
      <c r="Y316" s="162">
        <v>0</v>
      </c>
      <c r="Z316">
        <v>0</v>
      </c>
      <c r="AA316" s="162">
        <v>0</v>
      </c>
      <c r="AB316">
        <v>0</v>
      </c>
      <c r="AC316" s="162" t="s">
        <v>7</v>
      </c>
      <c r="AD316" s="162" t="s">
        <v>7</v>
      </c>
      <c r="AE316" s="162" t="s">
        <v>7</v>
      </c>
      <c r="AF316" s="162" t="s">
        <v>7</v>
      </c>
      <c r="AG316" s="162" t="s">
        <v>7</v>
      </c>
      <c r="AH316" s="162" t="s">
        <v>7</v>
      </c>
      <c r="AI316" t="s">
        <v>9846</v>
      </c>
      <c r="AJ316" t="s">
        <v>7</v>
      </c>
      <c r="AK316" t="s">
        <v>9824</v>
      </c>
      <c r="AL316" t="s">
        <v>78</v>
      </c>
      <c r="AM316" s="162" t="s">
        <v>10138</v>
      </c>
      <c r="AN316" t="s">
        <v>9843</v>
      </c>
      <c r="AO316" t="s">
        <v>35</v>
      </c>
      <c r="AP316" t="s">
        <v>7</v>
      </c>
      <c r="AQ316" t="s">
        <v>9</v>
      </c>
      <c r="AR316" t="s">
        <v>1097</v>
      </c>
      <c r="AS316" s="162" t="s">
        <v>9851</v>
      </c>
      <c r="AT316" s="117" t="s">
        <v>7</v>
      </c>
      <c r="AU316" s="162" t="s">
        <v>7</v>
      </c>
      <c r="AV316" s="162" t="s">
        <v>7</v>
      </c>
      <c r="AW316" s="162" t="s">
        <v>9851</v>
      </c>
      <c r="AX316" s="162" t="s">
        <v>7</v>
      </c>
      <c r="AY316" s="162" t="s">
        <v>7</v>
      </c>
      <c r="AZ316" t="s">
        <v>1937</v>
      </c>
      <c r="BA316" s="162" t="s">
        <v>9851</v>
      </c>
      <c r="BB316" s="162" t="s">
        <v>7</v>
      </c>
      <c r="BC316" s="162" t="s">
        <v>7</v>
      </c>
      <c r="BD316" s="162" t="s">
        <v>7</v>
      </c>
      <c r="BE316" s="162" t="s">
        <v>7</v>
      </c>
      <c r="BF316" s="162" t="str">
        <f t="shared" si="8"/>
        <v>Não</v>
      </c>
      <c r="BG316" s="162" t="str">
        <f t="shared" si="9"/>
        <v>Não</v>
      </c>
      <c r="BH316" s="162" t="s">
        <v>9851</v>
      </c>
      <c r="BI316" t="s">
        <v>9872</v>
      </c>
      <c r="BJ316" s="162" t="s">
        <v>10165</v>
      </c>
      <c r="BK316" t="s">
        <v>1099</v>
      </c>
      <c r="BL316" s="162">
        <v>81.666666666666671</v>
      </c>
      <c r="BM316" t="s">
        <v>35</v>
      </c>
      <c r="BN316" t="s">
        <v>35</v>
      </c>
      <c r="BO316" t="s">
        <v>1099</v>
      </c>
      <c r="BP316" s="162">
        <v>81.666666666666671</v>
      </c>
      <c r="BQ316" t="s">
        <v>35</v>
      </c>
      <c r="BR316" t="s">
        <v>1849</v>
      </c>
      <c r="BS316" s="162" t="s">
        <v>10170</v>
      </c>
    </row>
    <row r="317" spans="1:71">
      <c r="A317" s="162">
        <v>316</v>
      </c>
      <c r="B317" t="s">
        <v>116</v>
      </c>
      <c r="C317" s="162">
        <v>1</v>
      </c>
      <c r="D317" s="122">
        <v>42930</v>
      </c>
      <c r="E317" t="s">
        <v>476</v>
      </c>
      <c r="F317" t="s">
        <v>3</v>
      </c>
      <c r="G317" t="s">
        <v>120</v>
      </c>
      <c r="H317" t="s">
        <v>484</v>
      </c>
      <c r="I317" s="162">
        <v>1</v>
      </c>
      <c r="J317" t="s">
        <v>1855</v>
      </c>
      <c r="K317" t="s">
        <v>3</v>
      </c>
      <c r="L317" s="165">
        <v>32988</v>
      </c>
      <c r="M317" s="166">
        <v>27</v>
      </c>
      <c r="N317" t="s">
        <v>5</v>
      </c>
      <c r="O317" t="s">
        <v>10135</v>
      </c>
      <c r="P317" t="s">
        <v>1101</v>
      </c>
      <c r="Q317" t="s">
        <v>1170</v>
      </c>
      <c r="R317">
        <v>0</v>
      </c>
      <c r="S317" s="162">
        <v>0</v>
      </c>
      <c r="T317">
        <v>0</v>
      </c>
      <c r="U317" s="162">
        <v>0</v>
      </c>
      <c r="V317" t="s">
        <v>1171</v>
      </c>
      <c r="W317" s="162">
        <v>0.2</v>
      </c>
      <c r="X317">
        <v>0</v>
      </c>
      <c r="Y317" s="162">
        <v>0</v>
      </c>
      <c r="Z317">
        <v>0</v>
      </c>
      <c r="AA317" s="162">
        <v>0</v>
      </c>
      <c r="AB317">
        <v>0</v>
      </c>
      <c r="AC317" s="162" t="s">
        <v>7</v>
      </c>
      <c r="AD317" s="162" t="s">
        <v>7</v>
      </c>
      <c r="AE317" s="162" t="s">
        <v>7</v>
      </c>
      <c r="AF317" s="162" t="s">
        <v>7</v>
      </c>
      <c r="AG317" s="162" t="s">
        <v>7</v>
      </c>
      <c r="AH317" s="162" t="s">
        <v>7</v>
      </c>
      <c r="AI317" t="s">
        <v>9843</v>
      </c>
      <c r="AJ317" t="s">
        <v>7</v>
      </c>
      <c r="AK317" t="s">
        <v>1082</v>
      </c>
      <c r="AL317" t="s">
        <v>36</v>
      </c>
      <c r="AM317" s="162" t="s">
        <v>10138</v>
      </c>
      <c r="AN317" t="s">
        <v>9843</v>
      </c>
      <c r="AO317" t="s">
        <v>35</v>
      </c>
      <c r="AP317" t="s">
        <v>1854</v>
      </c>
      <c r="AQ317" t="s">
        <v>1100</v>
      </c>
      <c r="AR317" t="s">
        <v>1097</v>
      </c>
      <c r="AS317" s="162" t="s">
        <v>9851</v>
      </c>
      <c r="AT317" s="117" t="s">
        <v>7</v>
      </c>
      <c r="AU317" s="162" t="s">
        <v>7</v>
      </c>
      <c r="AV317" s="162" t="s">
        <v>7</v>
      </c>
      <c r="AW317" s="162" t="s">
        <v>9851</v>
      </c>
      <c r="AX317" s="162" t="s">
        <v>7</v>
      </c>
      <c r="AY317" s="162" t="s">
        <v>7</v>
      </c>
      <c r="AZ317" t="s">
        <v>7</v>
      </c>
      <c r="BA317" s="162" t="s">
        <v>7</v>
      </c>
      <c r="BB317" s="162" t="s">
        <v>7</v>
      </c>
      <c r="BC317" s="162" t="s">
        <v>7</v>
      </c>
      <c r="BD317" s="162" t="s">
        <v>7</v>
      </c>
      <c r="BE317" s="162" t="s">
        <v>7</v>
      </c>
      <c r="BF317" s="162" t="str">
        <f t="shared" si="8"/>
        <v>Sim</v>
      </c>
      <c r="BG317" s="162" t="str">
        <f t="shared" si="9"/>
        <v>Não</v>
      </c>
      <c r="BH317" s="162" t="s">
        <v>7</v>
      </c>
      <c r="BI317" t="s">
        <v>9872</v>
      </c>
      <c r="BJ317" s="162" t="s">
        <v>10165</v>
      </c>
      <c r="BK317" t="s">
        <v>1099</v>
      </c>
      <c r="BL317" s="162">
        <v>81.666666666666671</v>
      </c>
      <c r="BM317" t="s">
        <v>35</v>
      </c>
      <c r="BN317" t="s">
        <v>35</v>
      </c>
      <c r="BO317" t="s">
        <v>1099</v>
      </c>
      <c r="BP317" s="162">
        <v>81.666666666666671</v>
      </c>
      <c r="BQ317" t="s">
        <v>35</v>
      </c>
      <c r="BR317" t="s">
        <v>1849</v>
      </c>
      <c r="BS317" s="162" t="s">
        <v>10170</v>
      </c>
    </row>
    <row r="318" spans="1:71">
      <c r="A318" s="162">
        <v>317</v>
      </c>
      <c r="B318" t="s">
        <v>512</v>
      </c>
      <c r="C318" s="162">
        <v>1</v>
      </c>
      <c r="D318" s="122" t="s">
        <v>513</v>
      </c>
      <c r="E318" t="s">
        <v>490</v>
      </c>
      <c r="F318" t="s">
        <v>515</v>
      </c>
      <c r="G318" t="s">
        <v>131</v>
      </c>
      <c r="H318" t="s">
        <v>514</v>
      </c>
      <c r="I318" s="162">
        <v>1</v>
      </c>
      <c r="J318" t="s">
        <v>1855</v>
      </c>
      <c r="K318" t="s">
        <v>3</v>
      </c>
      <c r="L318" s="165">
        <v>29819</v>
      </c>
      <c r="M318" s="166">
        <v>35</v>
      </c>
      <c r="N318" t="s">
        <v>5</v>
      </c>
      <c r="O318" t="s">
        <v>10135</v>
      </c>
      <c r="P318" t="s">
        <v>1101</v>
      </c>
      <c r="Q318" t="s">
        <v>1307</v>
      </c>
      <c r="R318">
        <v>0</v>
      </c>
      <c r="S318" s="162">
        <v>0</v>
      </c>
      <c r="T318" t="s">
        <v>1308</v>
      </c>
      <c r="U318" s="162">
        <v>7.2</v>
      </c>
      <c r="V318" t="s">
        <v>1309</v>
      </c>
      <c r="W318" s="162">
        <v>21.1</v>
      </c>
      <c r="X318">
        <v>0</v>
      </c>
      <c r="Y318" s="162">
        <v>0</v>
      </c>
      <c r="Z318">
        <v>0</v>
      </c>
      <c r="AA318" s="162">
        <v>0</v>
      </c>
      <c r="AB318">
        <v>0</v>
      </c>
      <c r="AC318" s="162" t="s">
        <v>7</v>
      </c>
      <c r="AD318" s="162" t="s">
        <v>7</v>
      </c>
      <c r="AE318" s="162" t="s">
        <v>7</v>
      </c>
      <c r="AF318" s="162" t="s">
        <v>7</v>
      </c>
      <c r="AG318" s="162" t="s">
        <v>7</v>
      </c>
      <c r="AH318" s="162" t="s">
        <v>7</v>
      </c>
      <c r="AI318" t="s">
        <v>9843</v>
      </c>
      <c r="AJ318" t="s">
        <v>7</v>
      </c>
      <c r="AK318" t="s">
        <v>1137</v>
      </c>
      <c r="AL318" t="s">
        <v>36</v>
      </c>
      <c r="AM318" s="162" t="s">
        <v>10138</v>
      </c>
      <c r="AN318" t="s">
        <v>9843</v>
      </c>
      <c r="AO318" t="s">
        <v>35</v>
      </c>
      <c r="AP318" t="s">
        <v>9864</v>
      </c>
      <c r="AQ318" t="s">
        <v>1100</v>
      </c>
      <c r="AR318" t="s">
        <v>1097</v>
      </c>
      <c r="AS318" s="162" t="s">
        <v>9851</v>
      </c>
      <c r="AT318" s="117" t="s">
        <v>7</v>
      </c>
      <c r="AU318" s="162" t="s">
        <v>7</v>
      </c>
      <c r="AV318" s="162" t="s">
        <v>7</v>
      </c>
      <c r="AW318" s="162" t="s">
        <v>9851</v>
      </c>
      <c r="AX318" s="162" t="s">
        <v>7</v>
      </c>
      <c r="AY318" s="162" t="s">
        <v>7</v>
      </c>
      <c r="AZ318" t="s">
        <v>7</v>
      </c>
      <c r="BA318" s="162" t="s">
        <v>7</v>
      </c>
      <c r="BB318" s="162" t="s">
        <v>7</v>
      </c>
      <c r="BC318" s="162" t="s">
        <v>7</v>
      </c>
      <c r="BD318" s="162" t="s">
        <v>7</v>
      </c>
      <c r="BE318" s="162" t="s">
        <v>7</v>
      </c>
      <c r="BF318" s="162" t="str">
        <f t="shared" si="8"/>
        <v>Sim</v>
      </c>
      <c r="BG318" s="162" t="str">
        <f t="shared" si="9"/>
        <v>Não</v>
      </c>
      <c r="BH318" s="162" t="s">
        <v>7</v>
      </c>
      <c r="BI318" t="s">
        <v>9872</v>
      </c>
      <c r="BJ318" s="162" t="s">
        <v>10165</v>
      </c>
      <c r="BK318" t="s">
        <v>1099</v>
      </c>
      <c r="BL318" s="162">
        <v>81.666666666666671</v>
      </c>
      <c r="BM318" t="s">
        <v>35</v>
      </c>
      <c r="BN318" t="s">
        <v>35</v>
      </c>
      <c r="BO318" t="s">
        <v>1099</v>
      </c>
      <c r="BP318" s="162">
        <v>81.666666666666671</v>
      </c>
      <c r="BQ318" t="s">
        <v>35</v>
      </c>
      <c r="BR318" t="s">
        <v>1849</v>
      </c>
      <c r="BS318" s="162" t="s">
        <v>10170</v>
      </c>
    </row>
    <row r="319" spans="1:71">
      <c r="A319" s="162">
        <v>318</v>
      </c>
      <c r="B319" t="s">
        <v>294</v>
      </c>
      <c r="C319" s="162">
        <v>1</v>
      </c>
      <c r="D319" s="122" t="s">
        <v>806</v>
      </c>
      <c r="E319" t="s">
        <v>807</v>
      </c>
      <c r="F319" t="s">
        <v>3</v>
      </c>
      <c r="G319" t="s">
        <v>304</v>
      </c>
      <c r="H319" t="s">
        <v>808</v>
      </c>
      <c r="I319" s="162">
        <v>1</v>
      </c>
      <c r="J319" t="s">
        <v>76</v>
      </c>
      <c r="K319" t="s">
        <v>3</v>
      </c>
      <c r="L319" s="165">
        <v>30211</v>
      </c>
      <c r="M319" s="166">
        <v>34</v>
      </c>
      <c r="N319" t="s">
        <v>5</v>
      </c>
      <c r="O319" t="s">
        <v>10135</v>
      </c>
      <c r="P319" t="s">
        <v>1074</v>
      </c>
      <c r="Q319" t="s">
        <v>1186</v>
      </c>
      <c r="R319">
        <v>0</v>
      </c>
      <c r="S319" s="162">
        <v>0</v>
      </c>
      <c r="T319">
        <v>0</v>
      </c>
      <c r="U319" s="162">
        <v>0</v>
      </c>
      <c r="V319" t="s">
        <v>1515</v>
      </c>
      <c r="W319" s="162">
        <v>54</v>
      </c>
      <c r="X319">
        <v>0</v>
      </c>
      <c r="Y319" s="162">
        <v>0</v>
      </c>
      <c r="Z319">
        <v>0</v>
      </c>
      <c r="AA319" s="162">
        <v>0</v>
      </c>
      <c r="AB319">
        <v>0</v>
      </c>
      <c r="AC319" s="162" t="s">
        <v>7</v>
      </c>
      <c r="AD319" s="162" t="s">
        <v>7</v>
      </c>
      <c r="AE319" s="162" t="s">
        <v>7</v>
      </c>
      <c r="AF319" s="162" t="s">
        <v>7</v>
      </c>
      <c r="AG319" s="162" t="s">
        <v>7</v>
      </c>
      <c r="AH319" s="162" t="s">
        <v>7</v>
      </c>
      <c r="AI319" t="s">
        <v>9843</v>
      </c>
      <c r="AJ319" t="s">
        <v>7</v>
      </c>
      <c r="AK319" t="s">
        <v>1098</v>
      </c>
      <c r="AL319" t="s">
        <v>36</v>
      </c>
      <c r="AM319" s="162" t="s">
        <v>10138</v>
      </c>
      <c r="AN319" t="s">
        <v>9843</v>
      </c>
      <c r="AO319" t="s">
        <v>35</v>
      </c>
      <c r="AP319" t="s">
        <v>1470</v>
      </c>
      <c r="AQ319" t="s">
        <v>1100</v>
      </c>
      <c r="AR319" t="s">
        <v>1097</v>
      </c>
      <c r="AS319" s="162" t="s">
        <v>9851</v>
      </c>
      <c r="AT319" s="117" t="s">
        <v>7</v>
      </c>
      <c r="AU319" s="162" t="s">
        <v>7</v>
      </c>
      <c r="AV319" s="162" t="s">
        <v>7</v>
      </c>
      <c r="AW319" s="162" t="s">
        <v>9851</v>
      </c>
      <c r="AX319" s="162" t="s">
        <v>7</v>
      </c>
      <c r="AY319" s="162" t="s">
        <v>7</v>
      </c>
      <c r="AZ319" t="s">
        <v>7</v>
      </c>
      <c r="BA319" s="162" t="s">
        <v>7</v>
      </c>
      <c r="BB319" s="162" t="s">
        <v>7</v>
      </c>
      <c r="BC319" s="162" t="s">
        <v>7</v>
      </c>
      <c r="BD319" s="162" t="s">
        <v>7</v>
      </c>
      <c r="BE319" s="162" t="s">
        <v>7</v>
      </c>
      <c r="BF319" s="162" t="str">
        <f t="shared" si="8"/>
        <v>Sim</v>
      </c>
      <c r="BG319" s="162" t="str">
        <f t="shared" si="9"/>
        <v>Não</v>
      </c>
      <c r="BH319" s="162" t="s">
        <v>7</v>
      </c>
      <c r="BI319" t="s">
        <v>9872</v>
      </c>
      <c r="BJ319" s="162" t="s">
        <v>10165</v>
      </c>
      <c r="BK319" t="s">
        <v>1099</v>
      </c>
      <c r="BL319" s="162">
        <v>81.666666666666671</v>
      </c>
      <c r="BM319" t="s">
        <v>35</v>
      </c>
      <c r="BN319" t="s">
        <v>35</v>
      </c>
      <c r="BO319" t="s">
        <v>1099</v>
      </c>
      <c r="BP319" s="162">
        <v>81.666666666666671</v>
      </c>
      <c r="BQ319" t="s">
        <v>35</v>
      </c>
      <c r="BR319" t="s">
        <v>1849</v>
      </c>
      <c r="BS319" s="162" t="s">
        <v>10170</v>
      </c>
    </row>
    <row r="320" spans="1:71">
      <c r="A320" s="162">
        <v>319</v>
      </c>
      <c r="B320" t="s">
        <v>186</v>
      </c>
      <c r="C320" s="162">
        <v>1</v>
      </c>
      <c r="D320" s="122" t="s">
        <v>625</v>
      </c>
      <c r="E320" t="s">
        <v>626</v>
      </c>
      <c r="F320" t="s">
        <v>3</v>
      </c>
      <c r="G320" t="s">
        <v>198</v>
      </c>
      <c r="H320" t="s">
        <v>627</v>
      </c>
      <c r="I320" s="162">
        <v>1</v>
      </c>
      <c r="J320" t="s">
        <v>1855</v>
      </c>
      <c r="K320" t="s">
        <v>3</v>
      </c>
      <c r="L320" s="165">
        <v>32791</v>
      </c>
      <c r="M320" s="166">
        <v>27</v>
      </c>
      <c r="N320" t="s">
        <v>1093</v>
      </c>
      <c r="O320" t="s">
        <v>10135</v>
      </c>
      <c r="P320" t="s">
        <v>48</v>
      </c>
      <c r="Q320" t="s">
        <v>1186</v>
      </c>
      <c r="R320" t="s">
        <v>1588</v>
      </c>
      <c r="S320" s="162">
        <v>189.4</v>
      </c>
      <c r="T320" t="s">
        <v>1087</v>
      </c>
      <c r="U320" s="162">
        <v>5.4</v>
      </c>
      <c r="V320" t="s">
        <v>1589</v>
      </c>
      <c r="W320" s="162">
        <v>50.6</v>
      </c>
      <c r="X320">
        <v>0</v>
      </c>
      <c r="Y320" s="162">
        <v>0</v>
      </c>
      <c r="Z320">
        <v>0</v>
      </c>
      <c r="AA320" s="162">
        <v>0</v>
      </c>
      <c r="AB320">
        <v>0</v>
      </c>
      <c r="AC320" s="162" t="s">
        <v>7</v>
      </c>
      <c r="AD320" s="162" t="s">
        <v>7</v>
      </c>
      <c r="AE320" s="162" t="s">
        <v>7</v>
      </c>
      <c r="AF320" s="162" t="s">
        <v>7</v>
      </c>
      <c r="AG320" s="162" t="s">
        <v>7</v>
      </c>
      <c r="AH320" s="162" t="s">
        <v>7</v>
      </c>
      <c r="AI320" t="s">
        <v>9843</v>
      </c>
      <c r="AJ320" t="s">
        <v>7</v>
      </c>
      <c r="AK320" t="s">
        <v>1150</v>
      </c>
      <c r="AL320" t="s">
        <v>36</v>
      </c>
      <c r="AM320" s="162" t="s">
        <v>10138</v>
      </c>
      <c r="AN320" t="s">
        <v>9843</v>
      </c>
      <c r="AO320" t="s">
        <v>35</v>
      </c>
      <c r="AP320" t="s">
        <v>1643</v>
      </c>
      <c r="AQ320" t="s">
        <v>1100</v>
      </c>
      <c r="AR320" t="s">
        <v>1097</v>
      </c>
      <c r="AS320" s="162" t="s">
        <v>9851</v>
      </c>
      <c r="AT320" s="117" t="s">
        <v>7</v>
      </c>
      <c r="AU320" s="162" t="s">
        <v>7</v>
      </c>
      <c r="AV320" s="162" t="s">
        <v>7</v>
      </c>
      <c r="AW320" s="162" t="s">
        <v>9851</v>
      </c>
      <c r="AX320" s="162" t="s">
        <v>7</v>
      </c>
      <c r="AY320" s="162" t="s">
        <v>7</v>
      </c>
      <c r="AZ320" t="s">
        <v>7</v>
      </c>
      <c r="BA320" s="162" t="s">
        <v>7</v>
      </c>
      <c r="BB320" s="162" t="s">
        <v>7</v>
      </c>
      <c r="BC320" s="162" t="s">
        <v>7</v>
      </c>
      <c r="BD320" s="162" t="s">
        <v>7</v>
      </c>
      <c r="BE320" s="162" t="s">
        <v>7</v>
      </c>
      <c r="BF320" s="162" t="str">
        <f t="shared" si="8"/>
        <v>Sim</v>
      </c>
      <c r="BG320" s="162" t="str">
        <f t="shared" si="9"/>
        <v>Não</v>
      </c>
      <c r="BH320" s="162" t="s">
        <v>7</v>
      </c>
      <c r="BI320" t="s">
        <v>9872</v>
      </c>
      <c r="BJ320" s="162" t="s">
        <v>10165</v>
      </c>
      <c r="BK320" t="s">
        <v>1099</v>
      </c>
      <c r="BL320" s="162">
        <v>81.666666666666671</v>
      </c>
      <c r="BM320" t="s">
        <v>35</v>
      </c>
      <c r="BN320" t="s">
        <v>35</v>
      </c>
      <c r="BO320" t="s">
        <v>1099</v>
      </c>
      <c r="BP320" s="162">
        <v>81.666666666666671</v>
      </c>
      <c r="BQ320" t="s">
        <v>35</v>
      </c>
      <c r="BR320" t="s">
        <v>1849</v>
      </c>
      <c r="BS320" s="162" t="s">
        <v>10170</v>
      </c>
    </row>
    <row r="321" spans="1:71">
      <c r="A321" s="162">
        <v>320</v>
      </c>
      <c r="B321" t="s">
        <v>260</v>
      </c>
      <c r="C321" s="162">
        <v>1</v>
      </c>
      <c r="D321" s="122" t="s">
        <v>735</v>
      </c>
      <c r="E321" t="s">
        <v>728</v>
      </c>
      <c r="F321" t="s">
        <v>3</v>
      </c>
      <c r="G321" t="s">
        <v>264</v>
      </c>
      <c r="H321" t="s">
        <v>736</v>
      </c>
      <c r="I321" s="162">
        <v>1</v>
      </c>
      <c r="J321" t="s">
        <v>1855</v>
      </c>
      <c r="K321" t="s">
        <v>3</v>
      </c>
      <c r="L321" s="165">
        <v>32589</v>
      </c>
      <c r="M321" s="166">
        <v>28</v>
      </c>
      <c r="N321" t="s">
        <v>5</v>
      </c>
      <c r="O321" t="s">
        <v>10135</v>
      </c>
      <c r="P321" t="s">
        <v>48</v>
      </c>
      <c r="Q321" t="s">
        <v>1655</v>
      </c>
      <c r="R321">
        <v>0</v>
      </c>
      <c r="S321" s="162">
        <v>0</v>
      </c>
      <c r="T321" t="s">
        <v>1656</v>
      </c>
      <c r="U321" s="162">
        <v>16.3</v>
      </c>
      <c r="V321" t="s">
        <v>1657</v>
      </c>
      <c r="W321" s="162">
        <v>3.9</v>
      </c>
      <c r="X321">
        <v>0</v>
      </c>
      <c r="Y321" s="162">
        <v>0</v>
      </c>
      <c r="Z321">
        <v>0</v>
      </c>
      <c r="AA321" s="162">
        <v>0</v>
      </c>
      <c r="AB321">
        <v>0</v>
      </c>
      <c r="AC321" s="162" t="s">
        <v>7</v>
      </c>
      <c r="AD321" s="162" t="s">
        <v>7</v>
      </c>
      <c r="AE321" s="162" t="s">
        <v>7</v>
      </c>
      <c r="AF321" s="162" t="s">
        <v>7</v>
      </c>
      <c r="AG321" s="162" t="s">
        <v>7</v>
      </c>
      <c r="AH321" s="162" t="s">
        <v>7</v>
      </c>
      <c r="AI321" t="s">
        <v>9843</v>
      </c>
      <c r="AJ321" t="s">
        <v>7</v>
      </c>
      <c r="AK321" t="s">
        <v>1212</v>
      </c>
      <c r="AL321" t="s">
        <v>36</v>
      </c>
      <c r="AM321" s="162" t="s">
        <v>10138</v>
      </c>
      <c r="AN321" t="s">
        <v>9843</v>
      </c>
      <c r="AO321" t="s">
        <v>35</v>
      </c>
      <c r="AP321" t="s">
        <v>1079</v>
      </c>
      <c r="AQ321" t="s">
        <v>1100</v>
      </c>
      <c r="AR321" t="s">
        <v>1097</v>
      </c>
      <c r="AS321" s="162" t="s">
        <v>9851</v>
      </c>
      <c r="AT321" s="117" t="s">
        <v>7</v>
      </c>
      <c r="AU321" s="162" t="s">
        <v>7</v>
      </c>
      <c r="AV321" s="162" t="s">
        <v>7</v>
      </c>
      <c r="AW321" s="162" t="s">
        <v>9851</v>
      </c>
      <c r="AX321" s="162" t="s">
        <v>7</v>
      </c>
      <c r="AY321" s="162" t="s">
        <v>7</v>
      </c>
      <c r="AZ321" t="s">
        <v>7</v>
      </c>
      <c r="BA321" s="162" t="s">
        <v>7</v>
      </c>
      <c r="BB321" s="162" t="s">
        <v>7</v>
      </c>
      <c r="BC321" s="162" t="s">
        <v>7</v>
      </c>
      <c r="BD321" s="162" t="s">
        <v>7</v>
      </c>
      <c r="BE321" s="162" t="s">
        <v>7</v>
      </c>
      <c r="BF321" s="162" t="str">
        <f t="shared" si="8"/>
        <v>Sim</v>
      </c>
      <c r="BG321" s="162" t="str">
        <f t="shared" si="9"/>
        <v>Não</v>
      </c>
      <c r="BH321" s="162" t="s">
        <v>7</v>
      </c>
      <c r="BI321" t="s">
        <v>9872</v>
      </c>
      <c r="BJ321" s="162" t="s">
        <v>10165</v>
      </c>
      <c r="BK321" t="s">
        <v>1099</v>
      </c>
      <c r="BL321" s="162">
        <v>81.666666666666671</v>
      </c>
      <c r="BM321" t="s">
        <v>35</v>
      </c>
      <c r="BN321" t="s">
        <v>35</v>
      </c>
      <c r="BO321" t="s">
        <v>1099</v>
      </c>
      <c r="BP321" s="162">
        <v>81.666666666666671</v>
      </c>
      <c r="BQ321" t="s">
        <v>35</v>
      </c>
      <c r="BR321" t="s">
        <v>1849</v>
      </c>
      <c r="BS321" s="162" t="s">
        <v>10170</v>
      </c>
    </row>
    <row r="322" spans="1:71">
      <c r="A322" s="162">
        <v>321</v>
      </c>
      <c r="B322" t="s">
        <v>444</v>
      </c>
      <c r="C322" s="162">
        <v>1</v>
      </c>
      <c r="D322" s="122" t="s">
        <v>1005</v>
      </c>
      <c r="E322" t="s">
        <v>1006</v>
      </c>
      <c r="F322" t="s">
        <v>3</v>
      </c>
      <c r="G322" t="s">
        <v>450</v>
      </c>
      <c r="H322" t="s">
        <v>1007</v>
      </c>
      <c r="I322" s="162">
        <v>1</v>
      </c>
      <c r="J322" t="s">
        <v>1855</v>
      </c>
      <c r="K322" t="s">
        <v>3</v>
      </c>
      <c r="L322" s="165">
        <v>33267</v>
      </c>
      <c r="M322" s="166">
        <v>26</v>
      </c>
      <c r="N322" t="s">
        <v>5</v>
      </c>
      <c r="O322" t="s">
        <v>10135</v>
      </c>
      <c r="P322" t="s">
        <v>48</v>
      </c>
      <c r="Q322" t="s">
        <v>1186</v>
      </c>
      <c r="R322" t="s">
        <v>10037</v>
      </c>
      <c r="S322" s="162">
        <v>15.5</v>
      </c>
      <c r="T322" t="s">
        <v>10038</v>
      </c>
      <c r="U322" s="162">
        <v>45.6</v>
      </c>
      <c r="V322" t="s">
        <v>10039</v>
      </c>
      <c r="W322" s="162">
        <v>4.3</v>
      </c>
      <c r="X322">
        <v>0</v>
      </c>
      <c r="Y322" s="162">
        <v>0</v>
      </c>
      <c r="Z322">
        <v>0</v>
      </c>
      <c r="AA322" s="162">
        <v>0</v>
      </c>
      <c r="AB322" t="s">
        <v>10040</v>
      </c>
      <c r="AC322" s="162" t="s">
        <v>7</v>
      </c>
      <c r="AD322" s="162" t="s">
        <v>7</v>
      </c>
      <c r="AE322" s="162" t="s">
        <v>7</v>
      </c>
      <c r="AF322" s="162" t="s">
        <v>7</v>
      </c>
      <c r="AG322" s="162" t="s">
        <v>9851</v>
      </c>
      <c r="AH322" s="162" t="s">
        <v>7</v>
      </c>
      <c r="AI322" t="s">
        <v>9846</v>
      </c>
      <c r="AJ322" t="s">
        <v>7</v>
      </c>
      <c r="AK322" t="s">
        <v>1440</v>
      </c>
      <c r="AL322" t="s">
        <v>78</v>
      </c>
      <c r="AM322" s="162" t="s">
        <v>10138</v>
      </c>
      <c r="AN322" t="s">
        <v>9843</v>
      </c>
      <c r="AO322" t="s">
        <v>35</v>
      </c>
      <c r="AP322" t="s">
        <v>1854</v>
      </c>
      <c r="AQ322" t="s">
        <v>1100</v>
      </c>
      <c r="AR322" t="s">
        <v>1097</v>
      </c>
      <c r="AS322" s="162" t="s">
        <v>9851</v>
      </c>
      <c r="AT322" s="117" t="s">
        <v>7</v>
      </c>
      <c r="AU322" s="162" t="s">
        <v>7</v>
      </c>
      <c r="AV322" s="162" t="s">
        <v>7</v>
      </c>
      <c r="AW322" s="162" t="s">
        <v>9851</v>
      </c>
      <c r="AX322" s="162" t="s">
        <v>7</v>
      </c>
      <c r="AY322" s="162" t="s">
        <v>7</v>
      </c>
      <c r="AZ322" t="s">
        <v>1937</v>
      </c>
      <c r="BA322" s="162" t="s">
        <v>9851</v>
      </c>
      <c r="BB322" s="162" t="s">
        <v>7</v>
      </c>
      <c r="BC322" s="162" t="s">
        <v>7</v>
      </c>
      <c r="BD322" s="162" t="s">
        <v>7</v>
      </c>
      <c r="BE322" s="162" t="s">
        <v>7</v>
      </c>
      <c r="BF322" s="162" t="str">
        <f t="shared" ref="BF322:BF385" si="10">IF(AZ322="Não","Sim","Não")</f>
        <v>Não</v>
      </c>
      <c r="BG322" s="162" t="str">
        <f t="shared" ref="BG322:BG385" si="11">IF(AZ322="NA","Sim","Não")</f>
        <v>Não</v>
      </c>
      <c r="BH322" s="162" t="s">
        <v>9851</v>
      </c>
      <c r="BI322" t="s">
        <v>9872</v>
      </c>
      <c r="BJ322" s="162" t="s">
        <v>10165</v>
      </c>
      <c r="BK322" t="s">
        <v>1099</v>
      </c>
      <c r="BL322" s="162">
        <v>81.666666666666671</v>
      </c>
      <c r="BM322" t="s">
        <v>35</v>
      </c>
      <c r="BN322" t="s">
        <v>35</v>
      </c>
      <c r="BO322" t="s">
        <v>1099</v>
      </c>
      <c r="BP322" s="162">
        <v>81.666666666666671</v>
      </c>
      <c r="BQ322" t="s">
        <v>35</v>
      </c>
      <c r="BR322" t="s">
        <v>1849</v>
      </c>
      <c r="BS322" s="162" t="s">
        <v>10170</v>
      </c>
    </row>
    <row r="323" spans="1:71">
      <c r="A323" s="162">
        <v>322</v>
      </c>
      <c r="B323" t="s">
        <v>468</v>
      </c>
      <c r="C323" s="162">
        <v>1</v>
      </c>
      <c r="D323" s="122" t="s">
        <v>832</v>
      </c>
      <c r="E323" t="s">
        <v>1050</v>
      </c>
      <c r="F323" t="s">
        <v>515</v>
      </c>
      <c r="G323" t="s">
        <v>473</v>
      </c>
      <c r="H323" t="s">
        <v>1060</v>
      </c>
      <c r="I323" s="162">
        <v>1</v>
      </c>
      <c r="J323" t="s">
        <v>1855</v>
      </c>
      <c r="K323" t="s">
        <v>3</v>
      </c>
      <c r="L323" s="165">
        <v>32519</v>
      </c>
      <c r="M323" s="166">
        <v>28</v>
      </c>
      <c r="N323" t="s">
        <v>4</v>
      </c>
      <c r="O323" t="s">
        <v>10134</v>
      </c>
      <c r="P323" t="s">
        <v>77</v>
      </c>
      <c r="Q323" t="s">
        <v>1456</v>
      </c>
      <c r="R323" t="s">
        <v>10047</v>
      </c>
      <c r="S323" s="162">
        <v>88.2</v>
      </c>
      <c r="T323" t="s">
        <v>10048</v>
      </c>
      <c r="U323" s="162">
        <v>8.1999999999999993</v>
      </c>
      <c r="V323" t="s">
        <v>10049</v>
      </c>
      <c r="W323" s="162">
        <v>13.3</v>
      </c>
      <c r="X323">
        <v>0</v>
      </c>
      <c r="Y323" s="162">
        <v>0</v>
      </c>
      <c r="Z323">
        <v>0</v>
      </c>
      <c r="AA323" s="162">
        <v>0</v>
      </c>
      <c r="AB323">
        <v>0</v>
      </c>
      <c r="AC323" s="162" t="s">
        <v>7</v>
      </c>
      <c r="AD323" s="162" t="s">
        <v>7</v>
      </c>
      <c r="AE323" s="162" t="s">
        <v>7</v>
      </c>
      <c r="AF323" s="162" t="s">
        <v>7</v>
      </c>
      <c r="AG323" s="162" t="s">
        <v>7</v>
      </c>
      <c r="AH323" s="162" t="s">
        <v>7</v>
      </c>
      <c r="AI323" t="s">
        <v>9843</v>
      </c>
      <c r="AJ323" t="s">
        <v>7</v>
      </c>
      <c r="AK323" t="s">
        <v>1173</v>
      </c>
      <c r="AL323" t="s">
        <v>36</v>
      </c>
      <c r="AM323" s="162" t="s">
        <v>10138</v>
      </c>
      <c r="AN323" t="s">
        <v>9843</v>
      </c>
      <c r="AO323" t="s">
        <v>35</v>
      </c>
      <c r="AP323" t="s">
        <v>1455</v>
      </c>
      <c r="AQ323" t="s">
        <v>1418</v>
      </c>
      <c r="AR323" t="s">
        <v>1097</v>
      </c>
      <c r="AS323" s="162" t="s">
        <v>9851</v>
      </c>
      <c r="AT323" s="117" t="s">
        <v>7</v>
      </c>
      <c r="AU323" s="162" t="s">
        <v>7</v>
      </c>
      <c r="AV323" s="162" t="s">
        <v>7</v>
      </c>
      <c r="AW323" s="162" t="s">
        <v>9851</v>
      </c>
      <c r="AX323" s="162" t="s">
        <v>7</v>
      </c>
      <c r="AY323" s="162" t="s">
        <v>7</v>
      </c>
      <c r="AZ323" t="s">
        <v>7</v>
      </c>
      <c r="BA323" s="162" t="s">
        <v>7</v>
      </c>
      <c r="BB323" s="162" t="s">
        <v>7</v>
      </c>
      <c r="BC323" s="162" t="s">
        <v>7</v>
      </c>
      <c r="BD323" s="162" t="s">
        <v>7</v>
      </c>
      <c r="BE323" s="162" t="s">
        <v>7</v>
      </c>
      <c r="BF323" s="162" t="str">
        <f t="shared" si="10"/>
        <v>Sim</v>
      </c>
      <c r="BG323" s="162" t="str">
        <f t="shared" si="11"/>
        <v>Não</v>
      </c>
      <c r="BH323" s="162" t="s">
        <v>7</v>
      </c>
      <c r="BI323" t="s">
        <v>9872</v>
      </c>
      <c r="BJ323" s="162" t="s">
        <v>10165</v>
      </c>
      <c r="BK323" t="s">
        <v>1099</v>
      </c>
      <c r="BL323" s="162">
        <v>81.666666666666671</v>
      </c>
      <c r="BM323" t="s">
        <v>35</v>
      </c>
      <c r="BN323" t="s">
        <v>35</v>
      </c>
      <c r="BO323" t="s">
        <v>1099</v>
      </c>
      <c r="BP323" s="162">
        <v>81.666666666666671</v>
      </c>
      <c r="BQ323" t="s">
        <v>35</v>
      </c>
      <c r="BR323" t="s">
        <v>1849</v>
      </c>
      <c r="BS323" s="162" t="s">
        <v>10170</v>
      </c>
    </row>
    <row r="324" spans="1:71">
      <c r="A324" s="162">
        <v>323</v>
      </c>
      <c r="B324" t="s">
        <v>297</v>
      </c>
      <c r="C324" s="162">
        <v>1</v>
      </c>
      <c r="D324" s="122" t="s">
        <v>812</v>
      </c>
      <c r="E324" t="s">
        <v>807</v>
      </c>
      <c r="F324" t="s">
        <v>3</v>
      </c>
      <c r="G324" t="s">
        <v>304</v>
      </c>
      <c r="H324" t="s">
        <v>813</v>
      </c>
      <c r="I324" s="162">
        <v>1</v>
      </c>
      <c r="J324" t="s">
        <v>1855</v>
      </c>
      <c r="K324" t="s">
        <v>515</v>
      </c>
      <c r="L324" s="165">
        <v>30585</v>
      </c>
      <c r="M324" s="166">
        <v>33</v>
      </c>
      <c r="N324" t="s">
        <v>4</v>
      </c>
      <c r="O324" t="s">
        <v>10134</v>
      </c>
      <c r="P324" t="s">
        <v>48</v>
      </c>
      <c r="Q324" t="s">
        <v>1231</v>
      </c>
      <c r="R324" t="s">
        <v>1521</v>
      </c>
      <c r="S324" s="162">
        <v>125.5</v>
      </c>
      <c r="T324" t="s">
        <v>1519</v>
      </c>
      <c r="U324" s="162">
        <v>29.5</v>
      </c>
      <c r="V324" t="s">
        <v>1520</v>
      </c>
      <c r="W324" s="162">
        <v>11.3</v>
      </c>
      <c r="X324">
        <v>0</v>
      </c>
      <c r="Y324" s="162">
        <v>0</v>
      </c>
      <c r="Z324">
        <v>0</v>
      </c>
      <c r="AA324" s="162">
        <v>0</v>
      </c>
      <c r="AB324">
        <v>0</v>
      </c>
      <c r="AC324" s="162" t="s">
        <v>7</v>
      </c>
      <c r="AD324" s="162" t="s">
        <v>7</v>
      </c>
      <c r="AE324" s="162" t="s">
        <v>7</v>
      </c>
      <c r="AF324" s="162" t="s">
        <v>7</v>
      </c>
      <c r="AG324" s="162" t="s">
        <v>7</v>
      </c>
      <c r="AH324" s="162" t="s">
        <v>7</v>
      </c>
      <c r="AI324" t="s">
        <v>9843</v>
      </c>
      <c r="AJ324" t="s">
        <v>7</v>
      </c>
      <c r="AK324" t="s">
        <v>1522</v>
      </c>
      <c r="AL324" t="s">
        <v>36</v>
      </c>
      <c r="AM324" s="162" t="s">
        <v>10138</v>
      </c>
      <c r="AN324" t="s">
        <v>9843</v>
      </c>
      <c r="AO324" t="s">
        <v>35</v>
      </c>
      <c r="AP324" t="s">
        <v>9861</v>
      </c>
      <c r="AQ324" t="s">
        <v>1100</v>
      </c>
      <c r="AR324" t="s">
        <v>1097</v>
      </c>
      <c r="AS324" s="162" t="s">
        <v>9851</v>
      </c>
      <c r="AT324" s="117" t="s">
        <v>7</v>
      </c>
      <c r="AU324" s="162" t="s">
        <v>7</v>
      </c>
      <c r="AV324" s="162" t="s">
        <v>7</v>
      </c>
      <c r="AW324" s="162" t="s">
        <v>9851</v>
      </c>
      <c r="AX324" s="162" t="s">
        <v>7</v>
      </c>
      <c r="AY324" s="162" t="s">
        <v>7</v>
      </c>
      <c r="AZ324" t="s">
        <v>7</v>
      </c>
      <c r="BA324" s="162" t="s">
        <v>7</v>
      </c>
      <c r="BB324" s="162" t="s">
        <v>7</v>
      </c>
      <c r="BC324" s="162" t="s">
        <v>7</v>
      </c>
      <c r="BD324" s="162" t="s">
        <v>7</v>
      </c>
      <c r="BE324" s="162" t="s">
        <v>7</v>
      </c>
      <c r="BF324" s="162" t="str">
        <f t="shared" si="10"/>
        <v>Sim</v>
      </c>
      <c r="BG324" s="162" t="str">
        <f t="shared" si="11"/>
        <v>Não</v>
      </c>
      <c r="BH324" s="162" t="s">
        <v>7</v>
      </c>
      <c r="BI324" t="s">
        <v>9872</v>
      </c>
      <c r="BJ324" s="162" t="s">
        <v>10165</v>
      </c>
      <c r="BK324" t="s">
        <v>1099</v>
      </c>
      <c r="BL324" s="162">
        <v>81.666666666666671</v>
      </c>
      <c r="BM324" t="s">
        <v>35</v>
      </c>
      <c r="BN324" t="s">
        <v>35</v>
      </c>
      <c r="BO324" t="s">
        <v>1099</v>
      </c>
      <c r="BP324" s="162">
        <v>81.666666666666671</v>
      </c>
      <c r="BQ324" t="s">
        <v>35</v>
      </c>
      <c r="BR324" t="s">
        <v>1849</v>
      </c>
      <c r="BS324" s="162" t="s">
        <v>10170</v>
      </c>
    </row>
    <row r="325" spans="1:71">
      <c r="A325" s="162">
        <v>324</v>
      </c>
      <c r="B325" t="s">
        <v>118</v>
      </c>
      <c r="C325" s="162">
        <v>1</v>
      </c>
      <c r="D325" s="122">
        <v>42765</v>
      </c>
      <c r="E325" t="s">
        <v>476</v>
      </c>
      <c r="F325" t="s">
        <v>3</v>
      </c>
      <c r="G325" t="s">
        <v>120</v>
      </c>
      <c r="H325" t="s">
        <v>486</v>
      </c>
      <c r="I325" s="162">
        <v>1</v>
      </c>
      <c r="J325" t="s">
        <v>1855</v>
      </c>
      <c r="K325" t="s">
        <v>3</v>
      </c>
      <c r="L325" s="165">
        <v>32782</v>
      </c>
      <c r="M325" s="166">
        <v>27</v>
      </c>
      <c r="N325" t="s">
        <v>5</v>
      </c>
      <c r="O325" t="s">
        <v>10135</v>
      </c>
      <c r="P325" t="s">
        <v>1074</v>
      </c>
      <c r="Q325" t="s">
        <v>2093</v>
      </c>
      <c r="R325" t="s">
        <v>1269</v>
      </c>
      <c r="S325" s="162">
        <v>67</v>
      </c>
      <c r="T325" t="s">
        <v>2094</v>
      </c>
      <c r="U325" s="162">
        <v>10</v>
      </c>
      <c r="V325" t="s">
        <v>1172</v>
      </c>
      <c r="W325" s="162">
        <v>17</v>
      </c>
      <c r="X325">
        <v>0</v>
      </c>
      <c r="Y325" s="162">
        <v>0</v>
      </c>
      <c r="Z325">
        <v>0</v>
      </c>
      <c r="AA325" s="162">
        <v>0</v>
      </c>
      <c r="AB325">
        <v>0</v>
      </c>
      <c r="AC325" s="162" t="s">
        <v>7</v>
      </c>
      <c r="AD325" s="162" t="s">
        <v>7</v>
      </c>
      <c r="AE325" s="162" t="s">
        <v>7</v>
      </c>
      <c r="AF325" s="162" t="s">
        <v>7</v>
      </c>
      <c r="AG325" s="162" t="s">
        <v>7</v>
      </c>
      <c r="AH325" s="162" t="s">
        <v>7</v>
      </c>
      <c r="AI325" t="s">
        <v>9843</v>
      </c>
      <c r="AJ325" t="s">
        <v>7</v>
      </c>
      <c r="AK325" t="s">
        <v>1173</v>
      </c>
      <c r="AL325" t="s">
        <v>36</v>
      </c>
      <c r="AM325" s="162" t="s">
        <v>10138</v>
      </c>
      <c r="AN325" t="s">
        <v>9843</v>
      </c>
      <c r="AO325" t="s">
        <v>35</v>
      </c>
      <c r="AP325" t="s">
        <v>1854</v>
      </c>
      <c r="AQ325" t="s">
        <v>1100</v>
      </c>
      <c r="AR325" t="s">
        <v>1097</v>
      </c>
      <c r="AS325" s="162" t="s">
        <v>9851</v>
      </c>
      <c r="AT325" s="117" t="s">
        <v>7</v>
      </c>
      <c r="AU325" s="162" t="s">
        <v>7</v>
      </c>
      <c r="AV325" s="162" t="s">
        <v>7</v>
      </c>
      <c r="AW325" s="162" t="s">
        <v>9851</v>
      </c>
      <c r="AX325" s="162" t="s">
        <v>7</v>
      </c>
      <c r="AY325" s="162" t="s">
        <v>7</v>
      </c>
      <c r="AZ325" t="s">
        <v>7</v>
      </c>
      <c r="BA325" s="162" t="s">
        <v>7</v>
      </c>
      <c r="BB325" s="162" t="s">
        <v>7</v>
      </c>
      <c r="BC325" s="162" t="s">
        <v>7</v>
      </c>
      <c r="BD325" s="162" t="s">
        <v>7</v>
      </c>
      <c r="BE325" s="162" t="s">
        <v>7</v>
      </c>
      <c r="BF325" s="162" t="str">
        <f t="shared" si="10"/>
        <v>Sim</v>
      </c>
      <c r="BG325" s="162" t="str">
        <f t="shared" si="11"/>
        <v>Não</v>
      </c>
      <c r="BH325" s="162" t="s">
        <v>7</v>
      </c>
      <c r="BI325" t="s">
        <v>9872</v>
      </c>
      <c r="BJ325" s="162" t="s">
        <v>10165</v>
      </c>
      <c r="BK325" t="s">
        <v>1099</v>
      </c>
      <c r="BL325" s="162">
        <v>81.666666666666671</v>
      </c>
      <c r="BM325" t="s">
        <v>35</v>
      </c>
      <c r="BN325" t="s">
        <v>35</v>
      </c>
      <c r="BO325" t="s">
        <v>1099</v>
      </c>
      <c r="BP325" s="162">
        <v>81.666666666666671</v>
      </c>
      <c r="BQ325" t="s">
        <v>35</v>
      </c>
      <c r="BR325" t="s">
        <v>1849</v>
      </c>
      <c r="BS325" s="162" t="s">
        <v>10170</v>
      </c>
    </row>
    <row r="326" spans="1:71">
      <c r="A326" s="162">
        <v>325</v>
      </c>
      <c r="B326" t="s">
        <v>262</v>
      </c>
      <c r="C326" s="162">
        <v>1</v>
      </c>
      <c r="D326" s="122" t="s">
        <v>39</v>
      </c>
      <c r="E326" t="s">
        <v>723</v>
      </c>
      <c r="F326" t="s">
        <v>3</v>
      </c>
      <c r="G326" t="s">
        <v>264</v>
      </c>
      <c r="H326" t="s">
        <v>743</v>
      </c>
      <c r="I326" s="162">
        <v>1</v>
      </c>
      <c r="J326" t="s">
        <v>1855</v>
      </c>
      <c r="K326" t="s">
        <v>3</v>
      </c>
      <c r="L326" s="165">
        <v>33937</v>
      </c>
      <c r="M326" s="166">
        <v>24</v>
      </c>
      <c r="N326" t="s">
        <v>5</v>
      </c>
      <c r="O326" t="s">
        <v>10135</v>
      </c>
      <c r="P326" t="s">
        <v>48</v>
      </c>
      <c r="Q326" t="s">
        <v>1660</v>
      </c>
      <c r="R326">
        <v>0</v>
      </c>
      <c r="S326" s="162">
        <v>0</v>
      </c>
      <c r="T326" t="s">
        <v>1661</v>
      </c>
      <c r="U326" s="162">
        <v>531.1</v>
      </c>
      <c r="V326">
        <v>0</v>
      </c>
      <c r="W326" s="162">
        <v>0</v>
      </c>
      <c r="X326">
        <v>0</v>
      </c>
      <c r="Y326" s="162">
        <v>0</v>
      </c>
      <c r="Z326">
        <v>0</v>
      </c>
      <c r="AA326" s="162">
        <v>0</v>
      </c>
      <c r="AB326">
        <v>0</v>
      </c>
      <c r="AC326" s="162" t="s">
        <v>7</v>
      </c>
      <c r="AD326" s="162" t="s">
        <v>7</v>
      </c>
      <c r="AE326" s="162" t="s">
        <v>7</v>
      </c>
      <c r="AF326" s="162" t="s">
        <v>7</v>
      </c>
      <c r="AG326" s="162" t="s">
        <v>7</v>
      </c>
      <c r="AH326" s="162" t="s">
        <v>7</v>
      </c>
      <c r="AI326" t="s">
        <v>9843</v>
      </c>
      <c r="AJ326" t="s">
        <v>1088</v>
      </c>
      <c r="AK326" t="s">
        <v>1173</v>
      </c>
      <c r="AL326" t="s">
        <v>36</v>
      </c>
      <c r="AM326" s="162" t="s">
        <v>10138</v>
      </c>
      <c r="AN326" t="s">
        <v>9843</v>
      </c>
      <c r="AO326" t="s">
        <v>1088</v>
      </c>
      <c r="AP326" t="s">
        <v>1104</v>
      </c>
      <c r="AQ326" t="s">
        <v>1080</v>
      </c>
      <c r="AR326" t="s">
        <v>1097</v>
      </c>
      <c r="AS326" s="162" t="s">
        <v>9851</v>
      </c>
      <c r="AT326" s="117" t="s">
        <v>7</v>
      </c>
      <c r="AU326" s="162" t="s">
        <v>7</v>
      </c>
      <c r="AV326" s="162" t="s">
        <v>7</v>
      </c>
      <c r="AW326" s="162" t="s">
        <v>9851</v>
      </c>
      <c r="AX326" s="162" t="s">
        <v>7</v>
      </c>
      <c r="AY326" s="162" t="s">
        <v>7</v>
      </c>
      <c r="AZ326" t="s">
        <v>7</v>
      </c>
      <c r="BA326" s="162" t="s">
        <v>7</v>
      </c>
      <c r="BB326" s="162" t="s">
        <v>7</v>
      </c>
      <c r="BC326" s="162" t="s">
        <v>7</v>
      </c>
      <c r="BD326" s="162" t="s">
        <v>7</v>
      </c>
      <c r="BE326" s="162" t="s">
        <v>7</v>
      </c>
      <c r="BF326" s="162" t="str">
        <f t="shared" si="10"/>
        <v>Sim</v>
      </c>
      <c r="BG326" s="162" t="str">
        <f t="shared" si="11"/>
        <v>Não</v>
      </c>
      <c r="BH326" s="162" t="s">
        <v>7</v>
      </c>
      <c r="BI326" t="s">
        <v>9872</v>
      </c>
      <c r="BJ326" s="162" t="s">
        <v>10165</v>
      </c>
      <c r="BK326" t="s">
        <v>1163</v>
      </c>
      <c r="BL326" s="162">
        <v>84</v>
      </c>
      <c r="BM326" t="s">
        <v>35</v>
      </c>
      <c r="BN326" t="s">
        <v>7</v>
      </c>
      <c r="BO326" t="s">
        <v>1163</v>
      </c>
      <c r="BP326" s="162">
        <v>84</v>
      </c>
      <c r="BQ326" t="s">
        <v>35</v>
      </c>
      <c r="BR326" t="s">
        <v>1849</v>
      </c>
      <c r="BS326" s="162" t="s">
        <v>10170</v>
      </c>
    </row>
    <row r="327" spans="1:71">
      <c r="A327" s="162">
        <v>326</v>
      </c>
      <c r="B327" t="s">
        <v>289</v>
      </c>
      <c r="C327" s="162">
        <v>1</v>
      </c>
      <c r="D327" s="122">
        <v>42957</v>
      </c>
      <c r="E327" t="s">
        <v>788</v>
      </c>
      <c r="F327" t="s">
        <v>515</v>
      </c>
      <c r="G327" t="s">
        <v>291</v>
      </c>
      <c r="H327" t="s">
        <v>799</v>
      </c>
      <c r="I327" s="162">
        <v>1</v>
      </c>
      <c r="J327" t="s">
        <v>1855</v>
      </c>
      <c r="K327" t="s">
        <v>3</v>
      </c>
      <c r="L327" s="165">
        <v>29867</v>
      </c>
      <c r="M327" s="166">
        <v>35</v>
      </c>
      <c r="N327" t="s">
        <v>5</v>
      </c>
      <c r="O327" t="s">
        <v>10135</v>
      </c>
      <c r="P327" t="s">
        <v>48</v>
      </c>
      <c r="Q327" t="s">
        <v>2073</v>
      </c>
      <c r="R327" t="s">
        <v>9964</v>
      </c>
      <c r="S327" s="162">
        <v>3.2</v>
      </c>
      <c r="T327" t="s">
        <v>9965</v>
      </c>
      <c r="U327" s="162">
        <v>0.3</v>
      </c>
      <c r="V327">
        <v>0</v>
      </c>
      <c r="W327" s="162">
        <v>0</v>
      </c>
      <c r="X327">
        <v>0</v>
      </c>
      <c r="Y327" s="162">
        <v>0</v>
      </c>
      <c r="Z327">
        <v>0</v>
      </c>
      <c r="AA327" s="162">
        <v>0</v>
      </c>
      <c r="AB327">
        <v>0</v>
      </c>
      <c r="AC327" s="162" t="s">
        <v>7</v>
      </c>
      <c r="AD327" s="162" t="s">
        <v>7</v>
      </c>
      <c r="AE327" s="162" t="s">
        <v>7</v>
      </c>
      <c r="AF327" s="162" t="s">
        <v>7</v>
      </c>
      <c r="AG327" s="162" t="s">
        <v>7</v>
      </c>
      <c r="AH327" s="162" t="s">
        <v>7</v>
      </c>
      <c r="AI327" t="s">
        <v>9843</v>
      </c>
      <c r="AJ327" t="s">
        <v>7</v>
      </c>
      <c r="AK327" t="s">
        <v>1137</v>
      </c>
      <c r="AL327" t="s">
        <v>36</v>
      </c>
      <c r="AM327" s="162" t="s">
        <v>10138</v>
      </c>
      <c r="AN327" t="s">
        <v>9843</v>
      </c>
      <c r="AO327" t="s">
        <v>35</v>
      </c>
      <c r="AP327" t="s">
        <v>1854</v>
      </c>
      <c r="AQ327" t="s">
        <v>1100</v>
      </c>
      <c r="AR327" t="s">
        <v>1097</v>
      </c>
      <c r="AS327" s="162" t="s">
        <v>9851</v>
      </c>
      <c r="AT327" s="117" t="s">
        <v>7</v>
      </c>
      <c r="AU327" s="162" t="s">
        <v>7</v>
      </c>
      <c r="AV327" s="162" t="s">
        <v>7</v>
      </c>
      <c r="AW327" s="162" t="s">
        <v>9851</v>
      </c>
      <c r="AX327" s="162" t="s">
        <v>7</v>
      </c>
      <c r="AY327" s="162" t="s">
        <v>7</v>
      </c>
      <c r="AZ327" t="s">
        <v>7</v>
      </c>
      <c r="BA327" s="162" t="s">
        <v>7</v>
      </c>
      <c r="BB327" s="162" t="s">
        <v>7</v>
      </c>
      <c r="BC327" s="162" t="s">
        <v>7</v>
      </c>
      <c r="BD327" s="162" t="s">
        <v>7</v>
      </c>
      <c r="BE327" s="162" t="s">
        <v>7</v>
      </c>
      <c r="BF327" s="162" t="str">
        <f t="shared" si="10"/>
        <v>Sim</v>
      </c>
      <c r="BG327" s="162" t="str">
        <f t="shared" si="11"/>
        <v>Não</v>
      </c>
      <c r="BH327" s="162" t="s">
        <v>7</v>
      </c>
      <c r="BI327" t="s">
        <v>9872</v>
      </c>
      <c r="BJ327" s="162" t="s">
        <v>10165</v>
      </c>
      <c r="BK327" t="s">
        <v>1163</v>
      </c>
      <c r="BL327" s="162">
        <v>84</v>
      </c>
      <c r="BM327" t="s">
        <v>35</v>
      </c>
      <c r="BN327" t="s">
        <v>35</v>
      </c>
      <c r="BO327" t="s">
        <v>1163</v>
      </c>
      <c r="BP327" s="162">
        <v>84</v>
      </c>
      <c r="BQ327" t="s">
        <v>35</v>
      </c>
      <c r="BR327" t="s">
        <v>1849</v>
      </c>
      <c r="BS327" s="162" t="s">
        <v>10170</v>
      </c>
    </row>
    <row r="328" spans="1:71">
      <c r="A328" s="162">
        <v>327</v>
      </c>
      <c r="B328" t="s">
        <v>89</v>
      </c>
      <c r="C328" s="162">
        <v>1</v>
      </c>
      <c r="D328" s="122" t="s">
        <v>98</v>
      </c>
      <c r="E328" t="s">
        <v>99</v>
      </c>
      <c r="F328" t="s">
        <v>515</v>
      </c>
      <c r="G328" t="s">
        <v>87</v>
      </c>
      <c r="H328" t="s">
        <v>100</v>
      </c>
      <c r="I328" s="162">
        <v>1</v>
      </c>
      <c r="J328" t="s">
        <v>1855</v>
      </c>
      <c r="K328" t="s">
        <v>3</v>
      </c>
      <c r="L328" s="165">
        <v>32525</v>
      </c>
      <c r="M328" s="166">
        <v>28</v>
      </c>
      <c r="N328" t="s">
        <v>5</v>
      </c>
      <c r="O328" t="s">
        <v>10135</v>
      </c>
      <c r="P328" t="s">
        <v>1074</v>
      </c>
      <c r="Q328" t="s">
        <v>1265</v>
      </c>
      <c r="R328" t="s">
        <v>1848</v>
      </c>
      <c r="S328" s="162">
        <v>35.799999999999997</v>
      </c>
      <c r="T328" t="s">
        <v>1959</v>
      </c>
      <c r="U328" s="162">
        <v>158.80000000000001</v>
      </c>
      <c r="V328">
        <v>0</v>
      </c>
      <c r="W328" s="162">
        <v>0</v>
      </c>
      <c r="X328">
        <v>0</v>
      </c>
      <c r="Y328" s="162">
        <v>0</v>
      </c>
      <c r="Z328">
        <v>0</v>
      </c>
      <c r="AA328" s="162">
        <v>0</v>
      </c>
      <c r="AB328">
        <v>0</v>
      </c>
      <c r="AC328" s="162" t="s">
        <v>7</v>
      </c>
      <c r="AD328" s="162" t="s">
        <v>7</v>
      </c>
      <c r="AE328" s="162" t="s">
        <v>7</v>
      </c>
      <c r="AF328" s="162" t="s">
        <v>7</v>
      </c>
      <c r="AG328" s="162" t="s">
        <v>7</v>
      </c>
      <c r="AH328" s="162" t="s">
        <v>7</v>
      </c>
      <c r="AI328" t="s">
        <v>9843</v>
      </c>
      <c r="AJ328" t="s">
        <v>7</v>
      </c>
      <c r="AK328" t="s">
        <v>1212</v>
      </c>
      <c r="AL328" t="s">
        <v>36</v>
      </c>
      <c r="AM328" s="162" t="s">
        <v>10138</v>
      </c>
      <c r="AN328" t="s">
        <v>9843</v>
      </c>
      <c r="AO328" t="s">
        <v>35</v>
      </c>
      <c r="AP328" t="s">
        <v>1079</v>
      </c>
      <c r="AQ328" t="s">
        <v>1080</v>
      </c>
      <c r="AR328" t="s">
        <v>1097</v>
      </c>
      <c r="AS328" s="162" t="s">
        <v>9851</v>
      </c>
      <c r="AT328" s="117" t="s">
        <v>7</v>
      </c>
      <c r="AU328" s="162" t="s">
        <v>7</v>
      </c>
      <c r="AV328" s="162" t="s">
        <v>7</v>
      </c>
      <c r="AW328" s="162" t="s">
        <v>9851</v>
      </c>
      <c r="AX328" s="162" t="s">
        <v>7</v>
      </c>
      <c r="AY328" s="162" t="s">
        <v>7</v>
      </c>
      <c r="AZ328" t="s">
        <v>7</v>
      </c>
      <c r="BA328" s="162" t="s">
        <v>7</v>
      </c>
      <c r="BB328" s="162" t="s">
        <v>7</v>
      </c>
      <c r="BC328" s="162" t="s">
        <v>7</v>
      </c>
      <c r="BD328" s="162" t="s">
        <v>7</v>
      </c>
      <c r="BE328" s="162" t="s">
        <v>7</v>
      </c>
      <c r="BF328" s="162" t="str">
        <f t="shared" si="10"/>
        <v>Sim</v>
      </c>
      <c r="BG328" s="162" t="str">
        <f t="shared" si="11"/>
        <v>Não</v>
      </c>
      <c r="BH328" s="162" t="s">
        <v>7</v>
      </c>
      <c r="BI328" t="s">
        <v>9872</v>
      </c>
      <c r="BJ328" s="162" t="s">
        <v>10165</v>
      </c>
      <c r="BK328" t="s">
        <v>1163</v>
      </c>
      <c r="BL328" s="162">
        <v>84</v>
      </c>
      <c r="BM328" t="s">
        <v>35</v>
      </c>
      <c r="BN328" t="s">
        <v>35</v>
      </c>
      <c r="BO328" t="s">
        <v>1163</v>
      </c>
      <c r="BP328" s="162">
        <v>84</v>
      </c>
      <c r="BQ328" t="s">
        <v>35</v>
      </c>
      <c r="BR328" t="s">
        <v>1849</v>
      </c>
      <c r="BS328" s="162" t="s">
        <v>10170</v>
      </c>
    </row>
    <row r="329" spans="1:71">
      <c r="A329" s="162">
        <v>328</v>
      </c>
      <c r="B329" t="s">
        <v>254</v>
      </c>
      <c r="C329" s="162">
        <v>1</v>
      </c>
      <c r="D329" s="122" t="s">
        <v>554</v>
      </c>
      <c r="E329" t="s">
        <v>723</v>
      </c>
      <c r="F329" t="s">
        <v>3</v>
      </c>
      <c r="G329" t="s">
        <v>264</v>
      </c>
      <c r="H329" t="s">
        <v>727</v>
      </c>
      <c r="I329" s="162">
        <v>1</v>
      </c>
      <c r="J329" t="s">
        <v>1855</v>
      </c>
      <c r="K329" t="s">
        <v>3</v>
      </c>
      <c r="L329" s="165">
        <v>33546</v>
      </c>
      <c r="M329" s="166">
        <v>25</v>
      </c>
      <c r="N329" t="s">
        <v>5</v>
      </c>
      <c r="O329" t="s">
        <v>10135</v>
      </c>
      <c r="P329" t="s">
        <v>48</v>
      </c>
      <c r="Q329" t="s">
        <v>1642</v>
      </c>
      <c r="R329" t="s">
        <v>9941</v>
      </c>
      <c r="S329" s="162">
        <v>226.4</v>
      </c>
      <c r="T329" t="s">
        <v>9942</v>
      </c>
      <c r="U329" s="162">
        <v>111.5</v>
      </c>
      <c r="V329">
        <v>0</v>
      </c>
      <c r="W329" s="162">
        <v>0</v>
      </c>
      <c r="X329">
        <v>0</v>
      </c>
      <c r="Y329" s="162">
        <v>0</v>
      </c>
      <c r="Z329">
        <v>0</v>
      </c>
      <c r="AA329" s="162">
        <v>0</v>
      </c>
      <c r="AB329">
        <v>0</v>
      </c>
      <c r="AC329" s="162" t="s">
        <v>7</v>
      </c>
      <c r="AD329" s="162" t="s">
        <v>7</v>
      </c>
      <c r="AE329" s="162" t="s">
        <v>7</v>
      </c>
      <c r="AF329" s="162" t="s">
        <v>7</v>
      </c>
      <c r="AG329" s="162" t="s">
        <v>7</v>
      </c>
      <c r="AH329" s="162" t="s">
        <v>7</v>
      </c>
      <c r="AI329" t="s">
        <v>9843</v>
      </c>
      <c r="AJ329" t="s">
        <v>7</v>
      </c>
      <c r="AK329" t="s">
        <v>1281</v>
      </c>
      <c r="AL329" t="s">
        <v>36</v>
      </c>
      <c r="AM329" s="162" t="s">
        <v>10138</v>
      </c>
      <c r="AN329" t="s">
        <v>9843</v>
      </c>
      <c r="AO329" t="s">
        <v>35</v>
      </c>
      <c r="AP329" t="s">
        <v>1643</v>
      </c>
      <c r="AQ329" t="s">
        <v>1080</v>
      </c>
      <c r="AR329" t="s">
        <v>1097</v>
      </c>
      <c r="AS329" s="162" t="s">
        <v>9851</v>
      </c>
      <c r="AT329" s="117" t="s">
        <v>1111</v>
      </c>
      <c r="AU329" s="162" t="s">
        <v>9851</v>
      </c>
      <c r="AV329" s="162" t="s">
        <v>7</v>
      </c>
      <c r="AW329" s="162" t="s">
        <v>7</v>
      </c>
      <c r="AX329" s="162" t="s">
        <v>7</v>
      </c>
      <c r="AY329" s="162" t="s">
        <v>9851</v>
      </c>
      <c r="AZ329" t="s">
        <v>9868</v>
      </c>
      <c r="BA329" s="162" t="s">
        <v>7</v>
      </c>
      <c r="BB329" s="162" t="s">
        <v>7</v>
      </c>
      <c r="BC329" s="162" t="s">
        <v>7</v>
      </c>
      <c r="BD329" s="162" t="s">
        <v>7</v>
      </c>
      <c r="BE329" s="162" t="s">
        <v>9851</v>
      </c>
      <c r="BF329" s="162" t="str">
        <f t="shared" si="10"/>
        <v>Não</v>
      </c>
      <c r="BG329" s="162" t="str">
        <f t="shared" si="11"/>
        <v>Não</v>
      </c>
      <c r="BH329" s="162" t="s">
        <v>9851</v>
      </c>
      <c r="BI329" t="s">
        <v>9872</v>
      </c>
      <c r="BJ329" s="162" t="s">
        <v>10165</v>
      </c>
      <c r="BK329" t="s">
        <v>1163</v>
      </c>
      <c r="BL329" s="162">
        <v>84</v>
      </c>
      <c r="BM329" t="s">
        <v>35</v>
      </c>
      <c r="BN329" t="s">
        <v>35</v>
      </c>
      <c r="BO329" t="s">
        <v>1163</v>
      </c>
      <c r="BP329" s="162">
        <v>84</v>
      </c>
      <c r="BQ329" t="s">
        <v>35</v>
      </c>
      <c r="BR329" t="s">
        <v>1849</v>
      </c>
      <c r="BS329" s="162" t="s">
        <v>10170</v>
      </c>
    </row>
    <row r="330" spans="1:71">
      <c r="A330" s="162">
        <v>329</v>
      </c>
      <c r="B330" t="s">
        <v>339</v>
      </c>
      <c r="C330" s="162">
        <v>1</v>
      </c>
      <c r="D330" s="122" t="s">
        <v>861</v>
      </c>
      <c r="E330" t="s">
        <v>858</v>
      </c>
      <c r="F330" t="s">
        <v>515</v>
      </c>
      <c r="G330" t="s">
        <v>348</v>
      </c>
      <c r="H330" t="s">
        <v>862</v>
      </c>
      <c r="I330" s="162">
        <v>1</v>
      </c>
      <c r="J330" t="s">
        <v>1855</v>
      </c>
      <c r="K330" t="s">
        <v>3</v>
      </c>
      <c r="L330" s="165">
        <v>31871</v>
      </c>
      <c r="M330" s="166">
        <v>30</v>
      </c>
      <c r="N330" t="s">
        <v>5</v>
      </c>
      <c r="O330" t="s">
        <v>10135</v>
      </c>
      <c r="P330" t="s">
        <v>41</v>
      </c>
      <c r="Q330" t="s">
        <v>1621</v>
      </c>
      <c r="R330" t="s">
        <v>1622</v>
      </c>
      <c r="S330" s="162">
        <v>1841.9</v>
      </c>
      <c r="T330" t="s">
        <v>1623</v>
      </c>
      <c r="U330" s="162">
        <v>2883</v>
      </c>
      <c r="V330">
        <v>0</v>
      </c>
      <c r="W330" s="162">
        <v>0</v>
      </c>
      <c r="X330">
        <v>0</v>
      </c>
      <c r="Y330" s="162">
        <v>0</v>
      </c>
      <c r="Z330">
        <v>0</v>
      </c>
      <c r="AA330" s="162">
        <v>0</v>
      </c>
      <c r="AB330">
        <v>0</v>
      </c>
      <c r="AC330" s="162" t="s">
        <v>7</v>
      </c>
      <c r="AD330" s="162" t="s">
        <v>7</v>
      </c>
      <c r="AE330" s="162" t="s">
        <v>7</v>
      </c>
      <c r="AF330" s="162" t="s">
        <v>7</v>
      </c>
      <c r="AG330" s="162" t="s">
        <v>7</v>
      </c>
      <c r="AH330" s="162" t="s">
        <v>7</v>
      </c>
      <c r="AI330" t="s">
        <v>9843</v>
      </c>
      <c r="AJ330" t="s">
        <v>7</v>
      </c>
      <c r="AK330" t="s">
        <v>1370</v>
      </c>
      <c r="AL330" t="s">
        <v>36</v>
      </c>
      <c r="AM330" s="162" t="s">
        <v>10138</v>
      </c>
      <c r="AN330" t="s">
        <v>9843</v>
      </c>
      <c r="AO330" t="s">
        <v>35</v>
      </c>
      <c r="AP330" t="s">
        <v>1643</v>
      </c>
      <c r="AQ330" t="s">
        <v>1080</v>
      </c>
      <c r="AR330" t="s">
        <v>1097</v>
      </c>
      <c r="AS330" s="162" t="s">
        <v>9851</v>
      </c>
      <c r="AT330" s="117" t="s">
        <v>7</v>
      </c>
      <c r="AU330" s="162" t="s">
        <v>7</v>
      </c>
      <c r="AV330" s="162" t="s">
        <v>7</v>
      </c>
      <c r="AW330" s="162" t="s">
        <v>9851</v>
      </c>
      <c r="AX330" s="162" t="s">
        <v>7</v>
      </c>
      <c r="AY330" s="162" t="s">
        <v>7</v>
      </c>
      <c r="AZ330" t="s">
        <v>7</v>
      </c>
      <c r="BA330" s="162" t="s">
        <v>7</v>
      </c>
      <c r="BB330" s="162" t="s">
        <v>7</v>
      </c>
      <c r="BC330" s="162" t="s">
        <v>7</v>
      </c>
      <c r="BD330" s="162" t="s">
        <v>7</v>
      </c>
      <c r="BE330" s="162" t="s">
        <v>7</v>
      </c>
      <c r="BF330" s="162" t="str">
        <f t="shared" si="10"/>
        <v>Sim</v>
      </c>
      <c r="BG330" s="162" t="str">
        <f t="shared" si="11"/>
        <v>Não</v>
      </c>
      <c r="BH330" s="162" t="s">
        <v>7</v>
      </c>
      <c r="BI330" t="s">
        <v>9872</v>
      </c>
      <c r="BJ330" s="162" t="s">
        <v>10165</v>
      </c>
      <c r="BK330" t="s">
        <v>1163</v>
      </c>
      <c r="BL330" s="162">
        <v>84</v>
      </c>
      <c r="BM330" t="s">
        <v>35</v>
      </c>
      <c r="BN330" t="s">
        <v>35</v>
      </c>
      <c r="BO330" t="s">
        <v>1163</v>
      </c>
      <c r="BP330" s="162">
        <v>84</v>
      </c>
      <c r="BQ330" t="s">
        <v>35</v>
      </c>
      <c r="BR330" t="s">
        <v>1849</v>
      </c>
      <c r="BS330" s="162" t="s">
        <v>10170</v>
      </c>
    </row>
    <row r="331" spans="1:71">
      <c r="A331" s="162">
        <v>330</v>
      </c>
      <c r="B331" t="s">
        <v>142</v>
      </c>
      <c r="C331" s="162">
        <v>1</v>
      </c>
      <c r="D331" s="122" t="s">
        <v>539</v>
      </c>
      <c r="E331" t="s">
        <v>540</v>
      </c>
      <c r="F331" t="s">
        <v>3</v>
      </c>
      <c r="G331" t="s">
        <v>155</v>
      </c>
      <c r="H331" t="s">
        <v>541</v>
      </c>
      <c r="I331" s="162">
        <v>1</v>
      </c>
      <c r="J331" t="s">
        <v>76</v>
      </c>
      <c r="K331" t="s">
        <v>3</v>
      </c>
      <c r="L331" s="165">
        <v>30218</v>
      </c>
      <c r="M331" s="166">
        <v>35</v>
      </c>
      <c r="N331" t="s">
        <v>4</v>
      </c>
      <c r="O331" t="s">
        <v>10134</v>
      </c>
      <c r="P331" t="s">
        <v>1745</v>
      </c>
      <c r="Q331" t="s">
        <v>1186</v>
      </c>
      <c r="R331">
        <v>0</v>
      </c>
      <c r="S331" s="162">
        <v>0</v>
      </c>
      <c r="T331" t="s">
        <v>1746</v>
      </c>
      <c r="U331" s="162">
        <v>1172.2</v>
      </c>
      <c r="V331">
        <v>0</v>
      </c>
      <c r="W331" s="162">
        <v>0</v>
      </c>
      <c r="X331">
        <v>0</v>
      </c>
      <c r="Y331" s="162">
        <v>0</v>
      </c>
      <c r="Z331">
        <v>0</v>
      </c>
      <c r="AA331" s="162">
        <v>0</v>
      </c>
      <c r="AB331">
        <v>0</v>
      </c>
      <c r="AC331" s="162" t="s">
        <v>7</v>
      </c>
      <c r="AD331" s="162" t="s">
        <v>7</v>
      </c>
      <c r="AE331" s="162" t="s">
        <v>7</v>
      </c>
      <c r="AF331" s="162" t="s">
        <v>7</v>
      </c>
      <c r="AG331" s="162" t="s">
        <v>7</v>
      </c>
      <c r="AH331" s="162" t="s">
        <v>7</v>
      </c>
      <c r="AI331" t="s">
        <v>9843</v>
      </c>
      <c r="AJ331" t="s">
        <v>7</v>
      </c>
      <c r="AK331" t="s">
        <v>1132</v>
      </c>
      <c r="AL331" t="s">
        <v>36</v>
      </c>
      <c r="AM331" s="162" t="s">
        <v>10138</v>
      </c>
      <c r="AN331" t="s">
        <v>9843</v>
      </c>
      <c r="AO331" t="s">
        <v>35</v>
      </c>
      <c r="AP331" t="s">
        <v>1747</v>
      </c>
      <c r="AQ331" t="s">
        <v>1163</v>
      </c>
      <c r="AR331" t="s">
        <v>7</v>
      </c>
      <c r="AS331" s="162" t="s">
        <v>7</v>
      </c>
      <c r="AT331" s="117" t="s">
        <v>7</v>
      </c>
      <c r="AU331" s="162" t="s">
        <v>7</v>
      </c>
      <c r="AV331" s="162" t="s">
        <v>7</v>
      </c>
      <c r="AW331" s="162" t="s">
        <v>9851</v>
      </c>
      <c r="AX331" s="162" t="s">
        <v>7</v>
      </c>
      <c r="AY331" s="162" t="s">
        <v>7</v>
      </c>
      <c r="AZ331" t="s">
        <v>7</v>
      </c>
      <c r="BA331" s="162" t="s">
        <v>7</v>
      </c>
      <c r="BB331" s="162" t="s">
        <v>7</v>
      </c>
      <c r="BC331" s="162" t="s">
        <v>7</v>
      </c>
      <c r="BD331" s="162" t="s">
        <v>7</v>
      </c>
      <c r="BE331" s="162" t="s">
        <v>7</v>
      </c>
      <c r="BF331" s="162" t="str">
        <f t="shared" si="10"/>
        <v>Sim</v>
      </c>
      <c r="BG331" s="162" t="str">
        <f t="shared" si="11"/>
        <v>Não</v>
      </c>
      <c r="BH331" s="162" t="s">
        <v>7</v>
      </c>
      <c r="BI331" t="s">
        <v>7</v>
      </c>
      <c r="BJ331" s="162" t="s">
        <v>7</v>
      </c>
      <c r="BK331" t="s">
        <v>1163</v>
      </c>
      <c r="BL331" s="162">
        <v>84</v>
      </c>
      <c r="BM331" t="s">
        <v>35</v>
      </c>
      <c r="BN331" t="s">
        <v>35</v>
      </c>
      <c r="BO331" t="s">
        <v>1163</v>
      </c>
      <c r="BP331" s="162">
        <v>84</v>
      </c>
      <c r="BQ331" t="s">
        <v>35</v>
      </c>
      <c r="BR331" t="s">
        <v>1849</v>
      </c>
      <c r="BS331" s="162" t="s">
        <v>10170</v>
      </c>
    </row>
    <row r="332" spans="1:71">
      <c r="A332" s="162">
        <v>331</v>
      </c>
      <c r="B332" t="s">
        <v>160</v>
      </c>
      <c r="C332" s="162">
        <v>1</v>
      </c>
      <c r="D332" s="122" t="s">
        <v>579</v>
      </c>
      <c r="E332" t="s">
        <v>571</v>
      </c>
      <c r="F332" t="s">
        <v>515</v>
      </c>
      <c r="G332" t="s">
        <v>166</v>
      </c>
      <c r="H332" t="s">
        <v>580</v>
      </c>
      <c r="I332" s="162">
        <v>1</v>
      </c>
      <c r="J332" t="s">
        <v>1855</v>
      </c>
      <c r="K332" t="s">
        <v>3</v>
      </c>
      <c r="L332" s="165">
        <v>33778</v>
      </c>
      <c r="M332" s="166">
        <v>24</v>
      </c>
      <c r="N332" t="s">
        <v>5</v>
      </c>
      <c r="O332" t="s">
        <v>10135</v>
      </c>
      <c r="P332" t="s">
        <v>48</v>
      </c>
      <c r="Q332" t="s">
        <v>1186</v>
      </c>
      <c r="R332" t="s">
        <v>1358</v>
      </c>
      <c r="S332" s="162">
        <v>263</v>
      </c>
      <c r="T332" t="s">
        <v>1359</v>
      </c>
      <c r="U332" s="162">
        <v>64.599999999999994</v>
      </c>
      <c r="V332">
        <v>0</v>
      </c>
      <c r="W332" s="162">
        <v>0</v>
      </c>
      <c r="X332">
        <v>0</v>
      </c>
      <c r="Y332" s="162">
        <v>0</v>
      </c>
      <c r="Z332">
        <v>0</v>
      </c>
      <c r="AA332" s="162">
        <v>0</v>
      </c>
      <c r="AB332">
        <v>0</v>
      </c>
      <c r="AC332" s="162" t="s">
        <v>7</v>
      </c>
      <c r="AD332" s="162" t="s">
        <v>7</v>
      </c>
      <c r="AE332" s="162" t="s">
        <v>7</v>
      </c>
      <c r="AF332" s="162" t="s">
        <v>7</v>
      </c>
      <c r="AG332" s="162" t="s">
        <v>7</v>
      </c>
      <c r="AH332" s="162" t="s">
        <v>7</v>
      </c>
      <c r="AI332" t="s">
        <v>9843</v>
      </c>
      <c r="AJ332" t="s">
        <v>7</v>
      </c>
      <c r="AK332" t="s">
        <v>1173</v>
      </c>
      <c r="AL332" t="s">
        <v>36</v>
      </c>
      <c r="AM332" s="162" t="s">
        <v>10138</v>
      </c>
      <c r="AN332" t="s">
        <v>9843</v>
      </c>
      <c r="AO332" t="s">
        <v>35</v>
      </c>
      <c r="AP332" t="s">
        <v>1747</v>
      </c>
      <c r="AQ332" t="s">
        <v>1163</v>
      </c>
      <c r="AR332" t="s">
        <v>7</v>
      </c>
      <c r="AS332" s="162" t="s">
        <v>7</v>
      </c>
      <c r="AT332" s="117" t="s">
        <v>7</v>
      </c>
      <c r="AU332" s="162" t="s">
        <v>7</v>
      </c>
      <c r="AV332" s="162" t="s">
        <v>7</v>
      </c>
      <c r="AW332" s="162" t="s">
        <v>9851</v>
      </c>
      <c r="AX332" s="162" t="s">
        <v>7</v>
      </c>
      <c r="AY332" s="162" t="s">
        <v>7</v>
      </c>
      <c r="AZ332" t="s">
        <v>7</v>
      </c>
      <c r="BA332" s="162" t="s">
        <v>7</v>
      </c>
      <c r="BB332" s="162" t="s">
        <v>7</v>
      </c>
      <c r="BC332" s="162" t="s">
        <v>7</v>
      </c>
      <c r="BD332" s="162" t="s">
        <v>7</v>
      </c>
      <c r="BE332" s="162" t="s">
        <v>7</v>
      </c>
      <c r="BF332" s="162" t="str">
        <f t="shared" si="10"/>
        <v>Sim</v>
      </c>
      <c r="BG332" s="162" t="str">
        <f t="shared" si="11"/>
        <v>Não</v>
      </c>
      <c r="BH332" s="162" t="s">
        <v>7</v>
      </c>
      <c r="BI332" t="s">
        <v>9872</v>
      </c>
      <c r="BJ332" s="162" t="s">
        <v>10165</v>
      </c>
      <c r="BK332" t="s">
        <v>1163</v>
      </c>
      <c r="BL332" s="162">
        <v>84</v>
      </c>
      <c r="BM332" t="s">
        <v>35</v>
      </c>
      <c r="BN332" t="s">
        <v>35</v>
      </c>
      <c r="BO332" t="s">
        <v>1163</v>
      </c>
      <c r="BP332" s="162">
        <v>84</v>
      </c>
      <c r="BQ332" t="s">
        <v>35</v>
      </c>
      <c r="BR332" t="s">
        <v>1849</v>
      </c>
      <c r="BS332" s="162" t="s">
        <v>10170</v>
      </c>
    </row>
    <row r="333" spans="1:71">
      <c r="A333" s="162">
        <v>332</v>
      </c>
      <c r="B333" t="s">
        <v>437</v>
      </c>
      <c r="C333" s="162">
        <v>1</v>
      </c>
      <c r="D333" s="122" t="s">
        <v>765</v>
      </c>
      <c r="E333" t="s">
        <v>1020</v>
      </c>
      <c r="F333" t="s">
        <v>515</v>
      </c>
      <c r="G333" t="s">
        <v>443</v>
      </c>
      <c r="H333" t="s">
        <v>1023</v>
      </c>
      <c r="I333" s="162">
        <v>1</v>
      </c>
      <c r="J333" t="s">
        <v>1855</v>
      </c>
      <c r="K333" t="s">
        <v>3</v>
      </c>
      <c r="L333" s="165">
        <v>33280</v>
      </c>
      <c r="M333" s="166">
        <v>26</v>
      </c>
      <c r="N333" t="s">
        <v>1419</v>
      </c>
      <c r="O333" t="s">
        <v>10134</v>
      </c>
      <c r="P333" t="s">
        <v>48</v>
      </c>
      <c r="Q333" t="s">
        <v>1420</v>
      </c>
      <c r="R333">
        <v>0</v>
      </c>
      <c r="S333" s="162">
        <v>0</v>
      </c>
      <c r="T333" t="s">
        <v>1421</v>
      </c>
      <c r="U333" s="162">
        <v>756.4</v>
      </c>
      <c r="V333">
        <v>0</v>
      </c>
      <c r="W333" s="162">
        <v>0</v>
      </c>
      <c r="X333">
        <v>0</v>
      </c>
      <c r="Y333" s="162">
        <v>0</v>
      </c>
      <c r="Z333">
        <v>0</v>
      </c>
      <c r="AA333" s="162">
        <v>0</v>
      </c>
      <c r="AB333">
        <v>0</v>
      </c>
      <c r="AC333" s="162" t="s">
        <v>7</v>
      </c>
      <c r="AD333" s="162" t="s">
        <v>7</v>
      </c>
      <c r="AE333" s="162" t="s">
        <v>7</v>
      </c>
      <c r="AF333" s="162" t="s">
        <v>7</v>
      </c>
      <c r="AG333" s="162" t="s">
        <v>7</v>
      </c>
      <c r="AH333" s="162" t="s">
        <v>7</v>
      </c>
      <c r="AI333" t="s">
        <v>9843</v>
      </c>
      <c r="AJ333" t="s">
        <v>7</v>
      </c>
      <c r="AK333" t="s">
        <v>1137</v>
      </c>
      <c r="AL333" t="s">
        <v>36</v>
      </c>
      <c r="AM333" s="162" t="s">
        <v>10138</v>
      </c>
      <c r="AN333" t="s">
        <v>9843</v>
      </c>
      <c r="AO333" t="s">
        <v>35</v>
      </c>
      <c r="AP333" t="s">
        <v>1104</v>
      </c>
      <c r="AQ333" t="s">
        <v>1080</v>
      </c>
      <c r="AR333" t="s">
        <v>1097</v>
      </c>
      <c r="AS333" s="162" t="s">
        <v>9851</v>
      </c>
      <c r="AT333" s="117" t="s">
        <v>7</v>
      </c>
      <c r="AU333" s="162" t="s">
        <v>7</v>
      </c>
      <c r="AV333" s="162" t="s">
        <v>7</v>
      </c>
      <c r="AW333" s="162" t="s">
        <v>9851</v>
      </c>
      <c r="AX333" s="162" t="s">
        <v>7</v>
      </c>
      <c r="AY333" s="162" t="s">
        <v>7</v>
      </c>
      <c r="AZ333" t="s">
        <v>7</v>
      </c>
      <c r="BA333" s="162" t="s">
        <v>7</v>
      </c>
      <c r="BB333" s="162" t="s">
        <v>7</v>
      </c>
      <c r="BC333" s="162" t="s">
        <v>7</v>
      </c>
      <c r="BD333" s="162" t="s">
        <v>7</v>
      </c>
      <c r="BE333" s="162" t="s">
        <v>7</v>
      </c>
      <c r="BF333" s="162" t="str">
        <f t="shared" si="10"/>
        <v>Sim</v>
      </c>
      <c r="BG333" s="162" t="str">
        <f t="shared" si="11"/>
        <v>Não</v>
      </c>
      <c r="BH333" s="162" t="s">
        <v>7</v>
      </c>
      <c r="BI333" t="s">
        <v>9872</v>
      </c>
      <c r="BJ333" s="162" t="s">
        <v>10165</v>
      </c>
      <c r="BK333" t="s">
        <v>1163</v>
      </c>
      <c r="BL333" s="162">
        <v>84</v>
      </c>
      <c r="BM333" t="s">
        <v>35</v>
      </c>
      <c r="BN333" t="s">
        <v>35</v>
      </c>
      <c r="BO333" t="s">
        <v>1163</v>
      </c>
      <c r="BP333" s="162">
        <v>84</v>
      </c>
      <c r="BQ333" t="s">
        <v>35</v>
      </c>
      <c r="BR333" t="s">
        <v>1849</v>
      </c>
      <c r="BS333" s="162" t="s">
        <v>10170</v>
      </c>
    </row>
    <row r="334" spans="1:71">
      <c r="A334" s="162">
        <v>333</v>
      </c>
      <c r="B334" t="s">
        <v>196</v>
      </c>
      <c r="C334" s="162">
        <v>1</v>
      </c>
      <c r="D334" s="122" t="s">
        <v>642</v>
      </c>
      <c r="E334" t="s">
        <v>632</v>
      </c>
      <c r="F334" t="s">
        <v>515</v>
      </c>
      <c r="G334" t="s">
        <v>198</v>
      </c>
      <c r="H334" t="s">
        <v>648</v>
      </c>
      <c r="I334" s="162">
        <v>1</v>
      </c>
      <c r="J334" t="s">
        <v>76</v>
      </c>
      <c r="K334" t="s">
        <v>3</v>
      </c>
      <c r="L334" s="165">
        <v>32178</v>
      </c>
      <c r="M334" s="166">
        <v>29</v>
      </c>
      <c r="N334" t="s">
        <v>1093</v>
      </c>
      <c r="O334" t="s">
        <v>10135</v>
      </c>
      <c r="P334" t="s">
        <v>1101</v>
      </c>
      <c r="Q334" t="s">
        <v>1602</v>
      </c>
      <c r="R334" t="s">
        <v>10054</v>
      </c>
      <c r="S334" s="162">
        <v>680.4</v>
      </c>
      <c r="T334">
        <v>0</v>
      </c>
      <c r="U334" s="162">
        <v>0</v>
      </c>
      <c r="V334" t="s">
        <v>9914</v>
      </c>
      <c r="W334" s="162">
        <v>780.9</v>
      </c>
      <c r="X334">
        <v>0</v>
      </c>
      <c r="Y334" s="162">
        <v>0</v>
      </c>
      <c r="Z334">
        <v>0</v>
      </c>
      <c r="AA334" s="162">
        <v>0</v>
      </c>
      <c r="AB334">
        <v>0</v>
      </c>
      <c r="AC334" s="162" t="s">
        <v>7</v>
      </c>
      <c r="AD334" s="162" t="s">
        <v>7</v>
      </c>
      <c r="AE334" s="162" t="s">
        <v>7</v>
      </c>
      <c r="AF334" s="162" t="s">
        <v>7</v>
      </c>
      <c r="AG334" s="162" t="s">
        <v>7</v>
      </c>
      <c r="AH334" s="162" t="s">
        <v>7</v>
      </c>
      <c r="AI334" t="s">
        <v>9843</v>
      </c>
      <c r="AJ334" t="s">
        <v>7</v>
      </c>
      <c r="AK334" t="s">
        <v>1414</v>
      </c>
      <c r="AL334" t="s">
        <v>36</v>
      </c>
      <c r="AM334" s="162" t="s">
        <v>10138</v>
      </c>
      <c r="AN334" t="s">
        <v>9843</v>
      </c>
      <c r="AO334" t="s">
        <v>35</v>
      </c>
      <c r="AP334" t="s">
        <v>1104</v>
      </c>
      <c r="AQ334" t="s">
        <v>1080</v>
      </c>
      <c r="AR334" t="s">
        <v>1097</v>
      </c>
      <c r="AS334" s="162" t="s">
        <v>9851</v>
      </c>
      <c r="AT334" s="117" t="s">
        <v>7</v>
      </c>
      <c r="AU334" s="162" t="s">
        <v>7</v>
      </c>
      <c r="AV334" s="162" t="s">
        <v>7</v>
      </c>
      <c r="AW334" s="162" t="s">
        <v>9851</v>
      </c>
      <c r="AX334" s="162" t="s">
        <v>7</v>
      </c>
      <c r="AY334" s="162" t="s">
        <v>7</v>
      </c>
      <c r="AZ334" t="s">
        <v>7</v>
      </c>
      <c r="BA334" s="162" t="s">
        <v>7</v>
      </c>
      <c r="BB334" s="162" t="s">
        <v>7</v>
      </c>
      <c r="BC334" s="162" t="s">
        <v>7</v>
      </c>
      <c r="BD334" s="162" t="s">
        <v>7</v>
      </c>
      <c r="BE334" s="162" t="s">
        <v>7</v>
      </c>
      <c r="BF334" s="162" t="str">
        <f t="shared" si="10"/>
        <v>Sim</v>
      </c>
      <c r="BG334" s="162" t="str">
        <f t="shared" si="11"/>
        <v>Não</v>
      </c>
      <c r="BH334" s="162" t="s">
        <v>7</v>
      </c>
      <c r="BI334" t="s">
        <v>9872</v>
      </c>
      <c r="BJ334" s="162" t="s">
        <v>10165</v>
      </c>
      <c r="BK334" t="s">
        <v>1163</v>
      </c>
      <c r="BL334" s="162">
        <v>84</v>
      </c>
      <c r="BM334" t="s">
        <v>35</v>
      </c>
      <c r="BN334" t="s">
        <v>35</v>
      </c>
      <c r="BO334" t="s">
        <v>1163</v>
      </c>
      <c r="BP334" s="162">
        <v>84</v>
      </c>
      <c r="BQ334" t="s">
        <v>35</v>
      </c>
      <c r="BR334" t="s">
        <v>1849</v>
      </c>
      <c r="BS334" s="162" t="s">
        <v>10170</v>
      </c>
    </row>
    <row r="335" spans="1:71">
      <c r="A335" s="162">
        <v>334</v>
      </c>
      <c r="B335" t="s">
        <v>296</v>
      </c>
      <c r="C335" s="162">
        <v>1</v>
      </c>
      <c r="D335" s="122" t="s">
        <v>757</v>
      </c>
      <c r="E335" t="s">
        <v>802</v>
      </c>
      <c r="F335" t="s">
        <v>3</v>
      </c>
      <c r="G335" t="s">
        <v>304</v>
      </c>
      <c r="H335" t="s">
        <v>811</v>
      </c>
      <c r="I335" s="162">
        <v>1</v>
      </c>
      <c r="J335" t="s">
        <v>1855</v>
      </c>
      <c r="K335" t="s">
        <v>3</v>
      </c>
      <c r="L335" s="165">
        <v>33745</v>
      </c>
      <c r="M335" s="166">
        <v>25</v>
      </c>
      <c r="N335" t="s">
        <v>4</v>
      </c>
      <c r="O335" t="s">
        <v>10134</v>
      </c>
      <c r="P335" t="s">
        <v>48</v>
      </c>
      <c r="Q335" t="s">
        <v>1517</v>
      </c>
      <c r="R335" t="s">
        <v>9969</v>
      </c>
      <c r="S335" s="162">
        <v>13.3</v>
      </c>
      <c r="T335" t="s">
        <v>9970</v>
      </c>
      <c r="U335" s="162">
        <v>22.2</v>
      </c>
      <c r="V335" t="s">
        <v>9971</v>
      </c>
      <c r="W335" s="162">
        <v>5.5</v>
      </c>
      <c r="X335">
        <v>0</v>
      </c>
      <c r="Y335" s="162">
        <v>0</v>
      </c>
      <c r="Z335">
        <v>0</v>
      </c>
      <c r="AA335" s="162">
        <v>0</v>
      </c>
      <c r="AB335">
        <v>0</v>
      </c>
      <c r="AC335" s="162" t="s">
        <v>7</v>
      </c>
      <c r="AD335" s="162" t="s">
        <v>7</v>
      </c>
      <c r="AE335" s="162" t="s">
        <v>7</v>
      </c>
      <c r="AF335" s="162" t="s">
        <v>7</v>
      </c>
      <c r="AG335" s="162" t="s">
        <v>7</v>
      </c>
      <c r="AH335" s="162" t="s">
        <v>7</v>
      </c>
      <c r="AI335" t="s">
        <v>9843</v>
      </c>
      <c r="AJ335" t="s">
        <v>7</v>
      </c>
      <c r="AK335" t="s">
        <v>1370</v>
      </c>
      <c r="AL335" t="s">
        <v>36</v>
      </c>
      <c r="AM335" s="162" t="s">
        <v>10138</v>
      </c>
      <c r="AN335" t="s">
        <v>9843</v>
      </c>
      <c r="AO335" t="s">
        <v>35</v>
      </c>
      <c r="AP335" t="s">
        <v>1518</v>
      </c>
      <c r="AQ335" t="s">
        <v>1080</v>
      </c>
      <c r="AR335" t="s">
        <v>1097</v>
      </c>
      <c r="AS335" s="162" t="s">
        <v>9851</v>
      </c>
      <c r="AT335" s="117" t="s">
        <v>7</v>
      </c>
      <c r="AU335" s="162" t="s">
        <v>7</v>
      </c>
      <c r="AV335" s="162" t="s">
        <v>7</v>
      </c>
      <c r="AW335" s="162" t="s">
        <v>9851</v>
      </c>
      <c r="AX335" s="162" t="s">
        <v>7</v>
      </c>
      <c r="AY335" s="162" t="s">
        <v>7</v>
      </c>
      <c r="AZ335" t="s">
        <v>7</v>
      </c>
      <c r="BA335" s="162" t="s">
        <v>7</v>
      </c>
      <c r="BB335" s="162" t="s">
        <v>7</v>
      </c>
      <c r="BC335" s="162" t="s">
        <v>7</v>
      </c>
      <c r="BD335" s="162" t="s">
        <v>7</v>
      </c>
      <c r="BE335" s="162" t="s">
        <v>7</v>
      </c>
      <c r="BF335" s="162" t="str">
        <f t="shared" si="10"/>
        <v>Sim</v>
      </c>
      <c r="BG335" s="162" t="str">
        <f t="shared" si="11"/>
        <v>Não</v>
      </c>
      <c r="BH335" s="162" t="s">
        <v>7</v>
      </c>
      <c r="BI335" t="s">
        <v>9872</v>
      </c>
      <c r="BJ335" s="162" t="s">
        <v>10165</v>
      </c>
      <c r="BK335" t="s">
        <v>1163</v>
      </c>
      <c r="BL335" s="162">
        <v>84</v>
      </c>
      <c r="BM335" t="s">
        <v>35</v>
      </c>
      <c r="BN335" t="s">
        <v>35</v>
      </c>
      <c r="BO335" t="s">
        <v>1163</v>
      </c>
      <c r="BP335" s="162">
        <v>84</v>
      </c>
      <c r="BQ335" t="s">
        <v>35</v>
      </c>
      <c r="BR335" t="s">
        <v>1849</v>
      </c>
      <c r="BS335" s="162" t="s">
        <v>10170</v>
      </c>
    </row>
    <row r="336" spans="1:71">
      <c r="A336" s="162">
        <v>335</v>
      </c>
      <c r="B336" t="s">
        <v>239</v>
      </c>
      <c r="C336" s="162">
        <v>1</v>
      </c>
      <c r="D336" s="122" t="s">
        <v>699</v>
      </c>
      <c r="E336" t="s">
        <v>679</v>
      </c>
      <c r="F336" t="s">
        <v>3</v>
      </c>
      <c r="G336" t="s">
        <v>241</v>
      </c>
      <c r="H336" t="s">
        <v>700</v>
      </c>
      <c r="I336" s="162">
        <v>1</v>
      </c>
      <c r="J336" t="s">
        <v>1855</v>
      </c>
      <c r="K336" t="s">
        <v>3</v>
      </c>
      <c r="L336" s="165">
        <v>33703</v>
      </c>
      <c r="M336" s="166">
        <v>25</v>
      </c>
      <c r="N336" t="s">
        <v>4</v>
      </c>
      <c r="O336" t="s">
        <v>10134</v>
      </c>
      <c r="P336" t="s">
        <v>48</v>
      </c>
      <c r="Q336" t="s">
        <v>1695</v>
      </c>
      <c r="R336" t="s">
        <v>1696</v>
      </c>
      <c r="S336" s="162">
        <v>72.400000000000006</v>
      </c>
      <c r="T336" t="s">
        <v>1697</v>
      </c>
      <c r="U336" s="162">
        <v>43.3</v>
      </c>
      <c r="V336" t="s">
        <v>1698</v>
      </c>
      <c r="W336" s="162">
        <v>4.4000000000000004</v>
      </c>
      <c r="X336">
        <v>0</v>
      </c>
      <c r="Y336" s="162">
        <v>0</v>
      </c>
      <c r="Z336">
        <v>0</v>
      </c>
      <c r="AA336" s="162">
        <v>0</v>
      </c>
      <c r="AB336">
        <v>0</v>
      </c>
      <c r="AC336" s="162" t="s">
        <v>7</v>
      </c>
      <c r="AD336" s="162" t="s">
        <v>7</v>
      </c>
      <c r="AE336" s="162" t="s">
        <v>7</v>
      </c>
      <c r="AF336" s="162" t="s">
        <v>7</v>
      </c>
      <c r="AG336" s="162" t="s">
        <v>7</v>
      </c>
      <c r="AH336" s="162" t="s">
        <v>7</v>
      </c>
      <c r="AI336" t="s">
        <v>9843</v>
      </c>
      <c r="AJ336" t="s">
        <v>7</v>
      </c>
      <c r="AK336" t="s">
        <v>1229</v>
      </c>
      <c r="AL336" t="s">
        <v>36</v>
      </c>
      <c r="AM336" s="162" t="s">
        <v>10138</v>
      </c>
      <c r="AN336" t="s">
        <v>9843</v>
      </c>
      <c r="AO336" t="s">
        <v>35</v>
      </c>
      <c r="AP336" t="s">
        <v>9794</v>
      </c>
      <c r="AQ336" t="s">
        <v>1163</v>
      </c>
      <c r="AR336" t="s">
        <v>7</v>
      </c>
      <c r="AS336" s="162" t="s">
        <v>7</v>
      </c>
      <c r="AT336" s="117" t="s">
        <v>7</v>
      </c>
      <c r="AU336" s="162" t="s">
        <v>7</v>
      </c>
      <c r="AV336" s="162" t="s">
        <v>7</v>
      </c>
      <c r="AW336" s="162" t="s">
        <v>9851</v>
      </c>
      <c r="AX336" s="162" t="s">
        <v>7</v>
      </c>
      <c r="AY336" s="162" t="s">
        <v>7</v>
      </c>
      <c r="AZ336" t="s">
        <v>7</v>
      </c>
      <c r="BA336" s="162" t="s">
        <v>7</v>
      </c>
      <c r="BB336" s="162" t="s">
        <v>7</v>
      </c>
      <c r="BC336" s="162" t="s">
        <v>7</v>
      </c>
      <c r="BD336" s="162" t="s">
        <v>7</v>
      </c>
      <c r="BE336" s="162" t="s">
        <v>7</v>
      </c>
      <c r="BF336" s="162" t="str">
        <f t="shared" si="10"/>
        <v>Sim</v>
      </c>
      <c r="BG336" s="162" t="str">
        <f t="shared" si="11"/>
        <v>Não</v>
      </c>
      <c r="BH336" s="162" t="s">
        <v>7</v>
      </c>
      <c r="BI336" t="s">
        <v>7</v>
      </c>
      <c r="BJ336" s="162" t="s">
        <v>7</v>
      </c>
      <c r="BK336" t="s">
        <v>1163</v>
      </c>
      <c r="BL336" s="162">
        <v>84</v>
      </c>
      <c r="BM336" t="s">
        <v>35</v>
      </c>
      <c r="BN336" t="s">
        <v>35</v>
      </c>
      <c r="BO336" t="s">
        <v>1163</v>
      </c>
      <c r="BP336" s="162">
        <v>84</v>
      </c>
      <c r="BQ336" t="s">
        <v>35</v>
      </c>
      <c r="BR336" t="s">
        <v>1849</v>
      </c>
      <c r="BS336" s="162" t="s">
        <v>10170</v>
      </c>
    </row>
    <row r="337" spans="1:71">
      <c r="A337" s="162">
        <v>336</v>
      </c>
      <c r="B337" t="s">
        <v>281</v>
      </c>
      <c r="C337" s="162">
        <v>1</v>
      </c>
      <c r="D337" s="122">
        <v>42832</v>
      </c>
      <c r="E337" t="s">
        <v>2056</v>
      </c>
      <c r="F337" t="s">
        <v>515</v>
      </c>
      <c r="G337" t="s">
        <v>291</v>
      </c>
      <c r="H337" t="s">
        <v>790</v>
      </c>
      <c r="I337" s="162">
        <v>1</v>
      </c>
      <c r="J337" t="s">
        <v>1855</v>
      </c>
      <c r="K337" t="s">
        <v>3</v>
      </c>
      <c r="L337" s="165">
        <v>31672</v>
      </c>
      <c r="M337" s="166">
        <v>30</v>
      </c>
      <c r="N337" t="s">
        <v>5</v>
      </c>
      <c r="O337" t="s">
        <v>10135</v>
      </c>
      <c r="P337" t="s">
        <v>48</v>
      </c>
      <c r="Q337" t="s">
        <v>2063</v>
      </c>
      <c r="R337" t="s">
        <v>9951</v>
      </c>
      <c r="S337" s="162">
        <v>88.4</v>
      </c>
      <c r="T337" t="s">
        <v>9952</v>
      </c>
      <c r="U337" s="162">
        <v>14.86</v>
      </c>
      <c r="V337" t="s">
        <v>9953</v>
      </c>
      <c r="W337" s="162">
        <v>6.8</v>
      </c>
      <c r="X337">
        <v>0</v>
      </c>
      <c r="Y337" s="162">
        <v>0</v>
      </c>
      <c r="Z337">
        <v>0</v>
      </c>
      <c r="AA337" s="162">
        <v>0</v>
      </c>
      <c r="AB337">
        <v>0</v>
      </c>
      <c r="AC337" s="162" t="s">
        <v>7</v>
      </c>
      <c r="AD337" s="162" t="s">
        <v>7</v>
      </c>
      <c r="AE337" s="162" t="s">
        <v>7</v>
      </c>
      <c r="AF337" s="162" t="s">
        <v>7</v>
      </c>
      <c r="AG337" s="162" t="s">
        <v>7</v>
      </c>
      <c r="AH337" s="162" t="s">
        <v>7</v>
      </c>
      <c r="AI337" t="s">
        <v>9843</v>
      </c>
      <c r="AJ337" t="s">
        <v>7</v>
      </c>
      <c r="AK337" t="s">
        <v>2091</v>
      </c>
      <c r="AL337" t="s">
        <v>36</v>
      </c>
      <c r="AM337" s="162" t="s">
        <v>10138</v>
      </c>
      <c r="AN337" t="s">
        <v>9843</v>
      </c>
      <c r="AO337" t="s">
        <v>35</v>
      </c>
      <c r="AP337" t="s">
        <v>1079</v>
      </c>
      <c r="AQ337" t="s">
        <v>1080</v>
      </c>
      <c r="AR337" t="s">
        <v>1097</v>
      </c>
      <c r="AS337" s="162" t="s">
        <v>9851</v>
      </c>
      <c r="AT337" s="117" t="s">
        <v>7</v>
      </c>
      <c r="AU337" s="162" t="s">
        <v>7</v>
      </c>
      <c r="AV337" s="162" t="s">
        <v>7</v>
      </c>
      <c r="AW337" s="162" t="s">
        <v>9851</v>
      </c>
      <c r="AX337" s="162" t="s">
        <v>7</v>
      </c>
      <c r="AY337" s="162" t="s">
        <v>7</v>
      </c>
      <c r="AZ337" t="s">
        <v>7</v>
      </c>
      <c r="BA337" s="162" t="s">
        <v>7</v>
      </c>
      <c r="BB337" s="162" t="s">
        <v>7</v>
      </c>
      <c r="BC337" s="162" t="s">
        <v>7</v>
      </c>
      <c r="BD337" s="162" t="s">
        <v>7</v>
      </c>
      <c r="BE337" s="162" t="s">
        <v>7</v>
      </c>
      <c r="BF337" s="162" t="str">
        <f t="shared" si="10"/>
        <v>Sim</v>
      </c>
      <c r="BG337" s="162" t="str">
        <f t="shared" si="11"/>
        <v>Não</v>
      </c>
      <c r="BH337" s="162" t="s">
        <v>7</v>
      </c>
      <c r="BI337" t="s">
        <v>7</v>
      </c>
      <c r="BJ337" s="162" t="s">
        <v>7</v>
      </c>
      <c r="BK337" t="s">
        <v>1163</v>
      </c>
      <c r="BL337" s="162">
        <v>84</v>
      </c>
      <c r="BM337" t="s">
        <v>35</v>
      </c>
      <c r="BN337" t="s">
        <v>35</v>
      </c>
      <c r="BO337" t="s">
        <v>1163</v>
      </c>
      <c r="BP337" s="162">
        <v>84</v>
      </c>
      <c r="BQ337" t="s">
        <v>35</v>
      </c>
      <c r="BR337" t="s">
        <v>1849</v>
      </c>
      <c r="BS337" s="162" t="s">
        <v>10170</v>
      </c>
    </row>
    <row r="338" spans="1:71">
      <c r="A338" s="162">
        <v>337</v>
      </c>
      <c r="B338" t="s">
        <v>467</v>
      </c>
      <c r="C338" s="162">
        <v>1</v>
      </c>
      <c r="D338" s="122" t="s">
        <v>1057</v>
      </c>
      <c r="E338" t="s">
        <v>1050</v>
      </c>
      <c r="F338" t="s">
        <v>515</v>
      </c>
      <c r="G338" t="s">
        <v>473</v>
      </c>
      <c r="H338" t="s">
        <v>1058</v>
      </c>
      <c r="I338" s="162">
        <v>1</v>
      </c>
      <c r="J338" t="s">
        <v>1855</v>
      </c>
      <c r="K338" t="s">
        <v>3</v>
      </c>
      <c r="L338" s="165">
        <v>34527</v>
      </c>
      <c r="M338" s="166">
        <v>23</v>
      </c>
      <c r="N338" t="s">
        <v>5</v>
      </c>
      <c r="O338" t="s">
        <v>10135</v>
      </c>
      <c r="P338" t="s">
        <v>48</v>
      </c>
      <c r="Q338" t="s">
        <v>1451</v>
      </c>
      <c r="R338" t="s">
        <v>1452</v>
      </c>
      <c r="S338" s="162">
        <v>215.2</v>
      </c>
      <c r="T338" t="s">
        <v>1453</v>
      </c>
      <c r="U338" s="162">
        <v>88</v>
      </c>
      <c r="V338" t="s">
        <v>1454</v>
      </c>
      <c r="W338" s="162">
        <v>23.3</v>
      </c>
      <c r="X338">
        <v>0</v>
      </c>
      <c r="Y338" s="162">
        <v>0</v>
      </c>
      <c r="Z338">
        <v>0</v>
      </c>
      <c r="AA338" s="162">
        <v>0</v>
      </c>
      <c r="AB338">
        <v>0</v>
      </c>
      <c r="AC338" s="162" t="s">
        <v>7</v>
      </c>
      <c r="AD338" s="162" t="s">
        <v>7</v>
      </c>
      <c r="AE338" s="162" t="s">
        <v>7</v>
      </c>
      <c r="AF338" s="162" t="s">
        <v>7</v>
      </c>
      <c r="AG338" s="162" t="s">
        <v>7</v>
      </c>
      <c r="AH338" s="162" t="s">
        <v>7</v>
      </c>
      <c r="AI338" t="s">
        <v>9846</v>
      </c>
      <c r="AJ338" t="s">
        <v>7</v>
      </c>
      <c r="AK338" t="s">
        <v>1173</v>
      </c>
      <c r="AL338" t="s">
        <v>78</v>
      </c>
      <c r="AM338" s="162" t="s">
        <v>10138</v>
      </c>
      <c r="AN338" t="s">
        <v>9843</v>
      </c>
      <c r="AO338" t="s">
        <v>35</v>
      </c>
      <c r="AP338" t="s">
        <v>9865</v>
      </c>
      <c r="AQ338" t="s">
        <v>1080</v>
      </c>
      <c r="AR338" t="s">
        <v>1097</v>
      </c>
      <c r="AS338" s="162" t="s">
        <v>9851</v>
      </c>
      <c r="AT338" s="117" t="s">
        <v>7</v>
      </c>
      <c r="AU338" s="162" t="s">
        <v>7</v>
      </c>
      <c r="AV338" s="162" t="s">
        <v>7</v>
      </c>
      <c r="AW338" s="162" t="s">
        <v>9851</v>
      </c>
      <c r="AX338" s="162" t="s">
        <v>7</v>
      </c>
      <c r="AY338" s="162" t="s">
        <v>7</v>
      </c>
      <c r="AZ338" t="s">
        <v>7</v>
      </c>
      <c r="BA338" s="162" t="s">
        <v>7</v>
      </c>
      <c r="BB338" s="162" t="s">
        <v>7</v>
      </c>
      <c r="BC338" s="162" t="s">
        <v>7</v>
      </c>
      <c r="BD338" s="162" t="s">
        <v>7</v>
      </c>
      <c r="BE338" s="162" t="s">
        <v>7</v>
      </c>
      <c r="BF338" s="162" t="str">
        <f t="shared" si="10"/>
        <v>Sim</v>
      </c>
      <c r="BG338" s="162" t="str">
        <f t="shared" si="11"/>
        <v>Não</v>
      </c>
      <c r="BH338" s="162" t="s">
        <v>7</v>
      </c>
      <c r="BI338" t="s">
        <v>9872</v>
      </c>
      <c r="BJ338" s="162" t="s">
        <v>10165</v>
      </c>
      <c r="BK338" t="s">
        <v>1163</v>
      </c>
      <c r="BL338" s="162">
        <v>84</v>
      </c>
      <c r="BM338" t="s">
        <v>35</v>
      </c>
      <c r="BN338" t="s">
        <v>35</v>
      </c>
      <c r="BO338" t="s">
        <v>1163</v>
      </c>
      <c r="BP338" s="162">
        <v>84</v>
      </c>
      <c r="BQ338" t="s">
        <v>35</v>
      </c>
      <c r="BR338" t="s">
        <v>1849</v>
      </c>
      <c r="BS338" s="162" t="s">
        <v>10170</v>
      </c>
    </row>
    <row r="339" spans="1:71">
      <c r="A339" s="162">
        <v>338</v>
      </c>
      <c r="B339" t="s">
        <v>351</v>
      </c>
      <c r="C339" s="162">
        <v>1</v>
      </c>
      <c r="D339" s="122" t="s">
        <v>98</v>
      </c>
      <c r="E339" t="s">
        <v>949</v>
      </c>
      <c r="F339" t="s">
        <v>3</v>
      </c>
      <c r="G339" t="s">
        <v>364</v>
      </c>
      <c r="H339" t="s">
        <v>953</v>
      </c>
      <c r="I339" s="162">
        <v>1</v>
      </c>
      <c r="J339" t="s">
        <v>1855</v>
      </c>
      <c r="K339" t="s">
        <v>3</v>
      </c>
      <c r="L339" s="165">
        <v>34973</v>
      </c>
      <c r="M339" s="166">
        <v>21</v>
      </c>
      <c r="N339" t="s">
        <v>5</v>
      </c>
      <c r="O339" t="s">
        <v>10135</v>
      </c>
      <c r="P339" t="s">
        <v>48</v>
      </c>
      <c r="Q339" t="s">
        <v>9773</v>
      </c>
      <c r="R339" t="s">
        <v>10070</v>
      </c>
      <c r="S339" s="162">
        <v>148.5</v>
      </c>
      <c r="T339" t="s">
        <v>10072</v>
      </c>
      <c r="U339" s="162">
        <v>36.6</v>
      </c>
      <c r="V339" t="s">
        <v>10073</v>
      </c>
      <c r="W339" s="162">
        <v>1.1000000000000001</v>
      </c>
      <c r="X339">
        <v>0</v>
      </c>
      <c r="Y339" s="162">
        <v>0</v>
      </c>
      <c r="Z339">
        <v>0</v>
      </c>
      <c r="AA339" s="162">
        <v>0</v>
      </c>
      <c r="AB339" t="s">
        <v>10071</v>
      </c>
      <c r="AC339" s="162" t="s">
        <v>7</v>
      </c>
      <c r="AD339" s="162" t="s">
        <v>7</v>
      </c>
      <c r="AE339" s="162" t="s">
        <v>9851</v>
      </c>
      <c r="AF339" s="162" t="s">
        <v>9851</v>
      </c>
      <c r="AG339" s="162" t="s">
        <v>7</v>
      </c>
      <c r="AH339" s="162" t="s">
        <v>7</v>
      </c>
      <c r="AI339" t="s">
        <v>9846</v>
      </c>
      <c r="AJ339" t="s">
        <v>1271</v>
      </c>
      <c r="AK339" t="s">
        <v>1281</v>
      </c>
      <c r="AL339" t="s">
        <v>78</v>
      </c>
      <c r="AM339" s="162" t="s">
        <v>10138</v>
      </c>
      <c r="AN339" t="s">
        <v>9843</v>
      </c>
      <c r="AO339" t="s">
        <v>7</v>
      </c>
      <c r="AP339" t="s">
        <v>1350</v>
      </c>
      <c r="AQ339" t="s">
        <v>1163</v>
      </c>
      <c r="AR339" t="s">
        <v>7</v>
      </c>
      <c r="AS339" s="162" t="s">
        <v>7</v>
      </c>
      <c r="AT339" s="117" t="s">
        <v>1111</v>
      </c>
      <c r="AU339" s="162" t="s">
        <v>9851</v>
      </c>
      <c r="AV339" s="162" t="s">
        <v>7</v>
      </c>
      <c r="AW339" s="162" t="s">
        <v>7</v>
      </c>
      <c r="AX339" s="162" t="s">
        <v>7</v>
      </c>
      <c r="AY339" s="162" t="s">
        <v>9851</v>
      </c>
      <c r="AZ339" t="s">
        <v>1937</v>
      </c>
      <c r="BA339" s="162" t="s">
        <v>9851</v>
      </c>
      <c r="BB339" s="162" t="s">
        <v>7</v>
      </c>
      <c r="BC339" s="162" t="s">
        <v>7</v>
      </c>
      <c r="BD339" s="162" t="s">
        <v>7</v>
      </c>
      <c r="BE339" s="162" t="s">
        <v>7</v>
      </c>
      <c r="BF339" s="162" t="str">
        <f t="shared" si="10"/>
        <v>Não</v>
      </c>
      <c r="BG339" s="162" t="str">
        <f t="shared" si="11"/>
        <v>Não</v>
      </c>
      <c r="BH339" s="162" t="s">
        <v>9851</v>
      </c>
      <c r="BI339" t="s">
        <v>7</v>
      </c>
      <c r="BJ339" s="162" t="s">
        <v>7</v>
      </c>
      <c r="BK339" t="s">
        <v>1201</v>
      </c>
      <c r="BL339" s="162">
        <v>87.5</v>
      </c>
      <c r="BM339" t="s">
        <v>35</v>
      </c>
      <c r="BN339" t="s">
        <v>35</v>
      </c>
      <c r="BO339" t="s">
        <v>1201</v>
      </c>
      <c r="BP339" s="162">
        <v>87.5</v>
      </c>
      <c r="BQ339" t="s">
        <v>35</v>
      </c>
      <c r="BR339" t="s">
        <v>1849</v>
      </c>
      <c r="BS339" s="162" t="s">
        <v>10170</v>
      </c>
    </row>
    <row r="340" spans="1:71">
      <c r="A340" s="162">
        <v>339</v>
      </c>
      <c r="B340" t="s">
        <v>123</v>
      </c>
      <c r="C340" s="162">
        <v>1</v>
      </c>
      <c r="D340" s="122" t="s">
        <v>494</v>
      </c>
      <c r="E340" t="s">
        <v>495</v>
      </c>
      <c r="F340" t="s">
        <v>3</v>
      </c>
      <c r="G340" t="s">
        <v>131</v>
      </c>
      <c r="H340" t="s">
        <v>496</v>
      </c>
      <c r="I340" s="162">
        <v>1</v>
      </c>
      <c r="J340" t="s">
        <v>1855</v>
      </c>
      <c r="K340" t="s">
        <v>3</v>
      </c>
      <c r="L340" s="165">
        <v>32339</v>
      </c>
      <c r="M340" s="166">
        <v>29</v>
      </c>
      <c r="N340" t="s">
        <v>5</v>
      </c>
      <c r="O340" t="s">
        <v>10135</v>
      </c>
      <c r="P340" t="s">
        <v>41</v>
      </c>
      <c r="Q340" t="s">
        <v>1289</v>
      </c>
      <c r="R340" t="s">
        <v>1288</v>
      </c>
      <c r="S340" s="162">
        <v>9903</v>
      </c>
      <c r="T340">
        <v>0</v>
      </c>
      <c r="U340" s="162">
        <v>0</v>
      </c>
      <c r="V340">
        <v>0</v>
      </c>
      <c r="W340" s="162">
        <v>0</v>
      </c>
      <c r="X340">
        <v>0</v>
      </c>
      <c r="Y340" s="162">
        <v>0</v>
      </c>
      <c r="Z340">
        <v>0</v>
      </c>
      <c r="AA340" s="162">
        <v>0</v>
      </c>
      <c r="AB340">
        <v>0</v>
      </c>
      <c r="AC340" s="162" t="s">
        <v>7</v>
      </c>
      <c r="AD340" s="162" t="s">
        <v>7</v>
      </c>
      <c r="AE340" s="162" t="s">
        <v>7</v>
      </c>
      <c r="AF340" s="162" t="s">
        <v>7</v>
      </c>
      <c r="AG340" s="162" t="s">
        <v>7</v>
      </c>
      <c r="AH340" s="162" t="s">
        <v>7</v>
      </c>
      <c r="AI340" t="s">
        <v>9843</v>
      </c>
      <c r="AJ340" t="s">
        <v>7</v>
      </c>
      <c r="AK340" t="s">
        <v>72</v>
      </c>
      <c r="AL340" t="s">
        <v>36</v>
      </c>
      <c r="AM340" s="162" t="s">
        <v>10138</v>
      </c>
      <c r="AN340" t="s">
        <v>9843</v>
      </c>
      <c r="AO340" t="s">
        <v>35</v>
      </c>
      <c r="AP340" t="s">
        <v>1104</v>
      </c>
      <c r="AQ340" t="s">
        <v>1156</v>
      </c>
      <c r="AR340" t="s">
        <v>1097</v>
      </c>
      <c r="AS340" s="162" t="s">
        <v>9851</v>
      </c>
      <c r="AT340" s="117" t="s">
        <v>1111</v>
      </c>
      <c r="AU340" s="162" t="s">
        <v>9851</v>
      </c>
      <c r="AV340" s="162" t="s">
        <v>7</v>
      </c>
      <c r="AW340" s="162" t="s">
        <v>7</v>
      </c>
      <c r="AX340" s="162" t="s">
        <v>7</v>
      </c>
      <c r="AY340" s="162" t="s">
        <v>9851</v>
      </c>
      <c r="AZ340" t="s">
        <v>7</v>
      </c>
      <c r="BA340" s="162" t="s">
        <v>7</v>
      </c>
      <c r="BB340" s="162" t="s">
        <v>7</v>
      </c>
      <c r="BC340" s="162" t="s">
        <v>7</v>
      </c>
      <c r="BD340" s="162" t="s">
        <v>7</v>
      </c>
      <c r="BE340" s="162" t="s">
        <v>7</v>
      </c>
      <c r="BF340" s="162" t="str">
        <f t="shared" si="10"/>
        <v>Sim</v>
      </c>
      <c r="BG340" s="162" t="str">
        <f t="shared" si="11"/>
        <v>Não</v>
      </c>
      <c r="BH340" s="162" t="s">
        <v>7</v>
      </c>
      <c r="BI340" t="s">
        <v>7</v>
      </c>
      <c r="BJ340" s="162" t="s">
        <v>7</v>
      </c>
      <c r="BK340" t="s">
        <v>1156</v>
      </c>
      <c r="BL340" s="162">
        <v>90</v>
      </c>
      <c r="BM340" t="s">
        <v>35</v>
      </c>
      <c r="BN340" t="s">
        <v>35</v>
      </c>
      <c r="BO340" t="s">
        <v>1156</v>
      </c>
      <c r="BP340" s="162">
        <v>90</v>
      </c>
      <c r="BQ340" t="s">
        <v>35</v>
      </c>
      <c r="BR340" t="s">
        <v>1849</v>
      </c>
      <c r="BS340" s="162" t="s">
        <v>10170</v>
      </c>
    </row>
    <row r="341" spans="1:71">
      <c r="A341" s="162">
        <v>340</v>
      </c>
      <c r="B341" t="s">
        <v>123</v>
      </c>
      <c r="C341" s="162">
        <v>0</v>
      </c>
      <c r="D341" s="122" t="s">
        <v>494</v>
      </c>
      <c r="E341" t="s">
        <v>495</v>
      </c>
      <c r="F341" t="s">
        <v>3</v>
      </c>
      <c r="G341" t="s">
        <v>131</v>
      </c>
      <c r="H341" t="s">
        <v>497</v>
      </c>
      <c r="I341" s="162">
        <v>1</v>
      </c>
      <c r="J341" t="s">
        <v>1855</v>
      </c>
      <c r="K341" t="s">
        <v>3</v>
      </c>
      <c r="L341" s="165">
        <v>31328</v>
      </c>
      <c r="M341" s="166">
        <v>31</v>
      </c>
      <c r="N341" t="s">
        <v>5</v>
      </c>
      <c r="O341" t="s">
        <v>10135</v>
      </c>
      <c r="P341" t="s">
        <v>77</v>
      </c>
      <c r="Q341" t="s">
        <v>1289</v>
      </c>
      <c r="R341" t="s">
        <v>1288</v>
      </c>
      <c r="S341" s="162">
        <v>9903</v>
      </c>
      <c r="T341">
        <v>0</v>
      </c>
      <c r="U341" s="162">
        <v>0</v>
      </c>
      <c r="V341">
        <v>0</v>
      </c>
      <c r="W341" s="162">
        <v>0</v>
      </c>
      <c r="X341">
        <v>0</v>
      </c>
      <c r="Y341" s="162">
        <v>0</v>
      </c>
      <c r="Z341">
        <v>0</v>
      </c>
      <c r="AA341" s="162">
        <v>0</v>
      </c>
      <c r="AB341">
        <v>0</v>
      </c>
      <c r="AC341" s="162" t="s">
        <v>7</v>
      </c>
      <c r="AD341" s="162" t="s">
        <v>7</v>
      </c>
      <c r="AE341" s="162" t="s">
        <v>7</v>
      </c>
      <c r="AF341" s="162" t="s">
        <v>7</v>
      </c>
      <c r="AG341" s="162" t="s">
        <v>7</v>
      </c>
      <c r="AH341" s="162" t="s">
        <v>7</v>
      </c>
      <c r="AI341" t="s">
        <v>9843</v>
      </c>
      <c r="AJ341" t="s">
        <v>7</v>
      </c>
      <c r="AK341" t="s">
        <v>80</v>
      </c>
      <c r="AL341" t="s">
        <v>36</v>
      </c>
      <c r="AM341" s="162" t="s">
        <v>10138</v>
      </c>
      <c r="AN341" t="s">
        <v>9843</v>
      </c>
      <c r="AO341" t="s">
        <v>35</v>
      </c>
      <c r="AP341" t="s">
        <v>1104</v>
      </c>
      <c r="AQ341" t="s">
        <v>1156</v>
      </c>
      <c r="AR341" t="s">
        <v>7</v>
      </c>
      <c r="AS341" s="162" t="s">
        <v>7</v>
      </c>
      <c r="AT341" s="117" t="s">
        <v>7</v>
      </c>
      <c r="AU341" s="162" t="s">
        <v>7</v>
      </c>
      <c r="AV341" s="162" t="s">
        <v>7</v>
      </c>
      <c r="AW341" s="162" t="s">
        <v>9851</v>
      </c>
      <c r="AX341" s="162" t="s">
        <v>7</v>
      </c>
      <c r="AY341" s="162" t="s">
        <v>7</v>
      </c>
      <c r="AZ341" t="s">
        <v>7</v>
      </c>
      <c r="BA341" s="162" t="s">
        <v>7</v>
      </c>
      <c r="BB341" s="162" t="s">
        <v>7</v>
      </c>
      <c r="BC341" s="162" t="s">
        <v>7</v>
      </c>
      <c r="BD341" s="162" t="s">
        <v>7</v>
      </c>
      <c r="BE341" s="162" t="s">
        <v>7</v>
      </c>
      <c r="BF341" s="162" t="str">
        <f t="shared" si="10"/>
        <v>Sim</v>
      </c>
      <c r="BG341" s="162" t="str">
        <f t="shared" si="11"/>
        <v>Não</v>
      </c>
      <c r="BH341" s="162" t="s">
        <v>7</v>
      </c>
      <c r="BI341" t="s">
        <v>7</v>
      </c>
      <c r="BJ341" s="162" t="s">
        <v>7</v>
      </c>
      <c r="BK341" t="s">
        <v>1156</v>
      </c>
      <c r="BL341" s="162">
        <v>90</v>
      </c>
      <c r="BM341" t="s">
        <v>35</v>
      </c>
      <c r="BN341" t="s">
        <v>35</v>
      </c>
      <c r="BO341" t="s">
        <v>1156</v>
      </c>
      <c r="BP341" s="162">
        <v>90</v>
      </c>
      <c r="BQ341" t="s">
        <v>35</v>
      </c>
      <c r="BR341" t="s">
        <v>1849</v>
      </c>
      <c r="BS341" s="162" t="s">
        <v>10170</v>
      </c>
    </row>
    <row r="342" spans="1:71">
      <c r="A342" s="162">
        <v>341</v>
      </c>
      <c r="B342" t="s">
        <v>156</v>
      </c>
      <c r="C342" s="162">
        <v>1</v>
      </c>
      <c r="D342" s="122" t="s">
        <v>568</v>
      </c>
      <c r="E342" t="s">
        <v>569</v>
      </c>
      <c r="F342" t="s">
        <v>3</v>
      </c>
      <c r="G342" t="s">
        <v>166</v>
      </c>
      <c r="H342" t="s">
        <v>570</v>
      </c>
      <c r="I342" s="162">
        <v>1</v>
      </c>
      <c r="J342" t="s">
        <v>1855</v>
      </c>
      <c r="K342" t="s">
        <v>3</v>
      </c>
      <c r="L342" s="165">
        <v>31416</v>
      </c>
      <c r="M342" s="166">
        <v>31</v>
      </c>
      <c r="N342" t="s">
        <v>5</v>
      </c>
      <c r="O342" t="s">
        <v>10135</v>
      </c>
      <c r="P342" t="s">
        <v>48</v>
      </c>
      <c r="Q342" t="s">
        <v>1346</v>
      </c>
      <c r="R342" t="s">
        <v>1348</v>
      </c>
      <c r="S342" s="162">
        <v>260.89999999999998</v>
      </c>
      <c r="T342" t="s">
        <v>1347</v>
      </c>
      <c r="U342" s="162">
        <v>84.4</v>
      </c>
      <c r="V342" t="s">
        <v>1349</v>
      </c>
      <c r="W342" s="162">
        <v>25.6</v>
      </c>
      <c r="X342">
        <v>0</v>
      </c>
      <c r="Y342" s="162">
        <v>0</v>
      </c>
      <c r="Z342">
        <v>0</v>
      </c>
      <c r="AA342" s="162">
        <v>0</v>
      </c>
      <c r="AB342">
        <v>0</v>
      </c>
      <c r="AC342" s="162" t="s">
        <v>7</v>
      </c>
      <c r="AD342" s="162" t="s">
        <v>7</v>
      </c>
      <c r="AE342" s="162" t="s">
        <v>7</v>
      </c>
      <c r="AF342" s="162" t="s">
        <v>7</v>
      </c>
      <c r="AG342" s="162" t="s">
        <v>7</v>
      </c>
      <c r="AH342" s="162" t="s">
        <v>7</v>
      </c>
      <c r="AI342" t="s">
        <v>9843</v>
      </c>
      <c r="AJ342" t="s">
        <v>7</v>
      </c>
      <c r="AK342" t="s">
        <v>1137</v>
      </c>
      <c r="AL342" t="s">
        <v>36</v>
      </c>
      <c r="AM342" s="162" t="s">
        <v>10138</v>
      </c>
      <c r="AN342" t="s">
        <v>9843</v>
      </c>
      <c r="AO342" t="s">
        <v>35</v>
      </c>
      <c r="AP342" t="s">
        <v>1350</v>
      </c>
      <c r="AQ342" t="s">
        <v>8</v>
      </c>
      <c r="AR342" t="s">
        <v>1097</v>
      </c>
      <c r="AS342" s="162" t="s">
        <v>9851</v>
      </c>
      <c r="AT342" s="117" t="s">
        <v>7</v>
      </c>
      <c r="AU342" s="162" t="s">
        <v>7</v>
      </c>
      <c r="AV342" s="162" t="s">
        <v>7</v>
      </c>
      <c r="AW342" s="162" t="s">
        <v>9851</v>
      </c>
      <c r="AX342" s="162" t="s">
        <v>7</v>
      </c>
      <c r="AY342" s="162" t="s">
        <v>7</v>
      </c>
      <c r="AZ342" t="s">
        <v>7</v>
      </c>
      <c r="BA342" s="162" t="s">
        <v>7</v>
      </c>
      <c r="BB342" s="162" t="s">
        <v>7</v>
      </c>
      <c r="BC342" s="162" t="s">
        <v>7</v>
      </c>
      <c r="BD342" s="162" t="s">
        <v>7</v>
      </c>
      <c r="BE342" s="162" t="s">
        <v>7</v>
      </c>
      <c r="BF342" s="162" t="str">
        <f t="shared" si="10"/>
        <v>Sim</v>
      </c>
      <c r="BG342" s="162" t="str">
        <f t="shared" si="11"/>
        <v>Não</v>
      </c>
      <c r="BH342" s="162" t="s">
        <v>7</v>
      </c>
      <c r="BI342" t="s">
        <v>9872</v>
      </c>
      <c r="BJ342" s="162" t="s">
        <v>10165</v>
      </c>
      <c r="BK342" t="s">
        <v>1156</v>
      </c>
      <c r="BL342" s="162">
        <v>90</v>
      </c>
      <c r="BM342" t="s">
        <v>35</v>
      </c>
      <c r="BN342" t="s">
        <v>35</v>
      </c>
      <c r="BO342" t="s">
        <v>1156</v>
      </c>
      <c r="BP342" s="162">
        <v>90</v>
      </c>
      <c r="BQ342" t="s">
        <v>35</v>
      </c>
      <c r="BR342" t="s">
        <v>1849</v>
      </c>
      <c r="BS342" s="162" t="s">
        <v>10170</v>
      </c>
    </row>
    <row r="343" spans="1:71">
      <c r="A343" s="162">
        <v>342</v>
      </c>
      <c r="B343" t="s">
        <v>161</v>
      </c>
      <c r="C343" s="162">
        <v>1</v>
      </c>
      <c r="D343" s="122" t="s">
        <v>581</v>
      </c>
      <c r="E343" t="s">
        <v>582</v>
      </c>
      <c r="F343" t="s">
        <v>515</v>
      </c>
      <c r="G343" t="s">
        <v>166</v>
      </c>
      <c r="H343" t="s">
        <v>583</v>
      </c>
      <c r="I343" s="162">
        <v>1</v>
      </c>
      <c r="J343" t="s">
        <v>76</v>
      </c>
      <c r="K343" t="s">
        <v>3</v>
      </c>
      <c r="L343" s="165">
        <v>29627</v>
      </c>
      <c r="M343" s="166">
        <v>36</v>
      </c>
      <c r="N343" t="s">
        <v>5</v>
      </c>
      <c r="O343" t="s">
        <v>10135</v>
      </c>
      <c r="P343" t="s">
        <v>41</v>
      </c>
      <c r="Q343" t="s">
        <v>1186</v>
      </c>
      <c r="R343" t="s">
        <v>1360</v>
      </c>
      <c r="S343" s="162">
        <v>11293</v>
      </c>
      <c r="T343" t="s">
        <v>1361</v>
      </c>
      <c r="U343" s="162">
        <v>2051</v>
      </c>
      <c r="V343" t="s">
        <v>1362</v>
      </c>
      <c r="W343" s="162">
        <v>273.67</v>
      </c>
      <c r="X343">
        <v>0</v>
      </c>
      <c r="Y343" s="162">
        <v>0</v>
      </c>
      <c r="Z343">
        <v>0</v>
      </c>
      <c r="AA343" s="162">
        <v>0</v>
      </c>
      <c r="AB343">
        <v>0</v>
      </c>
      <c r="AC343" s="162" t="s">
        <v>7</v>
      </c>
      <c r="AD343" s="162" t="s">
        <v>7</v>
      </c>
      <c r="AE343" s="162" t="s">
        <v>7</v>
      </c>
      <c r="AF343" s="162" t="s">
        <v>7</v>
      </c>
      <c r="AG343" s="162" t="s">
        <v>7</v>
      </c>
      <c r="AH343" s="162" t="s">
        <v>7</v>
      </c>
      <c r="AI343" t="s">
        <v>9843</v>
      </c>
      <c r="AJ343" t="s">
        <v>7</v>
      </c>
      <c r="AK343" t="s">
        <v>9807</v>
      </c>
      <c r="AL343" t="s">
        <v>36</v>
      </c>
      <c r="AM343" s="162" t="s">
        <v>10138</v>
      </c>
      <c r="AN343" t="s">
        <v>9843</v>
      </c>
      <c r="AO343" t="s">
        <v>35</v>
      </c>
      <c r="AP343" t="s">
        <v>1079</v>
      </c>
      <c r="AQ343" t="s">
        <v>1156</v>
      </c>
      <c r="AR343" t="s">
        <v>7</v>
      </c>
      <c r="AS343" s="162" t="s">
        <v>7</v>
      </c>
      <c r="AT343" s="117" t="s">
        <v>7</v>
      </c>
      <c r="AU343" s="162" t="s">
        <v>7</v>
      </c>
      <c r="AV343" s="162" t="s">
        <v>7</v>
      </c>
      <c r="AW343" s="162" t="s">
        <v>9851</v>
      </c>
      <c r="AX343" s="162" t="s">
        <v>7</v>
      </c>
      <c r="AY343" s="162" t="s">
        <v>7</v>
      </c>
      <c r="AZ343" t="s">
        <v>7</v>
      </c>
      <c r="BA343" s="162" t="s">
        <v>7</v>
      </c>
      <c r="BB343" s="162" t="s">
        <v>7</v>
      </c>
      <c r="BC343" s="162" t="s">
        <v>7</v>
      </c>
      <c r="BD343" s="162" t="s">
        <v>7</v>
      </c>
      <c r="BE343" s="162" t="s">
        <v>7</v>
      </c>
      <c r="BF343" s="162" t="str">
        <f t="shared" si="10"/>
        <v>Sim</v>
      </c>
      <c r="BG343" s="162" t="str">
        <f t="shared" si="11"/>
        <v>Não</v>
      </c>
      <c r="BH343" s="162" t="s">
        <v>7</v>
      </c>
      <c r="BI343" t="s">
        <v>7</v>
      </c>
      <c r="BJ343" s="162" t="s">
        <v>7</v>
      </c>
      <c r="BK343" t="s">
        <v>1156</v>
      </c>
      <c r="BL343" s="162">
        <v>90</v>
      </c>
      <c r="BM343" t="s">
        <v>35</v>
      </c>
      <c r="BN343" t="s">
        <v>35</v>
      </c>
      <c r="BO343" t="s">
        <v>1156</v>
      </c>
      <c r="BP343" s="162">
        <v>90</v>
      </c>
      <c r="BQ343" t="s">
        <v>35</v>
      </c>
      <c r="BR343" t="s">
        <v>1849</v>
      </c>
      <c r="BS343" s="162" t="s">
        <v>10170</v>
      </c>
    </row>
    <row r="344" spans="1:71">
      <c r="A344" s="162">
        <v>343</v>
      </c>
      <c r="B344" t="s">
        <v>401</v>
      </c>
      <c r="C344" s="162">
        <v>0</v>
      </c>
      <c r="D344" s="122" t="s">
        <v>623</v>
      </c>
      <c r="E344" t="s">
        <v>791</v>
      </c>
      <c r="F344" t="s">
        <v>515</v>
      </c>
      <c r="G344" t="s">
        <v>411</v>
      </c>
      <c r="H344" t="s">
        <v>935</v>
      </c>
      <c r="I344" s="162">
        <v>1</v>
      </c>
      <c r="J344" t="s">
        <v>76</v>
      </c>
      <c r="K344" t="s">
        <v>515</v>
      </c>
      <c r="L344" s="165">
        <v>34451</v>
      </c>
      <c r="M344" s="166">
        <v>23</v>
      </c>
      <c r="N344" t="s">
        <v>4</v>
      </c>
      <c r="O344" t="s">
        <v>10134</v>
      </c>
      <c r="P344" t="s">
        <v>41</v>
      </c>
      <c r="Q344" t="s">
        <v>9789</v>
      </c>
      <c r="R344">
        <v>0</v>
      </c>
      <c r="S344" s="162">
        <v>0</v>
      </c>
      <c r="T344" t="s">
        <v>10062</v>
      </c>
      <c r="U344" s="162">
        <v>3000</v>
      </c>
      <c r="V344">
        <v>0</v>
      </c>
      <c r="W344" s="162">
        <v>0</v>
      </c>
      <c r="X344" t="s">
        <v>10028</v>
      </c>
      <c r="Y344" s="162">
        <v>246.3</v>
      </c>
      <c r="Z344" t="s">
        <v>10029</v>
      </c>
      <c r="AA344" s="162">
        <v>0.2</v>
      </c>
      <c r="AB344" t="s">
        <v>9835</v>
      </c>
      <c r="AC344" s="162" t="s">
        <v>9851</v>
      </c>
      <c r="AD344" s="162" t="s">
        <v>9851</v>
      </c>
      <c r="AE344" s="162" t="s">
        <v>7</v>
      </c>
      <c r="AF344" s="162" t="s">
        <v>7</v>
      </c>
      <c r="AG344" s="162" t="s">
        <v>7</v>
      </c>
      <c r="AH344" s="162" t="s">
        <v>7</v>
      </c>
      <c r="AI344" t="s">
        <v>9844</v>
      </c>
      <c r="AJ344" t="s">
        <v>9847</v>
      </c>
      <c r="AK344" t="s">
        <v>1132</v>
      </c>
      <c r="AL344" t="s">
        <v>78</v>
      </c>
      <c r="AM344" s="162" t="s">
        <v>10138</v>
      </c>
      <c r="AN344" t="s">
        <v>9844</v>
      </c>
      <c r="AO344" t="s">
        <v>9855</v>
      </c>
      <c r="AP344" t="s">
        <v>9859</v>
      </c>
      <c r="AQ344" t="s">
        <v>1156</v>
      </c>
      <c r="AR344" t="s">
        <v>7</v>
      </c>
      <c r="AS344" s="162" t="s">
        <v>7</v>
      </c>
      <c r="AT344" s="117" t="s">
        <v>7</v>
      </c>
      <c r="AU344" s="162" t="s">
        <v>7</v>
      </c>
      <c r="AV344" s="162" t="s">
        <v>7</v>
      </c>
      <c r="AW344" s="162" t="s">
        <v>9851</v>
      </c>
      <c r="AX344" s="162" t="s">
        <v>7</v>
      </c>
      <c r="AY344" s="162" t="s">
        <v>7</v>
      </c>
      <c r="AZ344" t="s">
        <v>7</v>
      </c>
      <c r="BA344" s="162" t="s">
        <v>7</v>
      </c>
      <c r="BB344" s="162" t="s">
        <v>7</v>
      </c>
      <c r="BC344" s="162" t="s">
        <v>7</v>
      </c>
      <c r="BD344" s="162" t="s">
        <v>7</v>
      </c>
      <c r="BE344" s="162" t="s">
        <v>7</v>
      </c>
      <c r="BF344" s="162" t="str">
        <f t="shared" si="10"/>
        <v>Sim</v>
      </c>
      <c r="BG344" s="162" t="str">
        <f t="shared" si="11"/>
        <v>Não</v>
      </c>
      <c r="BH344" s="162" t="s">
        <v>7</v>
      </c>
      <c r="BI344" t="s">
        <v>7</v>
      </c>
      <c r="BJ344" s="162" t="s">
        <v>7</v>
      </c>
      <c r="BK344" t="s">
        <v>1156</v>
      </c>
      <c r="BL344" s="162">
        <v>90</v>
      </c>
      <c r="BM344" t="s">
        <v>1080</v>
      </c>
      <c r="BN344" t="s">
        <v>9875</v>
      </c>
      <c r="BO344" t="s">
        <v>1157</v>
      </c>
      <c r="BP344" s="162">
        <v>372</v>
      </c>
      <c r="BQ344" t="s">
        <v>35</v>
      </c>
      <c r="BR344" t="s">
        <v>1849</v>
      </c>
      <c r="BS344" s="162" t="s">
        <v>10253</v>
      </c>
    </row>
    <row r="345" spans="1:71">
      <c r="A345" s="162">
        <v>344</v>
      </c>
      <c r="B345" t="s">
        <v>401</v>
      </c>
      <c r="C345" s="162">
        <v>1</v>
      </c>
      <c r="D345" s="122" t="s">
        <v>623</v>
      </c>
      <c r="E345" t="s">
        <v>791</v>
      </c>
      <c r="F345" t="s">
        <v>515</v>
      </c>
      <c r="G345" t="s">
        <v>411</v>
      </c>
      <c r="H345" t="s">
        <v>933</v>
      </c>
      <c r="I345" s="162">
        <v>1</v>
      </c>
      <c r="J345" t="s">
        <v>76</v>
      </c>
      <c r="K345" t="s">
        <v>3</v>
      </c>
      <c r="L345" s="165">
        <v>32915</v>
      </c>
      <c r="M345" s="166">
        <v>27</v>
      </c>
      <c r="N345" t="s">
        <v>4</v>
      </c>
      <c r="O345" t="s">
        <v>10134</v>
      </c>
      <c r="P345" t="s">
        <v>41</v>
      </c>
      <c r="Q345" t="s">
        <v>9789</v>
      </c>
      <c r="R345">
        <v>0</v>
      </c>
      <c r="S345" s="162">
        <v>0</v>
      </c>
      <c r="T345" t="s">
        <v>10062</v>
      </c>
      <c r="U345" s="162">
        <v>3000</v>
      </c>
      <c r="V345">
        <v>0</v>
      </c>
      <c r="W345" s="162">
        <v>0</v>
      </c>
      <c r="X345" t="s">
        <v>10028</v>
      </c>
      <c r="Y345" s="162">
        <v>246.3</v>
      </c>
      <c r="Z345" t="s">
        <v>10029</v>
      </c>
      <c r="AA345" s="162">
        <v>0.2</v>
      </c>
      <c r="AB345" t="s">
        <v>9835</v>
      </c>
      <c r="AC345" s="162" t="s">
        <v>9851</v>
      </c>
      <c r="AD345" s="162" t="s">
        <v>9851</v>
      </c>
      <c r="AE345" s="162" t="s">
        <v>7</v>
      </c>
      <c r="AF345" s="162" t="s">
        <v>7</v>
      </c>
      <c r="AG345" s="162" t="s">
        <v>7</v>
      </c>
      <c r="AH345" s="162" t="s">
        <v>7</v>
      </c>
      <c r="AI345" t="s">
        <v>9844</v>
      </c>
      <c r="AJ345" t="s">
        <v>9847</v>
      </c>
      <c r="AK345" t="s">
        <v>1132</v>
      </c>
      <c r="AL345" t="s">
        <v>78</v>
      </c>
      <c r="AM345" s="162" t="s">
        <v>10138</v>
      </c>
      <c r="AN345" t="s">
        <v>9844</v>
      </c>
      <c r="AO345" t="s">
        <v>9855</v>
      </c>
      <c r="AP345" t="s">
        <v>9859</v>
      </c>
      <c r="AQ345" t="s">
        <v>1156</v>
      </c>
      <c r="AR345" t="s">
        <v>7</v>
      </c>
      <c r="AS345" s="162" t="s">
        <v>7</v>
      </c>
      <c r="AT345" s="117" t="s">
        <v>7</v>
      </c>
      <c r="AU345" s="162" t="s">
        <v>7</v>
      </c>
      <c r="AV345" s="162" t="s">
        <v>7</v>
      </c>
      <c r="AW345" s="162" t="s">
        <v>9851</v>
      </c>
      <c r="AX345" s="162" t="s">
        <v>7</v>
      </c>
      <c r="AY345" s="162" t="s">
        <v>7</v>
      </c>
      <c r="AZ345" t="s">
        <v>7</v>
      </c>
      <c r="BA345" s="162" t="s">
        <v>7</v>
      </c>
      <c r="BB345" s="162" t="s">
        <v>7</v>
      </c>
      <c r="BC345" s="162" t="s">
        <v>7</v>
      </c>
      <c r="BD345" s="162" t="s">
        <v>7</v>
      </c>
      <c r="BE345" s="162" t="s">
        <v>7</v>
      </c>
      <c r="BF345" s="162" t="str">
        <f t="shared" si="10"/>
        <v>Sim</v>
      </c>
      <c r="BG345" s="162" t="str">
        <f t="shared" si="11"/>
        <v>Não</v>
      </c>
      <c r="BH345" s="162" t="s">
        <v>7</v>
      </c>
      <c r="BI345" t="s">
        <v>7</v>
      </c>
      <c r="BJ345" s="162" t="s">
        <v>7</v>
      </c>
      <c r="BK345" t="s">
        <v>1156</v>
      </c>
      <c r="BL345" s="162">
        <v>90</v>
      </c>
      <c r="BM345" t="s">
        <v>1080</v>
      </c>
      <c r="BN345" t="s">
        <v>9875</v>
      </c>
      <c r="BO345" t="s">
        <v>1157</v>
      </c>
      <c r="BP345" s="162">
        <v>372</v>
      </c>
      <c r="BQ345" t="s">
        <v>35</v>
      </c>
      <c r="BR345" t="s">
        <v>1849</v>
      </c>
      <c r="BS345" s="162" t="s">
        <v>10253</v>
      </c>
    </row>
    <row r="346" spans="1:71">
      <c r="A346" s="162">
        <v>345</v>
      </c>
      <c r="B346" t="s">
        <v>401</v>
      </c>
      <c r="C346" s="162">
        <v>0</v>
      </c>
      <c r="D346" s="122" t="s">
        <v>623</v>
      </c>
      <c r="E346" t="s">
        <v>791</v>
      </c>
      <c r="F346" t="s">
        <v>515</v>
      </c>
      <c r="G346" t="s">
        <v>411</v>
      </c>
      <c r="H346" t="s">
        <v>934</v>
      </c>
      <c r="I346" s="162">
        <v>1</v>
      </c>
      <c r="J346" t="s">
        <v>76</v>
      </c>
      <c r="K346" t="s">
        <v>3</v>
      </c>
      <c r="L346" s="165">
        <v>34566</v>
      </c>
      <c r="M346" s="166">
        <v>23</v>
      </c>
      <c r="N346" t="s">
        <v>4</v>
      </c>
      <c r="O346" t="s">
        <v>10134</v>
      </c>
      <c r="P346" t="s">
        <v>41</v>
      </c>
      <c r="Q346" t="s">
        <v>9789</v>
      </c>
      <c r="R346">
        <v>0</v>
      </c>
      <c r="S346" s="162">
        <v>0</v>
      </c>
      <c r="T346" t="s">
        <v>10062</v>
      </c>
      <c r="U346" s="162">
        <v>3000</v>
      </c>
      <c r="V346">
        <v>0</v>
      </c>
      <c r="W346" s="162">
        <v>0</v>
      </c>
      <c r="X346" t="s">
        <v>10028</v>
      </c>
      <c r="Y346" s="162">
        <v>246.3</v>
      </c>
      <c r="Z346" t="s">
        <v>10029</v>
      </c>
      <c r="AA346" s="162">
        <v>0.2</v>
      </c>
      <c r="AB346" t="s">
        <v>9835</v>
      </c>
      <c r="AC346" s="162" t="s">
        <v>9851</v>
      </c>
      <c r="AD346" s="162" t="s">
        <v>9851</v>
      </c>
      <c r="AE346" s="162" t="s">
        <v>7</v>
      </c>
      <c r="AF346" s="162" t="s">
        <v>7</v>
      </c>
      <c r="AG346" s="162" t="s">
        <v>7</v>
      </c>
      <c r="AH346" s="162" t="s">
        <v>7</v>
      </c>
      <c r="AI346" t="s">
        <v>9844</v>
      </c>
      <c r="AJ346" t="s">
        <v>9847</v>
      </c>
      <c r="AK346" t="s">
        <v>9836</v>
      </c>
      <c r="AL346" t="s">
        <v>78</v>
      </c>
      <c r="AM346" s="162" t="s">
        <v>10138</v>
      </c>
      <c r="AN346" t="s">
        <v>9844</v>
      </c>
      <c r="AO346" t="s">
        <v>9855</v>
      </c>
      <c r="AP346" t="s">
        <v>9859</v>
      </c>
      <c r="AQ346" t="s">
        <v>1156</v>
      </c>
      <c r="AR346" t="s">
        <v>7</v>
      </c>
      <c r="AS346" s="162" t="s">
        <v>7</v>
      </c>
      <c r="AT346" s="117" t="s">
        <v>7</v>
      </c>
      <c r="AU346" s="162" t="s">
        <v>7</v>
      </c>
      <c r="AV346" s="162" t="s">
        <v>7</v>
      </c>
      <c r="AW346" s="162" t="s">
        <v>9851</v>
      </c>
      <c r="AX346" s="162" t="s">
        <v>7</v>
      </c>
      <c r="AY346" s="162" t="s">
        <v>7</v>
      </c>
      <c r="AZ346" t="s">
        <v>7</v>
      </c>
      <c r="BA346" s="162" t="s">
        <v>7</v>
      </c>
      <c r="BB346" s="162" t="s">
        <v>7</v>
      </c>
      <c r="BC346" s="162" t="s">
        <v>7</v>
      </c>
      <c r="BD346" s="162" t="s">
        <v>7</v>
      </c>
      <c r="BE346" s="162" t="s">
        <v>7</v>
      </c>
      <c r="BF346" s="162" t="str">
        <f t="shared" si="10"/>
        <v>Sim</v>
      </c>
      <c r="BG346" s="162" t="str">
        <f t="shared" si="11"/>
        <v>Não</v>
      </c>
      <c r="BH346" s="162" t="s">
        <v>7</v>
      </c>
      <c r="BI346" t="s">
        <v>7</v>
      </c>
      <c r="BJ346" s="162" t="s">
        <v>7</v>
      </c>
      <c r="BK346" t="s">
        <v>1156</v>
      </c>
      <c r="BL346" s="167">
        <v>90</v>
      </c>
      <c r="BM346" t="s">
        <v>1080</v>
      </c>
      <c r="BN346" t="s">
        <v>9875</v>
      </c>
      <c r="BO346" t="s">
        <v>1157</v>
      </c>
      <c r="BP346" s="162">
        <v>372</v>
      </c>
      <c r="BQ346" t="s">
        <v>35</v>
      </c>
      <c r="BR346" t="s">
        <v>1849</v>
      </c>
      <c r="BS346" s="162" t="s">
        <v>10253</v>
      </c>
    </row>
    <row r="347" spans="1:71">
      <c r="A347" s="162">
        <v>346</v>
      </c>
      <c r="B347" t="s">
        <v>1310</v>
      </c>
      <c r="C347" s="162">
        <v>0</v>
      </c>
      <c r="D347" s="122" t="s">
        <v>579</v>
      </c>
      <c r="E347" t="s">
        <v>607</v>
      </c>
      <c r="F347" t="s">
        <v>3</v>
      </c>
      <c r="G347" t="s">
        <v>173</v>
      </c>
      <c r="H347" t="s">
        <v>1313</v>
      </c>
      <c r="I347" s="162">
        <v>1</v>
      </c>
      <c r="J347" t="s">
        <v>1311</v>
      </c>
      <c r="K347" t="s">
        <v>3</v>
      </c>
      <c r="L347" s="165">
        <v>27590</v>
      </c>
      <c r="M347" s="166">
        <v>41</v>
      </c>
      <c r="N347" t="s">
        <v>1093</v>
      </c>
      <c r="O347" t="s">
        <v>10135</v>
      </c>
      <c r="P347" t="s">
        <v>1101</v>
      </c>
      <c r="Q347" t="s">
        <v>1315</v>
      </c>
      <c r="R347">
        <v>0</v>
      </c>
      <c r="S347" s="162">
        <v>0</v>
      </c>
      <c r="T347" t="s">
        <v>1314</v>
      </c>
      <c r="U347" s="162">
        <v>3609.2</v>
      </c>
      <c r="V347">
        <v>0</v>
      </c>
      <c r="W347" s="162">
        <v>0</v>
      </c>
      <c r="X347">
        <v>0</v>
      </c>
      <c r="Y347" s="162">
        <v>0</v>
      </c>
      <c r="Z347">
        <v>0</v>
      </c>
      <c r="AA347" s="162">
        <v>0</v>
      </c>
      <c r="AB347">
        <v>0</v>
      </c>
      <c r="AC347" s="162" t="s">
        <v>7</v>
      </c>
      <c r="AD347" s="162" t="s">
        <v>7</v>
      </c>
      <c r="AE347" s="162" t="s">
        <v>7</v>
      </c>
      <c r="AF347" s="162" t="s">
        <v>7</v>
      </c>
      <c r="AG347" s="162" t="s">
        <v>7</v>
      </c>
      <c r="AH347" s="162" t="s">
        <v>7</v>
      </c>
      <c r="AI347" t="s">
        <v>9846</v>
      </c>
      <c r="AJ347" t="s">
        <v>7</v>
      </c>
      <c r="AK347" t="s">
        <v>9813</v>
      </c>
      <c r="AL347" t="s">
        <v>78</v>
      </c>
      <c r="AM347" s="162" t="s">
        <v>10138</v>
      </c>
      <c r="AN347" t="s">
        <v>9843</v>
      </c>
      <c r="AO347" t="s">
        <v>35</v>
      </c>
      <c r="AP347" t="s">
        <v>1079</v>
      </c>
      <c r="AQ347" t="s">
        <v>1164</v>
      </c>
      <c r="AR347" t="s">
        <v>7</v>
      </c>
      <c r="AS347" s="162" t="s">
        <v>7</v>
      </c>
      <c r="AT347" s="117" t="s">
        <v>1111</v>
      </c>
      <c r="AU347" s="162" t="s">
        <v>9851</v>
      </c>
      <c r="AV347" s="162" t="s">
        <v>7</v>
      </c>
      <c r="AW347" s="162" t="s">
        <v>7</v>
      </c>
      <c r="AX347" s="162" t="s">
        <v>7</v>
      </c>
      <c r="AY347" s="162" t="s">
        <v>9851</v>
      </c>
      <c r="AZ347" t="s">
        <v>9869</v>
      </c>
      <c r="BA347" s="162" t="s">
        <v>7</v>
      </c>
      <c r="BB347" s="162" t="s">
        <v>7</v>
      </c>
      <c r="BC347" s="162" t="s">
        <v>9851</v>
      </c>
      <c r="BD347" s="162" t="s">
        <v>7</v>
      </c>
      <c r="BE347" s="162" t="s">
        <v>7</v>
      </c>
      <c r="BF347" s="162" t="str">
        <f t="shared" si="10"/>
        <v>Não</v>
      </c>
      <c r="BG347" s="162" t="str">
        <f t="shared" si="11"/>
        <v>Não</v>
      </c>
      <c r="BH347" s="162" t="s">
        <v>9851</v>
      </c>
      <c r="BI347" t="s">
        <v>7</v>
      </c>
      <c r="BJ347" s="162" t="s">
        <v>7</v>
      </c>
      <c r="BK347" t="s">
        <v>1318</v>
      </c>
      <c r="BL347" s="162">
        <v>93.333333333333329</v>
      </c>
      <c r="BM347" t="s">
        <v>35</v>
      </c>
      <c r="BN347" t="s">
        <v>35</v>
      </c>
      <c r="BO347" t="s">
        <v>1318</v>
      </c>
      <c r="BP347" s="162">
        <v>93.333333333333329</v>
      </c>
      <c r="BQ347" t="s">
        <v>35</v>
      </c>
      <c r="BR347" t="s">
        <v>1849</v>
      </c>
      <c r="BS347" s="162" t="s">
        <v>10170</v>
      </c>
    </row>
    <row r="348" spans="1:71">
      <c r="A348" s="162">
        <v>347</v>
      </c>
      <c r="B348" t="s">
        <v>298</v>
      </c>
      <c r="C348" s="162">
        <v>0</v>
      </c>
      <c r="D348" s="122" t="s">
        <v>542</v>
      </c>
      <c r="E348" t="s">
        <v>802</v>
      </c>
      <c r="F348" t="s">
        <v>3</v>
      </c>
      <c r="G348" t="s">
        <v>304</v>
      </c>
      <c r="H348" t="s">
        <v>815</v>
      </c>
      <c r="I348" s="162">
        <v>1</v>
      </c>
      <c r="J348" t="s">
        <v>1855</v>
      </c>
      <c r="K348" t="s">
        <v>3</v>
      </c>
      <c r="L348" s="165">
        <v>32519</v>
      </c>
      <c r="M348" s="166">
        <v>28</v>
      </c>
      <c r="N348" t="s">
        <v>4</v>
      </c>
      <c r="O348" t="s">
        <v>10134</v>
      </c>
      <c r="P348" t="s">
        <v>48</v>
      </c>
      <c r="Q348" t="s">
        <v>1523</v>
      </c>
      <c r="R348" t="s">
        <v>1524</v>
      </c>
      <c r="S348" s="162">
        <v>10700</v>
      </c>
      <c r="T348">
        <v>0</v>
      </c>
      <c r="U348" s="162">
        <v>0</v>
      </c>
      <c r="V348">
        <v>0</v>
      </c>
      <c r="W348" s="162">
        <v>0</v>
      </c>
      <c r="X348">
        <v>0</v>
      </c>
      <c r="Y348" s="162">
        <v>0</v>
      </c>
      <c r="Z348">
        <v>0</v>
      </c>
      <c r="AA348" s="162">
        <v>0</v>
      </c>
      <c r="AB348">
        <v>0</v>
      </c>
      <c r="AC348" s="162" t="s">
        <v>7</v>
      </c>
      <c r="AD348" s="162" t="s">
        <v>7</v>
      </c>
      <c r="AE348" s="162" t="s">
        <v>7</v>
      </c>
      <c r="AF348" s="162" t="s">
        <v>7</v>
      </c>
      <c r="AG348" s="162" t="s">
        <v>7</v>
      </c>
      <c r="AH348" s="162" t="s">
        <v>7</v>
      </c>
      <c r="AI348" t="s">
        <v>9843</v>
      </c>
      <c r="AJ348" t="s">
        <v>7</v>
      </c>
      <c r="AK348" t="s">
        <v>1527</v>
      </c>
      <c r="AL348" t="s">
        <v>36</v>
      </c>
      <c r="AM348" s="162" t="s">
        <v>10138</v>
      </c>
      <c r="AN348" t="s">
        <v>9843</v>
      </c>
      <c r="AO348" t="s">
        <v>35</v>
      </c>
      <c r="AP348" t="s">
        <v>1104</v>
      </c>
      <c r="AQ348" t="s">
        <v>1164</v>
      </c>
      <c r="AR348" t="s">
        <v>7</v>
      </c>
      <c r="AS348" s="162" t="s">
        <v>7</v>
      </c>
      <c r="AT348" s="117" t="s">
        <v>7</v>
      </c>
      <c r="AU348" s="162" t="s">
        <v>7</v>
      </c>
      <c r="AV348" s="162" t="s">
        <v>7</v>
      </c>
      <c r="AW348" s="162" t="s">
        <v>9851</v>
      </c>
      <c r="AX348" s="162" t="s">
        <v>7</v>
      </c>
      <c r="AY348" s="162" t="s">
        <v>7</v>
      </c>
      <c r="AZ348" t="s">
        <v>9867</v>
      </c>
      <c r="BA348" s="162" t="s">
        <v>9851</v>
      </c>
      <c r="BB348" s="162" t="s">
        <v>7</v>
      </c>
      <c r="BC348" s="162" t="s">
        <v>9851</v>
      </c>
      <c r="BD348" s="162" t="s">
        <v>7</v>
      </c>
      <c r="BE348" s="162" t="s">
        <v>7</v>
      </c>
      <c r="BF348" s="162" t="str">
        <f t="shared" si="10"/>
        <v>Não</v>
      </c>
      <c r="BG348" s="162" t="str">
        <f t="shared" si="11"/>
        <v>Não</v>
      </c>
      <c r="BH348" s="162" t="s">
        <v>9851</v>
      </c>
      <c r="BI348" t="s">
        <v>7</v>
      </c>
      <c r="BJ348" s="162" t="s">
        <v>7</v>
      </c>
      <c r="BK348" t="s">
        <v>1166</v>
      </c>
      <c r="BL348" s="162">
        <v>96</v>
      </c>
      <c r="BM348" t="s">
        <v>35</v>
      </c>
      <c r="BN348" t="s">
        <v>35</v>
      </c>
      <c r="BO348" t="s">
        <v>1166</v>
      </c>
      <c r="BP348" s="162">
        <v>96</v>
      </c>
      <c r="BQ348" t="s">
        <v>35</v>
      </c>
      <c r="BR348" t="s">
        <v>1849</v>
      </c>
      <c r="BS348" s="162" t="s">
        <v>10170</v>
      </c>
    </row>
    <row r="349" spans="1:71">
      <c r="A349" s="162">
        <v>348</v>
      </c>
      <c r="B349" t="s">
        <v>157</v>
      </c>
      <c r="C349" s="162">
        <v>1</v>
      </c>
      <c r="D349" s="122" t="s">
        <v>104</v>
      </c>
      <c r="E349" t="s">
        <v>571</v>
      </c>
      <c r="F349" t="s">
        <v>515</v>
      </c>
      <c r="G349" t="s">
        <v>166</v>
      </c>
      <c r="H349" t="s">
        <v>572</v>
      </c>
      <c r="I349" s="162">
        <v>1</v>
      </c>
      <c r="J349" t="s">
        <v>1855</v>
      </c>
      <c r="K349" t="s">
        <v>3</v>
      </c>
      <c r="L349" s="165">
        <v>32801</v>
      </c>
      <c r="M349" s="166">
        <v>27</v>
      </c>
      <c r="N349" t="s">
        <v>5</v>
      </c>
      <c r="O349" t="s">
        <v>10135</v>
      </c>
      <c r="P349" t="s">
        <v>1074</v>
      </c>
      <c r="Q349" t="s">
        <v>1351</v>
      </c>
      <c r="R349">
        <v>0</v>
      </c>
      <c r="S349" s="162">
        <v>0</v>
      </c>
      <c r="T349" t="s">
        <v>1352</v>
      </c>
      <c r="U349" s="162">
        <v>14016.6</v>
      </c>
      <c r="V349">
        <v>0</v>
      </c>
      <c r="W349" s="162">
        <v>0</v>
      </c>
      <c r="X349">
        <v>0</v>
      </c>
      <c r="Y349" s="162">
        <v>0</v>
      </c>
      <c r="Z349">
        <v>0</v>
      </c>
      <c r="AA349" s="162">
        <v>0</v>
      </c>
      <c r="AB349">
        <v>0</v>
      </c>
      <c r="AC349" s="162" t="s">
        <v>7</v>
      </c>
      <c r="AD349" s="162" t="s">
        <v>7</v>
      </c>
      <c r="AE349" s="162" t="s">
        <v>7</v>
      </c>
      <c r="AF349" s="162" t="s">
        <v>7</v>
      </c>
      <c r="AG349" s="162" t="s">
        <v>7</v>
      </c>
      <c r="AH349" s="162" t="s">
        <v>7</v>
      </c>
      <c r="AI349" t="s">
        <v>9846</v>
      </c>
      <c r="AJ349" t="s">
        <v>7</v>
      </c>
      <c r="AK349" t="s">
        <v>9804</v>
      </c>
      <c r="AL349" t="s">
        <v>78</v>
      </c>
      <c r="AM349" s="162" t="s">
        <v>10138</v>
      </c>
      <c r="AN349" t="s">
        <v>9843</v>
      </c>
      <c r="AO349" t="s">
        <v>35</v>
      </c>
      <c r="AP349" t="s">
        <v>1079</v>
      </c>
      <c r="AQ349" t="s">
        <v>1166</v>
      </c>
      <c r="AR349" t="s">
        <v>7</v>
      </c>
      <c r="AS349" s="162" t="s">
        <v>7</v>
      </c>
      <c r="AT349" s="117" t="s">
        <v>7</v>
      </c>
      <c r="AU349" s="162" t="s">
        <v>7</v>
      </c>
      <c r="AV349" s="162" t="s">
        <v>7</v>
      </c>
      <c r="AW349" s="162" t="s">
        <v>9851</v>
      </c>
      <c r="AX349" s="162" t="s">
        <v>7</v>
      </c>
      <c r="AY349" s="162" t="s">
        <v>7</v>
      </c>
      <c r="AZ349" t="s">
        <v>7</v>
      </c>
      <c r="BA349" s="162" t="s">
        <v>7</v>
      </c>
      <c r="BB349" s="162" t="s">
        <v>7</v>
      </c>
      <c r="BC349" s="162" t="s">
        <v>7</v>
      </c>
      <c r="BD349" s="162" t="s">
        <v>7</v>
      </c>
      <c r="BE349" s="162" t="s">
        <v>7</v>
      </c>
      <c r="BF349" s="162" t="str">
        <f t="shared" si="10"/>
        <v>Sim</v>
      </c>
      <c r="BG349" s="162" t="str">
        <f t="shared" si="11"/>
        <v>Não</v>
      </c>
      <c r="BH349" s="162" t="s">
        <v>7</v>
      </c>
      <c r="BI349" t="s">
        <v>7</v>
      </c>
      <c r="BJ349" s="162" t="s">
        <v>7</v>
      </c>
      <c r="BK349" t="s">
        <v>1166</v>
      </c>
      <c r="BL349" s="162">
        <v>96</v>
      </c>
      <c r="BM349" t="s">
        <v>35</v>
      </c>
      <c r="BN349" t="s">
        <v>35</v>
      </c>
      <c r="BO349" t="s">
        <v>1166</v>
      </c>
      <c r="BP349" s="162">
        <v>96</v>
      </c>
      <c r="BQ349" t="s">
        <v>35</v>
      </c>
      <c r="BR349" t="s">
        <v>1849</v>
      </c>
      <c r="BS349" s="162" t="s">
        <v>10170</v>
      </c>
    </row>
    <row r="350" spans="1:71">
      <c r="A350" s="162">
        <v>349</v>
      </c>
      <c r="B350" t="s">
        <v>162</v>
      </c>
      <c r="C350" s="162">
        <v>0</v>
      </c>
      <c r="D350" s="122" t="s">
        <v>584</v>
      </c>
      <c r="E350" t="s">
        <v>569</v>
      </c>
      <c r="F350" t="s">
        <v>3</v>
      </c>
      <c r="G350" t="s">
        <v>166</v>
      </c>
      <c r="H350" t="s">
        <v>586</v>
      </c>
      <c r="I350" s="162">
        <v>1</v>
      </c>
      <c r="J350" t="s">
        <v>1855</v>
      </c>
      <c r="K350" t="s">
        <v>515</v>
      </c>
      <c r="L350" s="165">
        <v>33792</v>
      </c>
      <c r="M350" s="166">
        <v>24</v>
      </c>
      <c r="N350" t="s">
        <v>5</v>
      </c>
      <c r="O350" t="s">
        <v>10135</v>
      </c>
      <c r="P350" t="s">
        <v>1101</v>
      </c>
      <c r="Q350" t="s">
        <v>1363</v>
      </c>
      <c r="R350" t="s">
        <v>1364</v>
      </c>
      <c r="S350" s="162">
        <v>31.4</v>
      </c>
      <c r="T350">
        <v>0</v>
      </c>
      <c r="U350" s="162">
        <v>0</v>
      </c>
      <c r="V350" t="s">
        <v>1365</v>
      </c>
      <c r="W350" s="162">
        <v>2.5</v>
      </c>
      <c r="X350">
        <v>0</v>
      </c>
      <c r="Y350" s="162">
        <v>0</v>
      </c>
      <c r="Z350">
        <v>0</v>
      </c>
      <c r="AA350" s="162">
        <v>0</v>
      </c>
      <c r="AB350">
        <v>0</v>
      </c>
      <c r="AC350" s="162" t="s">
        <v>7</v>
      </c>
      <c r="AD350" s="162" t="s">
        <v>7</v>
      </c>
      <c r="AE350" s="162" t="s">
        <v>7</v>
      </c>
      <c r="AF350" s="162" t="s">
        <v>7</v>
      </c>
      <c r="AG350" s="162" t="s">
        <v>7</v>
      </c>
      <c r="AH350" s="162" t="s">
        <v>7</v>
      </c>
      <c r="AI350" t="s">
        <v>9843</v>
      </c>
      <c r="AJ350" t="s">
        <v>7</v>
      </c>
      <c r="AK350" t="s">
        <v>9808</v>
      </c>
      <c r="AL350" t="s">
        <v>36</v>
      </c>
      <c r="AM350" s="162" t="s">
        <v>10138</v>
      </c>
      <c r="AN350" t="s">
        <v>9843</v>
      </c>
      <c r="AO350" t="s">
        <v>35</v>
      </c>
      <c r="AP350" t="s">
        <v>1366</v>
      </c>
      <c r="AQ350" t="s">
        <v>1080</v>
      </c>
      <c r="AR350" t="s">
        <v>1097</v>
      </c>
      <c r="AS350" s="162" t="s">
        <v>9851</v>
      </c>
      <c r="AT350" s="117" t="s">
        <v>7</v>
      </c>
      <c r="AU350" s="162" t="s">
        <v>7</v>
      </c>
      <c r="AV350" s="162" t="s">
        <v>7</v>
      </c>
      <c r="AW350" s="162" t="s">
        <v>9851</v>
      </c>
      <c r="AX350" s="162" t="s">
        <v>7</v>
      </c>
      <c r="AY350" s="162" t="s">
        <v>7</v>
      </c>
      <c r="AZ350" t="s">
        <v>9868</v>
      </c>
      <c r="BA350" s="162" t="s">
        <v>7</v>
      </c>
      <c r="BB350" s="162" t="s">
        <v>7</v>
      </c>
      <c r="BC350" s="162" t="s">
        <v>7</v>
      </c>
      <c r="BD350" s="162" t="s">
        <v>7</v>
      </c>
      <c r="BE350" s="162" t="s">
        <v>9851</v>
      </c>
      <c r="BF350" s="162" t="str">
        <f t="shared" si="10"/>
        <v>Não</v>
      </c>
      <c r="BG350" s="162" t="str">
        <f t="shared" si="11"/>
        <v>Não</v>
      </c>
      <c r="BH350" s="162" t="s">
        <v>9851</v>
      </c>
      <c r="BI350" t="s">
        <v>9872</v>
      </c>
      <c r="BJ350" s="162" t="s">
        <v>10165</v>
      </c>
      <c r="BK350" t="s">
        <v>1367</v>
      </c>
      <c r="BL350" s="162">
        <v>100.8</v>
      </c>
      <c r="BM350" t="s">
        <v>35</v>
      </c>
      <c r="BN350" t="s">
        <v>35</v>
      </c>
      <c r="BO350" t="s">
        <v>1367</v>
      </c>
      <c r="BP350" s="162">
        <v>100.8</v>
      </c>
      <c r="BQ350" t="s">
        <v>35</v>
      </c>
      <c r="BR350" t="s">
        <v>1849</v>
      </c>
      <c r="BS350" s="162" t="s">
        <v>10253</v>
      </c>
    </row>
    <row r="351" spans="1:71">
      <c r="A351" s="162">
        <v>350</v>
      </c>
      <c r="B351" t="s">
        <v>451</v>
      </c>
      <c r="C351" s="162">
        <v>1</v>
      </c>
      <c r="D351" s="122" t="s">
        <v>1033</v>
      </c>
      <c r="E351" t="s">
        <v>1034</v>
      </c>
      <c r="F351" t="s">
        <v>515</v>
      </c>
      <c r="G351" t="s">
        <v>461</v>
      </c>
      <c r="H351" t="s">
        <v>1035</v>
      </c>
      <c r="I351" s="162">
        <v>1</v>
      </c>
      <c r="J351" t="s">
        <v>76</v>
      </c>
      <c r="K351" t="s">
        <v>3</v>
      </c>
      <c r="L351" s="165">
        <v>27653</v>
      </c>
      <c r="M351" s="166">
        <v>42</v>
      </c>
      <c r="N351" t="s">
        <v>4</v>
      </c>
      <c r="O351" t="s">
        <v>10134</v>
      </c>
      <c r="P351" t="s">
        <v>1074</v>
      </c>
      <c r="Q351" t="s">
        <v>1186</v>
      </c>
      <c r="R351" t="s">
        <v>1469</v>
      </c>
      <c r="S351" s="162">
        <v>17349.599999999999</v>
      </c>
      <c r="T351">
        <v>0</v>
      </c>
      <c r="U351" s="162">
        <v>0</v>
      </c>
      <c r="V351">
        <v>0</v>
      </c>
      <c r="W351" s="162">
        <v>0</v>
      </c>
      <c r="X351">
        <v>0</v>
      </c>
      <c r="Y351" s="162">
        <v>0</v>
      </c>
      <c r="Z351">
        <v>0</v>
      </c>
      <c r="AA351" s="162">
        <v>0</v>
      </c>
      <c r="AB351">
        <v>0</v>
      </c>
      <c r="AC351" s="162" t="s">
        <v>7</v>
      </c>
      <c r="AD351" s="162" t="s">
        <v>7</v>
      </c>
      <c r="AE351" s="162" t="s">
        <v>7</v>
      </c>
      <c r="AF351" s="162" t="s">
        <v>7</v>
      </c>
      <c r="AG351" s="162" t="s">
        <v>7</v>
      </c>
      <c r="AH351" s="162" t="s">
        <v>7</v>
      </c>
      <c r="AI351" t="s">
        <v>9843</v>
      </c>
      <c r="AJ351" t="s">
        <v>7</v>
      </c>
      <c r="AK351" t="s">
        <v>1132</v>
      </c>
      <c r="AL351" t="s">
        <v>36</v>
      </c>
      <c r="AM351" s="162" t="s">
        <v>10138</v>
      </c>
      <c r="AN351" t="s">
        <v>9843</v>
      </c>
      <c r="AO351" t="s">
        <v>35</v>
      </c>
      <c r="AP351" t="s">
        <v>1470</v>
      </c>
      <c r="AQ351" t="s">
        <v>1163</v>
      </c>
      <c r="AR351" t="s">
        <v>1097</v>
      </c>
      <c r="AS351" s="162" t="s">
        <v>9851</v>
      </c>
      <c r="AT351" s="117" t="s">
        <v>7</v>
      </c>
      <c r="AU351" s="162" t="s">
        <v>7</v>
      </c>
      <c r="AV351" s="162" t="s">
        <v>7</v>
      </c>
      <c r="AW351" s="162" t="s">
        <v>9851</v>
      </c>
      <c r="AX351" s="162" t="s">
        <v>7</v>
      </c>
      <c r="AY351" s="162" t="s">
        <v>7</v>
      </c>
      <c r="AZ351" t="s">
        <v>7</v>
      </c>
      <c r="BA351" s="162" t="s">
        <v>7</v>
      </c>
      <c r="BB351" s="162" t="s">
        <v>7</v>
      </c>
      <c r="BC351" s="162" t="s">
        <v>7</v>
      </c>
      <c r="BD351" s="162" t="s">
        <v>7</v>
      </c>
      <c r="BE351" s="162" t="s">
        <v>7</v>
      </c>
      <c r="BF351" s="162" t="str">
        <f t="shared" si="10"/>
        <v>Sim</v>
      </c>
      <c r="BG351" s="162" t="str">
        <f t="shared" si="11"/>
        <v>Não</v>
      </c>
      <c r="BH351" s="162" t="s">
        <v>7</v>
      </c>
      <c r="BI351" t="s">
        <v>9872</v>
      </c>
      <c r="BJ351" s="162" t="s">
        <v>10165</v>
      </c>
      <c r="BK351" t="s">
        <v>1081</v>
      </c>
      <c r="BL351" s="162">
        <v>98</v>
      </c>
      <c r="BM351" t="s">
        <v>35</v>
      </c>
      <c r="BN351" t="s">
        <v>35</v>
      </c>
      <c r="BO351" t="s">
        <v>1081</v>
      </c>
      <c r="BP351" s="162">
        <v>98</v>
      </c>
      <c r="BQ351" t="s">
        <v>35</v>
      </c>
      <c r="BR351" t="s">
        <v>1849</v>
      </c>
      <c r="BS351" s="162" t="s">
        <v>10253</v>
      </c>
    </row>
    <row r="352" spans="1:71">
      <c r="A352" s="162">
        <v>351</v>
      </c>
      <c r="B352" t="s">
        <v>354</v>
      </c>
      <c r="C352" s="162">
        <v>1</v>
      </c>
      <c r="D352" s="122" t="s">
        <v>958</v>
      </c>
      <c r="E352" t="s">
        <v>949</v>
      </c>
      <c r="F352" t="s">
        <v>3</v>
      </c>
      <c r="G352" t="s">
        <v>364</v>
      </c>
      <c r="H352" t="s">
        <v>959</v>
      </c>
      <c r="I352" s="162">
        <v>1</v>
      </c>
      <c r="J352" t="s">
        <v>1855</v>
      </c>
      <c r="K352" t="s">
        <v>3</v>
      </c>
      <c r="L352" s="165">
        <v>26887</v>
      </c>
      <c r="M352" s="166">
        <v>43</v>
      </c>
      <c r="N352" t="s">
        <v>4</v>
      </c>
      <c r="O352" t="s">
        <v>10134</v>
      </c>
      <c r="P352" t="s">
        <v>48</v>
      </c>
      <c r="Q352" t="s">
        <v>1204</v>
      </c>
      <c r="R352">
        <v>0</v>
      </c>
      <c r="S352" s="162">
        <v>0</v>
      </c>
      <c r="T352" t="s">
        <v>1205</v>
      </c>
      <c r="U352" s="162">
        <v>72.3</v>
      </c>
      <c r="V352">
        <v>0</v>
      </c>
      <c r="W352" s="162">
        <v>0</v>
      </c>
      <c r="X352">
        <v>0</v>
      </c>
      <c r="Y352" s="162">
        <v>0</v>
      </c>
      <c r="Z352">
        <v>0</v>
      </c>
      <c r="AA352" s="162">
        <v>0</v>
      </c>
      <c r="AB352">
        <v>0</v>
      </c>
      <c r="AC352" s="162" t="s">
        <v>7</v>
      </c>
      <c r="AD352" s="162" t="s">
        <v>7</v>
      </c>
      <c r="AE352" s="162" t="s">
        <v>7</v>
      </c>
      <c r="AF352" s="162" t="s">
        <v>7</v>
      </c>
      <c r="AG352" s="162" t="s">
        <v>7</v>
      </c>
      <c r="AH352" s="162" t="s">
        <v>7</v>
      </c>
      <c r="AI352" t="s">
        <v>9843</v>
      </c>
      <c r="AJ352" t="s">
        <v>9850</v>
      </c>
      <c r="AK352" t="s">
        <v>9767</v>
      </c>
      <c r="AL352" t="s">
        <v>36</v>
      </c>
      <c r="AM352" s="162" t="s">
        <v>10138</v>
      </c>
      <c r="AN352" t="s">
        <v>9843</v>
      </c>
      <c r="AO352" t="s">
        <v>9850</v>
      </c>
      <c r="AP352" t="s">
        <v>1652</v>
      </c>
      <c r="AQ352" t="s">
        <v>1163</v>
      </c>
      <c r="AR352" t="s">
        <v>1097</v>
      </c>
      <c r="AS352" s="162" t="s">
        <v>9851</v>
      </c>
      <c r="AT352" s="117" t="s">
        <v>7</v>
      </c>
      <c r="AU352" s="162" t="s">
        <v>7</v>
      </c>
      <c r="AV352" s="162" t="s">
        <v>7</v>
      </c>
      <c r="AW352" s="162" t="s">
        <v>9851</v>
      </c>
      <c r="AX352" s="162" t="s">
        <v>7</v>
      </c>
      <c r="AY352" s="162" t="s">
        <v>7</v>
      </c>
      <c r="AZ352" t="s">
        <v>7</v>
      </c>
      <c r="BA352" s="162" t="s">
        <v>7</v>
      </c>
      <c r="BB352" s="162" t="s">
        <v>7</v>
      </c>
      <c r="BC352" s="162" t="s">
        <v>7</v>
      </c>
      <c r="BD352" s="162" t="s">
        <v>7</v>
      </c>
      <c r="BE352" s="162" t="s">
        <v>7</v>
      </c>
      <c r="BF352" s="162" t="str">
        <f t="shared" si="10"/>
        <v>Sim</v>
      </c>
      <c r="BG352" s="162" t="str">
        <f t="shared" si="11"/>
        <v>Não</v>
      </c>
      <c r="BH352" s="162" t="s">
        <v>7</v>
      </c>
      <c r="BI352" t="s">
        <v>9872</v>
      </c>
      <c r="BJ352" s="162" t="s">
        <v>10165</v>
      </c>
      <c r="BK352" t="s">
        <v>1081</v>
      </c>
      <c r="BL352" s="162">
        <v>98</v>
      </c>
      <c r="BM352" t="s">
        <v>35</v>
      </c>
      <c r="BN352" t="s">
        <v>9874</v>
      </c>
      <c r="BO352" t="s">
        <v>1206</v>
      </c>
      <c r="BP352" s="162">
        <v>110.83333333333333</v>
      </c>
      <c r="BQ352" t="s">
        <v>35</v>
      </c>
      <c r="BR352" t="s">
        <v>1849</v>
      </c>
      <c r="BS352" s="162" t="s">
        <v>10253</v>
      </c>
    </row>
    <row r="353" spans="1:71">
      <c r="A353" s="162">
        <v>352</v>
      </c>
      <c r="B353" t="s">
        <v>169</v>
      </c>
      <c r="C353" s="162">
        <v>1</v>
      </c>
      <c r="D353" s="122" t="s">
        <v>597</v>
      </c>
      <c r="E353" t="s">
        <v>598</v>
      </c>
      <c r="F353" t="s">
        <v>515</v>
      </c>
      <c r="G353" t="s">
        <v>173</v>
      </c>
      <c r="H353" t="s">
        <v>599</v>
      </c>
      <c r="I353" s="162">
        <v>1</v>
      </c>
      <c r="J353" t="s">
        <v>1855</v>
      </c>
      <c r="K353" t="s">
        <v>3</v>
      </c>
      <c r="L353" s="165">
        <v>32372</v>
      </c>
      <c r="M353" s="166">
        <v>29</v>
      </c>
      <c r="N353" t="s">
        <v>4</v>
      </c>
      <c r="O353" t="s">
        <v>10134</v>
      </c>
      <c r="P353" t="s">
        <v>1074</v>
      </c>
      <c r="Q353" t="s">
        <v>1078</v>
      </c>
      <c r="R353" t="s">
        <v>9895</v>
      </c>
      <c r="S353" s="162">
        <v>116.1</v>
      </c>
      <c r="T353" t="s">
        <v>9896</v>
      </c>
      <c r="U353" s="162">
        <v>7.7</v>
      </c>
      <c r="V353" t="s">
        <v>9897</v>
      </c>
      <c r="W353" s="162">
        <v>12.6</v>
      </c>
      <c r="X353">
        <v>0</v>
      </c>
      <c r="Y353" s="162">
        <v>0</v>
      </c>
      <c r="Z353">
        <v>0</v>
      </c>
      <c r="AA353" s="162">
        <v>0</v>
      </c>
      <c r="AB353">
        <v>0</v>
      </c>
      <c r="AC353" s="162" t="s">
        <v>7</v>
      </c>
      <c r="AD353" s="162" t="s">
        <v>7</v>
      </c>
      <c r="AE353" s="162" t="s">
        <v>7</v>
      </c>
      <c r="AF353" s="162" t="s">
        <v>7</v>
      </c>
      <c r="AG353" s="162" t="s">
        <v>7</v>
      </c>
      <c r="AH353" s="162" t="s">
        <v>7</v>
      </c>
      <c r="AI353" t="s">
        <v>9843</v>
      </c>
      <c r="AJ353" t="s">
        <v>1271</v>
      </c>
      <c r="AK353" t="s">
        <v>1666</v>
      </c>
      <c r="AL353" t="s">
        <v>78</v>
      </c>
      <c r="AM353" s="162" t="s">
        <v>10138</v>
      </c>
      <c r="AN353" t="s">
        <v>9843</v>
      </c>
      <c r="AO353" t="s">
        <v>7</v>
      </c>
      <c r="AP353" t="s">
        <v>1079</v>
      </c>
      <c r="AQ353" t="s">
        <v>1080</v>
      </c>
      <c r="AR353" t="s">
        <v>1097</v>
      </c>
      <c r="AS353" s="162" t="s">
        <v>9851</v>
      </c>
      <c r="AT353" s="117" t="s">
        <v>7</v>
      </c>
      <c r="AU353" s="162" t="s">
        <v>7</v>
      </c>
      <c r="AV353" s="162" t="s">
        <v>7</v>
      </c>
      <c r="AW353" s="162" t="s">
        <v>9851</v>
      </c>
      <c r="AX353" s="162" t="s">
        <v>7</v>
      </c>
      <c r="AY353" s="162" t="s">
        <v>7</v>
      </c>
      <c r="AZ353" t="s">
        <v>1937</v>
      </c>
      <c r="BA353" s="162" t="s">
        <v>9851</v>
      </c>
      <c r="BB353" s="162" t="s">
        <v>7</v>
      </c>
      <c r="BC353" s="162" t="s">
        <v>7</v>
      </c>
      <c r="BD353" s="162" t="s">
        <v>7</v>
      </c>
      <c r="BE353" s="162" t="s">
        <v>7</v>
      </c>
      <c r="BF353" s="162" t="str">
        <f t="shared" si="10"/>
        <v>Não</v>
      </c>
      <c r="BG353" s="162" t="str">
        <f t="shared" si="11"/>
        <v>Não</v>
      </c>
      <c r="BH353" s="162" t="s">
        <v>9851</v>
      </c>
      <c r="BI353" t="s">
        <v>9872</v>
      </c>
      <c r="BJ353" s="162" t="s">
        <v>10165</v>
      </c>
      <c r="BK353" t="s">
        <v>1081</v>
      </c>
      <c r="BL353" s="162">
        <v>98</v>
      </c>
      <c r="BM353" t="s">
        <v>35</v>
      </c>
      <c r="BN353" t="s">
        <v>35</v>
      </c>
      <c r="BO353" t="s">
        <v>1081</v>
      </c>
      <c r="BP353" s="162">
        <v>98</v>
      </c>
      <c r="BQ353" t="s">
        <v>35</v>
      </c>
      <c r="BR353" t="s">
        <v>1849</v>
      </c>
      <c r="BS353" s="162" t="s">
        <v>10253</v>
      </c>
    </row>
    <row r="354" spans="1:71">
      <c r="A354" s="162">
        <v>353</v>
      </c>
      <c r="B354" t="s">
        <v>172</v>
      </c>
      <c r="C354" s="162">
        <v>1</v>
      </c>
      <c r="D354" s="122" t="s">
        <v>608</v>
      </c>
      <c r="E354" t="s">
        <v>593</v>
      </c>
      <c r="F354" t="s">
        <v>515</v>
      </c>
      <c r="G354" t="s">
        <v>173</v>
      </c>
      <c r="H354" t="s">
        <v>609</v>
      </c>
      <c r="I354" s="162">
        <v>1</v>
      </c>
      <c r="J354" t="s">
        <v>1855</v>
      </c>
      <c r="K354" t="s">
        <v>3</v>
      </c>
      <c r="L354" s="165">
        <v>32904</v>
      </c>
      <c r="M354" s="166">
        <v>27</v>
      </c>
      <c r="N354" t="s">
        <v>5</v>
      </c>
      <c r="O354" t="s">
        <v>10135</v>
      </c>
      <c r="P354" t="s">
        <v>1101</v>
      </c>
      <c r="Q354" t="s">
        <v>1103</v>
      </c>
      <c r="R354" t="s">
        <v>1102</v>
      </c>
      <c r="S354" s="162">
        <v>864.3</v>
      </c>
      <c r="T354">
        <v>0</v>
      </c>
      <c r="U354" s="162">
        <v>0</v>
      </c>
      <c r="V354">
        <v>0</v>
      </c>
      <c r="W354" s="162">
        <v>0</v>
      </c>
      <c r="X354">
        <v>0</v>
      </c>
      <c r="Y354" s="162">
        <v>0</v>
      </c>
      <c r="Z354">
        <v>0</v>
      </c>
      <c r="AA354" s="162">
        <v>0</v>
      </c>
      <c r="AB354">
        <v>0</v>
      </c>
      <c r="AC354" s="162" t="s">
        <v>7</v>
      </c>
      <c r="AD354" s="162" t="s">
        <v>7</v>
      </c>
      <c r="AE354" s="162" t="s">
        <v>7</v>
      </c>
      <c r="AF354" s="162" t="s">
        <v>7</v>
      </c>
      <c r="AG354" s="162" t="s">
        <v>7</v>
      </c>
      <c r="AH354" s="162" t="s">
        <v>7</v>
      </c>
      <c r="AI354" t="s">
        <v>9843</v>
      </c>
      <c r="AJ354" t="s">
        <v>7</v>
      </c>
      <c r="AK354" t="s">
        <v>9811</v>
      </c>
      <c r="AL354" t="s">
        <v>36</v>
      </c>
      <c r="AM354" s="162" t="s">
        <v>10138</v>
      </c>
      <c r="AN354" t="s">
        <v>9843</v>
      </c>
      <c r="AO354" t="s">
        <v>35</v>
      </c>
      <c r="AP354" t="s">
        <v>1104</v>
      </c>
      <c r="AQ354" t="s">
        <v>8</v>
      </c>
      <c r="AR354" t="s">
        <v>1097</v>
      </c>
      <c r="AS354" s="162" t="s">
        <v>9851</v>
      </c>
      <c r="AT354" s="117" t="s">
        <v>7</v>
      </c>
      <c r="AU354" s="162" t="s">
        <v>7</v>
      </c>
      <c r="AV354" s="162" t="s">
        <v>7</v>
      </c>
      <c r="AW354" s="162" t="s">
        <v>9851</v>
      </c>
      <c r="AX354" s="162" t="s">
        <v>7</v>
      </c>
      <c r="AY354" s="162" t="s">
        <v>7</v>
      </c>
      <c r="AZ354" t="s">
        <v>7</v>
      </c>
      <c r="BA354" s="162" t="s">
        <v>7</v>
      </c>
      <c r="BB354" s="162" t="s">
        <v>7</v>
      </c>
      <c r="BC354" s="162" t="s">
        <v>7</v>
      </c>
      <c r="BD354" s="162" t="s">
        <v>7</v>
      </c>
      <c r="BE354" s="162" t="s">
        <v>7</v>
      </c>
      <c r="BF354" s="162" t="str">
        <f t="shared" si="10"/>
        <v>Sim</v>
      </c>
      <c r="BG354" s="162" t="str">
        <f t="shared" si="11"/>
        <v>Não</v>
      </c>
      <c r="BH354" s="162" t="s">
        <v>7</v>
      </c>
      <c r="BI354" t="s">
        <v>9872</v>
      </c>
      <c r="BJ354" s="162" t="s">
        <v>10165</v>
      </c>
      <c r="BK354" t="s">
        <v>1105</v>
      </c>
      <c r="BL354" s="162">
        <v>100</v>
      </c>
      <c r="BM354" t="s">
        <v>35</v>
      </c>
      <c r="BN354" t="s">
        <v>35</v>
      </c>
      <c r="BO354" t="s">
        <v>1105</v>
      </c>
      <c r="BP354" s="162">
        <v>100</v>
      </c>
      <c r="BQ354" t="s">
        <v>35</v>
      </c>
      <c r="BR354" t="s">
        <v>1849</v>
      </c>
      <c r="BS354" s="162" t="s">
        <v>10253</v>
      </c>
    </row>
    <row r="355" spans="1:71">
      <c r="A355" s="162">
        <v>354</v>
      </c>
      <c r="B355" t="s">
        <v>168</v>
      </c>
      <c r="C355" s="162">
        <v>1</v>
      </c>
      <c r="D355" s="122" t="s">
        <v>595</v>
      </c>
      <c r="E355" t="s">
        <v>593</v>
      </c>
      <c r="F355" t="s">
        <v>515</v>
      </c>
      <c r="G355" t="s">
        <v>173</v>
      </c>
      <c r="H355" t="s">
        <v>596</v>
      </c>
      <c r="I355" s="162">
        <v>1</v>
      </c>
      <c r="J355" t="s">
        <v>1855</v>
      </c>
      <c r="K355" t="s">
        <v>3</v>
      </c>
      <c r="L355" s="165">
        <v>29831</v>
      </c>
      <c r="M355" s="166">
        <v>36</v>
      </c>
      <c r="N355" t="s">
        <v>5</v>
      </c>
      <c r="O355" t="s">
        <v>10135</v>
      </c>
      <c r="P355" t="s">
        <v>1074</v>
      </c>
      <c r="Q355" t="s">
        <v>1076</v>
      </c>
      <c r="R355">
        <v>0</v>
      </c>
      <c r="S355" s="162">
        <v>0</v>
      </c>
      <c r="T355" t="s">
        <v>1075</v>
      </c>
      <c r="U355" s="162">
        <v>21500</v>
      </c>
      <c r="V355">
        <v>0</v>
      </c>
      <c r="W355" s="162">
        <v>0</v>
      </c>
      <c r="X355">
        <v>0</v>
      </c>
      <c r="Y355" s="162">
        <v>0</v>
      </c>
      <c r="Z355">
        <v>0</v>
      </c>
      <c r="AA355" s="162">
        <v>0</v>
      </c>
      <c r="AB355">
        <v>0</v>
      </c>
      <c r="AC355" s="162" t="s">
        <v>7</v>
      </c>
      <c r="AD355" s="162" t="s">
        <v>7</v>
      </c>
      <c r="AE355" s="162" t="s">
        <v>7</v>
      </c>
      <c r="AF355" s="162" t="s">
        <v>7</v>
      </c>
      <c r="AG355" s="162" t="s">
        <v>7</v>
      </c>
      <c r="AH355" s="162" t="s">
        <v>7</v>
      </c>
      <c r="AI355" t="s">
        <v>9843</v>
      </c>
      <c r="AJ355" t="s">
        <v>7</v>
      </c>
      <c r="AK355" t="s">
        <v>1527</v>
      </c>
      <c r="AL355" t="s">
        <v>36</v>
      </c>
      <c r="AM355" s="162" t="s">
        <v>10138</v>
      </c>
      <c r="AN355" t="s">
        <v>9843</v>
      </c>
      <c r="AO355" t="s">
        <v>35</v>
      </c>
      <c r="AP355" t="s">
        <v>1280</v>
      </c>
      <c r="AQ355" t="s">
        <v>1077</v>
      </c>
      <c r="AR355" t="s">
        <v>7</v>
      </c>
      <c r="AS355" s="162" t="s">
        <v>7</v>
      </c>
      <c r="AT355" s="117" t="s">
        <v>7</v>
      </c>
      <c r="AU355" s="162" t="s">
        <v>7</v>
      </c>
      <c r="AV355" s="162" t="s">
        <v>7</v>
      </c>
      <c r="AW355" s="162" t="s">
        <v>9851</v>
      </c>
      <c r="AX355" s="162" t="s">
        <v>7</v>
      </c>
      <c r="AY355" s="162" t="s">
        <v>7</v>
      </c>
      <c r="AZ355" t="s">
        <v>7</v>
      </c>
      <c r="BA355" s="162" t="s">
        <v>7</v>
      </c>
      <c r="BB355" s="162" t="s">
        <v>7</v>
      </c>
      <c r="BC355" s="162" t="s">
        <v>7</v>
      </c>
      <c r="BD355" s="162" t="s">
        <v>7</v>
      </c>
      <c r="BE355" s="162" t="s">
        <v>7</v>
      </c>
      <c r="BF355" s="162" t="str">
        <f t="shared" si="10"/>
        <v>Sim</v>
      </c>
      <c r="BG355" s="162" t="str">
        <f t="shared" si="11"/>
        <v>Não</v>
      </c>
      <c r="BH355" s="162" t="s">
        <v>7</v>
      </c>
      <c r="BI355" t="s">
        <v>7</v>
      </c>
      <c r="BJ355" s="162" t="s">
        <v>7</v>
      </c>
      <c r="BK355" t="s">
        <v>1077</v>
      </c>
      <c r="BL355" s="162">
        <v>102</v>
      </c>
      <c r="BM355" t="s">
        <v>35</v>
      </c>
      <c r="BN355" t="s">
        <v>35</v>
      </c>
      <c r="BO355" t="s">
        <v>1077</v>
      </c>
      <c r="BP355" s="162">
        <v>102</v>
      </c>
      <c r="BQ355" t="s">
        <v>35</v>
      </c>
      <c r="BR355" t="s">
        <v>1849</v>
      </c>
      <c r="BS355" s="162" t="s">
        <v>10253</v>
      </c>
    </row>
    <row r="356" spans="1:71">
      <c r="A356" s="162">
        <v>355</v>
      </c>
      <c r="B356" t="s">
        <v>423</v>
      </c>
      <c r="C356" s="162">
        <v>1</v>
      </c>
      <c r="D356" s="122" t="s">
        <v>556</v>
      </c>
      <c r="E356" t="s">
        <v>603</v>
      </c>
      <c r="F356" t="s">
        <v>515</v>
      </c>
      <c r="G356" t="s">
        <v>426</v>
      </c>
      <c r="H356" t="s">
        <v>989</v>
      </c>
      <c r="I356" s="162">
        <v>1</v>
      </c>
      <c r="J356" t="s">
        <v>1855</v>
      </c>
      <c r="K356" t="s">
        <v>3</v>
      </c>
      <c r="L356" s="165">
        <v>27523</v>
      </c>
      <c r="M356" s="166">
        <v>42</v>
      </c>
      <c r="N356" t="s">
        <v>4</v>
      </c>
      <c r="O356" t="s">
        <v>10134</v>
      </c>
      <c r="P356" t="s">
        <v>1101</v>
      </c>
      <c r="Q356" t="s">
        <v>9782</v>
      </c>
      <c r="R356" t="s">
        <v>1568</v>
      </c>
      <c r="S356" s="162">
        <v>316</v>
      </c>
      <c r="T356" t="s">
        <v>1569</v>
      </c>
      <c r="U356" s="162">
        <v>463.5</v>
      </c>
      <c r="V356">
        <v>0</v>
      </c>
      <c r="W356" s="162">
        <v>0</v>
      </c>
      <c r="X356">
        <v>0</v>
      </c>
      <c r="Y356" s="162">
        <v>0</v>
      </c>
      <c r="Z356">
        <v>0</v>
      </c>
      <c r="AA356" s="162">
        <v>0</v>
      </c>
      <c r="AB356">
        <v>0</v>
      </c>
      <c r="AC356" s="162" t="s">
        <v>7</v>
      </c>
      <c r="AD356" s="162" t="s">
        <v>7</v>
      </c>
      <c r="AE356" s="162" t="s">
        <v>7</v>
      </c>
      <c r="AF356" s="162" t="s">
        <v>7</v>
      </c>
      <c r="AG356" s="162" t="s">
        <v>7</v>
      </c>
      <c r="AH356" s="162" t="s">
        <v>7</v>
      </c>
      <c r="AI356" t="s">
        <v>9843</v>
      </c>
      <c r="AJ356" t="s">
        <v>7</v>
      </c>
      <c r="AK356" t="s">
        <v>1572</v>
      </c>
      <c r="AL356" t="s">
        <v>36</v>
      </c>
      <c r="AM356" s="162" t="s">
        <v>10138</v>
      </c>
      <c r="AN356" t="s">
        <v>9843</v>
      </c>
      <c r="AO356" t="s">
        <v>35</v>
      </c>
      <c r="AP356" t="s">
        <v>1199</v>
      </c>
      <c r="AQ356" t="s">
        <v>1100</v>
      </c>
      <c r="AR356" t="s">
        <v>1097</v>
      </c>
      <c r="AS356" s="162" t="s">
        <v>9851</v>
      </c>
      <c r="AT356" s="117" t="s">
        <v>7</v>
      </c>
      <c r="AU356" s="162" t="s">
        <v>7</v>
      </c>
      <c r="AV356" s="162" t="s">
        <v>7</v>
      </c>
      <c r="AW356" s="162" t="s">
        <v>9851</v>
      </c>
      <c r="AX356" s="162" t="s">
        <v>7</v>
      </c>
      <c r="AY356" s="162" t="s">
        <v>7</v>
      </c>
      <c r="AZ356" t="s">
        <v>1937</v>
      </c>
      <c r="BA356" s="162" t="s">
        <v>9851</v>
      </c>
      <c r="BB356" s="162" t="s">
        <v>7</v>
      </c>
      <c r="BC356" s="162" t="s">
        <v>7</v>
      </c>
      <c r="BD356" s="162" t="s">
        <v>7</v>
      </c>
      <c r="BE356" s="162" t="s">
        <v>7</v>
      </c>
      <c r="BF356" s="162" t="str">
        <f t="shared" si="10"/>
        <v>Não</v>
      </c>
      <c r="BG356" s="162" t="str">
        <f t="shared" si="11"/>
        <v>Não</v>
      </c>
      <c r="BH356" s="162" t="s">
        <v>9851</v>
      </c>
      <c r="BI356" t="s">
        <v>7</v>
      </c>
      <c r="BJ356" s="162" t="s">
        <v>7</v>
      </c>
      <c r="BK356" t="s">
        <v>1570</v>
      </c>
      <c r="BL356" s="162">
        <v>108.86666666666666</v>
      </c>
      <c r="BM356" t="s">
        <v>35</v>
      </c>
      <c r="BN356" t="s">
        <v>35</v>
      </c>
      <c r="BO356" t="s">
        <v>1570</v>
      </c>
      <c r="BP356" s="162">
        <v>108.86666666666666</v>
      </c>
      <c r="BQ356" t="s">
        <v>35</v>
      </c>
      <c r="BR356" t="s">
        <v>1849</v>
      </c>
      <c r="BS356" s="162" t="s">
        <v>10253</v>
      </c>
    </row>
    <row r="357" spans="1:71">
      <c r="A357" s="162">
        <v>356</v>
      </c>
      <c r="B357" t="s">
        <v>244</v>
      </c>
      <c r="C357" s="162">
        <v>1</v>
      </c>
      <c r="D357" s="122" t="s">
        <v>708</v>
      </c>
      <c r="E357" t="s">
        <v>709</v>
      </c>
      <c r="F357" t="s">
        <v>515</v>
      </c>
      <c r="G357" t="s">
        <v>251</v>
      </c>
      <c r="H357" t="s">
        <v>710</v>
      </c>
      <c r="I357" s="162">
        <v>1</v>
      </c>
      <c r="J357" t="s">
        <v>76</v>
      </c>
      <c r="K357" t="s">
        <v>3</v>
      </c>
      <c r="L357" s="165">
        <v>33554</v>
      </c>
      <c r="M357" s="166">
        <v>25</v>
      </c>
      <c r="N357" t="s">
        <v>5</v>
      </c>
      <c r="O357" t="s">
        <v>10135</v>
      </c>
      <c r="P357" t="s">
        <v>1101</v>
      </c>
      <c r="Q357" t="s">
        <v>1328</v>
      </c>
      <c r="R357" t="s">
        <v>10055</v>
      </c>
      <c r="S357" s="162">
        <v>14402</v>
      </c>
      <c r="T357" t="s">
        <v>1329</v>
      </c>
      <c r="U357" s="162">
        <v>300.5</v>
      </c>
      <c r="V357">
        <v>0</v>
      </c>
      <c r="W357" s="162">
        <v>0</v>
      </c>
      <c r="X357">
        <v>0</v>
      </c>
      <c r="Y357" s="162">
        <v>0</v>
      </c>
      <c r="Z357">
        <v>0</v>
      </c>
      <c r="AA357" s="162">
        <v>0</v>
      </c>
      <c r="AB357">
        <v>0</v>
      </c>
      <c r="AC357" s="162" t="s">
        <v>7</v>
      </c>
      <c r="AD357" s="162" t="s">
        <v>7</v>
      </c>
      <c r="AE357" s="162" t="s">
        <v>7</v>
      </c>
      <c r="AF357" s="162" t="s">
        <v>7</v>
      </c>
      <c r="AG357" s="162" t="s">
        <v>7</v>
      </c>
      <c r="AH357" s="162" t="s">
        <v>7</v>
      </c>
      <c r="AI357" t="s">
        <v>9845</v>
      </c>
      <c r="AJ357" t="s">
        <v>1956</v>
      </c>
      <c r="AK357" t="s">
        <v>1173</v>
      </c>
      <c r="AL357" t="s">
        <v>36</v>
      </c>
      <c r="AM357" s="162" t="s">
        <v>10138</v>
      </c>
      <c r="AN357" t="s">
        <v>9845</v>
      </c>
      <c r="AO357" t="s">
        <v>1956</v>
      </c>
      <c r="AP357" t="s">
        <v>1104</v>
      </c>
      <c r="AQ357" t="s">
        <v>1163</v>
      </c>
      <c r="AR357" t="s">
        <v>1097</v>
      </c>
      <c r="AS357" s="162" t="s">
        <v>9851</v>
      </c>
      <c r="AT357" s="117" t="s">
        <v>7</v>
      </c>
      <c r="AU357" s="162" t="s">
        <v>7</v>
      </c>
      <c r="AV357" s="162" t="s">
        <v>7</v>
      </c>
      <c r="AW357" s="162" t="s">
        <v>9851</v>
      </c>
      <c r="AX357" s="162" t="s">
        <v>7</v>
      </c>
      <c r="AY357" s="162" t="s">
        <v>7</v>
      </c>
      <c r="AZ357" t="s">
        <v>7</v>
      </c>
      <c r="BA357" s="162" t="s">
        <v>7</v>
      </c>
      <c r="BB357" s="162" t="s">
        <v>7</v>
      </c>
      <c r="BC357" s="162" t="s">
        <v>7</v>
      </c>
      <c r="BD357" s="162" t="s">
        <v>7</v>
      </c>
      <c r="BE357" s="162" t="s">
        <v>7</v>
      </c>
      <c r="BF357" s="162" t="str">
        <f t="shared" si="10"/>
        <v>Sim</v>
      </c>
      <c r="BG357" s="162" t="str">
        <f t="shared" si="11"/>
        <v>Não</v>
      </c>
      <c r="BH357" s="162" t="s">
        <v>7</v>
      </c>
      <c r="BI357" t="s">
        <v>9872</v>
      </c>
      <c r="BJ357" s="162" t="s">
        <v>10165</v>
      </c>
      <c r="BK357" t="s">
        <v>1330</v>
      </c>
      <c r="BL357" s="162">
        <v>112</v>
      </c>
      <c r="BM357" t="s">
        <v>79</v>
      </c>
      <c r="BN357" t="s">
        <v>1331</v>
      </c>
      <c r="BO357" t="s">
        <v>1332</v>
      </c>
      <c r="BP357" s="162">
        <v>192</v>
      </c>
      <c r="BQ357" t="s">
        <v>35</v>
      </c>
      <c r="BR357" t="s">
        <v>1849</v>
      </c>
      <c r="BS357" s="162" t="s">
        <v>10253</v>
      </c>
    </row>
    <row r="358" spans="1:71">
      <c r="A358" s="162">
        <v>357</v>
      </c>
      <c r="B358" t="s">
        <v>388</v>
      </c>
      <c r="C358" s="162">
        <v>1</v>
      </c>
      <c r="D358" s="122" t="s">
        <v>912</v>
      </c>
      <c r="E358" t="s">
        <v>898</v>
      </c>
      <c r="F358" t="s">
        <v>3</v>
      </c>
      <c r="G358" t="s">
        <v>392</v>
      </c>
      <c r="H358" t="s">
        <v>913</v>
      </c>
      <c r="I358" s="162">
        <v>1</v>
      </c>
      <c r="J358" t="s">
        <v>76</v>
      </c>
      <c r="K358" t="s">
        <v>3</v>
      </c>
      <c r="L358" s="165">
        <v>25831</v>
      </c>
      <c r="M358" s="166">
        <v>46</v>
      </c>
      <c r="N358" t="s">
        <v>4</v>
      </c>
      <c r="O358" t="s">
        <v>10134</v>
      </c>
      <c r="P358" t="s">
        <v>48</v>
      </c>
      <c r="Q358" t="s">
        <v>9788</v>
      </c>
      <c r="R358" t="s">
        <v>9830</v>
      </c>
      <c r="S358" s="162">
        <v>8969.6</v>
      </c>
      <c r="T358" t="s">
        <v>9829</v>
      </c>
      <c r="U358" s="162">
        <v>1372.4</v>
      </c>
      <c r="V358">
        <v>0</v>
      </c>
      <c r="W358" s="162">
        <v>0</v>
      </c>
      <c r="X358">
        <v>0</v>
      </c>
      <c r="Y358" s="162">
        <v>0</v>
      </c>
      <c r="Z358">
        <v>0</v>
      </c>
      <c r="AA358" s="162">
        <v>0</v>
      </c>
      <c r="AB358">
        <v>0</v>
      </c>
      <c r="AC358" s="162" t="s">
        <v>7</v>
      </c>
      <c r="AD358" s="162" t="s">
        <v>7</v>
      </c>
      <c r="AE358" s="162" t="s">
        <v>7</v>
      </c>
      <c r="AF358" s="162" t="s">
        <v>7</v>
      </c>
      <c r="AG358" s="162" t="s">
        <v>7</v>
      </c>
      <c r="AH358" s="162" t="s">
        <v>7</v>
      </c>
      <c r="AI358" t="s">
        <v>9843</v>
      </c>
      <c r="AJ358" t="s">
        <v>9848</v>
      </c>
      <c r="AK358" t="s">
        <v>1833</v>
      </c>
      <c r="AL358" t="s">
        <v>36</v>
      </c>
      <c r="AM358" s="162" t="s">
        <v>10138</v>
      </c>
      <c r="AN358" t="s">
        <v>9843</v>
      </c>
      <c r="AO358" t="s">
        <v>9848</v>
      </c>
      <c r="AP358" t="s">
        <v>1104</v>
      </c>
      <c r="AQ358" t="s">
        <v>1105</v>
      </c>
      <c r="AR358" t="s">
        <v>1097</v>
      </c>
      <c r="AS358" s="162" t="s">
        <v>9851</v>
      </c>
      <c r="AT358" s="117" t="s">
        <v>7</v>
      </c>
      <c r="AU358" s="162" t="s">
        <v>7</v>
      </c>
      <c r="AV358" s="162" t="s">
        <v>7</v>
      </c>
      <c r="AW358" s="162" t="s">
        <v>9851</v>
      </c>
      <c r="AX358" s="162" t="s">
        <v>7</v>
      </c>
      <c r="AY358" s="162" t="s">
        <v>7</v>
      </c>
      <c r="AZ358" t="s">
        <v>7</v>
      </c>
      <c r="BA358" s="162" t="s">
        <v>7</v>
      </c>
      <c r="BB358" s="162" t="s">
        <v>7</v>
      </c>
      <c r="BC358" s="162" t="s">
        <v>7</v>
      </c>
      <c r="BD358" s="162" t="s">
        <v>7</v>
      </c>
      <c r="BE358" s="162" t="s">
        <v>7</v>
      </c>
      <c r="BF358" s="162" t="str">
        <f t="shared" si="10"/>
        <v>Sim</v>
      </c>
      <c r="BG358" s="162" t="str">
        <f t="shared" si="11"/>
        <v>Não</v>
      </c>
      <c r="BH358" s="162" t="s">
        <v>7</v>
      </c>
      <c r="BI358" t="s">
        <v>7</v>
      </c>
      <c r="BJ358" s="162" t="s">
        <v>7</v>
      </c>
      <c r="BK358" t="s">
        <v>1605</v>
      </c>
      <c r="BL358" s="162">
        <v>116.66666666666667</v>
      </c>
      <c r="BM358" t="s">
        <v>35</v>
      </c>
      <c r="BN358" t="s">
        <v>1100</v>
      </c>
      <c r="BO358" t="s">
        <v>1832</v>
      </c>
      <c r="BP358" s="162">
        <v>186.66666666666666</v>
      </c>
      <c r="BQ358" t="s">
        <v>35</v>
      </c>
      <c r="BR358" t="s">
        <v>1849</v>
      </c>
      <c r="BS358" s="162" t="s">
        <v>10253</v>
      </c>
    </row>
    <row r="359" spans="1:71">
      <c r="A359" s="162">
        <v>358</v>
      </c>
      <c r="B359" t="s">
        <v>159</v>
      </c>
      <c r="C359" s="162">
        <v>1</v>
      </c>
      <c r="D359" s="122" t="s">
        <v>575</v>
      </c>
      <c r="E359" t="s">
        <v>576</v>
      </c>
      <c r="F359" t="s">
        <v>515</v>
      </c>
      <c r="G359" t="s">
        <v>166</v>
      </c>
      <c r="H359" t="s">
        <v>577</v>
      </c>
      <c r="I359" s="162">
        <v>1</v>
      </c>
      <c r="J359" t="s">
        <v>1855</v>
      </c>
      <c r="K359" t="s">
        <v>3</v>
      </c>
      <c r="L359" s="165">
        <v>30725</v>
      </c>
      <c r="M359" s="166">
        <v>33</v>
      </c>
      <c r="N359" t="s">
        <v>1093</v>
      </c>
      <c r="O359" t="s">
        <v>10135</v>
      </c>
      <c r="P359" t="s">
        <v>48</v>
      </c>
      <c r="Q359" t="s">
        <v>1186</v>
      </c>
      <c r="R359">
        <v>0</v>
      </c>
      <c r="S359" s="162">
        <v>0</v>
      </c>
      <c r="T359">
        <v>0</v>
      </c>
      <c r="U359" s="162">
        <v>0</v>
      </c>
      <c r="V359">
        <v>0</v>
      </c>
      <c r="W359" s="162">
        <v>0</v>
      </c>
      <c r="X359">
        <v>0</v>
      </c>
      <c r="Y359" s="162">
        <v>0</v>
      </c>
      <c r="Z359">
        <v>0</v>
      </c>
      <c r="AA359" s="162">
        <v>0</v>
      </c>
      <c r="AB359">
        <v>0</v>
      </c>
      <c r="AC359" s="162" t="s">
        <v>7</v>
      </c>
      <c r="AD359" s="162" t="s">
        <v>7</v>
      </c>
      <c r="AE359" s="162" t="s">
        <v>7</v>
      </c>
      <c r="AF359" s="162" t="s">
        <v>7</v>
      </c>
      <c r="AG359" s="162" t="s">
        <v>7</v>
      </c>
      <c r="AH359" s="162" t="s">
        <v>7</v>
      </c>
      <c r="AI359" t="s">
        <v>9846</v>
      </c>
      <c r="AJ359" t="s">
        <v>7</v>
      </c>
      <c r="AK359" t="s">
        <v>1527</v>
      </c>
      <c r="AL359" t="s">
        <v>6</v>
      </c>
      <c r="AM359" s="162" t="s">
        <v>10137</v>
      </c>
      <c r="AN359" t="s">
        <v>35</v>
      </c>
      <c r="AO359" t="s">
        <v>35</v>
      </c>
      <c r="AP359" t="s">
        <v>35</v>
      </c>
      <c r="AQ359" t="s">
        <v>35</v>
      </c>
      <c r="AR359" t="s">
        <v>35</v>
      </c>
      <c r="AS359" s="162" t="s">
        <v>35</v>
      </c>
      <c r="AT359" s="117" t="s">
        <v>35</v>
      </c>
      <c r="AU359" s="162" t="s">
        <v>7</v>
      </c>
      <c r="AV359" s="162" t="s">
        <v>7</v>
      </c>
      <c r="AW359" s="162" t="s">
        <v>7</v>
      </c>
      <c r="AX359" s="162" t="s">
        <v>9851</v>
      </c>
      <c r="AY359" s="162" t="s">
        <v>35</v>
      </c>
      <c r="AZ359" t="s">
        <v>35</v>
      </c>
      <c r="BA359" s="162" t="s">
        <v>7</v>
      </c>
      <c r="BB359" s="162" t="s">
        <v>7</v>
      </c>
      <c r="BC359" s="162" t="s">
        <v>7</v>
      </c>
      <c r="BD359" s="162" t="s">
        <v>7</v>
      </c>
      <c r="BE359" s="162" t="s">
        <v>7</v>
      </c>
      <c r="BF359" s="162" t="str">
        <f t="shared" si="10"/>
        <v>Não</v>
      </c>
      <c r="BG359" s="162" t="str">
        <f t="shared" si="11"/>
        <v>Sim</v>
      </c>
      <c r="BH359" s="162" t="s">
        <v>35</v>
      </c>
      <c r="BI359" t="s">
        <v>35</v>
      </c>
      <c r="BJ359" s="162" t="s">
        <v>10165</v>
      </c>
      <c r="BK359" t="s">
        <v>35</v>
      </c>
      <c r="BL359" s="162">
        <v>0</v>
      </c>
      <c r="BM359" t="s">
        <v>35</v>
      </c>
      <c r="BN359" t="s">
        <v>35</v>
      </c>
      <c r="BO359" t="s">
        <v>35</v>
      </c>
      <c r="BP359" s="162">
        <v>0</v>
      </c>
      <c r="BQ359" t="s">
        <v>35</v>
      </c>
      <c r="BR359" t="s">
        <v>35</v>
      </c>
      <c r="BS359" s="162" t="s">
        <v>35</v>
      </c>
    </row>
    <row r="360" spans="1:71">
      <c r="A360" s="162">
        <v>359</v>
      </c>
      <c r="B360" t="s">
        <v>187</v>
      </c>
      <c r="C360" s="162">
        <v>1</v>
      </c>
      <c r="D360" s="122" t="s">
        <v>628</v>
      </c>
      <c r="E360" t="s">
        <v>626</v>
      </c>
      <c r="F360" t="s">
        <v>3</v>
      </c>
      <c r="G360" t="s">
        <v>198</v>
      </c>
      <c r="H360" t="s">
        <v>629</v>
      </c>
      <c r="I360" s="162">
        <v>1</v>
      </c>
      <c r="J360" t="s">
        <v>1855</v>
      </c>
      <c r="K360" t="s">
        <v>3</v>
      </c>
      <c r="L360" s="165">
        <v>36023</v>
      </c>
      <c r="M360" s="166">
        <v>18</v>
      </c>
      <c r="N360" t="s">
        <v>5</v>
      </c>
      <c r="O360" t="s">
        <v>10135</v>
      </c>
      <c r="P360" t="s">
        <v>1101</v>
      </c>
      <c r="Q360" t="s">
        <v>1186</v>
      </c>
      <c r="R360">
        <v>0</v>
      </c>
      <c r="S360" s="162">
        <v>0</v>
      </c>
      <c r="T360">
        <v>0</v>
      </c>
      <c r="U360" s="162">
        <v>0</v>
      </c>
      <c r="V360">
        <v>0</v>
      </c>
      <c r="W360" s="162">
        <v>0</v>
      </c>
      <c r="X360">
        <v>0</v>
      </c>
      <c r="Y360" s="162">
        <v>0</v>
      </c>
      <c r="Z360">
        <v>0</v>
      </c>
      <c r="AA360" s="162">
        <v>0</v>
      </c>
      <c r="AB360">
        <v>0</v>
      </c>
      <c r="AC360" s="162" t="s">
        <v>7</v>
      </c>
      <c r="AD360" s="162" t="s">
        <v>7</v>
      </c>
      <c r="AE360" s="162" t="s">
        <v>7</v>
      </c>
      <c r="AF360" s="162" t="s">
        <v>7</v>
      </c>
      <c r="AG360" s="162" t="s">
        <v>7</v>
      </c>
      <c r="AH360" s="162" t="s">
        <v>7</v>
      </c>
      <c r="AI360" t="s">
        <v>9843</v>
      </c>
      <c r="AJ360" t="s">
        <v>7</v>
      </c>
      <c r="AK360" t="s">
        <v>1122</v>
      </c>
      <c r="AL360" t="s">
        <v>6</v>
      </c>
      <c r="AM360" s="162" t="s">
        <v>10137</v>
      </c>
      <c r="AN360" t="s">
        <v>35</v>
      </c>
      <c r="AO360" t="s">
        <v>35</v>
      </c>
      <c r="AP360" t="s">
        <v>35</v>
      </c>
      <c r="AQ360" t="s">
        <v>35</v>
      </c>
      <c r="AR360" t="s">
        <v>35</v>
      </c>
      <c r="AS360" s="162" t="s">
        <v>35</v>
      </c>
      <c r="AT360" s="117" t="s">
        <v>35</v>
      </c>
      <c r="AU360" s="162" t="s">
        <v>7</v>
      </c>
      <c r="AV360" s="162" t="s">
        <v>7</v>
      </c>
      <c r="AW360" s="162" t="s">
        <v>7</v>
      </c>
      <c r="AX360" s="162" t="s">
        <v>9851</v>
      </c>
      <c r="AY360" s="162" t="s">
        <v>35</v>
      </c>
      <c r="AZ360" t="s">
        <v>35</v>
      </c>
      <c r="BA360" s="162" t="s">
        <v>7</v>
      </c>
      <c r="BB360" s="162" t="s">
        <v>7</v>
      </c>
      <c r="BC360" s="162" t="s">
        <v>7</v>
      </c>
      <c r="BD360" s="162" t="s">
        <v>7</v>
      </c>
      <c r="BE360" s="162" t="s">
        <v>7</v>
      </c>
      <c r="BF360" s="162" t="str">
        <f t="shared" si="10"/>
        <v>Não</v>
      </c>
      <c r="BG360" s="162" t="str">
        <f t="shared" si="11"/>
        <v>Sim</v>
      </c>
      <c r="BH360" s="162" t="s">
        <v>35</v>
      </c>
      <c r="BI360" t="s">
        <v>35</v>
      </c>
      <c r="BJ360" s="162" t="s">
        <v>10165</v>
      </c>
      <c r="BK360" t="s">
        <v>35</v>
      </c>
      <c r="BL360" s="162">
        <v>0</v>
      </c>
      <c r="BM360" t="s">
        <v>35</v>
      </c>
      <c r="BN360" t="s">
        <v>35</v>
      </c>
      <c r="BO360" t="s">
        <v>35</v>
      </c>
      <c r="BP360" s="162">
        <v>0</v>
      </c>
      <c r="BQ360" t="s">
        <v>35</v>
      </c>
      <c r="BR360" t="s">
        <v>35</v>
      </c>
      <c r="BS360" s="162" t="s">
        <v>35</v>
      </c>
    </row>
    <row r="361" spans="1:71">
      <c r="A361" s="162">
        <v>360</v>
      </c>
      <c r="B361" t="s">
        <v>146</v>
      </c>
      <c r="C361" s="162">
        <v>0</v>
      </c>
      <c r="D361" s="122" t="s">
        <v>548</v>
      </c>
      <c r="E361" t="s">
        <v>540</v>
      </c>
      <c r="F361" t="s">
        <v>3</v>
      </c>
      <c r="G361" t="s">
        <v>155</v>
      </c>
      <c r="H361" t="s">
        <v>550</v>
      </c>
      <c r="I361" s="162">
        <v>1</v>
      </c>
      <c r="J361" t="s">
        <v>1855</v>
      </c>
      <c r="K361" t="s">
        <v>515</v>
      </c>
      <c r="L361" s="165">
        <v>32002</v>
      </c>
      <c r="M361" s="166">
        <v>30</v>
      </c>
      <c r="N361" t="s">
        <v>4</v>
      </c>
      <c r="O361" t="s">
        <v>10134</v>
      </c>
      <c r="P361" t="s">
        <v>48</v>
      </c>
      <c r="Q361" t="s">
        <v>1757</v>
      </c>
      <c r="R361">
        <v>0</v>
      </c>
      <c r="S361" s="162">
        <v>0</v>
      </c>
      <c r="T361">
        <v>0</v>
      </c>
      <c r="U361" s="162">
        <v>0</v>
      </c>
      <c r="V361">
        <v>0</v>
      </c>
      <c r="W361" s="162">
        <v>0</v>
      </c>
      <c r="X361">
        <v>0</v>
      </c>
      <c r="Y361" s="162">
        <v>0</v>
      </c>
      <c r="Z361">
        <v>0</v>
      </c>
      <c r="AA361" s="162">
        <v>0</v>
      </c>
      <c r="AB361">
        <v>0</v>
      </c>
      <c r="AC361" s="162" t="s">
        <v>7</v>
      </c>
      <c r="AD361" s="162" t="s">
        <v>7</v>
      </c>
      <c r="AE361" s="162" t="s">
        <v>7</v>
      </c>
      <c r="AF361" s="162" t="s">
        <v>7</v>
      </c>
      <c r="AG361" s="162" t="s">
        <v>7</v>
      </c>
      <c r="AH361" s="162" t="s">
        <v>7</v>
      </c>
      <c r="AI361" t="s">
        <v>9843</v>
      </c>
      <c r="AJ361" t="s">
        <v>7</v>
      </c>
      <c r="AK361" t="s">
        <v>1098</v>
      </c>
      <c r="AL361" t="s">
        <v>6</v>
      </c>
      <c r="AM361" s="162" t="s">
        <v>10137</v>
      </c>
      <c r="AN361" t="s">
        <v>35</v>
      </c>
      <c r="AO361" t="s">
        <v>35</v>
      </c>
      <c r="AP361" t="s">
        <v>35</v>
      </c>
      <c r="AQ361" t="s">
        <v>35</v>
      </c>
      <c r="AR361" t="s">
        <v>35</v>
      </c>
      <c r="AS361" s="162" t="s">
        <v>35</v>
      </c>
      <c r="AT361" s="117" t="s">
        <v>35</v>
      </c>
      <c r="AU361" s="162" t="s">
        <v>7</v>
      </c>
      <c r="AV361" s="162" t="s">
        <v>7</v>
      </c>
      <c r="AW361" s="162" t="s">
        <v>7</v>
      </c>
      <c r="AX361" s="162" t="s">
        <v>9851</v>
      </c>
      <c r="AY361" s="162" t="s">
        <v>35</v>
      </c>
      <c r="AZ361" t="s">
        <v>35</v>
      </c>
      <c r="BA361" s="162" t="s">
        <v>7</v>
      </c>
      <c r="BB361" s="162" t="s">
        <v>7</v>
      </c>
      <c r="BC361" s="162" t="s">
        <v>7</v>
      </c>
      <c r="BD361" s="162" t="s">
        <v>7</v>
      </c>
      <c r="BE361" s="162" t="s">
        <v>7</v>
      </c>
      <c r="BF361" s="162" t="str">
        <f t="shared" si="10"/>
        <v>Não</v>
      </c>
      <c r="BG361" s="162" t="str">
        <f t="shared" si="11"/>
        <v>Sim</v>
      </c>
      <c r="BH361" s="162" t="s">
        <v>35</v>
      </c>
      <c r="BI361" t="s">
        <v>35</v>
      </c>
      <c r="BJ361" s="162" t="s">
        <v>10165</v>
      </c>
      <c r="BK361" t="s">
        <v>35</v>
      </c>
      <c r="BL361" s="162">
        <v>0</v>
      </c>
      <c r="BM361" t="s">
        <v>35</v>
      </c>
      <c r="BN361" t="s">
        <v>35</v>
      </c>
      <c r="BO361" t="s">
        <v>35</v>
      </c>
      <c r="BP361" s="162">
        <v>0</v>
      </c>
      <c r="BQ361" t="s">
        <v>35</v>
      </c>
      <c r="BR361" t="s">
        <v>35</v>
      </c>
      <c r="BS361" s="162" t="s">
        <v>35</v>
      </c>
    </row>
    <row r="362" spans="1:71">
      <c r="A362" s="162">
        <v>361</v>
      </c>
      <c r="B362" t="s">
        <v>1882</v>
      </c>
      <c r="C362" s="162">
        <v>0</v>
      </c>
      <c r="D362" s="122" t="s">
        <v>523</v>
      </c>
      <c r="E362" t="s">
        <v>836</v>
      </c>
      <c r="F362" t="s">
        <v>3</v>
      </c>
      <c r="G362" t="s">
        <v>323</v>
      </c>
      <c r="H362" t="s">
        <v>1931</v>
      </c>
      <c r="I362" s="162">
        <v>1</v>
      </c>
      <c r="J362" t="s">
        <v>1855</v>
      </c>
      <c r="K362" t="s">
        <v>3</v>
      </c>
      <c r="L362" s="165">
        <v>32578</v>
      </c>
      <c r="M362" s="166">
        <v>28</v>
      </c>
      <c r="N362" t="s">
        <v>4</v>
      </c>
      <c r="O362" t="s">
        <v>10134</v>
      </c>
      <c r="P362" t="s">
        <v>48</v>
      </c>
      <c r="Q362" t="s">
        <v>1186</v>
      </c>
      <c r="R362">
        <v>0</v>
      </c>
      <c r="S362" s="162">
        <v>0</v>
      </c>
      <c r="T362">
        <v>0</v>
      </c>
      <c r="U362" s="162">
        <v>0</v>
      </c>
      <c r="V362">
        <v>0</v>
      </c>
      <c r="W362" s="162">
        <v>0</v>
      </c>
      <c r="X362">
        <v>0</v>
      </c>
      <c r="Y362" s="162">
        <v>0</v>
      </c>
      <c r="Z362">
        <v>0</v>
      </c>
      <c r="AA362" s="162">
        <v>0</v>
      </c>
      <c r="AB362">
        <v>0</v>
      </c>
      <c r="AC362" s="162" t="s">
        <v>7</v>
      </c>
      <c r="AD362" s="162" t="s">
        <v>7</v>
      </c>
      <c r="AE362" s="162" t="s">
        <v>7</v>
      </c>
      <c r="AF362" s="162" t="s">
        <v>7</v>
      </c>
      <c r="AG362" s="162" t="s">
        <v>7</v>
      </c>
      <c r="AH362" s="162" t="s">
        <v>7</v>
      </c>
      <c r="AI362" t="s">
        <v>9843</v>
      </c>
      <c r="AJ362" t="s">
        <v>7</v>
      </c>
      <c r="AK362" t="s">
        <v>1098</v>
      </c>
      <c r="AL362" t="s">
        <v>6</v>
      </c>
      <c r="AM362" s="162" t="s">
        <v>10137</v>
      </c>
      <c r="AN362" t="s">
        <v>35</v>
      </c>
      <c r="AO362" t="s">
        <v>35</v>
      </c>
      <c r="AP362" t="s">
        <v>35</v>
      </c>
      <c r="AQ362" t="s">
        <v>35</v>
      </c>
      <c r="AR362" t="s">
        <v>35</v>
      </c>
      <c r="AS362" s="162" t="s">
        <v>35</v>
      </c>
      <c r="AT362" s="117" t="s">
        <v>35</v>
      </c>
      <c r="AU362" s="162" t="s">
        <v>7</v>
      </c>
      <c r="AV362" s="162" t="s">
        <v>7</v>
      </c>
      <c r="AW362" s="162" t="s">
        <v>7</v>
      </c>
      <c r="AX362" s="162" t="s">
        <v>9851</v>
      </c>
      <c r="AY362" s="162" t="s">
        <v>35</v>
      </c>
      <c r="AZ362" t="s">
        <v>35</v>
      </c>
      <c r="BA362" s="162" t="s">
        <v>7</v>
      </c>
      <c r="BB362" s="162" t="s">
        <v>7</v>
      </c>
      <c r="BC362" s="162" t="s">
        <v>7</v>
      </c>
      <c r="BD362" s="162" t="s">
        <v>7</v>
      </c>
      <c r="BE362" s="162" t="s">
        <v>7</v>
      </c>
      <c r="BF362" s="162" t="str">
        <f t="shared" si="10"/>
        <v>Não</v>
      </c>
      <c r="BG362" s="162" t="str">
        <f t="shared" si="11"/>
        <v>Sim</v>
      </c>
      <c r="BH362" s="162" t="s">
        <v>35</v>
      </c>
      <c r="BI362" t="s">
        <v>35</v>
      </c>
      <c r="BJ362" s="162" t="s">
        <v>10165</v>
      </c>
      <c r="BK362" t="s">
        <v>35</v>
      </c>
      <c r="BL362" s="162">
        <v>0</v>
      </c>
      <c r="BM362" t="s">
        <v>35</v>
      </c>
      <c r="BN362" t="s">
        <v>35</v>
      </c>
      <c r="BO362" t="s">
        <v>35</v>
      </c>
      <c r="BP362" s="162">
        <v>0</v>
      </c>
      <c r="BQ362" t="s">
        <v>35</v>
      </c>
      <c r="BR362" t="s">
        <v>35</v>
      </c>
      <c r="BS362" s="162" t="s">
        <v>35</v>
      </c>
    </row>
    <row r="363" spans="1:71">
      <c r="A363" s="162">
        <v>362</v>
      </c>
      <c r="B363" t="s">
        <v>1379</v>
      </c>
      <c r="C363" s="162">
        <v>1</v>
      </c>
      <c r="D363" s="122" t="s">
        <v>752</v>
      </c>
      <c r="E363" t="s">
        <v>1036</v>
      </c>
      <c r="F363" t="s">
        <v>3</v>
      </c>
      <c r="G363" t="s">
        <v>461</v>
      </c>
      <c r="H363" t="s">
        <v>1467</v>
      </c>
      <c r="I363" s="162">
        <v>1</v>
      </c>
      <c r="J363" t="s">
        <v>76</v>
      </c>
      <c r="K363" t="s">
        <v>3</v>
      </c>
      <c r="L363" s="165">
        <v>32645</v>
      </c>
      <c r="M363" s="166">
        <v>28</v>
      </c>
      <c r="N363" t="s">
        <v>5</v>
      </c>
      <c r="O363" t="s">
        <v>10135</v>
      </c>
      <c r="P363" t="s">
        <v>41</v>
      </c>
      <c r="Q363" t="s">
        <v>1500</v>
      </c>
      <c r="R363" t="s">
        <v>1501</v>
      </c>
      <c r="S363" s="162">
        <v>26.1</v>
      </c>
      <c r="T363">
        <v>0</v>
      </c>
      <c r="U363" s="162">
        <v>0</v>
      </c>
      <c r="V363">
        <v>0</v>
      </c>
      <c r="W363" s="162">
        <v>0</v>
      </c>
      <c r="X363">
        <v>0</v>
      </c>
      <c r="Y363" s="162">
        <v>0</v>
      </c>
      <c r="Z363">
        <v>0</v>
      </c>
      <c r="AA363" s="162">
        <v>0</v>
      </c>
      <c r="AB363">
        <v>0</v>
      </c>
      <c r="AC363" s="162" t="s">
        <v>7</v>
      </c>
      <c r="AD363" s="162" t="s">
        <v>7</v>
      </c>
      <c r="AE363" s="162" t="s">
        <v>7</v>
      </c>
      <c r="AF363" s="162" t="s">
        <v>7</v>
      </c>
      <c r="AG363" s="162" t="s">
        <v>7</v>
      </c>
      <c r="AH363" s="162" t="s">
        <v>7</v>
      </c>
      <c r="AI363" t="s">
        <v>9843</v>
      </c>
      <c r="AJ363" t="s">
        <v>7</v>
      </c>
      <c r="AK363" t="s">
        <v>1502</v>
      </c>
      <c r="AL363" t="s">
        <v>51</v>
      </c>
      <c r="AM363" s="162" t="s">
        <v>10137</v>
      </c>
      <c r="AN363" t="s">
        <v>52</v>
      </c>
      <c r="AO363" t="s">
        <v>35</v>
      </c>
      <c r="AP363" t="s">
        <v>35</v>
      </c>
      <c r="AQ363" t="s">
        <v>35</v>
      </c>
      <c r="AR363" t="s">
        <v>35</v>
      </c>
      <c r="AS363" s="162" t="s">
        <v>35</v>
      </c>
      <c r="AT363" s="117" t="s">
        <v>35</v>
      </c>
      <c r="AU363" s="162" t="s">
        <v>7</v>
      </c>
      <c r="AV363" s="162" t="s">
        <v>7</v>
      </c>
      <c r="AW363" s="162" t="s">
        <v>7</v>
      </c>
      <c r="AX363" s="162" t="s">
        <v>9851</v>
      </c>
      <c r="AY363" s="162" t="s">
        <v>35</v>
      </c>
      <c r="AZ363" t="s">
        <v>35</v>
      </c>
      <c r="BA363" s="162" t="s">
        <v>7</v>
      </c>
      <c r="BB363" s="162" t="s">
        <v>7</v>
      </c>
      <c r="BC363" s="162" t="s">
        <v>7</v>
      </c>
      <c r="BD363" s="162" t="s">
        <v>7</v>
      </c>
      <c r="BE363" s="162" t="s">
        <v>7</v>
      </c>
      <c r="BF363" s="162" t="str">
        <f t="shared" si="10"/>
        <v>Não</v>
      </c>
      <c r="BG363" s="162" t="str">
        <f t="shared" si="11"/>
        <v>Sim</v>
      </c>
      <c r="BH363" s="162" t="s">
        <v>35</v>
      </c>
      <c r="BI363" t="s">
        <v>35</v>
      </c>
      <c r="BJ363" s="162" t="s">
        <v>10165</v>
      </c>
      <c r="BK363" t="s">
        <v>35</v>
      </c>
      <c r="BL363" s="162">
        <v>0</v>
      </c>
      <c r="BM363" t="s">
        <v>7</v>
      </c>
      <c r="BN363" t="s">
        <v>35</v>
      </c>
      <c r="BO363" t="s">
        <v>35</v>
      </c>
      <c r="BP363" s="162">
        <v>0</v>
      </c>
      <c r="BQ363" t="s">
        <v>35</v>
      </c>
      <c r="BR363" t="s">
        <v>35</v>
      </c>
      <c r="BS363" s="162" t="s">
        <v>35</v>
      </c>
    </row>
    <row r="364" spans="1:71">
      <c r="A364" s="162">
        <v>363</v>
      </c>
      <c r="B364" t="s">
        <v>235</v>
      </c>
      <c r="C364" s="162">
        <v>1</v>
      </c>
      <c r="D364" s="122" t="s">
        <v>523</v>
      </c>
      <c r="E364" t="s">
        <v>679</v>
      </c>
      <c r="F364" t="s">
        <v>3</v>
      </c>
      <c r="G364" t="s">
        <v>241</v>
      </c>
      <c r="H364" t="s">
        <v>694</v>
      </c>
      <c r="I364" s="162">
        <v>1</v>
      </c>
      <c r="J364" t="s">
        <v>1855</v>
      </c>
      <c r="K364" t="s">
        <v>3</v>
      </c>
      <c r="L364" s="165">
        <v>25664</v>
      </c>
      <c r="M364" s="166">
        <v>47</v>
      </c>
      <c r="N364" t="s">
        <v>5</v>
      </c>
      <c r="O364" t="s">
        <v>10135</v>
      </c>
      <c r="P364" t="s">
        <v>48</v>
      </c>
      <c r="Q364" t="s">
        <v>1687</v>
      </c>
      <c r="R364" t="s">
        <v>1686</v>
      </c>
      <c r="S364" s="162">
        <v>15.3</v>
      </c>
      <c r="T364">
        <v>0</v>
      </c>
      <c r="U364" s="162">
        <v>0</v>
      </c>
      <c r="V364">
        <v>0</v>
      </c>
      <c r="W364" s="162">
        <v>0</v>
      </c>
      <c r="X364">
        <v>0</v>
      </c>
      <c r="Y364" s="162">
        <v>0</v>
      </c>
      <c r="Z364">
        <v>0</v>
      </c>
      <c r="AA364" s="162">
        <v>0</v>
      </c>
      <c r="AB364">
        <v>0</v>
      </c>
      <c r="AC364" s="162" t="s">
        <v>7</v>
      </c>
      <c r="AD364" s="162" t="s">
        <v>7</v>
      </c>
      <c r="AE364" s="162" t="s">
        <v>7</v>
      </c>
      <c r="AF364" s="162" t="s">
        <v>7</v>
      </c>
      <c r="AG364" s="162" t="s">
        <v>7</v>
      </c>
      <c r="AH364" s="162" t="s">
        <v>7</v>
      </c>
      <c r="AI364" t="s">
        <v>9843</v>
      </c>
      <c r="AJ364" t="s">
        <v>7</v>
      </c>
      <c r="AK364" t="s">
        <v>1460</v>
      </c>
      <c r="AL364" t="s">
        <v>51</v>
      </c>
      <c r="AM364" s="162" t="s">
        <v>10137</v>
      </c>
      <c r="AN364" t="s">
        <v>52</v>
      </c>
      <c r="AO364" t="s">
        <v>35</v>
      </c>
      <c r="AP364" t="s">
        <v>35</v>
      </c>
      <c r="AQ364" t="s">
        <v>35</v>
      </c>
      <c r="AR364" t="s">
        <v>35</v>
      </c>
      <c r="AS364" s="162" t="s">
        <v>35</v>
      </c>
      <c r="AT364" s="117" t="s">
        <v>35</v>
      </c>
      <c r="AU364" s="162" t="s">
        <v>7</v>
      </c>
      <c r="AV364" s="162" t="s">
        <v>7</v>
      </c>
      <c r="AW364" s="162" t="s">
        <v>7</v>
      </c>
      <c r="AX364" s="162" t="s">
        <v>9851</v>
      </c>
      <c r="AY364" s="162" t="s">
        <v>35</v>
      </c>
      <c r="AZ364" t="s">
        <v>35</v>
      </c>
      <c r="BA364" s="162" t="s">
        <v>7</v>
      </c>
      <c r="BB364" s="162" t="s">
        <v>7</v>
      </c>
      <c r="BC364" s="162" t="s">
        <v>7</v>
      </c>
      <c r="BD364" s="162" t="s">
        <v>7</v>
      </c>
      <c r="BE364" s="162" t="s">
        <v>7</v>
      </c>
      <c r="BF364" s="162" t="str">
        <f t="shared" si="10"/>
        <v>Não</v>
      </c>
      <c r="BG364" s="162" t="str">
        <f t="shared" si="11"/>
        <v>Sim</v>
      </c>
      <c r="BH364" s="162" t="s">
        <v>35</v>
      </c>
      <c r="BI364" t="s">
        <v>35</v>
      </c>
      <c r="BJ364" s="162" t="s">
        <v>10165</v>
      </c>
      <c r="BK364" t="s">
        <v>35</v>
      </c>
      <c r="BL364" s="162">
        <v>0</v>
      </c>
      <c r="BM364" t="s">
        <v>7</v>
      </c>
      <c r="BN364" t="s">
        <v>35</v>
      </c>
      <c r="BO364" t="s">
        <v>35</v>
      </c>
      <c r="BP364" s="162">
        <v>0</v>
      </c>
      <c r="BQ364" t="s">
        <v>35</v>
      </c>
      <c r="BR364" t="s">
        <v>35</v>
      </c>
      <c r="BS364" s="162" t="s">
        <v>35</v>
      </c>
    </row>
    <row r="365" spans="1:71">
      <c r="A365" s="162">
        <v>364</v>
      </c>
      <c r="B365" t="s">
        <v>346</v>
      </c>
      <c r="C365" s="162">
        <v>1</v>
      </c>
      <c r="D365" s="122" t="s">
        <v>654</v>
      </c>
      <c r="E365" t="s">
        <v>858</v>
      </c>
      <c r="F365" t="s">
        <v>515</v>
      </c>
      <c r="G365" t="s">
        <v>348</v>
      </c>
      <c r="H365" t="s">
        <v>871</v>
      </c>
      <c r="I365" s="162">
        <v>1</v>
      </c>
      <c r="J365" t="s">
        <v>1855</v>
      </c>
      <c r="K365" t="s">
        <v>3</v>
      </c>
      <c r="L365" s="165">
        <v>29977</v>
      </c>
      <c r="M365" s="166">
        <v>35</v>
      </c>
      <c r="N365" t="s">
        <v>4</v>
      </c>
      <c r="O365" t="s">
        <v>10134</v>
      </c>
      <c r="P365" t="s">
        <v>1074</v>
      </c>
      <c r="Q365" t="s">
        <v>1639</v>
      </c>
      <c r="R365" t="s">
        <v>1640</v>
      </c>
      <c r="S365" s="162">
        <v>33.200000000000003</v>
      </c>
      <c r="T365">
        <v>0</v>
      </c>
      <c r="U365" s="162">
        <v>0</v>
      </c>
      <c r="V365">
        <v>0</v>
      </c>
      <c r="W365" s="162">
        <v>0</v>
      </c>
      <c r="X365">
        <v>0</v>
      </c>
      <c r="Y365" s="162">
        <v>0</v>
      </c>
      <c r="Z365">
        <v>0</v>
      </c>
      <c r="AA365" s="162">
        <v>0</v>
      </c>
      <c r="AB365">
        <v>0</v>
      </c>
      <c r="AC365" s="162" t="s">
        <v>7</v>
      </c>
      <c r="AD365" s="162" t="s">
        <v>7</v>
      </c>
      <c r="AE365" s="162" t="s">
        <v>7</v>
      </c>
      <c r="AF365" s="162" t="s">
        <v>7</v>
      </c>
      <c r="AG365" s="162" t="s">
        <v>7</v>
      </c>
      <c r="AH365" s="162" t="s">
        <v>7</v>
      </c>
      <c r="AI365" t="s">
        <v>9843</v>
      </c>
      <c r="AJ365" t="s">
        <v>7</v>
      </c>
      <c r="AK365" t="s">
        <v>1098</v>
      </c>
      <c r="AL365" t="s">
        <v>6</v>
      </c>
      <c r="AM365" s="162" t="s">
        <v>10137</v>
      </c>
      <c r="AN365" t="s">
        <v>35</v>
      </c>
      <c r="AO365" t="s">
        <v>35</v>
      </c>
      <c r="AP365" t="s">
        <v>35</v>
      </c>
      <c r="AQ365" t="s">
        <v>35</v>
      </c>
      <c r="AR365" t="s">
        <v>35</v>
      </c>
      <c r="AS365" s="162" t="s">
        <v>35</v>
      </c>
      <c r="AT365" s="117" t="s">
        <v>35</v>
      </c>
      <c r="AU365" s="162" t="s">
        <v>7</v>
      </c>
      <c r="AV365" s="162" t="s">
        <v>7</v>
      </c>
      <c r="AW365" s="162" t="s">
        <v>7</v>
      </c>
      <c r="AX365" s="162" t="s">
        <v>9851</v>
      </c>
      <c r="AY365" s="162" t="s">
        <v>35</v>
      </c>
      <c r="AZ365" t="s">
        <v>35</v>
      </c>
      <c r="BA365" s="162" t="s">
        <v>7</v>
      </c>
      <c r="BB365" s="162" t="s">
        <v>7</v>
      </c>
      <c r="BC365" s="162" t="s">
        <v>7</v>
      </c>
      <c r="BD365" s="162" t="s">
        <v>7</v>
      </c>
      <c r="BE365" s="162" t="s">
        <v>7</v>
      </c>
      <c r="BF365" s="162" t="str">
        <f t="shared" si="10"/>
        <v>Não</v>
      </c>
      <c r="BG365" s="162" t="str">
        <f t="shared" si="11"/>
        <v>Sim</v>
      </c>
      <c r="BH365" s="162" t="s">
        <v>35</v>
      </c>
      <c r="BI365" t="s">
        <v>35</v>
      </c>
      <c r="BJ365" s="162" t="s">
        <v>10165</v>
      </c>
      <c r="BK365" t="s">
        <v>35</v>
      </c>
      <c r="BL365" s="162">
        <v>0</v>
      </c>
      <c r="BM365" t="s">
        <v>35</v>
      </c>
      <c r="BN365" t="s">
        <v>35</v>
      </c>
      <c r="BO365" t="s">
        <v>35</v>
      </c>
      <c r="BP365" s="162">
        <v>0</v>
      </c>
      <c r="BQ365" t="s">
        <v>35</v>
      </c>
      <c r="BR365" t="s">
        <v>35</v>
      </c>
      <c r="BS365" s="162" t="s">
        <v>35</v>
      </c>
    </row>
    <row r="366" spans="1:71">
      <c r="A366" s="162">
        <v>365</v>
      </c>
      <c r="B366" t="s">
        <v>154</v>
      </c>
      <c r="C366" s="162">
        <v>1</v>
      </c>
      <c r="D366" s="122" t="s">
        <v>566</v>
      </c>
      <c r="E366" t="s">
        <v>537</v>
      </c>
      <c r="F366" t="s">
        <v>515</v>
      </c>
      <c r="G366" t="s">
        <v>155</v>
      </c>
      <c r="H366" t="s">
        <v>567</v>
      </c>
      <c r="I366" s="162">
        <v>1</v>
      </c>
      <c r="J366" t="s">
        <v>1855</v>
      </c>
      <c r="K366" t="s">
        <v>3</v>
      </c>
      <c r="L366" s="165">
        <v>31837</v>
      </c>
      <c r="M366" s="166">
        <v>30</v>
      </c>
      <c r="N366" t="s">
        <v>4</v>
      </c>
      <c r="O366" t="s">
        <v>10134</v>
      </c>
      <c r="P366" t="s">
        <v>41</v>
      </c>
      <c r="Q366" t="s">
        <v>1773</v>
      </c>
      <c r="R366" t="s">
        <v>1774</v>
      </c>
      <c r="S366" s="162">
        <v>23.9</v>
      </c>
      <c r="T366">
        <v>0</v>
      </c>
      <c r="U366" s="162">
        <v>0</v>
      </c>
      <c r="V366">
        <v>0</v>
      </c>
      <c r="W366" s="162">
        <v>0</v>
      </c>
      <c r="X366">
        <v>0</v>
      </c>
      <c r="Y366" s="162">
        <v>0</v>
      </c>
      <c r="Z366">
        <v>0</v>
      </c>
      <c r="AA366" s="162">
        <v>0</v>
      </c>
      <c r="AB366">
        <v>0</v>
      </c>
      <c r="AC366" s="162" t="s">
        <v>7</v>
      </c>
      <c r="AD366" s="162" t="s">
        <v>7</v>
      </c>
      <c r="AE366" s="162" t="s">
        <v>7</v>
      </c>
      <c r="AF366" s="162" t="s">
        <v>7</v>
      </c>
      <c r="AG366" s="162" t="s">
        <v>7</v>
      </c>
      <c r="AH366" s="162" t="s">
        <v>7</v>
      </c>
      <c r="AI366" t="s">
        <v>9843</v>
      </c>
      <c r="AJ366" t="s">
        <v>1272</v>
      </c>
      <c r="AK366" t="s">
        <v>1392</v>
      </c>
      <c r="AL366" t="s">
        <v>51</v>
      </c>
      <c r="AM366" s="162" t="s">
        <v>10137</v>
      </c>
      <c r="AN366" t="s">
        <v>52</v>
      </c>
      <c r="AO366" t="s">
        <v>7</v>
      </c>
      <c r="AP366" t="s">
        <v>35</v>
      </c>
      <c r="AQ366" t="s">
        <v>35</v>
      </c>
      <c r="AR366" t="s">
        <v>35</v>
      </c>
      <c r="AS366" s="162" t="s">
        <v>35</v>
      </c>
      <c r="AT366" s="117" t="s">
        <v>35</v>
      </c>
      <c r="AU366" s="162" t="s">
        <v>7</v>
      </c>
      <c r="AV366" s="162" t="s">
        <v>7</v>
      </c>
      <c r="AW366" s="162" t="s">
        <v>7</v>
      </c>
      <c r="AX366" s="162" t="s">
        <v>9851</v>
      </c>
      <c r="AY366" s="162" t="s">
        <v>35</v>
      </c>
      <c r="AZ366" t="s">
        <v>35</v>
      </c>
      <c r="BA366" s="162" t="s">
        <v>7</v>
      </c>
      <c r="BB366" s="162" t="s">
        <v>7</v>
      </c>
      <c r="BC366" s="162" t="s">
        <v>7</v>
      </c>
      <c r="BD366" s="162" t="s">
        <v>7</v>
      </c>
      <c r="BE366" s="162" t="s">
        <v>7</v>
      </c>
      <c r="BF366" s="162" t="str">
        <f t="shared" si="10"/>
        <v>Não</v>
      </c>
      <c r="BG366" s="162" t="str">
        <f t="shared" si="11"/>
        <v>Sim</v>
      </c>
      <c r="BH366" s="162" t="s">
        <v>35</v>
      </c>
      <c r="BI366" t="s">
        <v>35</v>
      </c>
      <c r="BJ366" s="162" t="s">
        <v>10165</v>
      </c>
      <c r="BK366" t="s">
        <v>35</v>
      </c>
      <c r="BL366" s="162">
        <v>0</v>
      </c>
      <c r="BM366" t="s">
        <v>7</v>
      </c>
      <c r="BN366" t="s">
        <v>35</v>
      </c>
      <c r="BO366" t="s">
        <v>35</v>
      </c>
      <c r="BP366" s="162">
        <v>0</v>
      </c>
      <c r="BQ366" t="s">
        <v>35</v>
      </c>
      <c r="BR366" t="s">
        <v>35</v>
      </c>
      <c r="BS366" s="162" t="s">
        <v>35</v>
      </c>
    </row>
    <row r="367" spans="1:71">
      <c r="A367" s="162">
        <v>366</v>
      </c>
      <c r="B367" t="s">
        <v>319</v>
      </c>
      <c r="C367" s="162">
        <v>1</v>
      </c>
      <c r="D367" s="122" t="s">
        <v>498</v>
      </c>
      <c r="E367" t="s">
        <v>836</v>
      </c>
      <c r="F367" t="s">
        <v>3</v>
      </c>
      <c r="G367" t="s">
        <v>323</v>
      </c>
      <c r="H367" t="s">
        <v>839</v>
      </c>
      <c r="I367" s="162">
        <v>1</v>
      </c>
      <c r="J367" t="s">
        <v>1855</v>
      </c>
      <c r="K367" t="s">
        <v>3</v>
      </c>
      <c r="L367" s="165">
        <v>34141</v>
      </c>
      <c r="M367" s="166">
        <v>23</v>
      </c>
      <c r="N367" t="s">
        <v>4</v>
      </c>
      <c r="O367" t="s">
        <v>10134</v>
      </c>
      <c r="P367" t="s">
        <v>41</v>
      </c>
      <c r="Q367" t="s">
        <v>1867</v>
      </c>
      <c r="R367" t="s">
        <v>1943</v>
      </c>
      <c r="S367" s="162">
        <v>100.3</v>
      </c>
      <c r="T367">
        <v>0</v>
      </c>
      <c r="U367" s="162">
        <v>0</v>
      </c>
      <c r="V367">
        <v>0</v>
      </c>
      <c r="W367" s="162">
        <v>0</v>
      </c>
      <c r="X367">
        <v>0</v>
      </c>
      <c r="Y367" s="162">
        <v>0</v>
      </c>
      <c r="Z367">
        <v>0</v>
      </c>
      <c r="AA367" s="162">
        <v>0</v>
      </c>
      <c r="AB367">
        <v>0</v>
      </c>
      <c r="AC367" s="162" t="s">
        <v>7</v>
      </c>
      <c r="AD367" s="162" t="s">
        <v>7</v>
      </c>
      <c r="AE367" s="162" t="s">
        <v>7</v>
      </c>
      <c r="AF367" s="162" t="s">
        <v>7</v>
      </c>
      <c r="AG367" s="162" t="s">
        <v>7</v>
      </c>
      <c r="AH367" s="162" t="s">
        <v>7</v>
      </c>
      <c r="AI367" t="s">
        <v>9843</v>
      </c>
      <c r="AJ367" t="s">
        <v>7</v>
      </c>
      <c r="AK367" t="s">
        <v>1638</v>
      </c>
      <c r="AL367" t="s">
        <v>51</v>
      </c>
      <c r="AM367" s="162" t="s">
        <v>10137</v>
      </c>
      <c r="AN367" t="s">
        <v>52</v>
      </c>
      <c r="AO367" t="s">
        <v>35</v>
      </c>
      <c r="AP367" t="s">
        <v>35</v>
      </c>
      <c r="AQ367" t="s">
        <v>35</v>
      </c>
      <c r="AR367" t="s">
        <v>35</v>
      </c>
      <c r="AS367" s="162" t="s">
        <v>35</v>
      </c>
      <c r="AT367" s="117" t="s">
        <v>35</v>
      </c>
      <c r="AU367" s="162" t="s">
        <v>7</v>
      </c>
      <c r="AV367" s="162" t="s">
        <v>7</v>
      </c>
      <c r="AW367" s="162" t="s">
        <v>7</v>
      </c>
      <c r="AX367" s="162" t="s">
        <v>9851</v>
      </c>
      <c r="AY367" s="162" t="s">
        <v>35</v>
      </c>
      <c r="AZ367" t="s">
        <v>35</v>
      </c>
      <c r="BA367" s="162" t="s">
        <v>7</v>
      </c>
      <c r="BB367" s="162" t="s">
        <v>7</v>
      </c>
      <c r="BC367" s="162" t="s">
        <v>7</v>
      </c>
      <c r="BD367" s="162" t="s">
        <v>7</v>
      </c>
      <c r="BE367" s="162" t="s">
        <v>7</v>
      </c>
      <c r="BF367" s="162" t="str">
        <f t="shared" si="10"/>
        <v>Não</v>
      </c>
      <c r="BG367" s="162" t="str">
        <f t="shared" si="11"/>
        <v>Sim</v>
      </c>
      <c r="BH367" s="162" t="s">
        <v>35</v>
      </c>
      <c r="BI367" t="s">
        <v>35</v>
      </c>
      <c r="BJ367" s="162" t="s">
        <v>10165</v>
      </c>
      <c r="BK367" t="s">
        <v>35</v>
      </c>
      <c r="BL367" s="162">
        <v>0</v>
      </c>
      <c r="BM367" t="s">
        <v>7</v>
      </c>
      <c r="BN367" t="s">
        <v>35</v>
      </c>
      <c r="BO367" t="s">
        <v>35</v>
      </c>
      <c r="BP367" s="162">
        <v>0</v>
      </c>
      <c r="BQ367" t="s">
        <v>35</v>
      </c>
      <c r="BR367" t="s">
        <v>35</v>
      </c>
      <c r="BS367" s="162" t="s">
        <v>35</v>
      </c>
    </row>
    <row r="368" spans="1:71">
      <c r="A368" s="162">
        <v>367</v>
      </c>
      <c r="B368" t="s">
        <v>352</v>
      </c>
      <c r="C368" s="162">
        <v>1</v>
      </c>
      <c r="D368" s="122" t="s">
        <v>642</v>
      </c>
      <c r="E368" t="s">
        <v>949</v>
      </c>
      <c r="F368" t="s">
        <v>3</v>
      </c>
      <c r="G368" t="s">
        <v>364</v>
      </c>
      <c r="H368" t="s">
        <v>955</v>
      </c>
      <c r="I368" s="162">
        <v>1</v>
      </c>
      <c r="J368" t="s">
        <v>1855</v>
      </c>
      <c r="K368" t="s">
        <v>3</v>
      </c>
      <c r="L368" s="165">
        <v>34757</v>
      </c>
      <c r="M368" s="166">
        <v>22</v>
      </c>
      <c r="N368" t="s">
        <v>5</v>
      </c>
      <c r="O368" t="s">
        <v>10135</v>
      </c>
      <c r="P368" t="s">
        <v>48</v>
      </c>
      <c r="Q368" t="s">
        <v>1225</v>
      </c>
      <c r="R368" t="s">
        <v>9995</v>
      </c>
      <c r="S368" s="162">
        <v>47.2</v>
      </c>
      <c r="T368">
        <v>0</v>
      </c>
      <c r="U368" s="162">
        <v>0</v>
      </c>
      <c r="V368">
        <v>0</v>
      </c>
      <c r="W368" s="162">
        <v>0</v>
      </c>
      <c r="X368">
        <v>0</v>
      </c>
      <c r="Y368" s="162">
        <v>0</v>
      </c>
      <c r="Z368">
        <v>0</v>
      </c>
      <c r="AA368" s="162">
        <v>0</v>
      </c>
      <c r="AB368">
        <v>0</v>
      </c>
      <c r="AC368" s="162" t="s">
        <v>7</v>
      </c>
      <c r="AD368" s="162" t="s">
        <v>7</v>
      </c>
      <c r="AE368" s="162" t="s">
        <v>7</v>
      </c>
      <c r="AF368" s="162" t="s">
        <v>7</v>
      </c>
      <c r="AG368" s="162" t="s">
        <v>7</v>
      </c>
      <c r="AH368" s="162" t="s">
        <v>7</v>
      </c>
      <c r="AI368" t="s">
        <v>9846</v>
      </c>
      <c r="AJ368" t="s">
        <v>7</v>
      </c>
      <c r="AK368" t="s">
        <v>1122</v>
      </c>
      <c r="AL368" t="s">
        <v>6</v>
      </c>
      <c r="AM368" s="162" t="s">
        <v>10137</v>
      </c>
      <c r="AN368" t="s">
        <v>35</v>
      </c>
      <c r="AO368" t="s">
        <v>35</v>
      </c>
      <c r="AP368" t="s">
        <v>35</v>
      </c>
      <c r="AQ368" t="s">
        <v>35</v>
      </c>
      <c r="AR368" t="s">
        <v>35</v>
      </c>
      <c r="AS368" s="162" t="s">
        <v>35</v>
      </c>
      <c r="AT368" s="117" t="s">
        <v>35</v>
      </c>
      <c r="AU368" s="162" t="s">
        <v>7</v>
      </c>
      <c r="AV368" s="162" t="s">
        <v>7</v>
      </c>
      <c r="AW368" s="162" t="s">
        <v>7</v>
      </c>
      <c r="AX368" s="162" t="s">
        <v>9851</v>
      </c>
      <c r="AY368" s="162" t="s">
        <v>35</v>
      </c>
      <c r="AZ368" t="s">
        <v>35</v>
      </c>
      <c r="BA368" s="162" t="s">
        <v>7</v>
      </c>
      <c r="BB368" s="162" t="s">
        <v>7</v>
      </c>
      <c r="BC368" s="162" t="s">
        <v>7</v>
      </c>
      <c r="BD368" s="162" t="s">
        <v>7</v>
      </c>
      <c r="BE368" s="162" t="s">
        <v>7</v>
      </c>
      <c r="BF368" s="162" t="str">
        <f t="shared" si="10"/>
        <v>Não</v>
      </c>
      <c r="BG368" s="162" t="str">
        <f t="shared" si="11"/>
        <v>Sim</v>
      </c>
      <c r="BH368" s="162" t="s">
        <v>35</v>
      </c>
      <c r="BI368" t="s">
        <v>35</v>
      </c>
      <c r="BJ368" s="162" t="s">
        <v>10165</v>
      </c>
      <c r="BK368" t="s">
        <v>35</v>
      </c>
      <c r="BL368" s="162">
        <v>0</v>
      </c>
      <c r="BM368" t="s">
        <v>35</v>
      </c>
      <c r="BN368" t="s">
        <v>35</v>
      </c>
      <c r="BO368" t="s">
        <v>35</v>
      </c>
      <c r="BP368" s="162">
        <v>0</v>
      </c>
      <c r="BQ368" t="s">
        <v>35</v>
      </c>
      <c r="BR368" t="s">
        <v>35</v>
      </c>
      <c r="BS368" s="162" t="s">
        <v>35</v>
      </c>
    </row>
    <row r="369" spans="1:71">
      <c r="A369" s="162">
        <v>368</v>
      </c>
      <c r="B369" t="s">
        <v>352</v>
      </c>
      <c r="C369" s="162">
        <v>0</v>
      </c>
      <c r="D369" s="122" t="s">
        <v>642</v>
      </c>
      <c r="E369" t="s">
        <v>949</v>
      </c>
      <c r="F369" t="s">
        <v>3</v>
      </c>
      <c r="G369" t="s">
        <v>364</v>
      </c>
      <c r="H369" t="s">
        <v>956</v>
      </c>
      <c r="I369" s="162">
        <v>1</v>
      </c>
      <c r="J369" t="s">
        <v>1855</v>
      </c>
      <c r="K369" t="s">
        <v>3</v>
      </c>
      <c r="L369" s="165">
        <v>33756</v>
      </c>
      <c r="M369" s="166">
        <v>25</v>
      </c>
      <c r="N369" t="s">
        <v>1093</v>
      </c>
      <c r="O369" t="s">
        <v>10135</v>
      </c>
      <c r="P369" t="s">
        <v>48</v>
      </c>
      <c r="Q369" t="s">
        <v>1225</v>
      </c>
      <c r="R369" t="s">
        <v>9995</v>
      </c>
      <c r="S369" s="162">
        <v>47.2</v>
      </c>
      <c r="T369">
        <v>0</v>
      </c>
      <c r="U369" s="162">
        <v>0</v>
      </c>
      <c r="V369">
        <v>0</v>
      </c>
      <c r="W369" s="162">
        <v>0</v>
      </c>
      <c r="X369">
        <v>0</v>
      </c>
      <c r="Y369" s="162">
        <v>0</v>
      </c>
      <c r="Z369">
        <v>0</v>
      </c>
      <c r="AA369" s="162">
        <v>0</v>
      </c>
      <c r="AB369">
        <v>0</v>
      </c>
      <c r="AC369" s="162" t="s">
        <v>7</v>
      </c>
      <c r="AD369" s="162" t="s">
        <v>7</v>
      </c>
      <c r="AE369" s="162" t="s">
        <v>7</v>
      </c>
      <c r="AF369" s="162" t="s">
        <v>7</v>
      </c>
      <c r="AG369" s="162" t="s">
        <v>7</v>
      </c>
      <c r="AH369" s="162" t="s">
        <v>7</v>
      </c>
      <c r="AI369" t="s">
        <v>9846</v>
      </c>
      <c r="AJ369" t="s">
        <v>7</v>
      </c>
      <c r="AK369" t="s">
        <v>1122</v>
      </c>
      <c r="AL369" t="s">
        <v>6</v>
      </c>
      <c r="AM369" s="162" t="s">
        <v>10137</v>
      </c>
      <c r="AN369" t="s">
        <v>35</v>
      </c>
      <c r="AO369" t="s">
        <v>35</v>
      </c>
      <c r="AP369" t="s">
        <v>35</v>
      </c>
      <c r="AQ369" t="s">
        <v>35</v>
      </c>
      <c r="AR369" t="s">
        <v>35</v>
      </c>
      <c r="AS369" s="162" t="s">
        <v>35</v>
      </c>
      <c r="AT369" s="117" t="s">
        <v>35</v>
      </c>
      <c r="AU369" s="162" t="s">
        <v>7</v>
      </c>
      <c r="AV369" s="162" t="s">
        <v>7</v>
      </c>
      <c r="AW369" s="162" t="s">
        <v>7</v>
      </c>
      <c r="AX369" s="162" t="s">
        <v>9851</v>
      </c>
      <c r="AY369" s="162" t="s">
        <v>35</v>
      </c>
      <c r="AZ369" t="s">
        <v>35</v>
      </c>
      <c r="BA369" s="162" t="s">
        <v>7</v>
      </c>
      <c r="BB369" s="162" t="s">
        <v>7</v>
      </c>
      <c r="BC369" s="162" t="s">
        <v>7</v>
      </c>
      <c r="BD369" s="162" t="s">
        <v>7</v>
      </c>
      <c r="BE369" s="162" t="s">
        <v>7</v>
      </c>
      <c r="BF369" s="162" t="str">
        <f t="shared" si="10"/>
        <v>Não</v>
      </c>
      <c r="BG369" s="162" t="str">
        <f t="shared" si="11"/>
        <v>Sim</v>
      </c>
      <c r="BH369" s="162" t="s">
        <v>35</v>
      </c>
      <c r="BI369" t="s">
        <v>35</v>
      </c>
      <c r="BJ369" s="162" t="s">
        <v>10165</v>
      </c>
      <c r="BK369" t="s">
        <v>35</v>
      </c>
      <c r="BL369" s="162">
        <v>0</v>
      </c>
      <c r="BM369" t="s">
        <v>35</v>
      </c>
      <c r="BN369" t="s">
        <v>35</v>
      </c>
      <c r="BO369" t="s">
        <v>35</v>
      </c>
      <c r="BP369" s="162">
        <v>0</v>
      </c>
      <c r="BQ369" t="s">
        <v>35</v>
      </c>
      <c r="BR369" t="s">
        <v>35</v>
      </c>
      <c r="BS369" s="162" t="s">
        <v>35</v>
      </c>
    </row>
    <row r="370" spans="1:71">
      <c r="A370" s="162">
        <v>369</v>
      </c>
      <c r="B370" t="s">
        <v>449</v>
      </c>
      <c r="C370" s="162">
        <v>1</v>
      </c>
      <c r="D370" s="122" t="s">
        <v>1016</v>
      </c>
      <c r="E370" t="s">
        <v>1006</v>
      </c>
      <c r="F370" t="s">
        <v>3</v>
      </c>
      <c r="G370" t="s">
        <v>450</v>
      </c>
      <c r="H370" t="s">
        <v>1017</v>
      </c>
      <c r="I370" s="162">
        <v>1</v>
      </c>
      <c r="J370" t="s">
        <v>1855</v>
      </c>
      <c r="K370" t="s">
        <v>3</v>
      </c>
      <c r="L370" s="165">
        <v>33559</v>
      </c>
      <c r="M370" s="166">
        <v>25</v>
      </c>
      <c r="N370" t="s">
        <v>5</v>
      </c>
      <c r="O370" t="s">
        <v>10135</v>
      </c>
      <c r="P370" t="s">
        <v>48</v>
      </c>
      <c r="Q370" t="s">
        <v>1866</v>
      </c>
      <c r="R370" t="s">
        <v>1951</v>
      </c>
      <c r="S370" s="162">
        <v>68</v>
      </c>
      <c r="T370">
        <v>0</v>
      </c>
      <c r="U370" s="162">
        <v>0</v>
      </c>
      <c r="V370">
        <v>0</v>
      </c>
      <c r="W370" s="162">
        <v>0</v>
      </c>
      <c r="X370">
        <v>0</v>
      </c>
      <c r="Y370" s="162">
        <v>0</v>
      </c>
      <c r="Z370">
        <v>0</v>
      </c>
      <c r="AA370" s="162">
        <v>0</v>
      </c>
      <c r="AB370">
        <v>0</v>
      </c>
      <c r="AC370" s="162" t="s">
        <v>7</v>
      </c>
      <c r="AD370" s="162" t="s">
        <v>7</v>
      </c>
      <c r="AE370" s="162" t="s">
        <v>7</v>
      </c>
      <c r="AF370" s="162" t="s">
        <v>7</v>
      </c>
      <c r="AG370" s="162" t="s">
        <v>7</v>
      </c>
      <c r="AH370" s="162" t="s">
        <v>7</v>
      </c>
      <c r="AI370" t="s">
        <v>9843</v>
      </c>
      <c r="AJ370" t="s">
        <v>7</v>
      </c>
      <c r="AK370" t="s">
        <v>1933</v>
      </c>
      <c r="AL370" t="s">
        <v>6</v>
      </c>
      <c r="AM370" s="162" t="s">
        <v>10137</v>
      </c>
      <c r="AN370" t="s">
        <v>35</v>
      </c>
      <c r="AO370" t="s">
        <v>35</v>
      </c>
      <c r="AP370" t="s">
        <v>35</v>
      </c>
      <c r="AQ370" t="s">
        <v>35</v>
      </c>
      <c r="AR370" t="s">
        <v>35</v>
      </c>
      <c r="AS370" s="162" t="s">
        <v>35</v>
      </c>
      <c r="AT370" s="117" t="s">
        <v>35</v>
      </c>
      <c r="AU370" s="162" t="s">
        <v>7</v>
      </c>
      <c r="AV370" s="162" t="s">
        <v>7</v>
      </c>
      <c r="AW370" s="162" t="s">
        <v>7</v>
      </c>
      <c r="AX370" s="162" t="s">
        <v>9851</v>
      </c>
      <c r="AY370" s="162" t="s">
        <v>35</v>
      </c>
      <c r="AZ370" t="s">
        <v>35</v>
      </c>
      <c r="BA370" s="162" t="s">
        <v>7</v>
      </c>
      <c r="BB370" s="162" t="s">
        <v>7</v>
      </c>
      <c r="BC370" s="162" t="s">
        <v>7</v>
      </c>
      <c r="BD370" s="162" t="s">
        <v>7</v>
      </c>
      <c r="BE370" s="162" t="s">
        <v>7</v>
      </c>
      <c r="BF370" s="162" t="str">
        <f t="shared" si="10"/>
        <v>Não</v>
      </c>
      <c r="BG370" s="162" t="str">
        <f t="shared" si="11"/>
        <v>Sim</v>
      </c>
      <c r="BH370" s="162" t="s">
        <v>35</v>
      </c>
      <c r="BI370" t="s">
        <v>35</v>
      </c>
      <c r="BJ370" s="162" t="s">
        <v>10165</v>
      </c>
      <c r="BK370" t="s">
        <v>35</v>
      </c>
      <c r="BL370" s="162">
        <v>0</v>
      </c>
      <c r="BM370" t="s">
        <v>35</v>
      </c>
      <c r="BN370" t="s">
        <v>35</v>
      </c>
      <c r="BO370" t="s">
        <v>35</v>
      </c>
      <c r="BP370" s="162">
        <v>0</v>
      </c>
      <c r="BQ370" t="s">
        <v>35</v>
      </c>
      <c r="BR370" t="s">
        <v>35</v>
      </c>
      <c r="BS370" s="162" t="s">
        <v>35</v>
      </c>
    </row>
    <row r="371" spans="1:71">
      <c r="A371" s="162">
        <v>370</v>
      </c>
      <c r="B371" t="s">
        <v>377</v>
      </c>
      <c r="C371" s="162">
        <v>1</v>
      </c>
      <c r="D371" s="122" t="s">
        <v>651</v>
      </c>
      <c r="E371" t="s">
        <v>881</v>
      </c>
      <c r="F371" t="s">
        <v>3</v>
      </c>
      <c r="G371" t="s">
        <v>378</v>
      </c>
      <c r="H371" t="s">
        <v>895</v>
      </c>
      <c r="I371" s="162">
        <v>1</v>
      </c>
      <c r="J371" t="s">
        <v>1855</v>
      </c>
      <c r="K371" t="s">
        <v>3</v>
      </c>
      <c r="L371" s="165">
        <v>32383</v>
      </c>
      <c r="M371" s="166">
        <v>29</v>
      </c>
      <c r="N371" t="s">
        <v>1093</v>
      </c>
      <c r="O371" t="s">
        <v>10135</v>
      </c>
      <c r="P371" t="s">
        <v>48</v>
      </c>
      <c r="Q371" t="s">
        <v>1806</v>
      </c>
      <c r="R371" t="s">
        <v>10013</v>
      </c>
      <c r="S371" s="162">
        <v>17.8</v>
      </c>
      <c r="T371">
        <v>0</v>
      </c>
      <c r="U371" s="162">
        <v>0</v>
      </c>
      <c r="V371">
        <v>0</v>
      </c>
      <c r="W371" s="162">
        <v>0</v>
      </c>
      <c r="X371">
        <v>0</v>
      </c>
      <c r="Y371" s="162">
        <v>0</v>
      </c>
      <c r="Z371">
        <v>0</v>
      </c>
      <c r="AA371" s="162">
        <v>0</v>
      </c>
      <c r="AB371">
        <v>0</v>
      </c>
      <c r="AC371" s="162" t="s">
        <v>7</v>
      </c>
      <c r="AD371" s="162" t="s">
        <v>7</v>
      </c>
      <c r="AE371" s="162" t="s">
        <v>7</v>
      </c>
      <c r="AF371" s="162" t="s">
        <v>7</v>
      </c>
      <c r="AG371" s="162" t="s">
        <v>7</v>
      </c>
      <c r="AH371" s="162" t="s">
        <v>7</v>
      </c>
      <c r="AI371" t="s">
        <v>9843</v>
      </c>
      <c r="AJ371" t="s">
        <v>7</v>
      </c>
      <c r="AK371" t="s">
        <v>1807</v>
      </c>
      <c r="AL371" t="s">
        <v>51</v>
      </c>
      <c r="AM371" s="162" t="s">
        <v>10137</v>
      </c>
      <c r="AN371" t="s">
        <v>52</v>
      </c>
      <c r="AO371" t="s">
        <v>35</v>
      </c>
      <c r="AP371" t="s">
        <v>35</v>
      </c>
      <c r="AQ371" t="s">
        <v>35</v>
      </c>
      <c r="AR371" t="s">
        <v>35</v>
      </c>
      <c r="AS371" s="162" t="s">
        <v>35</v>
      </c>
      <c r="AT371" s="117" t="s">
        <v>35</v>
      </c>
      <c r="AU371" s="162" t="s">
        <v>7</v>
      </c>
      <c r="AV371" s="162" t="s">
        <v>7</v>
      </c>
      <c r="AW371" s="162" t="s">
        <v>7</v>
      </c>
      <c r="AX371" s="162" t="s">
        <v>9851</v>
      </c>
      <c r="AY371" s="162" t="s">
        <v>35</v>
      </c>
      <c r="AZ371" t="s">
        <v>35</v>
      </c>
      <c r="BA371" s="162" t="s">
        <v>7</v>
      </c>
      <c r="BB371" s="162" t="s">
        <v>7</v>
      </c>
      <c r="BC371" s="162" t="s">
        <v>7</v>
      </c>
      <c r="BD371" s="162" t="s">
        <v>7</v>
      </c>
      <c r="BE371" s="162" t="s">
        <v>7</v>
      </c>
      <c r="BF371" s="162" t="str">
        <f t="shared" si="10"/>
        <v>Não</v>
      </c>
      <c r="BG371" s="162" t="str">
        <f t="shared" si="11"/>
        <v>Sim</v>
      </c>
      <c r="BH371" s="162" t="s">
        <v>35</v>
      </c>
      <c r="BI371" t="s">
        <v>35</v>
      </c>
      <c r="BJ371" s="162" t="s">
        <v>10165</v>
      </c>
      <c r="BK371" t="s">
        <v>35</v>
      </c>
      <c r="BL371" s="162">
        <v>0</v>
      </c>
      <c r="BM371" t="s">
        <v>7</v>
      </c>
      <c r="BN371" t="s">
        <v>35</v>
      </c>
      <c r="BO371" t="s">
        <v>35</v>
      </c>
      <c r="BP371" s="162">
        <v>0</v>
      </c>
      <c r="BQ371" t="s">
        <v>35</v>
      </c>
      <c r="BR371" t="s">
        <v>35</v>
      </c>
      <c r="BS371" s="162" t="s">
        <v>35</v>
      </c>
    </row>
    <row r="372" spans="1:71">
      <c r="A372" s="162">
        <v>371</v>
      </c>
      <c r="B372" t="s">
        <v>266</v>
      </c>
      <c r="C372" s="162">
        <v>0</v>
      </c>
      <c r="D372" s="122" t="s">
        <v>748</v>
      </c>
      <c r="E372" t="s">
        <v>746</v>
      </c>
      <c r="F372" t="s">
        <v>3</v>
      </c>
      <c r="G372" t="s">
        <v>277</v>
      </c>
      <c r="H372" t="s">
        <v>751</v>
      </c>
      <c r="I372" s="162">
        <v>1</v>
      </c>
      <c r="J372" t="s">
        <v>1855</v>
      </c>
      <c r="K372" t="s">
        <v>3</v>
      </c>
      <c r="L372" s="165">
        <v>33856</v>
      </c>
      <c r="M372" s="166">
        <v>25</v>
      </c>
      <c r="N372" t="s">
        <v>5</v>
      </c>
      <c r="O372" t="s">
        <v>10135</v>
      </c>
      <c r="P372" t="s">
        <v>48</v>
      </c>
      <c r="Q372" t="s">
        <v>1186</v>
      </c>
      <c r="R372">
        <v>0</v>
      </c>
      <c r="S372" s="162">
        <v>0</v>
      </c>
      <c r="T372" t="s">
        <v>10068</v>
      </c>
      <c r="U372" s="162">
        <v>0.6</v>
      </c>
      <c r="V372">
        <v>0</v>
      </c>
      <c r="W372" s="162">
        <v>0</v>
      </c>
      <c r="X372">
        <v>0</v>
      </c>
      <c r="Y372" s="162">
        <v>0</v>
      </c>
      <c r="Z372">
        <v>0</v>
      </c>
      <c r="AA372" s="162">
        <v>0</v>
      </c>
      <c r="AB372">
        <v>0</v>
      </c>
      <c r="AC372" s="162" t="s">
        <v>7</v>
      </c>
      <c r="AD372" s="162" t="s">
        <v>7</v>
      </c>
      <c r="AE372" s="162" t="s">
        <v>7</v>
      </c>
      <c r="AF372" s="162" t="s">
        <v>7</v>
      </c>
      <c r="AG372" s="162" t="s">
        <v>7</v>
      </c>
      <c r="AH372" s="162" t="s">
        <v>7</v>
      </c>
      <c r="AI372" t="s">
        <v>9846</v>
      </c>
      <c r="AJ372" t="s">
        <v>7</v>
      </c>
      <c r="AK372" t="s">
        <v>1098</v>
      </c>
      <c r="AL372" t="s">
        <v>51</v>
      </c>
      <c r="AM372" s="162" t="s">
        <v>10137</v>
      </c>
      <c r="AN372" t="s">
        <v>52</v>
      </c>
      <c r="AO372" t="s">
        <v>35</v>
      </c>
      <c r="AP372" t="s">
        <v>35</v>
      </c>
      <c r="AQ372" t="s">
        <v>35</v>
      </c>
      <c r="AR372" t="s">
        <v>35</v>
      </c>
      <c r="AS372" s="162" t="s">
        <v>35</v>
      </c>
      <c r="AT372" s="117" t="s">
        <v>35</v>
      </c>
      <c r="AU372" s="162" t="s">
        <v>7</v>
      </c>
      <c r="AV372" s="162" t="s">
        <v>7</v>
      </c>
      <c r="AW372" s="162" t="s">
        <v>7</v>
      </c>
      <c r="AX372" s="162" t="s">
        <v>9851</v>
      </c>
      <c r="AY372" s="162" t="s">
        <v>35</v>
      </c>
      <c r="AZ372" t="s">
        <v>35</v>
      </c>
      <c r="BA372" s="162" t="s">
        <v>7</v>
      </c>
      <c r="BB372" s="162" t="s">
        <v>7</v>
      </c>
      <c r="BC372" s="162" t="s">
        <v>7</v>
      </c>
      <c r="BD372" s="162" t="s">
        <v>7</v>
      </c>
      <c r="BE372" s="162" t="s">
        <v>7</v>
      </c>
      <c r="BF372" s="162" t="str">
        <f t="shared" si="10"/>
        <v>Não</v>
      </c>
      <c r="BG372" s="162" t="str">
        <f t="shared" si="11"/>
        <v>Sim</v>
      </c>
      <c r="BH372" s="162" t="s">
        <v>35</v>
      </c>
      <c r="BI372" t="s">
        <v>35</v>
      </c>
      <c r="BJ372" s="162" t="s">
        <v>10165</v>
      </c>
      <c r="BK372" t="s">
        <v>35</v>
      </c>
      <c r="BL372" s="162">
        <v>0</v>
      </c>
      <c r="BM372" t="s">
        <v>7</v>
      </c>
      <c r="BN372" t="s">
        <v>35</v>
      </c>
      <c r="BO372" t="s">
        <v>35</v>
      </c>
      <c r="BP372" s="162">
        <v>0</v>
      </c>
      <c r="BQ372" t="s">
        <v>35</v>
      </c>
      <c r="BR372" t="s">
        <v>35</v>
      </c>
      <c r="BS372" s="162" t="s">
        <v>35</v>
      </c>
    </row>
    <row r="373" spans="1:71">
      <c r="A373" s="162">
        <v>372</v>
      </c>
      <c r="B373" t="s">
        <v>474</v>
      </c>
      <c r="C373" s="162">
        <v>1</v>
      </c>
      <c r="D373" s="122">
        <v>42807</v>
      </c>
      <c r="E373" t="s">
        <v>476</v>
      </c>
      <c r="F373" t="s">
        <v>3</v>
      </c>
      <c r="G373" t="s">
        <v>120</v>
      </c>
      <c r="H373" t="s">
        <v>488</v>
      </c>
      <c r="I373" s="162">
        <v>1</v>
      </c>
      <c r="J373" t="s">
        <v>1855</v>
      </c>
      <c r="K373" t="s">
        <v>3</v>
      </c>
      <c r="L373" s="165">
        <v>30612</v>
      </c>
      <c r="M373" s="166">
        <v>33</v>
      </c>
      <c r="N373" t="s">
        <v>4</v>
      </c>
      <c r="O373" t="s">
        <v>10134</v>
      </c>
      <c r="P373" t="s">
        <v>1074</v>
      </c>
      <c r="Q373" t="s">
        <v>1176</v>
      </c>
      <c r="R373">
        <v>0</v>
      </c>
      <c r="S373" s="162">
        <v>0</v>
      </c>
      <c r="T373" t="s">
        <v>1177</v>
      </c>
      <c r="U373" s="162">
        <v>931.2</v>
      </c>
      <c r="V373">
        <v>0</v>
      </c>
      <c r="W373" s="162">
        <v>0</v>
      </c>
      <c r="X373">
        <v>0</v>
      </c>
      <c r="Y373" s="162">
        <v>0</v>
      </c>
      <c r="Z373">
        <v>0</v>
      </c>
      <c r="AA373" s="162">
        <v>0</v>
      </c>
      <c r="AB373">
        <v>0</v>
      </c>
      <c r="AC373" s="162" t="s">
        <v>7</v>
      </c>
      <c r="AD373" s="162" t="s">
        <v>7</v>
      </c>
      <c r="AE373" s="162" t="s">
        <v>7</v>
      </c>
      <c r="AF373" s="162" t="s">
        <v>7</v>
      </c>
      <c r="AG373" s="162" t="s">
        <v>7</v>
      </c>
      <c r="AH373" s="162" t="s">
        <v>7</v>
      </c>
      <c r="AI373" t="s">
        <v>9846</v>
      </c>
      <c r="AJ373" t="s">
        <v>7</v>
      </c>
      <c r="AK373" t="s">
        <v>80</v>
      </c>
      <c r="AL373" t="s">
        <v>6</v>
      </c>
      <c r="AM373" s="162" t="s">
        <v>10137</v>
      </c>
      <c r="AN373" t="s">
        <v>35</v>
      </c>
      <c r="AO373" t="s">
        <v>35</v>
      </c>
      <c r="AP373" t="s">
        <v>35</v>
      </c>
      <c r="AQ373" t="s">
        <v>35</v>
      </c>
      <c r="AR373" t="s">
        <v>35</v>
      </c>
      <c r="AS373" s="162" t="s">
        <v>35</v>
      </c>
      <c r="AT373" s="117" t="s">
        <v>35</v>
      </c>
      <c r="AU373" s="162" t="s">
        <v>7</v>
      </c>
      <c r="AV373" s="162" t="s">
        <v>7</v>
      </c>
      <c r="AW373" s="162" t="s">
        <v>7</v>
      </c>
      <c r="AX373" s="162" t="s">
        <v>9851</v>
      </c>
      <c r="AY373" s="162" t="s">
        <v>35</v>
      </c>
      <c r="AZ373" t="s">
        <v>35</v>
      </c>
      <c r="BA373" s="162" t="s">
        <v>7</v>
      </c>
      <c r="BB373" s="162" t="s">
        <v>7</v>
      </c>
      <c r="BC373" s="162" t="s">
        <v>7</v>
      </c>
      <c r="BD373" s="162" t="s">
        <v>7</v>
      </c>
      <c r="BE373" s="162" t="s">
        <v>7</v>
      </c>
      <c r="BF373" s="162" t="str">
        <f t="shared" si="10"/>
        <v>Não</v>
      </c>
      <c r="BG373" s="162" t="str">
        <f t="shared" si="11"/>
        <v>Sim</v>
      </c>
      <c r="BH373" s="162" t="s">
        <v>35</v>
      </c>
      <c r="BI373" t="s">
        <v>35</v>
      </c>
      <c r="BJ373" s="162" t="s">
        <v>10165</v>
      </c>
      <c r="BK373" t="s">
        <v>35</v>
      </c>
      <c r="BL373" s="162">
        <v>0</v>
      </c>
      <c r="BM373" t="s">
        <v>35</v>
      </c>
      <c r="BN373" t="s">
        <v>35</v>
      </c>
      <c r="BO373" t="s">
        <v>35</v>
      </c>
      <c r="BP373" s="162">
        <v>0</v>
      </c>
      <c r="BQ373" t="s">
        <v>35</v>
      </c>
      <c r="BR373" t="s">
        <v>35</v>
      </c>
      <c r="BS373" s="162" t="s">
        <v>35</v>
      </c>
    </row>
    <row r="374" spans="1:71">
      <c r="A374" s="162">
        <v>373</v>
      </c>
      <c r="B374" t="s">
        <v>90</v>
      </c>
      <c r="C374" s="162">
        <v>1</v>
      </c>
      <c r="D374" s="122" t="s">
        <v>101</v>
      </c>
      <c r="E374" t="s">
        <v>102</v>
      </c>
      <c r="F374" t="s">
        <v>515</v>
      </c>
      <c r="G374" t="s">
        <v>87</v>
      </c>
      <c r="H374" t="s">
        <v>103</v>
      </c>
      <c r="I374" s="162">
        <v>1</v>
      </c>
      <c r="J374" t="s">
        <v>76</v>
      </c>
      <c r="K374" t="s">
        <v>3</v>
      </c>
      <c r="L374" s="165">
        <v>34009</v>
      </c>
      <c r="M374" s="166">
        <v>24</v>
      </c>
      <c r="N374" t="s">
        <v>5</v>
      </c>
      <c r="O374" t="s">
        <v>10135</v>
      </c>
      <c r="P374" t="s">
        <v>48</v>
      </c>
      <c r="Q374" t="s">
        <v>1957</v>
      </c>
      <c r="R374">
        <v>0</v>
      </c>
      <c r="S374" s="162">
        <v>0</v>
      </c>
      <c r="T374" t="s">
        <v>1960</v>
      </c>
      <c r="U374" s="162">
        <v>46.2</v>
      </c>
      <c r="V374">
        <v>0</v>
      </c>
      <c r="W374" s="162">
        <v>0</v>
      </c>
      <c r="X374">
        <v>0</v>
      </c>
      <c r="Y374" s="162">
        <v>0</v>
      </c>
      <c r="Z374">
        <v>0</v>
      </c>
      <c r="AA374" s="162">
        <v>0</v>
      </c>
      <c r="AB374">
        <v>0</v>
      </c>
      <c r="AC374" s="162" t="s">
        <v>7</v>
      </c>
      <c r="AD374" s="162" t="s">
        <v>7</v>
      </c>
      <c r="AE374" s="162" t="s">
        <v>7</v>
      </c>
      <c r="AF374" s="162" t="s">
        <v>7</v>
      </c>
      <c r="AG374" s="162" t="s">
        <v>7</v>
      </c>
      <c r="AH374" s="162" t="s">
        <v>7</v>
      </c>
      <c r="AI374" t="s">
        <v>9843</v>
      </c>
      <c r="AJ374" t="s">
        <v>9848</v>
      </c>
      <c r="AK374" t="s">
        <v>1638</v>
      </c>
      <c r="AL374" t="s">
        <v>6</v>
      </c>
      <c r="AM374" s="162" t="s">
        <v>10137</v>
      </c>
      <c r="AN374" t="s">
        <v>35</v>
      </c>
      <c r="AO374" t="s">
        <v>35</v>
      </c>
      <c r="AP374" t="s">
        <v>35</v>
      </c>
      <c r="AQ374" t="s">
        <v>35</v>
      </c>
      <c r="AR374" t="s">
        <v>35</v>
      </c>
      <c r="AS374" s="162" t="s">
        <v>35</v>
      </c>
      <c r="AT374" s="117" t="s">
        <v>35</v>
      </c>
      <c r="AU374" s="162" t="s">
        <v>7</v>
      </c>
      <c r="AV374" s="162" t="s">
        <v>7</v>
      </c>
      <c r="AW374" s="162" t="s">
        <v>7</v>
      </c>
      <c r="AX374" s="162" t="s">
        <v>9851</v>
      </c>
      <c r="AY374" s="162" t="s">
        <v>35</v>
      </c>
      <c r="AZ374" t="s">
        <v>35</v>
      </c>
      <c r="BA374" s="162" t="s">
        <v>7</v>
      </c>
      <c r="BB374" s="162" t="s">
        <v>7</v>
      </c>
      <c r="BC374" s="162" t="s">
        <v>7</v>
      </c>
      <c r="BD374" s="162" t="s">
        <v>7</v>
      </c>
      <c r="BE374" s="162" t="s">
        <v>7</v>
      </c>
      <c r="BF374" s="162" t="str">
        <f t="shared" si="10"/>
        <v>Não</v>
      </c>
      <c r="BG374" s="162" t="str">
        <f t="shared" si="11"/>
        <v>Sim</v>
      </c>
      <c r="BH374" s="162" t="s">
        <v>35</v>
      </c>
      <c r="BI374" t="s">
        <v>35</v>
      </c>
      <c r="BJ374" s="162" t="s">
        <v>10165</v>
      </c>
      <c r="BK374" t="s">
        <v>35</v>
      </c>
      <c r="BL374" s="162">
        <v>0</v>
      </c>
      <c r="BM374" t="s">
        <v>35</v>
      </c>
      <c r="BN374" t="s">
        <v>35</v>
      </c>
      <c r="BO374" t="s">
        <v>35</v>
      </c>
      <c r="BP374" s="162">
        <v>0</v>
      </c>
      <c r="BQ374" t="s">
        <v>35</v>
      </c>
      <c r="BR374" t="s">
        <v>35</v>
      </c>
      <c r="BS374" s="162" t="s">
        <v>35</v>
      </c>
    </row>
    <row r="375" spans="1:71">
      <c r="A375" s="162">
        <v>374</v>
      </c>
      <c r="B375" t="s">
        <v>170</v>
      </c>
      <c r="C375" s="162">
        <v>1</v>
      </c>
      <c r="D375" s="122" t="s">
        <v>600</v>
      </c>
      <c r="E375" t="s">
        <v>593</v>
      </c>
      <c r="F375" t="s">
        <v>515</v>
      </c>
      <c r="G375" t="s">
        <v>173</v>
      </c>
      <c r="H375" t="s">
        <v>601</v>
      </c>
      <c r="I375" s="162">
        <v>1</v>
      </c>
      <c r="J375" t="s">
        <v>1855</v>
      </c>
      <c r="K375" t="s">
        <v>3</v>
      </c>
      <c r="L375" s="165">
        <v>34694</v>
      </c>
      <c r="M375" s="166">
        <v>22</v>
      </c>
      <c r="N375" t="s">
        <v>4</v>
      </c>
      <c r="O375" t="s">
        <v>10134</v>
      </c>
      <c r="P375" t="s">
        <v>48</v>
      </c>
      <c r="Q375" t="s">
        <v>1084</v>
      </c>
      <c r="R375">
        <v>0</v>
      </c>
      <c r="S375" s="162">
        <v>0</v>
      </c>
      <c r="T375" t="s">
        <v>1083</v>
      </c>
      <c r="U375" s="162">
        <v>26.5</v>
      </c>
      <c r="V375">
        <v>0</v>
      </c>
      <c r="W375" s="162">
        <v>0</v>
      </c>
      <c r="X375">
        <v>0</v>
      </c>
      <c r="Y375" s="162">
        <v>0</v>
      </c>
      <c r="Z375">
        <v>0</v>
      </c>
      <c r="AA375" s="162">
        <v>0</v>
      </c>
      <c r="AB375">
        <v>0</v>
      </c>
      <c r="AC375" s="162" t="s">
        <v>7</v>
      </c>
      <c r="AD375" s="162" t="s">
        <v>7</v>
      </c>
      <c r="AE375" s="162" t="s">
        <v>7</v>
      </c>
      <c r="AF375" s="162" t="s">
        <v>7</v>
      </c>
      <c r="AG375" s="162" t="s">
        <v>7</v>
      </c>
      <c r="AH375" s="162" t="s">
        <v>7</v>
      </c>
      <c r="AI375" t="s">
        <v>9843</v>
      </c>
      <c r="AJ375" t="s">
        <v>7</v>
      </c>
      <c r="AK375" t="s">
        <v>9809</v>
      </c>
      <c r="AL375" t="s">
        <v>51</v>
      </c>
      <c r="AM375" s="162" t="s">
        <v>10137</v>
      </c>
      <c r="AN375" t="s">
        <v>52</v>
      </c>
      <c r="AO375" t="s">
        <v>35</v>
      </c>
      <c r="AP375" t="s">
        <v>35</v>
      </c>
      <c r="AQ375" t="s">
        <v>35</v>
      </c>
      <c r="AR375" t="s">
        <v>35</v>
      </c>
      <c r="AS375" s="162" t="s">
        <v>35</v>
      </c>
      <c r="AT375" s="117" t="s">
        <v>35</v>
      </c>
      <c r="AU375" s="162" t="s">
        <v>7</v>
      </c>
      <c r="AV375" s="162" t="s">
        <v>7</v>
      </c>
      <c r="AW375" s="162" t="s">
        <v>7</v>
      </c>
      <c r="AX375" s="162" t="s">
        <v>9851</v>
      </c>
      <c r="AY375" s="162" t="s">
        <v>35</v>
      </c>
      <c r="AZ375" t="s">
        <v>35</v>
      </c>
      <c r="BA375" s="162" t="s">
        <v>7</v>
      </c>
      <c r="BB375" s="162" t="s">
        <v>7</v>
      </c>
      <c r="BC375" s="162" t="s">
        <v>7</v>
      </c>
      <c r="BD375" s="162" t="s">
        <v>7</v>
      </c>
      <c r="BE375" s="162" t="s">
        <v>7</v>
      </c>
      <c r="BF375" s="162" t="str">
        <f t="shared" si="10"/>
        <v>Não</v>
      </c>
      <c r="BG375" s="162" t="str">
        <f t="shared" si="11"/>
        <v>Sim</v>
      </c>
      <c r="BH375" s="162" t="s">
        <v>35</v>
      </c>
      <c r="BI375" t="s">
        <v>35</v>
      </c>
      <c r="BJ375" s="162" t="s">
        <v>10165</v>
      </c>
      <c r="BK375" t="s">
        <v>35</v>
      </c>
      <c r="BL375" s="162">
        <v>0</v>
      </c>
      <c r="BM375" t="s">
        <v>7</v>
      </c>
      <c r="BN375" t="s">
        <v>35</v>
      </c>
      <c r="BO375" t="s">
        <v>35</v>
      </c>
      <c r="BP375" s="162">
        <v>0</v>
      </c>
      <c r="BQ375" t="s">
        <v>35</v>
      </c>
      <c r="BR375" t="s">
        <v>35</v>
      </c>
      <c r="BS375" s="162" t="s">
        <v>35</v>
      </c>
    </row>
    <row r="376" spans="1:71">
      <c r="A376" s="162">
        <v>375</v>
      </c>
      <c r="B376" t="s">
        <v>1583</v>
      </c>
      <c r="C376" s="162">
        <v>1</v>
      </c>
      <c r="D376" s="122" t="s">
        <v>931</v>
      </c>
      <c r="E376" t="s">
        <v>656</v>
      </c>
      <c r="F376" t="s">
        <v>515</v>
      </c>
      <c r="G376" t="s">
        <v>214</v>
      </c>
      <c r="H376" t="s">
        <v>1739</v>
      </c>
      <c r="I376" s="162">
        <v>1</v>
      </c>
      <c r="J376" t="s">
        <v>1855</v>
      </c>
      <c r="K376" t="s">
        <v>3</v>
      </c>
      <c r="L376" s="165">
        <v>29833</v>
      </c>
      <c r="M376" s="166">
        <v>36</v>
      </c>
      <c r="N376" t="s">
        <v>4</v>
      </c>
      <c r="O376" t="s">
        <v>10134</v>
      </c>
      <c r="P376" t="s">
        <v>18</v>
      </c>
      <c r="Q376" t="s">
        <v>9787</v>
      </c>
      <c r="R376" t="s">
        <v>1742</v>
      </c>
      <c r="S376" s="162">
        <v>61.5</v>
      </c>
      <c r="T376" t="s">
        <v>1741</v>
      </c>
      <c r="U376" s="162">
        <v>8.8000000000000007</v>
      </c>
      <c r="V376">
        <v>0</v>
      </c>
      <c r="W376" s="162">
        <v>0</v>
      </c>
      <c r="X376">
        <v>0</v>
      </c>
      <c r="Y376" s="162">
        <v>0</v>
      </c>
      <c r="Z376">
        <v>0</v>
      </c>
      <c r="AA376" s="162">
        <v>0</v>
      </c>
      <c r="AB376">
        <v>0</v>
      </c>
      <c r="AC376" s="162" t="s">
        <v>7</v>
      </c>
      <c r="AD376" s="162" t="s">
        <v>7</v>
      </c>
      <c r="AE376" s="162" t="s">
        <v>7</v>
      </c>
      <c r="AF376" s="162" t="s">
        <v>7</v>
      </c>
      <c r="AG376" s="162" t="s">
        <v>7</v>
      </c>
      <c r="AH376" s="162" t="s">
        <v>7</v>
      </c>
      <c r="AI376" t="s">
        <v>9844</v>
      </c>
      <c r="AJ376" t="s">
        <v>1740</v>
      </c>
      <c r="AK376" t="s">
        <v>1122</v>
      </c>
      <c r="AL376" t="s">
        <v>51</v>
      </c>
      <c r="AM376" s="162" t="s">
        <v>10137</v>
      </c>
      <c r="AN376" t="s">
        <v>52</v>
      </c>
      <c r="AO376" t="s">
        <v>1740</v>
      </c>
      <c r="AP376" t="s">
        <v>35</v>
      </c>
      <c r="AQ376" t="s">
        <v>35</v>
      </c>
      <c r="AR376" t="s">
        <v>35</v>
      </c>
      <c r="AS376" s="162" t="s">
        <v>35</v>
      </c>
      <c r="AT376" s="117" t="s">
        <v>35</v>
      </c>
      <c r="AU376" s="162" t="s">
        <v>7</v>
      </c>
      <c r="AV376" s="162" t="s">
        <v>7</v>
      </c>
      <c r="AW376" s="162" t="s">
        <v>7</v>
      </c>
      <c r="AX376" s="162" t="s">
        <v>9851</v>
      </c>
      <c r="AY376" s="162" t="s">
        <v>35</v>
      </c>
      <c r="AZ376" t="s">
        <v>35</v>
      </c>
      <c r="BA376" s="162" t="s">
        <v>7</v>
      </c>
      <c r="BB376" s="162" t="s">
        <v>7</v>
      </c>
      <c r="BC376" s="162" t="s">
        <v>7</v>
      </c>
      <c r="BD376" s="162" t="s">
        <v>7</v>
      </c>
      <c r="BE376" s="162" t="s">
        <v>7</v>
      </c>
      <c r="BF376" s="162" t="str">
        <f t="shared" si="10"/>
        <v>Não</v>
      </c>
      <c r="BG376" s="162" t="str">
        <f t="shared" si="11"/>
        <v>Sim</v>
      </c>
      <c r="BH376" s="162" t="s">
        <v>35</v>
      </c>
      <c r="BI376" t="s">
        <v>35</v>
      </c>
      <c r="BJ376" s="162" t="s">
        <v>10165</v>
      </c>
      <c r="BK376" t="s">
        <v>35</v>
      </c>
      <c r="BL376" s="162">
        <v>0</v>
      </c>
      <c r="BM376" t="s">
        <v>7</v>
      </c>
      <c r="BN376" t="s">
        <v>1279</v>
      </c>
      <c r="BO376" t="s">
        <v>1279</v>
      </c>
      <c r="BP376" s="162">
        <v>12</v>
      </c>
      <c r="BQ376" t="s">
        <v>9851</v>
      </c>
      <c r="BR376" t="s">
        <v>35</v>
      </c>
      <c r="BS376" s="162" t="s">
        <v>35</v>
      </c>
    </row>
    <row r="377" spans="1:71">
      <c r="A377" s="162">
        <v>376</v>
      </c>
      <c r="B377" t="s">
        <v>333</v>
      </c>
      <c r="C377" s="162">
        <v>1</v>
      </c>
      <c r="D377" s="122">
        <v>42997</v>
      </c>
      <c r="E377" t="s">
        <v>847</v>
      </c>
      <c r="F377" t="s">
        <v>515</v>
      </c>
      <c r="G377" t="s">
        <v>335</v>
      </c>
      <c r="H377" t="s">
        <v>1896</v>
      </c>
      <c r="I377" s="162">
        <v>1</v>
      </c>
      <c r="J377" t="s">
        <v>1855</v>
      </c>
      <c r="K377" t="s">
        <v>3</v>
      </c>
      <c r="L377" s="165">
        <v>35690</v>
      </c>
      <c r="M377" s="166">
        <v>20</v>
      </c>
      <c r="N377" t="s">
        <v>5</v>
      </c>
      <c r="O377" t="s">
        <v>10135</v>
      </c>
      <c r="P377" t="s">
        <v>48</v>
      </c>
      <c r="Q377" t="s">
        <v>1709</v>
      </c>
      <c r="R377" t="s">
        <v>9984</v>
      </c>
      <c r="S377" s="162">
        <v>13.5</v>
      </c>
      <c r="T377" t="s">
        <v>9985</v>
      </c>
      <c r="U377" s="162">
        <v>9.1</v>
      </c>
      <c r="V377">
        <v>0</v>
      </c>
      <c r="W377" s="162">
        <v>0</v>
      </c>
      <c r="X377">
        <v>0</v>
      </c>
      <c r="Y377" s="162">
        <v>0</v>
      </c>
      <c r="Z377">
        <v>0</v>
      </c>
      <c r="AA377" s="162">
        <v>0</v>
      </c>
      <c r="AB377">
        <v>0</v>
      </c>
      <c r="AC377" s="162" t="s">
        <v>7</v>
      </c>
      <c r="AD377" s="162" t="s">
        <v>7</v>
      </c>
      <c r="AE377" s="162" t="s">
        <v>7</v>
      </c>
      <c r="AF377" s="162" t="s">
        <v>7</v>
      </c>
      <c r="AG377" s="162" t="s">
        <v>7</v>
      </c>
      <c r="AH377" s="162" t="s">
        <v>7</v>
      </c>
      <c r="AI377" t="s">
        <v>9843</v>
      </c>
      <c r="AJ377" t="s">
        <v>7</v>
      </c>
      <c r="AK377" t="s">
        <v>1150</v>
      </c>
      <c r="AL377" t="s">
        <v>6</v>
      </c>
      <c r="AM377" s="162" t="s">
        <v>10137</v>
      </c>
      <c r="AN377" t="s">
        <v>35</v>
      </c>
      <c r="AO377" t="s">
        <v>35</v>
      </c>
      <c r="AP377" t="s">
        <v>35</v>
      </c>
      <c r="AQ377" t="s">
        <v>35</v>
      </c>
      <c r="AR377" t="s">
        <v>35</v>
      </c>
      <c r="AS377" s="162" t="s">
        <v>35</v>
      </c>
      <c r="AT377" s="117" t="s">
        <v>35</v>
      </c>
      <c r="AU377" s="162" t="s">
        <v>7</v>
      </c>
      <c r="AV377" s="162" t="s">
        <v>7</v>
      </c>
      <c r="AW377" s="162" t="s">
        <v>7</v>
      </c>
      <c r="AX377" s="162" t="s">
        <v>9851</v>
      </c>
      <c r="AY377" s="162" t="s">
        <v>35</v>
      </c>
      <c r="AZ377" t="s">
        <v>35</v>
      </c>
      <c r="BA377" s="162" t="s">
        <v>7</v>
      </c>
      <c r="BB377" s="162" t="s">
        <v>7</v>
      </c>
      <c r="BC377" s="162" t="s">
        <v>7</v>
      </c>
      <c r="BD377" s="162" t="s">
        <v>7</v>
      </c>
      <c r="BE377" s="162" t="s">
        <v>7</v>
      </c>
      <c r="BF377" s="162" t="str">
        <f t="shared" si="10"/>
        <v>Não</v>
      </c>
      <c r="BG377" s="162" t="str">
        <f t="shared" si="11"/>
        <v>Sim</v>
      </c>
      <c r="BH377" s="162" t="s">
        <v>35</v>
      </c>
      <c r="BI377" t="s">
        <v>35</v>
      </c>
      <c r="BJ377" s="162" t="s">
        <v>10165</v>
      </c>
      <c r="BK377" t="s">
        <v>35</v>
      </c>
      <c r="BL377" s="162">
        <v>0</v>
      </c>
      <c r="BM377" t="s">
        <v>35</v>
      </c>
      <c r="BN377" t="s">
        <v>35</v>
      </c>
      <c r="BO377" t="s">
        <v>35</v>
      </c>
      <c r="BP377" s="162">
        <v>0</v>
      </c>
      <c r="BQ377" t="s">
        <v>35</v>
      </c>
      <c r="BR377" t="s">
        <v>35</v>
      </c>
      <c r="BS377" s="162" t="s">
        <v>35</v>
      </c>
    </row>
    <row r="378" spans="1:71">
      <c r="A378" s="162">
        <v>377</v>
      </c>
      <c r="B378" t="s">
        <v>341</v>
      </c>
      <c r="C378" s="162">
        <v>1</v>
      </c>
      <c r="D378" s="122" t="s">
        <v>505</v>
      </c>
      <c r="E378" t="s">
        <v>858</v>
      </c>
      <c r="F378" t="s">
        <v>515</v>
      </c>
      <c r="G378" t="s">
        <v>348</v>
      </c>
      <c r="H378" t="s">
        <v>865</v>
      </c>
      <c r="I378" s="162">
        <v>1</v>
      </c>
      <c r="J378" t="s">
        <v>1855</v>
      </c>
      <c r="K378" t="s">
        <v>3</v>
      </c>
      <c r="L378" s="165">
        <v>33448</v>
      </c>
      <c r="M378" s="166">
        <v>26</v>
      </c>
      <c r="N378" t="s">
        <v>5</v>
      </c>
      <c r="O378" t="s">
        <v>10135</v>
      </c>
      <c r="P378" t="s">
        <v>1101</v>
      </c>
      <c r="Q378" t="s">
        <v>1628</v>
      </c>
      <c r="R378" t="s">
        <v>9986</v>
      </c>
      <c r="S378" s="162">
        <v>4.3</v>
      </c>
      <c r="T378" t="s">
        <v>10074</v>
      </c>
      <c r="U378" s="162">
        <v>11.8</v>
      </c>
      <c r="V378">
        <v>0</v>
      </c>
      <c r="W378" s="162">
        <v>0</v>
      </c>
      <c r="X378">
        <v>0</v>
      </c>
      <c r="Y378" s="162">
        <v>0</v>
      </c>
      <c r="Z378">
        <v>0</v>
      </c>
      <c r="AA378" s="162">
        <v>0</v>
      </c>
      <c r="AB378">
        <v>0</v>
      </c>
      <c r="AC378" s="162" t="s">
        <v>7</v>
      </c>
      <c r="AD378" s="162" t="s">
        <v>7</v>
      </c>
      <c r="AE378" s="162" t="s">
        <v>7</v>
      </c>
      <c r="AF378" s="162" t="s">
        <v>7</v>
      </c>
      <c r="AG378" s="162" t="s">
        <v>7</v>
      </c>
      <c r="AH378" s="162" t="s">
        <v>7</v>
      </c>
      <c r="AI378" t="s">
        <v>9843</v>
      </c>
      <c r="AJ378" t="s">
        <v>7</v>
      </c>
      <c r="AK378" t="s">
        <v>1098</v>
      </c>
      <c r="AL378" t="s">
        <v>51</v>
      </c>
      <c r="AM378" s="162" t="s">
        <v>10137</v>
      </c>
      <c r="AN378" t="s">
        <v>52</v>
      </c>
      <c r="AO378" t="s">
        <v>35</v>
      </c>
      <c r="AP378" t="s">
        <v>35</v>
      </c>
      <c r="AQ378" t="s">
        <v>35</v>
      </c>
      <c r="AR378" t="s">
        <v>35</v>
      </c>
      <c r="AS378" s="162" t="s">
        <v>35</v>
      </c>
      <c r="AT378" s="117" t="s">
        <v>35</v>
      </c>
      <c r="AU378" s="162" t="s">
        <v>7</v>
      </c>
      <c r="AV378" s="162" t="s">
        <v>7</v>
      </c>
      <c r="AW378" s="162" t="s">
        <v>7</v>
      </c>
      <c r="AX378" s="162" t="s">
        <v>9851</v>
      </c>
      <c r="AY378" s="162" t="s">
        <v>35</v>
      </c>
      <c r="AZ378" t="s">
        <v>35</v>
      </c>
      <c r="BA378" s="162" t="s">
        <v>7</v>
      </c>
      <c r="BB378" s="162" t="s">
        <v>7</v>
      </c>
      <c r="BC378" s="162" t="s">
        <v>7</v>
      </c>
      <c r="BD378" s="162" t="s">
        <v>7</v>
      </c>
      <c r="BE378" s="162" t="s">
        <v>7</v>
      </c>
      <c r="BF378" s="162" t="str">
        <f t="shared" si="10"/>
        <v>Não</v>
      </c>
      <c r="BG378" s="162" t="str">
        <f t="shared" si="11"/>
        <v>Sim</v>
      </c>
      <c r="BH378" s="162" t="s">
        <v>35</v>
      </c>
      <c r="BI378" t="s">
        <v>35</v>
      </c>
      <c r="BJ378" s="162" t="s">
        <v>10165</v>
      </c>
      <c r="BK378" t="s">
        <v>35</v>
      </c>
      <c r="BL378" s="162">
        <v>0</v>
      </c>
      <c r="BM378" t="s">
        <v>7</v>
      </c>
      <c r="BN378" t="s">
        <v>35</v>
      </c>
      <c r="BO378" t="s">
        <v>35</v>
      </c>
      <c r="BP378" s="162">
        <v>0</v>
      </c>
      <c r="BQ378" t="s">
        <v>35</v>
      </c>
      <c r="BR378" t="s">
        <v>35</v>
      </c>
      <c r="BS378" s="162" t="s">
        <v>35</v>
      </c>
    </row>
    <row r="379" spans="1:71">
      <c r="A379" s="162">
        <v>378</v>
      </c>
      <c r="B379" t="s">
        <v>341</v>
      </c>
      <c r="C379" s="162">
        <v>0</v>
      </c>
      <c r="D379" s="122" t="s">
        <v>505</v>
      </c>
      <c r="E379" t="s">
        <v>858</v>
      </c>
      <c r="F379" t="s">
        <v>515</v>
      </c>
      <c r="G379" t="s">
        <v>348</v>
      </c>
      <c r="H379" t="s">
        <v>866</v>
      </c>
      <c r="I379" s="162">
        <v>1</v>
      </c>
      <c r="J379" t="s">
        <v>1855</v>
      </c>
      <c r="K379" t="s">
        <v>515</v>
      </c>
      <c r="L379" s="165">
        <v>35262</v>
      </c>
      <c r="M379" s="166">
        <v>21</v>
      </c>
      <c r="N379" t="s">
        <v>5</v>
      </c>
      <c r="O379" t="s">
        <v>10135</v>
      </c>
      <c r="P379" t="s">
        <v>1074</v>
      </c>
      <c r="Q379" t="s">
        <v>1629</v>
      </c>
      <c r="R379" t="s">
        <v>9986</v>
      </c>
      <c r="S379" s="162">
        <v>4.3</v>
      </c>
      <c r="T379" t="s">
        <v>10074</v>
      </c>
      <c r="U379" s="162">
        <v>11.8</v>
      </c>
      <c r="V379">
        <v>0</v>
      </c>
      <c r="W379" s="162">
        <v>0</v>
      </c>
      <c r="X379">
        <v>0</v>
      </c>
      <c r="Y379" s="162">
        <v>0</v>
      </c>
      <c r="Z379">
        <v>0</v>
      </c>
      <c r="AA379" s="162">
        <v>0</v>
      </c>
      <c r="AB379">
        <v>0</v>
      </c>
      <c r="AC379" s="162" t="s">
        <v>7</v>
      </c>
      <c r="AD379" s="162" t="s">
        <v>7</v>
      </c>
      <c r="AE379" s="162" t="s">
        <v>7</v>
      </c>
      <c r="AF379" s="162" t="s">
        <v>7</v>
      </c>
      <c r="AG379" s="162" t="s">
        <v>7</v>
      </c>
      <c r="AH379" s="162" t="s">
        <v>7</v>
      </c>
      <c r="AI379" t="s">
        <v>9843</v>
      </c>
      <c r="AJ379" t="s">
        <v>7</v>
      </c>
      <c r="AK379" t="s">
        <v>1098</v>
      </c>
      <c r="AL379" t="s">
        <v>6</v>
      </c>
      <c r="AM379" s="162" t="s">
        <v>10137</v>
      </c>
      <c r="AN379" t="s">
        <v>35</v>
      </c>
      <c r="AO379" t="s">
        <v>35</v>
      </c>
      <c r="AP379" t="s">
        <v>35</v>
      </c>
      <c r="AQ379" t="s">
        <v>35</v>
      </c>
      <c r="AR379" t="s">
        <v>35</v>
      </c>
      <c r="AS379" s="162" t="s">
        <v>35</v>
      </c>
      <c r="AT379" s="117" t="s">
        <v>35</v>
      </c>
      <c r="AU379" s="162" t="s">
        <v>7</v>
      </c>
      <c r="AV379" s="162" t="s">
        <v>7</v>
      </c>
      <c r="AW379" s="162" t="s">
        <v>7</v>
      </c>
      <c r="AX379" s="162" t="s">
        <v>9851</v>
      </c>
      <c r="AY379" s="162" t="s">
        <v>35</v>
      </c>
      <c r="AZ379" t="s">
        <v>35</v>
      </c>
      <c r="BA379" s="162" t="s">
        <v>7</v>
      </c>
      <c r="BB379" s="162" t="s">
        <v>7</v>
      </c>
      <c r="BC379" s="162" t="s">
        <v>7</v>
      </c>
      <c r="BD379" s="162" t="s">
        <v>7</v>
      </c>
      <c r="BE379" s="162" t="s">
        <v>7</v>
      </c>
      <c r="BF379" s="162" t="str">
        <f t="shared" si="10"/>
        <v>Não</v>
      </c>
      <c r="BG379" s="162" t="str">
        <f t="shared" si="11"/>
        <v>Sim</v>
      </c>
      <c r="BH379" s="162" t="s">
        <v>35</v>
      </c>
      <c r="BI379" t="s">
        <v>35</v>
      </c>
      <c r="BJ379" s="162" t="s">
        <v>10165</v>
      </c>
      <c r="BK379" t="s">
        <v>35</v>
      </c>
      <c r="BL379" s="162">
        <v>0</v>
      </c>
      <c r="BM379" t="s">
        <v>35</v>
      </c>
      <c r="BN379" t="s">
        <v>35</v>
      </c>
      <c r="BO379" t="s">
        <v>35</v>
      </c>
      <c r="BP379" s="162">
        <v>0</v>
      </c>
      <c r="BQ379" t="s">
        <v>35</v>
      </c>
      <c r="BR379" t="s">
        <v>35</v>
      </c>
      <c r="BS379" s="162" t="s">
        <v>35</v>
      </c>
    </row>
    <row r="380" spans="1:71">
      <c r="A380" s="162">
        <v>379</v>
      </c>
      <c r="B380" t="s">
        <v>26</v>
      </c>
      <c r="C380" s="162">
        <v>1</v>
      </c>
      <c r="D380" s="122" t="s">
        <v>46</v>
      </c>
      <c r="E380" t="s">
        <v>30</v>
      </c>
      <c r="F380" t="s">
        <v>3</v>
      </c>
      <c r="G380" t="s">
        <v>23</v>
      </c>
      <c r="H380" t="s">
        <v>47</v>
      </c>
      <c r="I380" s="162">
        <v>1</v>
      </c>
      <c r="J380" t="s">
        <v>1855</v>
      </c>
      <c r="K380" t="s">
        <v>3</v>
      </c>
      <c r="L380" s="165">
        <v>32120</v>
      </c>
      <c r="M380" s="166">
        <v>29</v>
      </c>
      <c r="N380" t="s">
        <v>5</v>
      </c>
      <c r="O380" t="s">
        <v>10135</v>
      </c>
      <c r="P380" t="s">
        <v>48</v>
      </c>
      <c r="Q380" t="s">
        <v>1070</v>
      </c>
      <c r="R380" t="s">
        <v>49</v>
      </c>
      <c r="S380" s="162">
        <v>1</v>
      </c>
      <c r="T380" t="s">
        <v>50</v>
      </c>
      <c r="U380" s="162">
        <v>135</v>
      </c>
      <c r="V380">
        <v>0</v>
      </c>
      <c r="W380" s="162">
        <v>0</v>
      </c>
      <c r="X380">
        <v>0</v>
      </c>
      <c r="Y380" s="162">
        <v>0</v>
      </c>
      <c r="Z380">
        <v>0</v>
      </c>
      <c r="AA380" s="162">
        <v>0</v>
      </c>
      <c r="AB380">
        <v>0</v>
      </c>
      <c r="AC380" s="162" t="s">
        <v>7</v>
      </c>
      <c r="AD380" s="162" t="s">
        <v>7</v>
      </c>
      <c r="AE380" s="162" t="s">
        <v>7</v>
      </c>
      <c r="AF380" s="162" t="s">
        <v>7</v>
      </c>
      <c r="AG380" s="162" t="s">
        <v>7</v>
      </c>
      <c r="AH380" s="162" t="s">
        <v>7</v>
      </c>
      <c r="AI380" t="s">
        <v>9843</v>
      </c>
      <c r="AJ380" t="s">
        <v>7</v>
      </c>
      <c r="AK380" t="s">
        <v>1274</v>
      </c>
      <c r="AL380" t="s">
        <v>51</v>
      </c>
      <c r="AM380" s="162" t="s">
        <v>10137</v>
      </c>
      <c r="AN380" t="s">
        <v>52</v>
      </c>
      <c r="AO380" t="s">
        <v>35</v>
      </c>
      <c r="AP380" t="s">
        <v>35</v>
      </c>
      <c r="AQ380" t="s">
        <v>35</v>
      </c>
      <c r="AR380" t="s">
        <v>35</v>
      </c>
      <c r="AS380" s="162" t="s">
        <v>35</v>
      </c>
      <c r="AT380" s="117" t="s">
        <v>35</v>
      </c>
      <c r="AU380" s="162" t="s">
        <v>7</v>
      </c>
      <c r="AV380" s="162" t="s">
        <v>7</v>
      </c>
      <c r="AW380" s="162" t="s">
        <v>7</v>
      </c>
      <c r="AX380" s="162" t="s">
        <v>9851</v>
      </c>
      <c r="AY380" s="162" t="s">
        <v>35</v>
      </c>
      <c r="AZ380" t="s">
        <v>35</v>
      </c>
      <c r="BA380" s="162" t="s">
        <v>7</v>
      </c>
      <c r="BB380" s="162" t="s">
        <v>7</v>
      </c>
      <c r="BC380" s="162" t="s">
        <v>7</v>
      </c>
      <c r="BD380" s="162" t="s">
        <v>7</v>
      </c>
      <c r="BE380" s="162" t="s">
        <v>7</v>
      </c>
      <c r="BF380" s="162" t="str">
        <f t="shared" si="10"/>
        <v>Não</v>
      </c>
      <c r="BG380" s="162" t="str">
        <f t="shared" si="11"/>
        <v>Sim</v>
      </c>
      <c r="BH380" s="162" t="s">
        <v>35</v>
      </c>
      <c r="BI380" t="s">
        <v>35</v>
      </c>
      <c r="BJ380" s="162" t="s">
        <v>10165</v>
      </c>
      <c r="BK380" t="s">
        <v>35</v>
      </c>
      <c r="BL380" s="162">
        <v>0</v>
      </c>
      <c r="BM380" t="s">
        <v>7</v>
      </c>
      <c r="BN380" t="s">
        <v>35</v>
      </c>
      <c r="BO380" t="s">
        <v>35</v>
      </c>
      <c r="BP380" s="162">
        <v>0</v>
      </c>
      <c r="BQ380" t="s">
        <v>35</v>
      </c>
      <c r="BR380" t="s">
        <v>35</v>
      </c>
      <c r="BS380" s="162" t="s">
        <v>35</v>
      </c>
    </row>
    <row r="381" spans="1:71">
      <c r="A381" s="162">
        <v>380</v>
      </c>
      <c r="B381" t="s">
        <v>236</v>
      </c>
      <c r="C381" s="162">
        <v>1</v>
      </c>
      <c r="D381" s="122">
        <v>42922</v>
      </c>
      <c r="E381" t="s">
        <v>679</v>
      </c>
      <c r="F381" t="s">
        <v>3</v>
      </c>
      <c r="G381" t="s">
        <v>241</v>
      </c>
      <c r="H381" t="s">
        <v>696</v>
      </c>
      <c r="I381" s="162">
        <v>1</v>
      </c>
      <c r="J381" t="s">
        <v>1855</v>
      </c>
      <c r="K381" t="s">
        <v>3</v>
      </c>
      <c r="L381" s="165">
        <v>30314</v>
      </c>
      <c r="M381" s="166">
        <v>34</v>
      </c>
      <c r="N381" t="s">
        <v>5</v>
      </c>
      <c r="O381" t="s">
        <v>10135</v>
      </c>
      <c r="P381" t="s">
        <v>77</v>
      </c>
      <c r="Q381" t="s">
        <v>1176</v>
      </c>
      <c r="R381" t="s">
        <v>9930</v>
      </c>
      <c r="S381" s="162">
        <v>3.3</v>
      </c>
      <c r="T381" t="s">
        <v>9931</v>
      </c>
      <c r="U381" s="162">
        <v>13.6</v>
      </c>
      <c r="V381">
        <v>0</v>
      </c>
      <c r="W381" s="162">
        <v>0</v>
      </c>
      <c r="X381">
        <v>0</v>
      </c>
      <c r="Y381" s="162">
        <v>0</v>
      </c>
      <c r="Z381">
        <v>0</v>
      </c>
      <c r="AA381" s="162">
        <v>0</v>
      </c>
      <c r="AB381">
        <v>0</v>
      </c>
      <c r="AC381" s="162" t="s">
        <v>7</v>
      </c>
      <c r="AD381" s="162" t="s">
        <v>7</v>
      </c>
      <c r="AE381" s="162" t="s">
        <v>7</v>
      </c>
      <c r="AF381" s="162" t="s">
        <v>7</v>
      </c>
      <c r="AG381" s="162" t="s">
        <v>7</v>
      </c>
      <c r="AH381" s="162" t="s">
        <v>7</v>
      </c>
      <c r="AI381" t="s">
        <v>9843</v>
      </c>
      <c r="AJ381" t="s">
        <v>7</v>
      </c>
      <c r="AK381" t="s">
        <v>1688</v>
      </c>
      <c r="AL381" t="s">
        <v>51</v>
      </c>
      <c r="AM381" s="162" t="s">
        <v>10137</v>
      </c>
      <c r="AN381" t="s">
        <v>52</v>
      </c>
      <c r="AO381" t="s">
        <v>35</v>
      </c>
      <c r="AP381" t="s">
        <v>35</v>
      </c>
      <c r="AQ381" t="s">
        <v>35</v>
      </c>
      <c r="AR381" t="s">
        <v>35</v>
      </c>
      <c r="AS381" s="162" t="s">
        <v>35</v>
      </c>
      <c r="AT381" s="117" t="s">
        <v>35</v>
      </c>
      <c r="AU381" s="162" t="s">
        <v>7</v>
      </c>
      <c r="AV381" s="162" t="s">
        <v>7</v>
      </c>
      <c r="AW381" s="162" t="s">
        <v>7</v>
      </c>
      <c r="AX381" s="162" t="s">
        <v>9851</v>
      </c>
      <c r="AY381" s="162" t="s">
        <v>35</v>
      </c>
      <c r="AZ381" t="s">
        <v>35</v>
      </c>
      <c r="BA381" s="162" t="s">
        <v>7</v>
      </c>
      <c r="BB381" s="162" t="s">
        <v>7</v>
      </c>
      <c r="BC381" s="162" t="s">
        <v>7</v>
      </c>
      <c r="BD381" s="162" t="s">
        <v>7</v>
      </c>
      <c r="BE381" s="162" t="s">
        <v>7</v>
      </c>
      <c r="BF381" s="162" t="str">
        <f t="shared" si="10"/>
        <v>Não</v>
      </c>
      <c r="BG381" s="162" t="str">
        <f t="shared" si="11"/>
        <v>Sim</v>
      </c>
      <c r="BH381" s="162" t="s">
        <v>35</v>
      </c>
      <c r="BI381" t="s">
        <v>35</v>
      </c>
      <c r="BJ381" s="162" t="s">
        <v>10165</v>
      </c>
      <c r="BK381" t="s">
        <v>35</v>
      </c>
      <c r="BL381" s="162">
        <v>0</v>
      </c>
      <c r="BM381" t="s">
        <v>7</v>
      </c>
      <c r="BN381" t="s">
        <v>35</v>
      </c>
      <c r="BO381" t="s">
        <v>35</v>
      </c>
      <c r="BP381" s="162">
        <v>0</v>
      </c>
      <c r="BQ381" t="s">
        <v>35</v>
      </c>
      <c r="BR381" t="s">
        <v>35</v>
      </c>
      <c r="BS381" s="162" t="s">
        <v>35</v>
      </c>
    </row>
    <row r="382" spans="1:71">
      <c r="A382" s="162">
        <v>381</v>
      </c>
      <c r="B382" t="s">
        <v>345</v>
      </c>
      <c r="C382" s="162">
        <v>1</v>
      </c>
      <c r="D382" s="122" t="s">
        <v>681</v>
      </c>
      <c r="E382" t="s">
        <v>855</v>
      </c>
      <c r="F382" t="s">
        <v>515</v>
      </c>
      <c r="G382" t="s">
        <v>348</v>
      </c>
      <c r="H382" t="s">
        <v>870</v>
      </c>
      <c r="I382" s="162">
        <v>1</v>
      </c>
      <c r="J382" t="s">
        <v>1855</v>
      </c>
      <c r="K382" t="s">
        <v>3</v>
      </c>
      <c r="L382" s="165">
        <v>35028</v>
      </c>
      <c r="M382" s="166">
        <v>21</v>
      </c>
      <c r="N382" t="s">
        <v>4</v>
      </c>
      <c r="O382" t="s">
        <v>10134</v>
      </c>
      <c r="P382" t="s">
        <v>48</v>
      </c>
      <c r="Q382" t="s">
        <v>1634</v>
      </c>
      <c r="R382" t="s">
        <v>9989</v>
      </c>
      <c r="S382" s="162">
        <v>0.9</v>
      </c>
      <c r="T382" t="s">
        <v>1635</v>
      </c>
      <c r="U382" s="162">
        <v>15.5</v>
      </c>
      <c r="V382">
        <v>0</v>
      </c>
      <c r="W382" s="162">
        <v>0</v>
      </c>
      <c r="X382">
        <v>0</v>
      </c>
      <c r="Y382" s="162">
        <v>0</v>
      </c>
      <c r="Z382">
        <v>0</v>
      </c>
      <c r="AA382" s="162">
        <v>0</v>
      </c>
      <c r="AB382" t="s">
        <v>1636</v>
      </c>
      <c r="AC382" s="162" t="s">
        <v>7</v>
      </c>
      <c r="AD382" s="162" t="s">
        <v>7</v>
      </c>
      <c r="AE382" s="162" t="s">
        <v>7</v>
      </c>
      <c r="AF382" s="162" t="s">
        <v>7</v>
      </c>
      <c r="AG382" s="162" t="s">
        <v>7</v>
      </c>
      <c r="AH382" s="162" t="s">
        <v>9851</v>
      </c>
      <c r="AI382" t="s">
        <v>9843</v>
      </c>
      <c r="AJ382" t="s">
        <v>7</v>
      </c>
      <c r="AK382" t="s">
        <v>1638</v>
      </c>
      <c r="AL382" t="s">
        <v>6</v>
      </c>
      <c r="AM382" s="162" t="s">
        <v>10137</v>
      </c>
      <c r="AN382" t="s">
        <v>35</v>
      </c>
      <c r="AO382" t="s">
        <v>35</v>
      </c>
      <c r="AP382" t="s">
        <v>35</v>
      </c>
      <c r="AQ382" t="s">
        <v>35</v>
      </c>
      <c r="AR382" t="s">
        <v>35</v>
      </c>
      <c r="AS382" s="162" t="s">
        <v>35</v>
      </c>
      <c r="AT382" s="117" t="s">
        <v>35</v>
      </c>
      <c r="AU382" s="162" t="s">
        <v>7</v>
      </c>
      <c r="AV382" s="162" t="s">
        <v>7</v>
      </c>
      <c r="AW382" s="162" t="s">
        <v>7</v>
      </c>
      <c r="AX382" s="162" t="s">
        <v>9851</v>
      </c>
      <c r="AY382" s="162" t="s">
        <v>35</v>
      </c>
      <c r="AZ382" t="s">
        <v>35</v>
      </c>
      <c r="BA382" s="162" t="s">
        <v>7</v>
      </c>
      <c r="BB382" s="162" t="s">
        <v>7</v>
      </c>
      <c r="BC382" s="162" t="s">
        <v>7</v>
      </c>
      <c r="BD382" s="162" t="s">
        <v>7</v>
      </c>
      <c r="BE382" s="162" t="s">
        <v>7</v>
      </c>
      <c r="BF382" s="162" t="str">
        <f t="shared" si="10"/>
        <v>Não</v>
      </c>
      <c r="BG382" s="162" t="str">
        <f t="shared" si="11"/>
        <v>Sim</v>
      </c>
      <c r="BH382" s="162" t="s">
        <v>35</v>
      </c>
      <c r="BI382" t="s">
        <v>35</v>
      </c>
      <c r="BJ382" s="162" t="s">
        <v>10165</v>
      </c>
      <c r="BK382" t="s">
        <v>35</v>
      </c>
      <c r="BL382" s="162">
        <v>0</v>
      </c>
      <c r="BM382" t="s">
        <v>35</v>
      </c>
      <c r="BN382" t="s">
        <v>35</v>
      </c>
      <c r="BO382" t="s">
        <v>35</v>
      </c>
      <c r="BP382" s="162">
        <v>0</v>
      </c>
      <c r="BQ382" t="s">
        <v>35</v>
      </c>
      <c r="BR382" t="s">
        <v>35</v>
      </c>
      <c r="BS382" s="162" t="s">
        <v>35</v>
      </c>
    </row>
    <row r="383" spans="1:71">
      <c r="A383" s="162">
        <v>382</v>
      </c>
      <c r="B383" t="s">
        <v>412</v>
      </c>
      <c r="C383" s="162">
        <v>1</v>
      </c>
      <c r="D383" s="122" t="s">
        <v>827</v>
      </c>
      <c r="E383" t="s">
        <v>603</v>
      </c>
      <c r="F383" t="s">
        <v>515</v>
      </c>
      <c r="G383" t="s">
        <v>426</v>
      </c>
      <c r="H383" t="s">
        <v>975</v>
      </c>
      <c r="I383" s="162">
        <v>1</v>
      </c>
      <c r="J383" t="s">
        <v>1855</v>
      </c>
      <c r="K383" t="s">
        <v>3</v>
      </c>
      <c r="L383" s="165">
        <v>32991</v>
      </c>
      <c r="M383" s="166">
        <v>27</v>
      </c>
      <c r="N383" t="s">
        <v>5</v>
      </c>
      <c r="O383" t="s">
        <v>10135</v>
      </c>
      <c r="P383" t="s">
        <v>48</v>
      </c>
      <c r="Q383" t="s">
        <v>9781</v>
      </c>
      <c r="R383" t="s">
        <v>1538</v>
      </c>
      <c r="S383" s="162">
        <v>26.5</v>
      </c>
      <c r="T383" t="s">
        <v>1539</v>
      </c>
      <c r="U383" s="162">
        <v>10.8</v>
      </c>
      <c r="V383">
        <v>0</v>
      </c>
      <c r="W383" s="162">
        <v>0</v>
      </c>
      <c r="X383">
        <v>0</v>
      </c>
      <c r="Y383" s="162">
        <v>0</v>
      </c>
      <c r="Z383">
        <v>0</v>
      </c>
      <c r="AA383" s="162">
        <v>0</v>
      </c>
      <c r="AB383">
        <v>0</v>
      </c>
      <c r="AC383" s="162" t="s">
        <v>7</v>
      </c>
      <c r="AD383" s="162" t="s">
        <v>7</v>
      </c>
      <c r="AE383" s="162" t="s">
        <v>7</v>
      </c>
      <c r="AF383" s="162" t="s">
        <v>7</v>
      </c>
      <c r="AG383" s="162" t="s">
        <v>7</v>
      </c>
      <c r="AH383" s="162" t="s">
        <v>7</v>
      </c>
      <c r="AI383" t="s">
        <v>9843</v>
      </c>
      <c r="AJ383" t="s">
        <v>7</v>
      </c>
      <c r="AK383" t="s">
        <v>1540</v>
      </c>
      <c r="AL383" t="s">
        <v>6</v>
      </c>
      <c r="AM383" s="162" t="s">
        <v>10137</v>
      </c>
      <c r="AN383" t="s">
        <v>35</v>
      </c>
      <c r="AO383" t="s">
        <v>35</v>
      </c>
      <c r="AP383" t="s">
        <v>35</v>
      </c>
      <c r="AQ383" t="s">
        <v>35</v>
      </c>
      <c r="AR383" t="s">
        <v>35</v>
      </c>
      <c r="AS383" s="162" t="s">
        <v>35</v>
      </c>
      <c r="AT383" s="117" t="s">
        <v>35</v>
      </c>
      <c r="AU383" s="162" t="s">
        <v>7</v>
      </c>
      <c r="AV383" s="162" t="s">
        <v>7</v>
      </c>
      <c r="AW383" s="162" t="s">
        <v>7</v>
      </c>
      <c r="AX383" s="162" t="s">
        <v>9851</v>
      </c>
      <c r="AY383" s="162" t="s">
        <v>35</v>
      </c>
      <c r="AZ383" t="s">
        <v>35</v>
      </c>
      <c r="BA383" s="162" t="s">
        <v>7</v>
      </c>
      <c r="BB383" s="162" t="s">
        <v>7</v>
      </c>
      <c r="BC383" s="162" t="s">
        <v>7</v>
      </c>
      <c r="BD383" s="162" t="s">
        <v>7</v>
      </c>
      <c r="BE383" s="162" t="s">
        <v>7</v>
      </c>
      <c r="BF383" s="162" t="str">
        <f t="shared" si="10"/>
        <v>Não</v>
      </c>
      <c r="BG383" s="162" t="str">
        <f t="shared" si="11"/>
        <v>Sim</v>
      </c>
      <c r="BH383" s="162" t="s">
        <v>35</v>
      </c>
      <c r="BI383" t="s">
        <v>35</v>
      </c>
      <c r="BJ383" s="162" t="s">
        <v>10165</v>
      </c>
      <c r="BK383" t="s">
        <v>35</v>
      </c>
      <c r="BL383" s="162">
        <v>0</v>
      </c>
      <c r="BM383" t="s">
        <v>35</v>
      </c>
      <c r="BN383" t="s">
        <v>35</v>
      </c>
      <c r="BO383" t="s">
        <v>35</v>
      </c>
      <c r="BP383" s="162">
        <v>0</v>
      </c>
      <c r="BQ383" t="s">
        <v>35</v>
      </c>
      <c r="BR383" t="s">
        <v>35</v>
      </c>
      <c r="BS383" s="162" t="s">
        <v>35</v>
      </c>
    </row>
    <row r="384" spans="1:71">
      <c r="A384" s="162">
        <v>383</v>
      </c>
      <c r="B384" t="s">
        <v>328</v>
      </c>
      <c r="C384" s="162">
        <v>1</v>
      </c>
      <c r="D384" s="122">
        <v>43005</v>
      </c>
      <c r="E384" t="s">
        <v>846</v>
      </c>
      <c r="F384" t="s">
        <v>3</v>
      </c>
      <c r="G384" t="s">
        <v>335</v>
      </c>
      <c r="H384" t="s">
        <v>850</v>
      </c>
      <c r="I384" s="162">
        <v>1</v>
      </c>
      <c r="J384" t="s">
        <v>1855</v>
      </c>
      <c r="K384" t="s">
        <v>3</v>
      </c>
      <c r="L384" s="165">
        <v>35544</v>
      </c>
      <c r="M384" s="166">
        <v>20</v>
      </c>
      <c r="N384" t="s">
        <v>5</v>
      </c>
      <c r="O384" t="s">
        <v>10135</v>
      </c>
      <c r="P384" t="s">
        <v>48</v>
      </c>
      <c r="Q384" t="s">
        <v>1891</v>
      </c>
      <c r="R384" t="s">
        <v>1981</v>
      </c>
      <c r="S384" s="162">
        <v>50.4</v>
      </c>
      <c r="T384" t="s">
        <v>1988</v>
      </c>
      <c r="U384" s="162">
        <v>100.4</v>
      </c>
      <c r="V384">
        <v>0</v>
      </c>
      <c r="W384" s="162">
        <v>0</v>
      </c>
      <c r="X384">
        <v>0</v>
      </c>
      <c r="Y384" s="162">
        <v>0</v>
      </c>
      <c r="Z384">
        <v>0</v>
      </c>
      <c r="AA384" s="162">
        <v>0</v>
      </c>
      <c r="AB384">
        <v>0</v>
      </c>
      <c r="AC384" s="162" t="s">
        <v>7</v>
      </c>
      <c r="AD384" s="162" t="s">
        <v>7</v>
      </c>
      <c r="AE384" s="162" t="s">
        <v>7</v>
      </c>
      <c r="AF384" s="162" t="s">
        <v>7</v>
      </c>
      <c r="AG384" s="162" t="s">
        <v>7</v>
      </c>
      <c r="AH384" s="162" t="s">
        <v>7</v>
      </c>
      <c r="AI384" t="s">
        <v>9843</v>
      </c>
      <c r="AJ384" t="s">
        <v>7</v>
      </c>
      <c r="AK384" t="s">
        <v>1995</v>
      </c>
      <c r="AL384" t="s">
        <v>6</v>
      </c>
      <c r="AM384" s="162" t="s">
        <v>10137</v>
      </c>
      <c r="AN384" t="s">
        <v>35</v>
      </c>
      <c r="AO384" t="s">
        <v>35</v>
      </c>
      <c r="AP384" t="s">
        <v>35</v>
      </c>
      <c r="AQ384" t="s">
        <v>35</v>
      </c>
      <c r="AR384" t="s">
        <v>35</v>
      </c>
      <c r="AS384" s="162" t="s">
        <v>35</v>
      </c>
      <c r="AT384" s="117" t="s">
        <v>35</v>
      </c>
      <c r="AU384" s="162" t="s">
        <v>7</v>
      </c>
      <c r="AV384" s="162" t="s">
        <v>7</v>
      </c>
      <c r="AW384" s="162" t="s">
        <v>7</v>
      </c>
      <c r="AX384" s="162" t="s">
        <v>9851</v>
      </c>
      <c r="AY384" s="162" t="s">
        <v>35</v>
      </c>
      <c r="AZ384" t="s">
        <v>35</v>
      </c>
      <c r="BA384" s="162" t="s">
        <v>7</v>
      </c>
      <c r="BB384" s="162" t="s">
        <v>7</v>
      </c>
      <c r="BC384" s="162" t="s">
        <v>7</v>
      </c>
      <c r="BD384" s="162" t="s">
        <v>7</v>
      </c>
      <c r="BE384" s="162" t="s">
        <v>7</v>
      </c>
      <c r="BF384" s="162" t="str">
        <f t="shared" si="10"/>
        <v>Não</v>
      </c>
      <c r="BG384" s="162" t="str">
        <f t="shared" si="11"/>
        <v>Sim</v>
      </c>
      <c r="BH384" s="162" t="s">
        <v>35</v>
      </c>
      <c r="BI384" t="s">
        <v>35</v>
      </c>
      <c r="BJ384" s="162" t="s">
        <v>10165</v>
      </c>
      <c r="BK384" t="s">
        <v>35</v>
      </c>
      <c r="BL384" s="162">
        <v>0</v>
      </c>
      <c r="BM384" t="s">
        <v>35</v>
      </c>
      <c r="BN384" t="s">
        <v>35</v>
      </c>
      <c r="BO384" t="s">
        <v>35</v>
      </c>
      <c r="BP384" s="162">
        <v>0</v>
      </c>
      <c r="BQ384" t="s">
        <v>35</v>
      </c>
      <c r="BR384" t="s">
        <v>35</v>
      </c>
      <c r="BS384" s="162" t="s">
        <v>35</v>
      </c>
    </row>
    <row r="385" spans="1:71">
      <c r="A385" s="162">
        <v>384</v>
      </c>
      <c r="B385" t="s">
        <v>136</v>
      </c>
      <c r="C385" s="162">
        <v>1</v>
      </c>
      <c r="D385" s="122" t="s">
        <v>525</v>
      </c>
      <c r="E385" t="s">
        <v>526</v>
      </c>
      <c r="F385" t="s">
        <v>3</v>
      </c>
      <c r="G385" t="s">
        <v>140</v>
      </c>
      <c r="H385" t="s">
        <v>527</v>
      </c>
      <c r="I385" s="162">
        <v>1</v>
      </c>
      <c r="J385" t="s">
        <v>1855</v>
      </c>
      <c r="K385" t="s">
        <v>3</v>
      </c>
      <c r="L385" s="165">
        <v>31478</v>
      </c>
      <c r="M385" s="166">
        <v>31</v>
      </c>
      <c r="N385" t="s">
        <v>5</v>
      </c>
      <c r="O385" t="s">
        <v>10135</v>
      </c>
      <c r="P385" t="s">
        <v>48</v>
      </c>
      <c r="Q385" t="s">
        <v>1120</v>
      </c>
      <c r="R385">
        <v>0</v>
      </c>
      <c r="S385" s="162">
        <v>0</v>
      </c>
      <c r="T385" t="s">
        <v>1121</v>
      </c>
      <c r="U385" s="162">
        <v>8.6</v>
      </c>
      <c r="V385">
        <v>0</v>
      </c>
      <c r="W385" s="162">
        <v>0</v>
      </c>
      <c r="X385">
        <v>0</v>
      </c>
      <c r="Y385" s="162">
        <v>0</v>
      </c>
      <c r="Z385">
        <v>0</v>
      </c>
      <c r="AA385" s="162">
        <v>0</v>
      </c>
      <c r="AB385">
        <v>0</v>
      </c>
      <c r="AC385" s="162" t="s">
        <v>7</v>
      </c>
      <c r="AD385" s="162" t="s">
        <v>7</v>
      </c>
      <c r="AE385" s="162" t="s">
        <v>7</v>
      </c>
      <c r="AF385" s="162" t="s">
        <v>7</v>
      </c>
      <c r="AG385" s="162" t="s">
        <v>7</v>
      </c>
      <c r="AH385" s="162" t="s">
        <v>7</v>
      </c>
      <c r="AI385" t="s">
        <v>9843</v>
      </c>
      <c r="AJ385" t="s">
        <v>7</v>
      </c>
      <c r="AK385" t="s">
        <v>1122</v>
      </c>
      <c r="AL385" t="s">
        <v>51</v>
      </c>
      <c r="AM385" s="162" t="s">
        <v>10137</v>
      </c>
      <c r="AN385" t="s">
        <v>52</v>
      </c>
      <c r="AO385" t="s">
        <v>35</v>
      </c>
      <c r="AP385" t="s">
        <v>35</v>
      </c>
      <c r="AQ385" t="s">
        <v>35</v>
      </c>
      <c r="AR385" t="s">
        <v>35</v>
      </c>
      <c r="AS385" s="162" t="s">
        <v>35</v>
      </c>
      <c r="AT385" s="117" t="s">
        <v>35</v>
      </c>
      <c r="AU385" s="162" t="s">
        <v>7</v>
      </c>
      <c r="AV385" s="162" t="s">
        <v>7</v>
      </c>
      <c r="AW385" s="162" t="s">
        <v>7</v>
      </c>
      <c r="AX385" s="162" t="s">
        <v>9851</v>
      </c>
      <c r="AY385" s="162" t="s">
        <v>35</v>
      </c>
      <c r="AZ385" t="s">
        <v>35</v>
      </c>
      <c r="BA385" s="162" t="s">
        <v>7</v>
      </c>
      <c r="BB385" s="162" t="s">
        <v>7</v>
      </c>
      <c r="BC385" s="162" t="s">
        <v>7</v>
      </c>
      <c r="BD385" s="162" t="s">
        <v>7</v>
      </c>
      <c r="BE385" s="162" t="s">
        <v>7</v>
      </c>
      <c r="BF385" s="162" t="str">
        <f t="shared" si="10"/>
        <v>Não</v>
      </c>
      <c r="BG385" s="162" t="str">
        <f t="shared" si="11"/>
        <v>Sim</v>
      </c>
      <c r="BH385" s="162" t="s">
        <v>35</v>
      </c>
      <c r="BI385" t="s">
        <v>35</v>
      </c>
      <c r="BJ385" s="162" t="s">
        <v>10165</v>
      </c>
      <c r="BK385" t="s">
        <v>35</v>
      </c>
      <c r="BL385" s="162">
        <v>0</v>
      </c>
      <c r="BM385" t="s">
        <v>7</v>
      </c>
      <c r="BN385" t="s">
        <v>35</v>
      </c>
      <c r="BO385" t="s">
        <v>35</v>
      </c>
      <c r="BP385" s="162">
        <v>0</v>
      </c>
      <c r="BQ385" t="s">
        <v>35</v>
      </c>
      <c r="BR385" t="s">
        <v>35</v>
      </c>
      <c r="BS385" s="162" t="s">
        <v>35</v>
      </c>
    </row>
    <row r="386" spans="1:71">
      <c r="A386" s="162">
        <v>385</v>
      </c>
      <c r="B386" t="s">
        <v>269</v>
      </c>
      <c r="C386" s="162">
        <v>1</v>
      </c>
      <c r="D386" s="122" t="s">
        <v>695</v>
      </c>
      <c r="E386" t="s">
        <v>746</v>
      </c>
      <c r="F386" t="s">
        <v>3</v>
      </c>
      <c r="G386" t="s">
        <v>277</v>
      </c>
      <c r="H386" t="s">
        <v>756</v>
      </c>
      <c r="I386" s="162">
        <v>1</v>
      </c>
      <c r="J386" t="s">
        <v>1855</v>
      </c>
      <c r="K386" t="s">
        <v>3</v>
      </c>
      <c r="L386" s="165">
        <v>29218</v>
      </c>
      <c r="M386" s="166">
        <v>37</v>
      </c>
      <c r="N386" t="s">
        <v>5</v>
      </c>
      <c r="O386" t="s">
        <v>10135</v>
      </c>
      <c r="P386" t="s">
        <v>48</v>
      </c>
      <c r="Q386" t="s">
        <v>1210</v>
      </c>
      <c r="R386">
        <v>0</v>
      </c>
      <c r="S386" s="162">
        <v>0</v>
      </c>
      <c r="T386" t="s">
        <v>1391</v>
      </c>
      <c r="U386" s="162">
        <v>14.2</v>
      </c>
      <c r="V386">
        <v>0</v>
      </c>
      <c r="W386" s="162">
        <v>0</v>
      </c>
      <c r="X386">
        <v>0</v>
      </c>
      <c r="Y386" s="162">
        <v>0</v>
      </c>
      <c r="Z386">
        <v>0</v>
      </c>
      <c r="AA386" s="162">
        <v>0</v>
      </c>
      <c r="AB386">
        <v>0</v>
      </c>
      <c r="AC386" s="162" t="s">
        <v>7</v>
      </c>
      <c r="AD386" s="162" t="s">
        <v>7</v>
      </c>
      <c r="AE386" s="162" t="s">
        <v>7</v>
      </c>
      <c r="AF386" s="162" t="s">
        <v>7</v>
      </c>
      <c r="AG386" s="162" t="s">
        <v>7</v>
      </c>
      <c r="AH386" s="162" t="s">
        <v>7</v>
      </c>
      <c r="AI386" t="s">
        <v>9843</v>
      </c>
      <c r="AJ386" t="s">
        <v>7</v>
      </c>
      <c r="AK386" t="s">
        <v>1392</v>
      </c>
      <c r="AL386" t="s">
        <v>51</v>
      </c>
      <c r="AM386" s="162" t="s">
        <v>10137</v>
      </c>
      <c r="AN386" t="s">
        <v>52</v>
      </c>
      <c r="AO386" t="s">
        <v>35</v>
      </c>
      <c r="AP386" t="s">
        <v>35</v>
      </c>
      <c r="AQ386" t="s">
        <v>35</v>
      </c>
      <c r="AR386" t="s">
        <v>35</v>
      </c>
      <c r="AS386" s="162" t="s">
        <v>35</v>
      </c>
      <c r="AT386" s="117" t="s">
        <v>35</v>
      </c>
      <c r="AU386" s="162" t="s">
        <v>7</v>
      </c>
      <c r="AV386" s="162" t="s">
        <v>7</v>
      </c>
      <c r="AW386" s="162" t="s">
        <v>7</v>
      </c>
      <c r="AX386" s="162" t="s">
        <v>9851</v>
      </c>
      <c r="AY386" s="162" t="s">
        <v>35</v>
      </c>
      <c r="AZ386" t="s">
        <v>35</v>
      </c>
      <c r="BA386" s="162" t="s">
        <v>7</v>
      </c>
      <c r="BB386" s="162" t="s">
        <v>7</v>
      </c>
      <c r="BC386" s="162" t="s">
        <v>7</v>
      </c>
      <c r="BD386" s="162" t="s">
        <v>7</v>
      </c>
      <c r="BE386" s="162" t="s">
        <v>7</v>
      </c>
      <c r="BF386" s="162" t="str">
        <f t="shared" ref="BF386:BF421" si="12">IF(AZ386="Não","Sim","Não")</f>
        <v>Não</v>
      </c>
      <c r="BG386" s="162" t="str">
        <f t="shared" ref="BG386:BG421" si="13">IF(AZ386="NA","Sim","Não")</f>
        <v>Sim</v>
      </c>
      <c r="BH386" s="162" t="s">
        <v>35</v>
      </c>
      <c r="BI386" t="s">
        <v>35</v>
      </c>
      <c r="BJ386" s="162" t="s">
        <v>10165</v>
      </c>
      <c r="BK386" t="s">
        <v>35</v>
      </c>
      <c r="BL386" s="162">
        <v>0</v>
      </c>
      <c r="BM386" t="s">
        <v>7</v>
      </c>
      <c r="BN386" t="s">
        <v>35</v>
      </c>
      <c r="BO386" t="s">
        <v>35</v>
      </c>
      <c r="BP386" s="162">
        <v>0</v>
      </c>
      <c r="BQ386" t="s">
        <v>35</v>
      </c>
      <c r="BR386" t="s">
        <v>35</v>
      </c>
      <c r="BS386" s="162" t="s">
        <v>35</v>
      </c>
    </row>
    <row r="387" spans="1:71">
      <c r="A387" s="162">
        <v>386</v>
      </c>
      <c r="B387" t="s">
        <v>112</v>
      </c>
      <c r="C387" s="162">
        <v>1</v>
      </c>
      <c r="D387" s="122">
        <v>42864</v>
      </c>
      <c r="E387" t="s">
        <v>476</v>
      </c>
      <c r="F387" t="s">
        <v>3</v>
      </c>
      <c r="G387" t="s">
        <v>120</v>
      </c>
      <c r="H387" t="s">
        <v>475</v>
      </c>
      <c r="I387" s="162">
        <v>1</v>
      </c>
      <c r="J387" t="s">
        <v>1855</v>
      </c>
      <c r="K387" t="s">
        <v>3</v>
      </c>
      <c r="L387" s="165">
        <v>31815</v>
      </c>
      <c r="M387" s="166">
        <v>30</v>
      </c>
      <c r="N387" t="s">
        <v>5</v>
      </c>
      <c r="O387" t="s">
        <v>10135</v>
      </c>
      <c r="P387" t="s">
        <v>1101</v>
      </c>
      <c r="Q387" t="s">
        <v>1159</v>
      </c>
      <c r="R387">
        <v>0</v>
      </c>
      <c r="S387" s="162">
        <v>0</v>
      </c>
      <c r="T387" t="s">
        <v>1160</v>
      </c>
      <c r="U387" s="162">
        <v>5.8</v>
      </c>
      <c r="V387">
        <v>0</v>
      </c>
      <c r="W387" s="162">
        <v>0</v>
      </c>
      <c r="X387">
        <v>0</v>
      </c>
      <c r="Y387" s="162">
        <v>0</v>
      </c>
      <c r="Z387">
        <v>0</v>
      </c>
      <c r="AA387" s="162">
        <v>0</v>
      </c>
      <c r="AB387">
        <v>0</v>
      </c>
      <c r="AC387" s="162" t="s">
        <v>7</v>
      </c>
      <c r="AD387" s="162" t="s">
        <v>7</v>
      </c>
      <c r="AE387" s="162" t="s">
        <v>7</v>
      </c>
      <c r="AF387" s="162" t="s">
        <v>7</v>
      </c>
      <c r="AG387" s="162" t="s">
        <v>7</v>
      </c>
      <c r="AH387" s="162" t="s">
        <v>7</v>
      </c>
      <c r="AI387" t="s">
        <v>9843</v>
      </c>
      <c r="AJ387" t="s">
        <v>7</v>
      </c>
      <c r="AK387" t="s">
        <v>1111</v>
      </c>
      <c r="AL387" t="s">
        <v>51</v>
      </c>
      <c r="AM387" s="162" t="s">
        <v>10137</v>
      </c>
      <c r="AN387" t="s">
        <v>52</v>
      </c>
      <c r="AO387" t="s">
        <v>35</v>
      </c>
      <c r="AP387" t="s">
        <v>35</v>
      </c>
      <c r="AQ387" t="s">
        <v>35</v>
      </c>
      <c r="AR387" t="s">
        <v>35</v>
      </c>
      <c r="AS387" s="162" t="s">
        <v>35</v>
      </c>
      <c r="AT387" s="117" t="s">
        <v>35</v>
      </c>
      <c r="AU387" s="162" t="s">
        <v>7</v>
      </c>
      <c r="AV387" s="162" t="s">
        <v>7</v>
      </c>
      <c r="AW387" s="162" t="s">
        <v>7</v>
      </c>
      <c r="AX387" s="162" t="s">
        <v>9851</v>
      </c>
      <c r="AY387" s="162" t="s">
        <v>35</v>
      </c>
      <c r="AZ387" t="s">
        <v>35</v>
      </c>
      <c r="BA387" s="162" t="s">
        <v>7</v>
      </c>
      <c r="BB387" s="162" t="s">
        <v>7</v>
      </c>
      <c r="BC387" s="162" t="s">
        <v>7</v>
      </c>
      <c r="BD387" s="162" t="s">
        <v>7</v>
      </c>
      <c r="BE387" s="162" t="s">
        <v>7</v>
      </c>
      <c r="BF387" s="162" t="str">
        <f t="shared" si="12"/>
        <v>Não</v>
      </c>
      <c r="BG387" s="162" t="str">
        <f t="shared" si="13"/>
        <v>Sim</v>
      </c>
      <c r="BH387" s="162" t="s">
        <v>35</v>
      </c>
      <c r="BI387" t="s">
        <v>35</v>
      </c>
      <c r="BJ387" s="162" t="s">
        <v>10165</v>
      </c>
      <c r="BK387" t="s">
        <v>35</v>
      </c>
      <c r="BL387" s="162">
        <v>0</v>
      </c>
      <c r="BM387" t="s">
        <v>7</v>
      </c>
      <c r="BN387" t="s">
        <v>35</v>
      </c>
      <c r="BO387" t="s">
        <v>35</v>
      </c>
      <c r="BP387" s="162">
        <v>0</v>
      </c>
      <c r="BQ387" t="s">
        <v>35</v>
      </c>
      <c r="BR387" t="s">
        <v>35</v>
      </c>
      <c r="BS387" s="162" t="s">
        <v>35</v>
      </c>
    </row>
    <row r="388" spans="1:71">
      <c r="A388" s="162">
        <v>387</v>
      </c>
      <c r="B388" t="s">
        <v>149</v>
      </c>
      <c r="C388" s="162">
        <v>1</v>
      </c>
      <c r="D388" s="122" t="s">
        <v>556</v>
      </c>
      <c r="E388" t="s">
        <v>540</v>
      </c>
      <c r="F388" t="s">
        <v>3</v>
      </c>
      <c r="G388" t="s">
        <v>155</v>
      </c>
      <c r="H388" t="s">
        <v>557</v>
      </c>
      <c r="I388" s="162">
        <v>1</v>
      </c>
      <c r="J388" t="s">
        <v>1855</v>
      </c>
      <c r="K388" t="s">
        <v>3</v>
      </c>
      <c r="L388" s="165">
        <v>35526</v>
      </c>
      <c r="M388" s="166">
        <v>20</v>
      </c>
      <c r="N388" t="s">
        <v>1093</v>
      </c>
      <c r="O388" t="s">
        <v>10135</v>
      </c>
      <c r="P388" t="s">
        <v>48</v>
      </c>
      <c r="Q388" t="s">
        <v>1120</v>
      </c>
      <c r="R388">
        <v>0</v>
      </c>
      <c r="S388" s="162">
        <v>0</v>
      </c>
      <c r="T388" t="s">
        <v>9893</v>
      </c>
      <c r="U388" s="162">
        <v>11.1</v>
      </c>
      <c r="V388">
        <v>0</v>
      </c>
      <c r="W388" s="162">
        <v>0</v>
      </c>
      <c r="X388">
        <v>0</v>
      </c>
      <c r="Y388" s="162">
        <v>0</v>
      </c>
      <c r="Z388">
        <v>0</v>
      </c>
      <c r="AA388" s="162">
        <v>0</v>
      </c>
      <c r="AB388">
        <v>0</v>
      </c>
      <c r="AC388" s="162" t="s">
        <v>7</v>
      </c>
      <c r="AD388" s="162" t="s">
        <v>7</v>
      </c>
      <c r="AE388" s="162" t="s">
        <v>7</v>
      </c>
      <c r="AF388" s="162" t="s">
        <v>7</v>
      </c>
      <c r="AG388" s="162" t="s">
        <v>7</v>
      </c>
      <c r="AH388" s="162" t="s">
        <v>7</v>
      </c>
      <c r="AI388" t="s">
        <v>9843</v>
      </c>
      <c r="AJ388" t="s">
        <v>7</v>
      </c>
      <c r="AK388" t="s">
        <v>9802</v>
      </c>
      <c r="AL388" t="s">
        <v>51</v>
      </c>
      <c r="AM388" s="162" t="s">
        <v>10137</v>
      </c>
      <c r="AN388" t="s">
        <v>52</v>
      </c>
      <c r="AO388" t="s">
        <v>35</v>
      </c>
      <c r="AP388" t="s">
        <v>35</v>
      </c>
      <c r="AQ388" t="s">
        <v>35</v>
      </c>
      <c r="AR388" t="s">
        <v>35</v>
      </c>
      <c r="AS388" s="162" t="s">
        <v>35</v>
      </c>
      <c r="AT388" s="117" t="s">
        <v>35</v>
      </c>
      <c r="AU388" s="162" t="s">
        <v>7</v>
      </c>
      <c r="AV388" s="162" t="s">
        <v>7</v>
      </c>
      <c r="AW388" s="162" t="s">
        <v>7</v>
      </c>
      <c r="AX388" s="162" t="s">
        <v>9851</v>
      </c>
      <c r="AY388" s="162" t="s">
        <v>35</v>
      </c>
      <c r="AZ388" t="s">
        <v>35</v>
      </c>
      <c r="BA388" s="162" t="s">
        <v>7</v>
      </c>
      <c r="BB388" s="162" t="s">
        <v>7</v>
      </c>
      <c r="BC388" s="162" t="s">
        <v>7</v>
      </c>
      <c r="BD388" s="162" t="s">
        <v>7</v>
      </c>
      <c r="BE388" s="162" t="s">
        <v>7</v>
      </c>
      <c r="BF388" s="162" t="str">
        <f t="shared" si="12"/>
        <v>Não</v>
      </c>
      <c r="BG388" s="162" t="str">
        <f t="shared" si="13"/>
        <v>Sim</v>
      </c>
      <c r="BH388" s="162" t="s">
        <v>35</v>
      </c>
      <c r="BI388" t="s">
        <v>35</v>
      </c>
      <c r="BJ388" s="162" t="s">
        <v>10165</v>
      </c>
      <c r="BK388" t="s">
        <v>35</v>
      </c>
      <c r="BL388" s="162">
        <v>0</v>
      </c>
      <c r="BM388" t="s">
        <v>7</v>
      </c>
      <c r="BN388" t="s">
        <v>35</v>
      </c>
      <c r="BO388" t="s">
        <v>35</v>
      </c>
      <c r="BP388" s="162">
        <v>0</v>
      </c>
      <c r="BQ388" t="s">
        <v>35</v>
      </c>
      <c r="BR388" t="s">
        <v>35</v>
      </c>
      <c r="BS388" s="162" t="s">
        <v>35</v>
      </c>
    </row>
    <row r="389" spans="1:71">
      <c r="A389" s="162">
        <v>388</v>
      </c>
      <c r="B389" t="s">
        <v>409</v>
      </c>
      <c r="C389" s="162">
        <v>1</v>
      </c>
      <c r="D389" s="122" t="s">
        <v>929</v>
      </c>
      <c r="E389" t="s">
        <v>922</v>
      </c>
      <c r="F389" t="s">
        <v>515</v>
      </c>
      <c r="G389" t="s">
        <v>411</v>
      </c>
      <c r="H389" t="s">
        <v>947</v>
      </c>
      <c r="I389" s="162">
        <v>1</v>
      </c>
      <c r="J389" t="s">
        <v>1855</v>
      </c>
      <c r="K389" t="s">
        <v>3</v>
      </c>
      <c r="L389" s="165">
        <v>33090</v>
      </c>
      <c r="M389" s="166">
        <v>27</v>
      </c>
      <c r="N389" t="s">
        <v>5</v>
      </c>
      <c r="O389" t="s">
        <v>10135</v>
      </c>
      <c r="P389" t="s">
        <v>48</v>
      </c>
      <c r="Q389" t="s">
        <v>1191</v>
      </c>
      <c r="R389">
        <v>0</v>
      </c>
      <c r="S389" s="162">
        <v>0</v>
      </c>
      <c r="T389" t="s">
        <v>1192</v>
      </c>
      <c r="U389" s="162">
        <v>19.600000000000001</v>
      </c>
      <c r="V389">
        <v>0</v>
      </c>
      <c r="W389" s="162">
        <v>0</v>
      </c>
      <c r="X389">
        <v>0</v>
      </c>
      <c r="Y389" s="162">
        <v>0</v>
      </c>
      <c r="Z389">
        <v>0</v>
      </c>
      <c r="AA389" s="162">
        <v>0</v>
      </c>
      <c r="AB389">
        <v>0</v>
      </c>
      <c r="AC389" s="162" t="s">
        <v>7</v>
      </c>
      <c r="AD389" s="162" t="s">
        <v>7</v>
      </c>
      <c r="AE389" s="162" t="s">
        <v>7</v>
      </c>
      <c r="AF389" s="162" t="s">
        <v>7</v>
      </c>
      <c r="AG389" s="162" t="s">
        <v>7</v>
      </c>
      <c r="AH389" s="162" t="s">
        <v>7</v>
      </c>
      <c r="AI389" t="s">
        <v>9843</v>
      </c>
      <c r="AJ389" t="s">
        <v>7</v>
      </c>
      <c r="AK389" t="s">
        <v>9807</v>
      </c>
      <c r="AL389" t="s">
        <v>6</v>
      </c>
      <c r="AM389" s="162" t="s">
        <v>10137</v>
      </c>
      <c r="AN389" t="s">
        <v>35</v>
      </c>
      <c r="AO389" t="s">
        <v>35</v>
      </c>
      <c r="AP389" t="s">
        <v>35</v>
      </c>
      <c r="AQ389" t="s">
        <v>35</v>
      </c>
      <c r="AR389" t="s">
        <v>35</v>
      </c>
      <c r="AS389" s="162" t="s">
        <v>35</v>
      </c>
      <c r="AT389" s="117" t="s">
        <v>35</v>
      </c>
      <c r="AU389" s="162" t="s">
        <v>7</v>
      </c>
      <c r="AV389" s="162" t="s">
        <v>7</v>
      </c>
      <c r="AW389" s="162" t="s">
        <v>7</v>
      </c>
      <c r="AX389" s="162" t="s">
        <v>9851</v>
      </c>
      <c r="AY389" s="162" t="s">
        <v>35</v>
      </c>
      <c r="AZ389" t="s">
        <v>35</v>
      </c>
      <c r="BA389" s="162" t="s">
        <v>7</v>
      </c>
      <c r="BB389" s="162" t="s">
        <v>7</v>
      </c>
      <c r="BC389" s="162" t="s">
        <v>7</v>
      </c>
      <c r="BD389" s="162" t="s">
        <v>7</v>
      </c>
      <c r="BE389" s="162" t="s">
        <v>7</v>
      </c>
      <c r="BF389" s="162" t="str">
        <f t="shared" si="12"/>
        <v>Não</v>
      </c>
      <c r="BG389" s="162" t="str">
        <f t="shared" si="13"/>
        <v>Sim</v>
      </c>
      <c r="BH389" s="162" t="s">
        <v>35</v>
      </c>
      <c r="BI389" t="s">
        <v>35</v>
      </c>
      <c r="BJ389" s="162" t="s">
        <v>10165</v>
      </c>
      <c r="BK389" t="s">
        <v>35</v>
      </c>
      <c r="BL389" s="162">
        <v>0</v>
      </c>
      <c r="BM389" t="s">
        <v>35</v>
      </c>
      <c r="BN389" t="s">
        <v>35</v>
      </c>
      <c r="BO389" t="s">
        <v>35</v>
      </c>
      <c r="BP389" s="162">
        <v>0</v>
      </c>
      <c r="BQ389" t="s">
        <v>35</v>
      </c>
      <c r="BR389" t="s">
        <v>35</v>
      </c>
      <c r="BS389" s="162" t="s">
        <v>35</v>
      </c>
    </row>
    <row r="390" spans="1:71">
      <c r="A390" s="162">
        <v>389</v>
      </c>
      <c r="B390" t="s">
        <v>381</v>
      </c>
      <c r="C390" s="162">
        <v>1</v>
      </c>
      <c r="D390" s="122" t="s">
        <v>831</v>
      </c>
      <c r="E390" t="s">
        <v>898</v>
      </c>
      <c r="F390" t="s">
        <v>3</v>
      </c>
      <c r="G390" t="s">
        <v>392</v>
      </c>
      <c r="H390" t="s">
        <v>901</v>
      </c>
      <c r="I390" s="162">
        <v>1</v>
      </c>
      <c r="J390" t="s">
        <v>1855</v>
      </c>
      <c r="K390" t="s">
        <v>3</v>
      </c>
      <c r="L390" s="165">
        <v>29966</v>
      </c>
      <c r="M390" s="166">
        <v>35</v>
      </c>
      <c r="N390" t="s">
        <v>5</v>
      </c>
      <c r="O390" t="s">
        <v>10135</v>
      </c>
      <c r="P390" t="s">
        <v>1101</v>
      </c>
      <c r="Q390" t="s">
        <v>1813</v>
      </c>
      <c r="R390" t="s">
        <v>10018</v>
      </c>
      <c r="S390" s="162">
        <v>52.7</v>
      </c>
      <c r="T390" t="s">
        <v>10019</v>
      </c>
      <c r="U390" s="162">
        <v>19.8</v>
      </c>
      <c r="V390">
        <v>0</v>
      </c>
      <c r="W390" s="162">
        <v>0</v>
      </c>
      <c r="X390">
        <v>0</v>
      </c>
      <c r="Y390" s="162">
        <v>0</v>
      </c>
      <c r="Z390">
        <v>0</v>
      </c>
      <c r="AA390" s="162">
        <v>0</v>
      </c>
      <c r="AB390">
        <v>0</v>
      </c>
      <c r="AC390" s="162" t="s">
        <v>7</v>
      </c>
      <c r="AD390" s="162" t="s">
        <v>7</v>
      </c>
      <c r="AE390" s="162" t="s">
        <v>7</v>
      </c>
      <c r="AF390" s="162" t="s">
        <v>7</v>
      </c>
      <c r="AG390" s="162" t="s">
        <v>7</v>
      </c>
      <c r="AH390" s="162" t="s">
        <v>7</v>
      </c>
      <c r="AI390" t="s">
        <v>9843</v>
      </c>
      <c r="AJ390" t="s">
        <v>1136</v>
      </c>
      <c r="AK390" t="s">
        <v>1814</v>
      </c>
      <c r="AL390" t="s">
        <v>6</v>
      </c>
      <c r="AM390" s="162" t="s">
        <v>10137</v>
      </c>
      <c r="AN390" t="s">
        <v>35</v>
      </c>
      <c r="AO390" t="s">
        <v>35</v>
      </c>
      <c r="AP390" t="s">
        <v>35</v>
      </c>
      <c r="AQ390" t="s">
        <v>35</v>
      </c>
      <c r="AR390" t="s">
        <v>35</v>
      </c>
      <c r="AS390" s="162" t="s">
        <v>35</v>
      </c>
      <c r="AT390" s="117" t="s">
        <v>35</v>
      </c>
      <c r="AU390" s="162" t="s">
        <v>7</v>
      </c>
      <c r="AV390" s="162" t="s">
        <v>7</v>
      </c>
      <c r="AW390" s="162" t="s">
        <v>7</v>
      </c>
      <c r="AX390" s="162" t="s">
        <v>9851</v>
      </c>
      <c r="AY390" s="162" t="s">
        <v>35</v>
      </c>
      <c r="AZ390" t="s">
        <v>35</v>
      </c>
      <c r="BA390" s="162" t="s">
        <v>7</v>
      </c>
      <c r="BB390" s="162" t="s">
        <v>7</v>
      </c>
      <c r="BC390" s="162" t="s">
        <v>7</v>
      </c>
      <c r="BD390" s="162" t="s">
        <v>7</v>
      </c>
      <c r="BE390" s="162" t="s">
        <v>7</v>
      </c>
      <c r="BF390" s="162" t="str">
        <f t="shared" si="12"/>
        <v>Não</v>
      </c>
      <c r="BG390" s="162" t="str">
        <f t="shared" si="13"/>
        <v>Sim</v>
      </c>
      <c r="BH390" s="162" t="s">
        <v>35</v>
      </c>
      <c r="BI390" t="s">
        <v>35</v>
      </c>
      <c r="BJ390" s="162" t="s">
        <v>10165</v>
      </c>
      <c r="BK390" t="s">
        <v>35</v>
      </c>
      <c r="BL390" s="162">
        <v>0</v>
      </c>
      <c r="BM390" t="s">
        <v>35</v>
      </c>
      <c r="BN390" t="s">
        <v>35</v>
      </c>
      <c r="BO390" t="s">
        <v>35</v>
      </c>
      <c r="BP390" s="162">
        <v>0</v>
      </c>
      <c r="BQ390" t="s">
        <v>35</v>
      </c>
      <c r="BR390" t="s">
        <v>35</v>
      </c>
      <c r="BS390" s="162" t="s">
        <v>35</v>
      </c>
    </row>
    <row r="391" spans="1:71">
      <c r="A391" s="162">
        <v>390</v>
      </c>
      <c r="B391" t="s">
        <v>293</v>
      </c>
      <c r="C391" s="162">
        <v>1</v>
      </c>
      <c r="D391" s="122" t="s">
        <v>804</v>
      </c>
      <c r="E391" t="s">
        <v>802</v>
      </c>
      <c r="F391" t="s">
        <v>3</v>
      </c>
      <c r="G391" t="s">
        <v>304</v>
      </c>
      <c r="H391" t="s">
        <v>805</v>
      </c>
      <c r="I391" s="162">
        <v>1</v>
      </c>
      <c r="J391" t="s">
        <v>1855</v>
      </c>
      <c r="K391" t="s">
        <v>515</v>
      </c>
      <c r="L391" s="165">
        <v>28329</v>
      </c>
      <c r="M391" s="166">
        <v>39</v>
      </c>
      <c r="N391" t="s">
        <v>1093</v>
      </c>
      <c r="O391" t="s">
        <v>10135</v>
      </c>
      <c r="P391" t="s">
        <v>1101</v>
      </c>
      <c r="Q391" t="s">
        <v>1512</v>
      </c>
      <c r="R391" t="s">
        <v>1514</v>
      </c>
      <c r="S391" s="162">
        <v>37</v>
      </c>
      <c r="T391" t="s">
        <v>1513</v>
      </c>
      <c r="U391" s="162">
        <v>11.5</v>
      </c>
      <c r="V391">
        <v>0</v>
      </c>
      <c r="W391" s="162">
        <v>0</v>
      </c>
      <c r="X391">
        <v>0</v>
      </c>
      <c r="Y391" s="162">
        <v>0</v>
      </c>
      <c r="Z391">
        <v>0</v>
      </c>
      <c r="AA391" s="162">
        <v>0</v>
      </c>
      <c r="AB391">
        <v>0</v>
      </c>
      <c r="AC391" s="162" t="s">
        <v>7</v>
      </c>
      <c r="AD391" s="162" t="s">
        <v>7</v>
      </c>
      <c r="AE391" s="162" t="s">
        <v>7</v>
      </c>
      <c r="AF391" s="162" t="s">
        <v>7</v>
      </c>
      <c r="AG391" s="162" t="s">
        <v>7</v>
      </c>
      <c r="AH391" s="162" t="s">
        <v>7</v>
      </c>
      <c r="AI391" t="s">
        <v>9843</v>
      </c>
      <c r="AJ391" t="s">
        <v>7</v>
      </c>
      <c r="AK391" t="s">
        <v>80</v>
      </c>
      <c r="AL391" t="s">
        <v>51</v>
      </c>
      <c r="AM391" s="162" t="s">
        <v>10137</v>
      </c>
      <c r="AN391" t="s">
        <v>52</v>
      </c>
      <c r="AO391" t="s">
        <v>35</v>
      </c>
      <c r="AP391" t="s">
        <v>35</v>
      </c>
      <c r="AQ391" t="s">
        <v>35</v>
      </c>
      <c r="AR391" t="s">
        <v>35</v>
      </c>
      <c r="AS391" s="162" t="s">
        <v>35</v>
      </c>
      <c r="AT391" s="117" t="s">
        <v>35</v>
      </c>
      <c r="AU391" s="162" t="s">
        <v>7</v>
      </c>
      <c r="AV391" s="162" t="s">
        <v>7</v>
      </c>
      <c r="AW391" s="162" t="s">
        <v>7</v>
      </c>
      <c r="AX391" s="162" t="s">
        <v>9851</v>
      </c>
      <c r="AY391" s="162" t="s">
        <v>35</v>
      </c>
      <c r="AZ391" t="s">
        <v>35</v>
      </c>
      <c r="BA391" s="162" t="s">
        <v>7</v>
      </c>
      <c r="BB391" s="162" t="s">
        <v>7</v>
      </c>
      <c r="BC391" s="162" t="s">
        <v>7</v>
      </c>
      <c r="BD391" s="162" t="s">
        <v>7</v>
      </c>
      <c r="BE391" s="162" t="s">
        <v>7</v>
      </c>
      <c r="BF391" s="162" t="str">
        <f t="shared" si="12"/>
        <v>Não</v>
      </c>
      <c r="BG391" s="162" t="str">
        <f t="shared" si="13"/>
        <v>Sim</v>
      </c>
      <c r="BH391" s="162" t="s">
        <v>35</v>
      </c>
      <c r="BI391" t="s">
        <v>35</v>
      </c>
      <c r="BJ391" s="162" t="s">
        <v>10165</v>
      </c>
      <c r="BK391" t="s">
        <v>35</v>
      </c>
      <c r="BL391" s="162">
        <v>0</v>
      </c>
      <c r="BM391" t="s">
        <v>7</v>
      </c>
      <c r="BN391" t="s">
        <v>35</v>
      </c>
      <c r="BO391" t="s">
        <v>35</v>
      </c>
      <c r="BP391" s="162">
        <v>0</v>
      </c>
      <c r="BQ391" t="s">
        <v>35</v>
      </c>
      <c r="BR391" t="s">
        <v>35</v>
      </c>
      <c r="BS391" s="162" t="s">
        <v>35</v>
      </c>
    </row>
    <row r="392" spans="1:71">
      <c r="A392" s="162">
        <v>391</v>
      </c>
      <c r="B392" t="s">
        <v>132</v>
      </c>
      <c r="C392" s="162">
        <v>1</v>
      </c>
      <c r="D392" s="122" t="s">
        <v>489</v>
      </c>
      <c r="E392" t="s">
        <v>516</v>
      </c>
      <c r="F392" t="s">
        <v>3</v>
      </c>
      <c r="G392" t="s">
        <v>140</v>
      </c>
      <c r="H392" t="s">
        <v>517</v>
      </c>
      <c r="I392" s="162">
        <v>1</v>
      </c>
      <c r="J392" t="s">
        <v>1115</v>
      </c>
      <c r="K392" t="s">
        <v>515</v>
      </c>
      <c r="L392" s="165" t="s">
        <v>48</v>
      </c>
      <c r="M392" s="166"/>
      <c r="N392" t="s">
        <v>1419</v>
      </c>
      <c r="O392" t="s">
        <v>10134</v>
      </c>
      <c r="P392" t="s">
        <v>41</v>
      </c>
      <c r="Q392" t="s">
        <v>1107</v>
      </c>
      <c r="R392" t="s">
        <v>9885</v>
      </c>
      <c r="S392" s="162">
        <v>69.7</v>
      </c>
      <c r="T392" t="s">
        <v>9886</v>
      </c>
      <c r="U392" s="162">
        <v>18.7</v>
      </c>
      <c r="V392">
        <v>0</v>
      </c>
      <c r="W392" s="162">
        <v>0</v>
      </c>
      <c r="X392">
        <v>0</v>
      </c>
      <c r="Y392" s="162">
        <v>0</v>
      </c>
      <c r="Z392">
        <v>0</v>
      </c>
      <c r="AA392" s="162">
        <v>0</v>
      </c>
      <c r="AB392">
        <v>0</v>
      </c>
      <c r="AC392" s="162" t="s">
        <v>7</v>
      </c>
      <c r="AD392" s="162" t="s">
        <v>7</v>
      </c>
      <c r="AE392" s="162" t="s">
        <v>7</v>
      </c>
      <c r="AF392" s="162" t="s">
        <v>7</v>
      </c>
      <c r="AG392" s="162" t="s">
        <v>7</v>
      </c>
      <c r="AH392" s="162" t="s">
        <v>7</v>
      </c>
      <c r="AI392" t="s">
        <v>9843</v>
      </c>
      <c r="AJ392" t="s">
        <v>7</v>
      </c>
      <c r="AK392" t="s">
        <v>1275</v>
      </c>
      <c r="AL392" t="s">
        <v>6</v>
      </c>
      <c r="AM392" s="162" t="s">
        <v>10137</v>
      </c>
      <c r="AN392" t="s">
        <v>35</v>
      </c>
      <c r="AO392" t="s">
        <v>35</v>
      </c>
      <c r="AP392" t="s">
        <v>35</v>
      </c>
      <c r="AQ392" t="s">
        <v>35</v>
      </c>
      <c r="AR392" t="s">
        <v>35</v>
      </c>
      <c r="AS392" s="162" t="s">
        <v>35</v>
      </c>
      <c r="AT392" s="117" t="s">
        <v>35</v>
      </c>
      <c r="AU392" s="162" t="s">
        <v>7</v>
      </c>
      <c r="AV392" s="162" t="s">
        <v>7</v>
      </c>
      <c r="AW392" s="162" t="s">
        <v>7</v>
      </c>
      <c r="AX392" s="162" t="s">
        <v>9851</v>
      </c>
      <c r="AY392" s="162" t="s">
        <v>35</v>
      </c>
      <c r="AZ392" t="s">
        <v>35</v>
      </c>
      <c r="BA392" s="162" t="s">
        <v>7</v>
      </c>
      <c r="BB392" s="162" t="s">
        <v>7</v>
      </c>
      <c r="BC392" s="162" t="s">
        <v>7</v>
      </c>
      <c r="BD392" s="162" t="s">
        <v>7</v>
      </c>
      <c r="BE392" s="162" t="s">
        <v>7</v>
      </c>
      <c r="BF392" s="162" t="str">
        <f t="shared" si="12"/>
        <v>Não</v>
      </c>
      <c r="BG392" s="162" t="str">
        <f t="shared" si="13"/>
        <v>Sim</v>
      </c>
      <c r="BH392" s="162" t="s">
        <v>35</v>
      </c>
      <c r="BI392" t="s">
        <v>35</v>
      </c>
      <c r="BJ392" s="162" t="s">
        <v>10165</v>
      </c>
      <c r="BK392" t="s">
        <v>35</v>
      </c>
      <c r="BL392" s="162">
        <v>0</v>
      </c>
      <c r="BM392" t="s">
        <v>35</v>
      </c>
      <c r="BN392" t="s">
        <v>35</v>
      </c>
      <c r="BO392" t="s">
        <v>35</v>
      </c>
      <c r="BP392" s="162">
        <v>0</v>
      </c>
      <c r="BQ392" t="s">
        <v>35</v>
      </c>
      <c r="BR392" t="s">
        <v>35</v>
      </c>
      <c r="BS392" s="162" t="s">
        <v>35</v>
      </c>
    </row>
    <row r="393" spans="1:71">
      <c r="A393" s="162">
        <v>392</v>
      </c>
      <c r="B393" t="s">
        <v>302</v>
      </c>
      <c r="C393" s="162">
        <v>1</v>
      </c>
      <c r="D393" s="122" t="s">
        <v>70</v>
      </c>
      <c r="E393" t="s">
        <v>807</v>
      </c>
      <c r="F393" t="s">
        <v>3</v>
      </c>
      <c r="G393" t="s">
        <v>304</v>
      </c>
      <c r="H393" t="s">
        <v>821</v>
      </c>
      <c r="I393" s="162">
        <v>1</v>
      </c>
      <c r="J393" t="s">
        <v>1855</v>
      </c>
      <c r="K393" t="s">
        <v>3</v>
      </c>
      <c r="L393" s="165">
        <v>35892</v>
      </c>
      <c r="M393" s="166">
        <v>19</v>
      </c>
      <c r="N393" t="s">
        <v>5</v>
      </c>
      <c r="O393" t="s">
        <v>10135</v>
      </c>
      <c r="P393" t="s">
        <v>1101</v>
      </c>
      <c r="Q393" t="s">
        <v>1533</v>
      </c>
      <c r="R393" t="s">
        <v>1535</v>
      </c>
      <c r="S393" s="162">
        <v>15.1</v>
      </c>
      <c r="T393" t="s">
        <v>1534</v>
      </c>
      <c r="U393" s="162">
        <v>21.5</v>
      </c>
      <c r="V393">
        <v>0</v>
      </c>
      <c r="W393" s="162">
        <v>0</v>
      </c>
      <c r="X393">
        <v>0</v>
      </c>
      <c r="Y393" s="162">
        <v>0</v>
      </c>
      <c r="Z393">
        <v>0</v>
      </c>
      <c r="AA393" s="162">
        <v>0</v>
      </c>
      <c r="AB393">
        <v>0</v>
      </c>
      <c r="AC393" s="162" t="s">
        <v>7</v>
      </c>
      <c r="AD393" s="162" t="s">
        <v>7</v>
      </c>
      <c r="AE393" s="162" t="s">
        <v>7</v>
      </c>
      <c r="AF393" s="162" t="s">
        <v>7</v>
      </c>
      <c r="AG393" s="162" t="s">
        <v>7</v>
      </c>
      <c r="AH393" s="162" t="s">
        <v>7</v>
      </c>
      <c r="AI393" t="s">
        <v>9843</v>
      </c>
      <c r="AJ393" t="s">
        <v>7</v>
      </c>
      <c r="AK393" t="s">
        <v>1392</v>
      </c>
      <c r="AL393" t="s">
        <v>6</v>
      </c>
      <c r="AM393" s="162" t="s">
        <v>10137</v>
      </c>
      <c r="AN393" t="s">
        <v>35</v>
      </c>
      <c r="AO393" t="s">
        <v>35</v>
      </c>
      <c r="AP393" t="s">
        <v>35</v>
      </c>
      <c r="AQ393" t="s">
        <v>35</v>
      </c>
      <c r="AR393" t="s">
        <v>35</v>
      </c>
      <c r="AS393" s="162" t="s">
        <v>35</v>
      </c>
      <c r="AT393" s="117" t="s">
        <v>35</v>
      </c>
      <c r="AU393" s="162" t="s">
        <v>7</v>
      </c>
      <c r="AV393" s="162" t="s">
        <v>7</v>
      </c>
      <c r="AW393" s="162" t="s">
        <v>7</v>
      </c>
      <c r="AX393" s="162" t="s">
        <v>9851</v>
      </c>
      <c r="AY393" s="162" t="s">
        <v>35</v>
      </c>
      <c r="AZ393" t="s">
        <v>35</v>
      </c>
      <c r="BA393" s="162" t="s">
        <v>7</v>
      </c>
      <c r="BB393" s="162" t="s">
        <v>7</v>
      </c>
      <c r="BC393" s="162" t="s">
        <v>7</v>
      </c>
      <c r="BD393" s="162" t="s">
        <v>7</v>
      </c>
      <c r="BE393" s="162" t="s">
        <v>7</v>
      </c>
      <c r="BF393" s="162" t="str">
        <f t="shared" si="12"/>
        <v>Não</v>
      </c>
      <c r="BG393" s="162" t="str">
        <f t="shared" si="13"/>
        <v>Sim</v>
      </c>
      <c r="BH393" s="162" t="s">
        <v>35</v>
      </c>
      <c r="BI393" t="s">
        <v>35</v>
      </c>
      <c r="BJ393" s="162" t="s">
        <v>10165</v>
      </c>
      <c r="BK393" t="s">
        <v>35</v>
      </c>
      <c r="BL393" s="162">
        <v>0</v>
      </c>
      <c r="BM393" t="s">
        <v>35</v>
      </c>
      <c r="BN393" t="s">
        <v>35</v>
      </c>
      <c r="BO393" t="s">
        <v>35</v>
      </c>
      <c r="BP393" s="162">
        <v>0</v>
      </c>
      <c r="BQ393" t="s">
        <v>35</v>
      </c>
      <c r="BR393" t="s">
        <v>35</v>
      </c>
      <c r="BS393" s="162" t="s">
        <v>35</v>
      </c>
    </row>
    <row r="394" spans="1:71">
      <c r="A394" s="162">
        <v>393</v>
      </c>
      <c r="B394" t="s">
        <v>261</v>
      </c>
      <c r="C394" s="162">
        <v>1</v>
      </c>
      <c r="D394" s="122" t="s">
        <v>738</v>
      </c>
      <c r="E394" t="s">
        <v>728</v>
      </c>
      <c r="F394" t="s">
        <v>3</v>
      </c>
      <c r="G394" t="s">
        <v>264</v>
      </c>
      <c r="H394" t="s">
        <v>737</v>
      </c>
      <c r="I394" s="162">
        <v>1</v>
      </c>
      <c r="J394" t="s">
        <v>1855</v>
      </c>
      <c r="K394" t="s">
        <v>3</v>
      </c>
      <c r="L394" s="165">
        <v>31701</v>
      </c>
      <c r="M394" s="166">
        <v>30</v>
      </c>
      <c r="N394" t="s">
        <v>5</v>
      </c>
      <c r="O394" t="s">
        <v>10135</v>
      </c>
      <c r="P394" t="s">
        <v>77</v>
      </c>
      <c r="Q394" t="s">
        <v>1658</v>
      </c>
      <c r="R394">
        <v>0</v>
      </c>
      <c r="S394" s="162">
        <v>0</v>
      </c>
      <c r="T394" t="s">
        <v>10059</v>
      </c>
      <c r="U394" s="162">
        <v>45962</v>
      </c>
      <c r="V394">
        <v>0</v>
      </c>
      <c r="W394" s="162">
        <v>0</v>
      </c>
      <c r="X394">
        <v>0</v>
      </c>
      <c r="Y394" s="162">
        <v>0</v>
      </c>
      <c r="Z394">
        <v>0</v>
      </c>
      <c r="AA394" s="162">
        <v>0</v>
      </c>
      <c r="AB394">
        <v>0</v>
      </c>
      <c r="AC394" s="162" t="s">
        <v>7</v>
      </c>
      <c r="AD394" s="162" t="s">
        <v>7</v>
      </c>
      <c r="AE394" s="162" t="s">
        <v>7</v>
      </c>
      <c r="AF394" s="162" t="s">
        <v>7</v>
      </c>
      <c r="AG394" s="162" t="s">
        <v>7</v>
      </c>
      <c r="AH394" s="162" t="s">
        <v>7</v>
      </c>
      <c r="AI394" t="s">
        <v>9846</v>
      </c>
      <c r="AJ394" t="s">
        <v>7</v>
      </c>
      <c r="AK394" t="s">
        <v>1540</v>
      </c>
      <c r="AL394" t="s">
        <v>6</v>
      </c>
      <c r="AM394" s="162" t="s">
        <v>10137</v>
      </c>
      <c r="AN394" t="s">
        <v>35</v>
      </c>
      <c r="AO394" t="s">
        <v>35</v>
      </c>
      <c r="AP394" t="s">
        <v>35</v>
      </c>
      <c r="AQ394" t="s">
        <v>35</v>
      </c>
      <c r="AR394" t="s">
        <v>35</v>
      </c>
      <c r="AS394" s="162" t="s">
        <v>35</v>
      </c>
      <c r="AT394" s="117" t="s">
        <v>35</v>
      </c>
      <c r="AU394" s="162" t="s">
        <v>7</v>
      </c>
      <c r="AV394" s="162" t="s">
        <v>7</v>
      </c>
      <c r="AW394" s="162" t="s">
        <v>7</v>
      </c>
      <c r="AX394" s="162" t="s">
        <v>9851</v>
      </c>
      <c r="AY394" s="162" t="s">
        <v>35</v>
      </c>
      <c r="AZ394" t="s">
        <v>35</v>
      </c>
      <c r="BA394" s="162" t="s">
        <v>7</v>
      </c>
      <c r="BB394" s="162" t="s">
        <v>7</v>
      </c>
      <c r="BC394" s="162" t="s">
        <v>7</v>
      </c>
      <c r="BD394" s="162" t="s">
        <v>7</v>
      </c>
      <c r="BE394" s="162" t="s">
        <v>7</v>
      </c>
      <c r="BF394" s="162" t="str">
        <f t="shared" si="12"/>
        <v>Não</v>
      </c>
      <c r="BG394" s="162" t="str">
        <f t="shared" si="13"/>
        <v>Sim</v>
      </c>
      <c r="BH394" s="162" t="s">
        <v>35</v>
      </c>
      <c r="BI394" t="s">
        <v>35</v>
      </c>
      <c r="BJ394" s="162" t="s">
        <v>10165</v>
      </c>
      <c r="BK394" t="s">
        <v>35</v>
      </c>
      <c r="BL394" s="162">
        <v>0</v>
      </c>
      <c r="BM394" t="s">
        <v>35</v>
      </c>
      <c r="BN394" t="s">
        <v>35</v>
      </c>
      <c r="BO394" t="s">
        <v>35</v>
      </c>
      <c r="BP394" s="162">
        <v>0</v>
      </c>
      <c r="BQ394" t="s">
        <v>35</v>
      </c>
      <c r="BR394" t="s">
        <v>35</v>
      </c>
      <c r="BS394" s="162" t="s">
        <v>35</v>
      </c>
    </row>
    <row r="395" spans="1:71">
      <c r="A395" s="162">
        <v>394</v>
      </c>
      <c r="B395" t="s">
        <v>261</v>
      </c>
      <c r="C395" s="162">
        <v>0</v>
      </c>
      <c r="D395" s="122" t="s">
        <v>738</v>
      </c>
      <c r="E395" t="s">
        <v>728</v>
      </c>
      <c r="F395" t="s">
        <v>3</v>
      </c>
      <c r="G395" t="s">
        <v>264</v>
      </c>
      <c r="H395" t="s">
        <v>741</v>
      </c>
      <c r="I395" s="162">
        <v>1</v>
      </c>
      <c r="J395" t="s">
        <v>1855</v>
      </c>
      <c r="K395" t="s">
        <v>3</v>
      </c>
      <c r="L395" s="165">
        <v>28859</v>
      </c>
      <c r="M395" s="166">
        <v>38</v>
      </c>
      <c r="N395" t="s">
        <v>5</v>
      </c>
      <c r="O395" t="s">
        <v>10135</v>
      </c>
      <c r="P395" t="s">
        <v>1074</v>
      </c>
      <c r="Q395" t="s">
        <v>1658</v>
      </c>
      <c r="R395">
        <v>0</v>
      </c>
      <c r="S395" s="162">
        <v>0</v>
      </c>
      <c r="T395" t="s">
        <v>10059</v>
      </c>
      <c r="U395" s="162">
        <v>45962</v>
      </c>
      <c r="V395">
        <v>0</v>
      </c>
      <c r="W395" s="162">
        <v>0</v>
      </c>
      <c r="X395">
        <v>0</v>
      </c>
      <c r="Y395" s="162">
        <v>0</v>
      </c>
      <c r="Z395">
        <v>0</v>
      </c>
      <c r="AA395" s="162">
        <v>0</v>
      </c>
      <c r="AB395">
        <v>0</v>
      </c>
      <c r="AC395" s="162" t="s">
        <v>7</v>
      </c>
      <c r="AD395" s="162" t="s">
        <v>7</v>
      </c>
      <c r="AE395" s="162" t="s">
        <v>7</v>
      </c>
      <c r="AF395" s="162" t="s">
        <v>7</v>
      </c>
      <c r="AG395" s="162" t="s">
        <v>7</v>
      </c>
      <c r="AH395" s="162" t="s">
        <v>7</v>
      </c>
      <c r="AI395" t="s">
        <v>9846</v>
      </c>
      <c r="AJ395" t="s">
        <v>7</v>
      </c>
      <c r="AK395" t="s">
        <v>1460</v>
      </c>
      <c r="AL395" t="s">
        <v>6</v>
      </c>
      <c r="AM395" s="162" t="s">
        <v>10137</v>
      </c>
      <c r="AN395" t="s">
        <v>35</v>
      </c>
      <c r="AO395" t="s">
        <v>35</v>
      </c>
      <c r="AP395" t="s">
        <v>35</v>
      </c>
      <c r="AQ395" t="s">
        <v>35</v>
      </c>
      <c r="AR395" t="s">
        <v>35</v>
      </c>
      <c r="AS395" s="162" t="s">
        <v>35</v>
      </c>
      <c r="AT395" s="117" t="s">
        <v>35</v>
      </c>
      <c r="AU395" s="162" t="s">
        <v>7</v>
      </c>
      <c r="AV395" s="162" t="s">
        <v>7</v>
      </c>
      <c r="AW395" s="162" t="s">
        <v>7</v>
      </c>
      <c r="AX395" s="162" t="s">
        <v>9851</v>
      </c>
      <c r="AY395" s="162" t="s">
        <v>35</v>
      </c>
      <c r="AZ395" t="s">
        <v>35</v>
      </c>
      <c r="BA395" s="162" t="s">
        <v>7</v>
      </c>
      <c r="BB395" s="162" t="s">
        <v>7</v>
      </c>
      <c r="BC395" s="162" t="s">
        <v>7</v>
      </c>
      <c r="BD395" s="162" t="s">
        <v>7</v>
      </c>
      <c r="BE395" s="162" t="s">
        <v>7</v>
      </c>
      <c r="BF395" s="162" t="str">
        <f t="shared" si="12"/>
        <v>Não</v>
      </c>
      <c r="BG395" s="162" t="str">
        <f t="shared" si="13"/>
        <v>Sim</v>
      </c>
      <c r="BH395" s="162" t="s">
        <v>35</v>
      </c>
      <c r="BI395" t="s">
        <v>35</v>
      </c>
      <c r="BJ395" s="162" t="s">
        <v>10165</v>
      </c>
      <c r="BK395" t="s">
        <v>35</v>
      </c>
      <c r="BL395" s="162">
        <v>0</v>
      </c>
      <c r="BM395" t="s">
        <v>35</v>
      </c>
      <c r="BN395" t="s">
        <v>35</v>
      </c>
      <c r="BO395" t="s">
        <v>35</v>
      </c>
      <c r="BP395" s="162">
        <v>0</v>
      </c>
      <c r="BQ395" t="s">
        <v>35</v>
      </c>
      <c r="BR395" t="s">
        <v>35</v>
      </c>
      <c r="BS395" s="162" t="s">
        <v>35</v>
      </c>
    </row>
    <row r="396" spans="1:71">
      <c r="A396" s="162">
        <v>395</v>
      </c>
      <c r="B396" t="s">
        <v>261</v>
      </c>
      <c r="C396" s="162">
        <v>0</v>
      </c>
      <c r="D396" s="122" t="s">
        <v>738</v>
      </c>
      <c r="E396" t="s">
        <v>728</v>
      </c>
      <c r="F396" t="s">
        <v>3</v>
      </c>
      <c r="G396" t="s">
        <v>264</v>
      </c>
      <c r="H396" t="s">
        <v>742</v>
      </c>
      <c r="I396" s="162">
        <v>1</v>
      </c>
      <c r="J396" t="s">
        <v>1855</v>
      </c>
      <c r="K396" t="s">
        <v>3</v>
      </c>
      <c r="L396" s="165">
        <v>32617</v>
      </c>
      <c r="M396" s="166">
        <v>28</v>
      </c>
      <c r="N396" t="s">
        <v>4</v>
      </c>
      <c r="O396" t="s">
        <v>10134</v>
      </c>
      <c r="P396" t="s">
        <v>41</v>
      </c>
      <c r="Q396" t="s">
        <v>1658</v>
      </c>
      <c r="R396">
        <v>0</v>
      </c>
      <c r="S396" s="162">
        <v>0</v>
      </c>
      <c r="T396" t="s">
        <v>10059</v>
      </c>
      <c r="U396" s="162">
        <v>45962</v>
      </c>
      <c r="V396">
        <v>0</v>
      </c>
      <c r="W396" s="162">
        <v>0</v>
      </c>
      <c r="X396">
        <v>0</v>
      </c>
      <c r="Y396" s="162">
        <v>0</v>
      </c>
      <c r="Z396">
        <v>0</v>
      </c>
      <c r="AA396" s="162">
        <v>0</v>
      </c>
      <c r="AB396">
        <v>0</v>
      </c>
      <c r="AC396" s="162" t="s">
        <v>7</v>
      </c>
      <c r="AD396" s="162" t="s">
        <v>7</v>
      </c>
      <c r="AE396" s="162" t="s">
        <v>7</v>
      </c>
      <c r="AF396" s="162" t="s">
        <v>7</v>
      </c>
      <c r="AG396" s="162" t="s">
        <v>7</v>
      </c>
      <c r="AH396" s="162" t="s">
        <v>7</v>
      </c>
      <c r="AI396" t="s">
        <v>9846</v>
      </c>
      <c r="AJ396" t="s">
        <v>7</v>
      </c>
      <c r="AK396" t="s">
        <v>1460</v>
      </c>
      <c r="AL396" t="s">
        <v>6</v>
      </c>
      <c r="AM396" s="162" t="s">
        <v>10137</v>
      </c>
      <c r="AN396" t="s">
        <v>35</v>
      </c>
      <c r="AO396" t="s">
        <v>35</v>
      </c>
      <c r="AP396" t="s">
        <v>35</v>
      </c>
      <c r="AQ396" t="s">
        <v>35</v>
      </c>
      <c r="AR396" t="s">
        <v>35</v>
      </c>
      <c r="AS396" s="162" t="s">
        <v>35</v>
      </c>
      <c r="AT396" s="117" t="s">
        <v>35</v>
      </c>
      <c r="AU396" s="162" t="s">
        <v>7</v>
      </c>
      <c r="AV396" s="162" t="s">
        <v>7</v>
      </c>
      <c r="AW396" s="162" t="s">
        <v>7</v>
      </c>
      <c r="AX396" s="162" t="s">
        <v>9851</v>
      </c>
      <c r="AY396" s="162" t="s">
        <v>35</v>
      </c>
      <c r="AZ396" t="s">
        <v>35</v>
      </c>
      <c r="BA396" s="162" t="s">
        <v>7</v>
      </c>
      <c r="BB396" s="162" t="s">
        <v>7</v>
      </c>
      <c r="BC396" s="162" t="s">
        <v>7</v>
      </c>
      <c r="BD396" s="162" t="s">
        <v>7</v>
      </c>
      <c r="BE396" s="162" t="s">
        <v>7</v>
      </c>
      <c r="BF396" s="162" t="str">
        <f t="shared" si="12"/>
        <v>Não</v>
      </c>
      <c r="BG396" s="162" t="str">
        <f t="shared" si="13"/>
        <v>Sim</v>
      </c>
      <c r="BH396" s="162" t="s">
        <v>35</v>
      </c>
      <c r="BI396" t="s">
        <v>35</v>
      </c>
      <c r="BJ396" s="162" t="s">
        <v>10165</v>
      </c>
      <c r="BK396" t="s">
        <v>35</v>
      </c>
      <c r="BL396" s="162">
        <v>0</v>
      </c>
      <c r="BM396" t="s">
        <v>35</v>
      </c>
      <c r="BN396" t="s">
        <v>35</v>
      </c>
      <c r="BO396" t="s">
        <v>35</v>
      </c>
      <c r="BP396" s="162">
        <v>0</v>
      </c>
      <c r="BQ396" t="s">
        <v>35</v>
      </c>
      <c r="BR396" t="s">
        <v>35</v>
      </c>
      <c r="BS396" s="162" t="s">
        <v>35</v>
      </c>
    </row>
    <row r="397" spans="1:71">
      <c r="A397" s="162">
        <v>396</v>
      </c>
      <c r="B397" t="s">
        <v>261</v>
      </c>
      <c r="C397" s="162">
        <v>0</v>
      </c>
      <c r="D397" s="122" t="s">
        <v>738</v>
      </c>
      <c r="E397" t="s">
        <v>728</v>
      </c>
      <c r="F397" t="s">
        <v>3</v>
      </c>
      <c r="G397" t="s">
        <v>264</v>
      </c>
      <c r="H397" t="s">
        <v>739</v>
      </c>
      <c r="I397" s="162">
        <v>1</v>
      </c>
      <c r="J397" t="s">
        <v>1855</v>
      </c>
      <c r="K397" t="s">
        <v>3</v>
      </c>
      <c r="L397" s="165">
        <v>30628</v>
      </c>
      <c r="M397" s="166">
        <v>33</v>
      </c>
      <c r="N397" t="s">
        <v>5</v>
      </c>
      <c r="O397" t="s">
        <v>10135</v>
      </c>
      <c r="P397" t="s">
        <v>77</v>
      </c>
      <c r="Q397" t="s">
        <v>1658</v>
      </c>
      <c r="R397">
        <v>0</v>
      </c>
      <c r="S397" s="162">
        <v>0</v>
      </c>
      <c r="T397" t="s">
        <v>10059</v>
      </c>
      <c r="U397" s="162">
        <v>45962</v>
      </c>
      <c r="V397">
        <v>0</v>
      </c>
      <c r="W397" s="162">
        <v>0</v>
      </c>
      <c r="X397">
        <v>0</v>
      </c>
      <c r="Y397" s="162">
        <v>0</v>
      </c>
      <c r="Z397">
        <v>0</v>
      </c>
      <c r="AA397" s="162">
        <v>0</v>
      </c>
      <c r="AB397">
        <v>0</v>
      </c>
      <c r="AC397" s="162" t="s">
        <v>7</v>
      </c>
      <c r="AD397" s="162" t="s">
        <v>7</v>
      </c>
      <c r="AE397" s="162" t="s">
        <v>7</v>
      </c>
      <c r="AF397" s="162" t="s">
        <v>7</v>
      </c>
      <c r="AG397" s="162" t="s">
        <v>7</v>
      </c>
      <c r="AH397" s="162" t="s">
        <v>7</v>
      </c>
      <c r="AI397" t="s">
        <v>9846</v>
      </c>
      <c r="AJ397" t="s">
        <v>7</v>
      </c>
      <c r="AK397" t="s">
        <v>1540</v>
      </c>
      <c r="AL397" t="s">
        <v>6</v>
      </c>
      <c r="AM397" s="162" t="s">
        <v>10137</v>
      </c>
      <c r="AN397" t="s">
        <v>35</v>
      </c>
      <c r="AO397" t="s">
        <v>35</v>
      </c>
      <c r="AP397" t="s">
        <v>35</v>
      </c>
      <c r="AQ397" t="s">
        <v>35</v>
      </c>
      <c r="AR397" t="s">
        <v>35</v>
      </c>
      <c r="AS397" s="162" t="s">
        <v>35</v>
      </c>
      <c r="AT397" s="117" t="s">
        <v>35</v>
      </c>
      <c r="AU397" s="162" t="s">
        <v>7</v>
      </c>
      <c r="AV397" s="162" t="s">
        <v>7</v>
      </c>
      <c r="AW397" s="162" t="s">
        <v>7</v>
      </c>
      <c r="AX397" s="162" t="s">
        <v>9851</v>
      </c>
      <c r="AY397" s="162" t="s">
        <v>35</v>
      </c>
      <c r="AZ397" t="s">
        <v>35</v>
      </c>
      <c r="BA397" s="162" t="s">
        <v>7</v>
      </c>
      <c r="BB397" s="162" t="s">
        <v>7</v>
      </c>
      <c r="BC397" s="162" t="s">
        <v>7</v>
      </c>
      <c r="BD397" s="162" t="s">
        <v>7</v>
      </c>
      <c r="BE397" s="162" t="s">
        <v>7</v>
      </c>
      <c r="BF397" s="162" t="str">
        <f t="shared" si="12"/>
        <v>Não</v>
      </c>
      <c r="BG397" s="162" t="str">
        <f t="shared" si="13"/>
        <v>Sim</v>
      </c>
      <c r="BH397" s="162" t="s">
        <v>35</v>
      </c>
      <c r="BI397" t="s">
        <v>35</v>
      </c>
      <c r="BJ397" s="162" t="s">
        <v>10165</v>
      </c>
      <c r="BK397" t="s">
        <v>35</v>
      </c>
      <c r="BL397" s="162">
        <v>0</v>
      </c>
      <c r="BM397" t="s">
        <v>35</v>
      </c>
      <c r="BN397" t="s">
        <v>35</v>
      </c>
      <c r="BO397" t="s">
        <v>35</v>
      </c>
      <c r="BP397" s="162">
        <v>0</v>
      </c>
      <c r="BQ397" t="s">
        <v>35</v>
      </c>
      <c r="BR397" t="s">
        <v>35</v>
      </c>
      <c r="BS397" s="162" t="s">
        <v>35</v>
      </c>
    </row>
    <row r="398" spans="1:71">
      <c r="A398" s="162">
        <v>397</v>
      </c>
      <c r="B398" t="s">
        <v>367</v>
      </c>
      <c r="C398" s="162">
        <v>1</v>
      </c>
      <c r="D398" s="122" t="s">
        <v>827</v>
      </c>
      <c r="E398" t="s">
        <v>873</v>
      </c>
      <c r="F398" t="s">
        <v>515</v>
      </c>
      <c r="G398" t="s">
        <v>378</v>
      </c>
      <c r="H398" t="s">
        <v>878</v>
      </c>
      <c r="I398" s="162">
        <v>1</v>
      </c>
      <c r="J398" t="s">
        <v>1855</v>
      </c>
      <c r="K398" t="s">
        <v>3</v>
      </c>
      <c r="L398" s="165">
        <v>34157</v>
      </c>
      <c r="M398" s="166">
        <v>24</v>
      </c>
      <c r="N398" t="s">
        <v>4</v>
      </c>
      <c r="O398" t="s">
        <v>10134</v>
      </c>
      <c r="P398" t="s">
        <v>41</v>
      </c>
      <c r="Q398" t="s">
        <v>1148</v>
      </c>
      <c r="R398">
        <v>0</v>
      </c>
      <c r="S398" s="162">
        <v>0</v>
      </c>
      <c r="T398" t="s">
        <v>1786</v>
      </c>
      <c r="U398" s="162">
        <v>6.5</v>
      </c>
      <c r="V398">
        <v>0</v>
      </c>
      <c r="W398" s="162">
        <v>0</v>
      </c>
      <c r="X398">
        <v>0</v>
      </c>
      <c r="Y398" s="162">
        <v>0</v>
      </c>
      <c r="Z398">
        <v>0</v>
      </c>
      <c r="AA398" s="162">
        <v>0</v>
      </c>
      <c r="AB398" t="s">
        <v>1787</v>
      </c>
      <c r="AC398" s="162" t="s">
        <v>7</v>
      </c>
      <c r="AD398" s="162" t="s">
        <v>7</v>
      </c>
      <c r="AE398" s="162" t="s">
        <v>9851</v>
      </c>
      <c r="AF398" s="162" t="s">
        <v>7</v>
      </c>
      <c r="AG398" s="162" t="s">
        <v>7</v>
      </c>
      <c r="AH398" s="162" t="s">
        <v>7</v>
      </c>
      <c r="AI398" t="s">
        <v>9843</v>
      </c>
      <c r="AJ398" t="s">
        <v>7</v>
      </c>
      <c r="AK398" t="s">
        <v>1788</v>
      </c>
      <c r="AL398" t="s">
        <v>6</v>
      </c>
      <c r="AM398" s="162" t="s">
        <v>10137</v>
      </c>
      <c r="AN398" t="s">
        <v>35</v>
      </c>
      <c r="AO398" t="s">
        <v>35</v>
      </c>
      <c r="AP398" t="s">
        <v>35</v>
      </c>
      <c r="AQ398" t="s">
        <v>35</v>
      </c>
      <c r="AR398" t="s">
        <v>35</v>
      </c>
      <c r="AS398" s="162" t="s">
        <v>35</v>
      </c>
      <c r="AT398" s="117" t="s">
        <v>35</v>
      </c>
      <c r="AU398" s="162" t="s">
        <v>7</v>
      </c>
      <c r="AV398" s="162" t="s">
        <v>7</v>
      </c>
      <c r="AW398" s="162" t="s">
        <v>7</v>
      </c>
      <c r="AX398" s="162" t="s">
        <v>9851</v>
      </c>
      <c r="AY398" s="162" t="s">
        <v>35</v>
      </c>
      <c r="AZ398" t="s">
        <v>35</v>
      </c>
      <c r="BA398" s="162" t="s">
        <v>7</v>
      </c>
      <c r="BB398" s="162" t="s">
        <v>7</v>
      </c>
      <c r="BC398" s="162" t="s">
        <v>7</v>
      </c>
      <c r="BD398" s="162" t="s">
        <v>7</v>
      </c>
      <c r="BE398" s="162" t="s">
        <v>7</v>
      </c>
      <c r="BF398" s="162" t="str">
        <f t="shared" si="12"/>
        <v>Não</v>
      </c>
      <c r="BG398" s="162" t="str">
        <f t="shared" si="13"/>
        <v>Sim</v>
      </c>
      <c r="BH398" s="162" t="s">
        <v>35</v>
      </c>
      <c r="BI398" t="s">
        <v>35</v>
      </c>
      <c r="BJ398" s="162" t="s">
        <v>10165</v>
      </c>
      <c r="BK398" t="s">
        <v>35</v>
      </c>
      <c r="BL398" s="162">
        <v>0</v>
      </c>
      <c r="BM398" t="s">
        <v>35</v>
      </c>
      <c r="BN398" t="s">
        <v>35</v>
      </c>
      <c r="BO398" t="s">
        <v>35</v>
      </c>
      <c r="BP398" s="162">
        <v>0</v>
      </c>
      <c r="BQ398" t="s">
        <v>35</v>
      </c>
      <c r="BR398" t="s">
        <v>35</v>
      </c>
      <c r="BS398" s="162" t="s">
        <v>35</v>
      </c>
    </row>
    <row r="399" spans="1:71">
      <c r="A399" s="162">
        <v>398</v>
      </c>
      <c r="B399" t="s">
        <v>138</v>
      </c>
      <c r="C399" s="162">
        <v>1</v>
      </c>
      <c r="D399" s="122" t="s">
        <v>530</v>
      </c>
      <c r="E399" t="s">
        <v>516</v>
      </c>
      <c r="F399" t="s">
        <v>3</v>
      </c>
      <c r="G399" t="s">
        <v>140</v>
      </c>
      <c r="H399" t="s">
        <v>532</v>
      </c>
      <c r="I399" s="162">
        <v>1</v>
      </c>
      <c r="J399" t="s">
        <v>1855</v>
      </c>
      <c r="K399" t="s">
        <v>515</v>
      </c>
      <c r="L399" s="165">
        <v>34053</v>
      </c>
      <c r="M399" s="166">
        <v>24</v>
      </c>
      <c r="N399" t="s">
        <v>5</v>
      </c>
      <c r="O399" t="s">
        <v>10135</v>
      </c>
      <c r="P399" t="s">
        <v>48</v>
      </c>
      <c r="Q399" t="s">
        <v>1128</v>
      </c>
      <c r="R399">
        <v>0</v>
      </c>
      <c r="S399" s="162">
        <v>0</v>
      </c>
      <c r="T399" t="s">
        <v>9887</v>
      </c>
      <c r="U399" s="162">
        <v>15.4</v>
      </c>
      <c r="V399">
        <v>0</v>
      </c>
      <c r="W399" s="162">
        <v>0</v>
      </c>
      <c r="X399">
        <v>0</v>
      </c>
      <c r="Y399" s="162">
        <v>0</v>
      </c>
      <c r="Z399">
        <v>0</v>
      </c>
      <c r="AA399" s="162">
        <v>0</v>
      </c>
      <c r="AB399">
        <v>0</v>
      </c>
      <c r="AC399" s="162" t="s">
        <v>7</v>
      </c>
      <c r="AD399" s="162" t="s">
        <v>7</v>
      </c>
      <c r="AE399" s="162" t="s">
        <v>7</v>
      </c>
      <c r="AF399" s="162" t="s">
        <v>7</v>
      </c>
      <c r="AG399" s="162" t="s">
        <v>7</v>
      </c>
      <c r="AH399" s="162" t="s">
        <v>7</v>
      </c>
      <c r="AI399" t="s">
        <v>9843</v>
      </c>
      <c r="AJ399" t="s">
        <v>7</v>
      </c>
      <c r="AK399" t="s">
        <v>1460</v>
      </c>
      <c r="AL399" t="s">
        <v>51</v>
      </c>
      <c r="AM399" s="162" t="s">
        <v>10137</v>
      </c>
      <c r="AN399" t="s">
        <v>52</v>
      </c>
      <c r="AO399" t="s">
        <v>35</v>
      </c>
      <c r="AP399" t="s">
        <v>35</v>
      </c>
      <c r="AQ399" t="s">
        <v>35</v>
      </c>
      <c r="AR399" t="s">
        <v>35</v>
      </c>
      <c r="AS399" s="162" t="s">
        <v>35</v>
      </c>
      <c r="AT399" s="117" t="s">
        <v>35</v>
      </c>
      <c r="AU399" s="162" t="s">
        <v>7</v>
      </c>
      <c r="AV399" s="162" t="s">
        <v>7</v>
      </c>
      <c r="AW399" s="162" t="s">
        <v>7</v>
      </c>
      <c r="AX399" s="162" t="s">
        <v>9851</v>
      </c>
      <c r="AY399" s="162" t="s">
        <v>35</v>
      </c>
      <c r="AZ399" t="s">
        <v>35</v>
      </c>
      <c r="BA399" s="162" t="s">
        <v>7</v>
      </c>
      <c r="BB399" s="162" t="s">
        <v>7</v>
      </c>
      <c r="BC399" s="162" t="s">
        <v>7</v>
      </c>
      <c r="BD399" s="162" t="s">
        <v>7</v>
      </c>
      <c r="BE399" s="162" t="s">
        <v>7</v>
      </c>
      <c r="BF399" s="162" t="str">
        <f t="shared" si="12"/>
        <v>Não</v>
      </c>
      <c r="BG399" s="162" t="str">
        <f t="shared" si="13"/>
        <v>Sim</v>
      </c>
      <c r="BH399" s="162" t="s">
        <v>35</v>
      </c>
      <c r="BI399" t="s">
        <v>35</v>
      </c>
      <c r="BJ399" s="162" t="s">
        <v>10165</v>
      </c>
      <c r="BK399" t="s">
        <v>35</v>
      </c>
      <c r="BL399" s="162">
        <v>0</v>
      </c>
      <c r="BM399" t="s">
        <v>7</v>
      </c>
      <c r="BN399" t="s">
        <v>35</v>
      </c>
      <c r="BO399" t="s">
        <v>35</v>
      </c>
      <c r="BP399" s="162">
        <v>0</v>
      </c>
      <c r="BQ399" t="s">
        <v>35</v>
      </c>
      <c r="BR399" t="s">
        <v>35</v>
      </c>
      <c r="BS399" s="162" t="s">
        <v>35</v>
      </c>
    </row>
    <row r="400" spans="1:71">
      <c r="A400" s="162">
        <v>399</v>
      </c>
      <c r="B400" t="s">
        <v>138</v>
      </c>
      <c r="C400" s="162">
        <v>0</v>
      </c>
      <c r="D400" s="122" t="s">
        <v>530</v>
      </c>
      <c r="E400" t="s">
        <v>516</v>
      </c>
      <c r="F400" t="s">
        <v>3</v>
      </c>
      <c r="G400" t="s">
        <v>140</v>
      </c>
      <c r="H400" t="s">
        <v>533</v>
      </c>
      <c r="I400" s="162">
        <v>1</v>
      </c>
      <c r="J400" t="s">
        <v>1855</v>
      </c>
      <c r="K400" t="s">
        <v>515</v>
      </c>
      <c r="L400" s="165">
        <v>32836</v>
      </c>
      <c r="M400" s="166">
        <v>27</v>
      </c>
      <c r="N400" t="s">
        <v>5</v>
      </c>
      <c r="O400" t="s">
        <v>10135</v>
      </c>
      <c r="P400" t="s">
        <v>48</v>
      </c>
      <c r="Q400" t="s">
        <v>1127</v>
      </c>
      <c r="R400">
        <v>0</v>
      </c>
      <c r="S400" s="162">
        <v>0</v>
      </c>
      <c r="T400" t="s">
        <v>9887</v>
      </c>
      <c r="U400" s="162">
        <v>15.4</v>
      </c>
      <c r="V400">
        <v>0</v>
      </c>
      <c r="W400" s="162">
        <v>0</v>
      </c>
      <c r="X400">
        <v>0</v>
      </c>
      <c r="Y400" s="162">
        <v>0</v>
      </c>
      <c r="Z400">
        <v>0</v>
      </c>
      <c r="AA400" s="162">
        <v>0</v>
      </c>
      <c r="AB400">
        <v>0</v>
      </c>
      <c r="AC400" s="162" t="s">
        <v>7</v>
      </c>
      <c r="AD400" s="162" t="s">
        <v>7</v>
      </c>
      <c r="AE400" s="162" t="s">
        <v>7</v>
      </c>
      <c r="AF400" s="162" t="s">
        <v>7</v>
      </c>
      <c r="AG400" s="162" t="s">
        <v>7</v>
      </c>
      <c r="AH400" s="162" t="s">
        <v>7</v>
      </c>
      <c r="AI400" t="s">
        <v>9843</v>
      </c>
      <c r="AJ400" t="s">
        <v>7</v>
      </c>
      <c r="AK400" t="s">
        <v>1460</v>
      </c>
      <c r="AL400" t="s">
        <v>51</v>
      </c>
      <c r="AM400" s="162" t="s">
        <v>10137</v>
      </c>
      <c r="AN400" t="s">
        <v>52</v>
      </c>
      <c r="AO400" t="s">
        <v>35</v>
      </c>
      <c r="AP400" t="s">
        <v>35</v>
      </c>
      <c r="AQ400" t="s">
        <v>35</v>
      </c>
      <c r="AR400" t="s">
        <v>35</v>
      </c>
      <c r="AS400" s="162" t="s">
        <v>35</v>
      </c>
      <c r="AT400" s="117" t="s">
        <v>35</v>
      </c>
      <c r="AU400" s="162" t="s">
        <v>7</v>
      </c>
      <c r="AV400" s="162" t="s">
        <v>7</v>
      </c>
      <c r="AW400" s="162" t="s">
        <v>7</v>
      </c>
      <c r="AX400" s="162" t="s">
        <v>9851</v>
      </c>
      <c r="AY400" s="162" t="s">
        <v>35</v>
      </c>
      <c r="AZ400" t="s">
        <v>35</v>
      </c>
      <c r="BA400" s="162" t="s">
        <v>7</v>
      </c>
      <c r="BB400" s="162" t="s">
        <v>7</v>
      </c>
      <c r="BC400" s="162" t="s">
        <v>7</v>
      </c>
      <c r="BD400" s="162" t="s">
        <v>7</v>
      </c>
      <c r="BE400" s="162" t="s">
        <v>7</v>
      </c>
      <c r="BF400" s="162" t="str">
        <f t="shared" si="12"/>
        <v>Não</v>
      </c>
      <c r="BG400" s="162" t="str">
        <f t="shared" si="13"/>
        <v>Sim</v>
      </c>
      <c r="BH400" s="162" t="s">
        <v>35</v>
      </c>
      <c r="BI400" t="s">
        <v>35</v>
      </c>
      <c r="BJ400" s="162" t="s">
        <v>10165</v>
      </c>
      <c r="BK400" t="s">
        <v>35</v>
      </c>
      <c r="BL400" s="162">
        <v>0</v>
      </c>
      <c r="BM400" t="s">
        <v>7</v>
      </c>
      <c r="BN400" t="s">
        <v>35</v>
      </c>
      <c r="BO400" t="s">
        <v>35</v>
      </c>
      <c r="BP400" s="162">
        <v>0</v>
      </c>
      <c r="BQ400" t="s">
        <v>35</v>
      </c>
      <c r="BR400" t="s">
        <v>35</v>
      </c>
      <c r="BS400" s="162" t="s">
        <v>35</v>
      </c>
    </row>
    <row r="401" spans="1:71">
      <c r="A401" s="162">
        <v>400</v>
      </c>
      <c r="B401" t="s">
        <v>231</v>
      </c>
      <c r="C401" s="162">
        <v>1</v>
      </c>
      <c r="D401" s="122" t="s">
        <v>688</v>
      </c>
      <c r="E401" t="s">
        <v>677</v>
      </c>
      <c r="F401" t="s">
        <v>515</v>
      </c>
      <c r="G401" t="s">
        <v>241</v>
      </c>
      <c r="H401" t="s">
        <v>689</v>
      </c>
      <c r="I401" s="162">
        <v>1</v>
      </c>
      <c r="J401" t="s">
        <v>1855</v>
      </c>
      <c r="K401" t="s">
        <v>3</v>
      </c>
      <c r="L401" s="165">
        <v>33143</v>
      </c>
      <c r="M401" s="166">
        <v>26</v>
      </c>
      <c r="N401" t="s">
        <v>5</v>
      </c>
      <c r="O401" t="s">
        <v>10135</v>
      </c>
      <c r="P401" t="s">
        <v>1101</v>
      </c>
      <c r="Q401" t="s">
        <v>1678</v>
      </c>
      <c r="R401" t="s">
        <v>1679</v>
      </c>
      <c r="S401" s="162">
        <v>2.8</v>
      </c>
      <c r="T401" t="s">
        <v>1680</v>
      </c>
      <c r="U401" s="162">
        <v>5.6</v>
      </c>
      <c r="V401">
        <v>0</v>
      </c>
      <c r="W401" s="162">
        <v>0</v>
      </c>
      <c r="X401">
        <v>0</v>
      </c>
      <c r="Y401" s="162">
        <v>0</v>
      </c>
      <c r="Z401">
        <v>0</v>
      </c>
      <c r="AA401" s="162">
        <v>0</v>
      </c>
      <c r="AB401">
        <v>0</v>
      </c>
      <c r="AC401" s="162" t="s">
        <v>7</v>
      </c>
      <c r="AD401" s="162" t="s">
        <v>7</v>
      </c>
      <c r="AE401" s="162" t="s">
        <v>7</v>
      </c>
      <c r="AF401" s="162" t="s">
        <v>7</v>
      </c>
      <c r="AG401" s="162" t="s">
        <v>7</v>
      </c>
      <c r="AH401" s="162" t="s">
        <v>7</v>
      </c>
      <c r="AI401" t="s">
        <v>9843</v>
      </c>
      <c r="AJ401" t="s">
        <v>7</v>
      </c>
      <c r="AK401" t="s">
        <v>1173</v>
      </c>
      <c r="AL401" t="s">
        <v>51</v>
      </c>
      <c r="AM401" s="162" t="s">
        <v>10137</v>
      </c>
      <c r="AN401" t="s">
        <v>52</v>
      </c>
      <c r="AO401" t="s">
        <v>35</v>
      </c>
      <c r="AP401" t="s">
        <v>35</v>
      </c>
      <c r="AQ401" t="s">
        <v>35</v>
      </c>
      <c r="AR401" t="s">
        <v>35</v>
      </c>
      <c r="AS401" s="162" t="s">
        <v>35</v>
      </c>
      <c r="AT401" s="117" t="s">
        <v>35</v>
      </c>
      <c r="AU401" s="162" t="s">
        <v>7</v>
      </c>
      <c r="AV401" s="162" t="s">
        <v>7</v>
      </c>
      <c r="AW401" s="162" t="s">
        <v>7</v>
      </c>
      <c r="AX401" s="162" t="s">
        <v>9851</v>
      </c>
      <c r="AY401" s="162" t="s">
        <v>35</v>
      </c>
      <c r="AZ401" t="s">
        <v>35</v>
      </c>
      <c r="BA401" s="162" t="s">
        <v>7</v>
      </c>
      <c r="BB401" s="162" t="s">
        <v>7</v>
      </c>
      <c r="BC401" s="162" t="s">
        <v>7</v>
      </c>
      <c r="BD401" s="162" t="s">
        <v>7</v>
      </c>
      <c r="BE401" s="162" t="s">
        <v>7</v>
      </c>
      <c r="BF401" s="162" t="str">
        <f t="shared" si="12"/>
        <v>Não</v>
      </c>
      <c r="BG401" s="162" t="str">
        <f t="shared" si="13"/>
        <v>Sim</v>
      </c>
      <c r="BH401" s="162" t="s">
        <v>35</v>
      </c>
      <c r="BI401" t="s">
        <v>35</v>
      </c>
      <c r="BJ401" s="162" t="s">
        <v>10165</v>
      </c>
      <c r="BK401" t="s">
        <v>35</v>
      </c>
      <c r="BL401" s="162">
        <v>0</v>
      </c>
      <c r="BM401" t="s">
        <v>7</v>
      </c>
      <c r="BN401" t="s">
        <v>35</v>
      </c>
      <c r="BO401" t="s">
        <v>35</v>
      </c>
      <c r="BP401" s="162">
        <v>0</v>
      </c>
      <c r="BQ401" t="s">
        <v>35</v>
      </c>
      <c r="BR401" t="s">
        <v>35</v>
      </c>
      <c r="BS401" s="162" t="s">
        <v>35</v>
      </c>
    </row>
    <row r="402" spans="1:71">
      <c r="A402" s="162">
        <v>401</v>
      </c>
      <c r="B402" t="s">
        <v>167</v>
      </c>
      <c r="C402" s="162">
        <v>1</v>
      </c>
      <c r="D402" s="122" t="s">
        <v>592</v>
      </c>
      <c r="E402" t="s">
        <v>593</v>
      </c>
      <c r="F402" t="s">
        <v>515</v>
      </c>
      <c r="G402" t="s">
        <v>173</v>
      </c>
      <c r="H402" t="s">
        <v>594</v>
      </c>
      <c r="I402" s="162">
        <v>1</v>
      </c>
      <c r="J402" t="s">
        <v>1855</v>
      </c>
      <c r="K402" t="s">
        <v>515</v>
      </c>
      <c r="L402" s="165">
        <v>31363</v>
      </c>
      <c r="M402" s="166">
        <v>31</v>
      </c>
      <c r="N402" t="s">
        <v>4</v>
      </c>
      <c r="O402" t="s">
        <v>10134</v>
      </c>
      <c r="P402" t="s">
        <v>41</v>
      </c>
      <c r="Q402" t="s">
        <v>1072</v>
      </c>
      <c r="R402">
        <v>0</v>
      </c>
      <c r="S402" s="162">
        <v>0</v>
      </c>
      <c r="T402" t="s">
        <v>1073</v>
      </c>
      <c r="U402" s="162">
        <v>12.4</v>
      </c>
      <c r="V402">
        <v>0</v>
      </c>
      <c r="W402" s="162">
        <v>0</v>
      </c>
      <c r="X402">
        <v>0</v>
      </c>
      <c r="Y402" s="162">
        <v>0</v>
      </c>
      <c r="Z402">
        <v>0</v>
      </c>
      <c r="AA402" s="162">
        <v>0</v>
      </c>
      <c r="AB402">
        <v>0</v>
      </c>
      <c r="AC402" s="162" t="s">
        <v>7</v>
      </c>
      <c r="AD402" s="162" t="s">
        <v>7</v>
      </c>
      <c r="AE402" s="162" t="s">
        <v>7</v>
      </c>
      <c r="AF402" s="162" t="s">
        <v>7</v>
      </c>
      <c r="AG402" s="162" t="s">
        <v>7</v>
      </c>
      <c r="AH402" s="162" t="s">
        <v>7</v>
      </c>
      <c r="AI402" t="s">
        <v>9843</v>
      </c>
      <c r="AJ402" t="s">
        <v>7</v>
      </c>
      <c r="AK402" t="s">
        <v>80</v>
      </c>
      <c r="AL402" t="s">
        <v>51</v>
      </c>
      <c r="AM402" s="162" t="s">
        <v>10137</v>
      </c>
      <c r="AN402" t="s">
        <v>52</v>
      </c>
      <c r="AO402" t="s">
        <v>35</v>
      </c>
      <c r="AP402" t="s">
        <v>35</v>
      </c>
      <c r="AQ402" t="s">
        <v>35</v>
      </c>
      <c r="AR402" t="s">
        <v>35</v>
      </c>
      <c r="AS402" s="162" t="s">
        <v>35</v>
      </c>
      <c r="AT402" s="117" t="s">
        <v>35</v>
      </c>
      <c r="AU402" s="162" t="s">
        <v>7</v>
      </c>
      <c r="AV402" s="162" t="s">
        <v>7</v>
      </c>
      <c r="AW402" s="162" t="s">
        <v>7</v>
      </c>
      <c r="AX402" s="162" t="s">
        <v>9851</v>
      </c>
      <c r="AY402" s="162" t="s">
        <v>35</v>
      </c>
      <c r="AZ402" t="s">
        <v>35</v>
      </c>
      <c r="BA402" s="162" t="s">
        <v>7</v>
      </c>
      <c r="BB402" s="162" t="s">
        <v>7</v>
      </c>
      <c r="BC402" s="162" t="s">
        <v>7</v>
      </c>
      <c r="BD402" s="162" t="s">
        <v>7</v>
      </c>
      <c r="BE402" s="162" t="s">
        <v>7</v>
      </c>
      <c r="BF402" s="162" t="str">
        <f t="shared" si="12"/>
        <v>Não</v>
      </c>
      <c r="BG402" s="162" t="str">
        <f t="shared" si="13"/>
        <v>Sim</v>
      </c>
      <c r="BH402" s="162" t="s">
        <v>35</v>
      </c>
      <c r="BI402" t="s">
        <v>35</v>
      </c>
      <c r="BJ402" s="162" t="s">
        <v>10165</v>
      </c>
      <c r="BK402" t="s">
        <v>35</v>
      </c>
      <c r="BL402" s="162">
        <v>0</v>
      </c>
      <c r="BM402" t="s">
        <v>7</v>
      </c>
      <c r="BN402" t="s">
        <v>35</v>
      </c>
      <c r="BO402" t="s">
        <v>35</v>
      </c>
      <c r="BP402" s="162">
        <v>0</v>
      </c>
      <c r="BQ402" t="s">
        <v>35</v>
      </c>
      <c r="BR402" t="s">
        <v>35</v>
      </c>
      <c r="BS402" s="162" t="s">
        <v>35</v>
      </c>
    </row>
    <row r="403" spans="1:71">
      <c r="A403" s="162">
        <v>402</v>
      </c>
      <c r="B403" t="s">
        <v>314</v>
      </c>
      <c r="C403" s="162">
        <v>1</v>
      </c>
      <c r="D403" s="122">
        <v>42824</v>
      </c>
      <c r="E403" t="s">
        <v>823</v>
      </c>
      <c r="F403" t="s">
        <v>515</v>
      </c>
      <c r="G403" t="s">
        <v>316</v>
      </c>
      <c r="H403" t="s">
        <v>834</v>
      </c>
      <c r="I403" s="162">
        <v>1</v>
      </c>
      <c r="J403" t="s">
        <v>1855</v>
      </c>
      <c r="K403" t="s">
        <v>3</v>
      </c>
      <c r="L403" s="165">
        <v>36001</v>
      </c>
      <c r="M403" s="166">
        <v>18</v>
      </c>
      <c r="N403" t="s">
        <v>5</v>
      </c>
      <c r="O403" t="s">
        <v>10135</v>
      </c>
      <c r="P403" t="s">
        <v>77</v>
      </c>
      <c r="Q403" t="s">
        <v>2031</v>
      </c>
      <c r="R403" t="s">
        <v>2039</v>
      </c>
      <c r="S403" s="162">
        <v>96.8</v>
      </c>
      <c r="T403" t="s">
        <v>2046</v>
      </c>
      <c r="U403" s="162">
        <v>4054</v>
      </c>
      <c r="V403">
        <v>0</v>
      </c>
      <c r="W403" s="162">
        <v>0</v>
      </c>
      <c r="X403">
        <v>0</v>
      </c>
      <c r="Y403" s="162">
        <v>0</v>
      </c>
      <c r="Z403">
        <v>0</v>
      </c>
      <c r="AA403" s="162">
        <v>0</v>
      </c>
      <c r="AB403">
        <v>0</v>
      </c>
      <c r="AC403" s="162" t="s">
        <v>7</v>
      </c>
      <c r="AD403" s="162" t="s">
        <v>7</v>
      </c>
      <c r="AE403" s="162" t="s">
        <v>7</v>
      </c>
      <c r="AF403" s="162" t="s">
        <v>7</v>
      </c>
      <c r="AG403" s="162" t="s">
        <v>7</v>
      </c>
      <c r="AH403" s="162" t="s">
        <v>7</v>
      </c>
      <c r="AI403" t="s">
        <v>9843</v>
      </c>
      <c r="AJ403" t="s">
        <v>1136</v>
      </c>
      <c r="AK403" t="s">
        <v>2054</v>
      </c>
      <c r="AL403" t="s">
        <v>6</v>
      </c>
      <c r="AM403" s="162" t="s">
        <v>10137</v>
      </c>
      <c r="AN403" t="s">
        <v>35</v>
      </c>
      <c r="AO403" t="s">
        <v>35</v>
      </c>
      <c r="AP403" t="s">
        <v>35</v>
      </c>
      <c r="AQ403" t="s">
        <v>35</v>
      </c>
      <c r="AR403" t="s">
        <v>35</v>
      </c>
      <c r="AS403" s="162" t="s">
        <v>35</v>
      </c>
      <c r="AT403" s="117" t="s">
        <v>35</v>
      </c>
      <c r="AU403" s="162" t="s">
        <v>7</v>
      </c>
      <c r="AV403" s="162" t="s">
        <v>7</v>
      </c>
      <c r="AW403" s="162" t="s">
        <v>7</v>
      </c>
      <c r="AX403" s="162" t="s">
        <v>9851</v>
      </c>
      <c r="AY403" s="162" t="s">
        <v>35</v>
      </c>
      <c r="AZ403" t="s">
        <v>35</v>
      </c>
      <c r="BA403" s="162" t="s">
        <v>7</v>
      </c>
      <c r="BB403" s="162" t="s">
        <v>7</v>
      </c>
      <c r="BC403" s="162" t="s">
        <v>7</v>
      </c>
      <c r="BD403" s="162" t="s">
        <v>7</v>
      </c>
      <c r="BE403" s="162" t="s">
        <v>7</v>
      </c>
      <c r="BF403" s="162" t="str">
        <f t="shared" si="12"/>
        <v>Não</v>
      </c>
      <c r="BG403" s="162" t="str">
        <f t="shared" si="13"/>
        <v>Sim</v>
      </c>
      <c r="BH403" s="162" t="s">
        <v>35</v>
      </c>
      <c r="BI403" t="s">
        <v>35</v>
      </c>
      <c r="BJ403" s="162" t="s">
        <v>10165</v>
      </c>
      <c r="BK403" t="s">
        <v>35</v>
      </c>
      <c r="BL403" s="162">
        <v>0</v>
      </c>
      <c r="BM403" t="s">
        <v>35</v>
      </c>
      <c r="BN403" t="s">
        <v>35</v>
      </c>
      <c r="BO403" t="s">
        <v>35</v>
      </c>
      <c r="BP403" s="162">
        <v>0</v>
      </c>
      <c r="BQ403" t="s">
        <v>35</v>
      </c>
      <c r="BR403" t="s">
        <v>35</v>
      </c>
      <c r="BS403" s="162" t="s">
        <v>35</v>
      </c>
    </row>
    <row r="404" spans="1:71">
      <c r="A404" s="162">
        <v>403</v>
      </c>
      <c r="B404" t="s">
        <v>171</v>
      </c>
      <c r="C404" s="162">
        <v>1</v>
      </c>
      <c r="D404" s="122" t="s">
        <v>602</v>
      </c>
      <c r="E404" t="s">
        <v>603</v>
      </c>
      <c r="F404" t="s">
        <v>515</v>
      </c>
      <c r="G404" t="s">
        <v>173</v>
      </c>
      <c r="H404" t="s">
        <v>604</v>
      </c>
      <c r="I404" s="162">
        <v>1</v>
      </c>
      <c r="J404" t="s">
        <v>1085</v>
      </c>
      <c r="K404" t="s">
        <v>3</v>
      </c>
      <c r="L404" s="165">
        <v>35376</v>
      </c>
      <c r="M404" s="166">
        <v>21</v>
      </c>
      <c r="N404" t="s">
        <v>5</v>
      </c>
      <c r="O404" t="s">
        <v>10135</v>
      </c>
      <c r="P404" t="s">
        <v>41</v>
      </c>
      <c r="Q404" t="s">
        <v>1086</v>
      </c>
      <c r="R404">
        <v>0</v>
      </c>
      <c r="S404" s="162">
        <v>0</v>
      </c>
      <c r="T404" t="s">
        <v>1087</v>
      </c>
      <c r="U404" s="162">
        <v>5.4</v>
      </c>
      <c r="V404">
        <v>0</v>
      </c>
      <c r="W404" s="162">
        <v>0</v>
      </c>
      <c r="X404">
        <v>0</v>
      </c>
      <c r="Y404" s="162">
        <v>0</v>
      </c>
      <c r="Z404">
        <v>0</v>
      </c>
      <c r="AA404" s="162">
        <v>0</v>
      </c>
      <c r="AB404">
        <v>0</v>
      </c>
      <c r="AC404" s="162" t="s">
        <v>7</v>
      </c>
      <c r="AD404" s="162" t="s">
        <v>7</v>
      </c>
      <c r="AE404" s="162" t="s">
        <v>7</v>
      </c>
      <c r="AF404" s="162" t="s">
        <v>7</v>
      </c>
      <c r="AG404" s="162" t="s">
        <v>7</v>
      </c>
      <c r="AH404" s="162" t="s">
        <v>7</v>
      </c>
      <c r="AI404" t="s">
        <v>9843</v>
      </c>
      <c r="AJ404" t="s">
        <v>1088</v>
      </c>
      <c r="AK404" t="s">
        <v>1106</v>
      </c>
      <c r="AL404" t="s">
        <v>51</v>
      </c>
      <c r="AM404" s="162" t="s">
        <v>10137</v>
      </c>
      <c r="AN404" t="s">
        <v>52</v>
      </c>
      <c r="AO404" t="s">
        <v>1089</v>
      </c>
      <c r="AP404" t="s">
        <v>35</v>
      </c>
      <c r="AQ404" t="s">
        <v>35</v>
      </c>
      <c r="AR404" t="s">
        <v>35</v>
      </c>
      <c r="AS404" s="162" t="s">
        <v>35</v>
      </c>
      <c r="AT404" s="117" t="s">
        <v>35</v>
      </c>
      <c r="AU404" s="162" t="s">
        <v>7</v>
      </c>
      <c r="AV404" s="162" t="s">
        <v>7</v>
      </c>
      <c r="AW404" s="162" t="s">
        <v>7</v>
      </c>
      <c r="AX404" s="162" t="s">
        <v>9851</v>
      </c>
      <c r="AY404" s="162" t="s">
        <v>35</v>
      </c>
      <c r="AZ404" t="s">
        <v>35</v>
      </c>
      <c r="BA404" s="162" t="s">
        <v>7</v>
      </c>
      <c r="BB404" s="162" t="s">
        <v>7</v>
      </c>
      <c r="BC404" s="162" t="s">
        <v>7</v>
      </c>
      <c r="BD404" s="162" t="s">
        <v>7</v>
      </c>
      <c r="BE404" s="162" t="s">
        <v>7</v>
      </c>
      <c r="BF404" s="162" t="str">
        <f t="shared" si="12"/>
        <v>Não</v>
      </c>
      <c r="BG404" s="162" t="str">
        <f t="shared" si="13"/>
        <v>Sim</v>
      </c>
      <c r="BH404" s="162" t="s">
        <v>35</v>
      </c>
      <c r="BI404" t="s">
        <v>35</v>
      </c>
      <c r="BJ404" s="162" t="s">
        <v>10165</v>
      </c>
      <c r="BK404" t="s">
        <v>35</v>
      </c>
      <c r="BL404" s="162">
        <v>0</v>
      </c>
      <c r="BM404" t="s">
        <v>7</v>
      </c>
      <c r="BN404" t="s">
        <v>9810</v>
      </c>
      <c r="BO404" t="s">
        <v>9810</v>
      </c>
      <c r="BP404" s="162">
        <v>4</v>
      </c>
      <c r="BQ404" t="s">
        <v>9851</v>
      </c>
      <c r="BR404" t="s">
        <v>35</v>
      </c>
      <c r="BS404" s="162" t="s">
        <v>35</v>
      </c>
    </row>
    <row r="405" spans="1:71">
      <c r="A405" s="162">
        <v>404</v>
      </c>
      <c r="B405" t="s">
        <v>263</v>
      </c>
      <c r="C405" s="162">
        <v>1</v>
      </c>
      <c r="D405" s="122" t="s">
        <v>744</v>
      </c>
      <c r="E405" t="s">
        <v>728</v>
      </c>
      <c r="F405" t="s">
        <v>3</v>
      </c>
      <c r="G405" t="s">
        <v>264</v>
      </c>
      <c r="H405" t="s">
        <v>745</v>
      </c>
      <c r="I405" s="162">
        <v>1</v>
      </c>
      <c r="J405" t="s">
        <v>1855</v>
      </c>
      <c r="K405" t="s">
        <v>3</v>
      </c>
      <c r="L405" s="165">
        <v>31664</v>
      </c>
      <c r="M405" s="166">
        <v>31</v>
      </c>
      <c r="N405" t="s">
        <v>4</v>
      </c>
      <c r="O405" t="s">
        <v>10134</v>
      </c>
      <c r="P405" t="s">
        <v>41</v>
      </c>
      <c r="Q405" t="s">
        <v>1186</v>
      </c>
      <c r="R405">
        <v>0</v>
      </c>
      <c r="S405" s="162">
        <v>0</v>
      </c>
      <c r="T405" t="s">
        <v>10060</v>
      </c>
      <c r="U405" s="162">
        <v>67.099999999999994</v>
      </c>
      <c r="V405">
        <v>0</v>
      </c>
      <c r="W405" s="162">
        <v>0</v>
      </c>
      <c r="X405">
        <v>0</v>
      </c>
      <c r="Y405" s="162">
        <v>0</v>
      </c>
      <c r="Z405">
        <v>0</v>
      </c>
      <c r="AA405" s="162">
        <v>0</v>
      </c>
      <c r="AB405">
        <v>0</v>
      </c>
      <c r="AC405" s="162" t="s">
        <v>7</v>
      </c>
      <c r="AD405" s="162" t="s">
        <v>7</v>
      </c>
      <c r="AE405" s="162" t="s">
        <v>7</v>
      </c>
      <c r="AF405" s="162" t="s">
        <v>7</v>
      </c>
      <c r="AG405" s="162" t="s">
        <v>7</v>
      </c>
      <c r="AH405" s="162" t="s">
        <v>7</v>
      </c>
      <c r="AI405" t="s">
        <v>9843</v>
      </c>
      <c r="AJ405" t="s">
        <v>7</v>
      </c>
      <c r="AK405" t="s">
        <v>1599</v>
      </c>
      <c r="AL405" t="s">
        <v>51</v>
      </c>
      <c r="AM405" s="162" t="s">
        <v>10137</v>
      </c>
      <c r="AN405" t="s">
        <v>52</v>
      </c>
      <c r="AO405" t="s">
        <v>35</v>
      </c>
      <c r="AP405" t="s">
        <v>35</v>
      </c>
      <c r="AQ405" t="s">
        <v>35</v>
      </c>
      <c r="AR405" t="s">
        <v>35</v>
      </c>
      <c r="AS405" s="162" t="s">
        <v>35</v>
      </c>
      <c r="AT405" s="117" t="s">
        <v>35</v>
      </c>
      <c r="AU405" s="162" t="s">
        <v>7</v>
      </c>
      <c r="AV405" s="162" t="s">
        <v>7</v>
      </c>
      <c r="AW405" s="162" t="s">
        <v>7</v>
      </c>
      <c r="AX405" s="162" t="s">
        <v>9851</v>
      </c>
      <c r="AY405" s="162" t="s">
        <v>35</v>
      </c>
      <c r="AZ405" t="s">
        <v>35</v>
      </c>
      <c r="BA405" s="162" t="s">
        <v>7</v>
      </c>
      <c r="BB405" s="162" t="s">
        <v>7</v>
      </c>
      <c r="BC405" s="162" t="s">
        <v>7</v>
      </c>
      <c r="BD405" s="162" t="s">
        <v>7</v>
      </c>
      <c r="BE405" s="162" t="s">
        <v>7</v>
      </c>
      <c r="BF405" s="162" t="str">
        <f t="shared" si="12"/>
        <v>Não</v>
      </c>
      <c r="BG405" s="162" t="str">
        <f t="shared" si="13"/>
        <v>Sim</v>
      </c>
      <c r="BH405" s="162" t="s">
        <v>35</v>
      </c>
      <c r="BI405" t="s">
        <v>35</v>
      </c>
      <c r="BJ405" s="162" t="s">
        <v>10165</v>
      </c>
      <c r="BK405" t="s">
        <v>35</v>
      </c>
      <c r="BL405" s="162">
        <v>0</v>
      </c>
      <c r="BM405" t="s">
        <v>7</v>
      </c>
      <c r="BN405" t="s">
        <v>35</v>
      </c>
      <c r="BO405" t="s">
        <v>35</v>
      </c>
      <c r="BP405" s="162">
        <v>0</v>
      </c>
      <c r="BQ405" t="s">
        <v>35</v>
      </c>
      <c r="BR405" t="s">
        <v>35</v>
      </c>
      <c r="BS405" s="162" t="s">
        <v>35</v>
      </c>
    </row>
    <row r="406" spans="1:71">
      <c r="A406" s="162">
        <v>405</v>
      </c>
      <c r="B406" t="s">
        <v>386</v>
      </c>
      <c r="C406" s="162">
        <v>1</v>
      </c>
      <c r="D406" s="122" t="s">
        <v>907</v>
      </c>
      <c r="E406" t="s">
        <v>896</v>
      </c>
      <c r="F406" t="s">
        <v>3</v>
      </c>
      <c r="G406" t="s">
        <v>392</v>
      </c>
      <c r="H406" t="s">
        <v>908</v>
      </c>
      <c r="I406" s="162">
        <v>1</v>
      </c>
      <c r="J406" t="s">
        <v>1598</v>
      </c>
      <c r="K406" t="s">
        <v>3</v>
      </c>
      <c r="L406" s="165">
        <v>34505</v>
      </c>
      <c r="M406" s="166">
        <v>23</v>
      </c>
      <c r="N406" t="s">
        <v>5</v>
      </c>
      <c r="O406" t="s">
        <v>10135</v>
      </c>
      <c r="P406" t="s">
        <v>41</v>
      </c>
      <c r="Q406" t="s">
        <v>1213</v>
      </c>
      <c r="R406" t="s">
        <v>1828</v>
      </c>
      <c r="S406" s="162">
        <v>13.2</v>
      </c>
      <c r="T406" t="s">
        <v>1827</v>
      </c>
      <c r="U406" s="162">
        <v>1.9</v>
      </c>
      <c r="V406">
        <v>0</v>
      </c>
      <c r="W406" s="162">
        <v>0</v>
      </c>
      <c r="X406">
        <v>0</v>
      </c>
      <c r="Y406" s="162">
        <v>0</v>
      </c>
      <c r="Z406">
        <v>0</v>
      </c>
      <c r="AA406" s="162">
        <v>0</v>
      </c>
      <c r="AB406">
        <v>0</v>
      </c>
      <c r="AC406" s="162" t="s">
        <v>7</v>
      </c>
      <c r="AD406" s="162" t="s">
        <v>7</v>
      </c>
      <c r="AE406" s="162" t="s">
        <v>7</v>
      </c>
      <c r="AF406" s="162" t="s">
        <v>7</v>
      </c>
      <c r="AG406" s="162" t="s">
        <v>7</v>
      </c>
      <c r="AH406" s="162" t="s">
        <v>7</v>
      </c>
      <c r="AI406" t="s">
        <v>9843</v>
      </c>
      <c r="AJ406" t="s">
        <v>7</v>
      </c>
      <c r="AK406" t="s">
        <v>1150</v>
      </c>
      <c r="AL406" t="s">
        <v>6</v>
      </c>
      <c r="AM406" s="162" t="s">
        <v>10137</v>
      </c>
      <c r="AN406" t="s">
        <v>35</v>
      </c>
      <c r="AO406" t="s">
        <v>35</v>
      </c>
      <c r="AP406" t="s">
        <v>35</v>
      </c>
      <c r="AQ406" t="s">
        <v>35</v>
      </c>
      <c r="AR406" t="s">
        <v>35</v>
      </c>
      <c r="AS406" s="162" t="s">
        <v>35</v>
      </c>
      <c r="AT406" s="117" t="s">
        <v>35</v>
      </c>
      <c r="AU406" s="162" t="s">
        <v>7</v>
      </c>
      <c r="AV406" s="162" t="s">
        <v>7</v>
      </c>
      <c r="AW406" s="162" t="s">
        <v>7</v>
      </c>
      <c r="AX406" s="162" t="s">
        <v>9851</v>
      </c>
      <c r="AY406" s="162" t="s">
        <v>35</v>
      </c>
      <c r="AZ406" t="s">
        <v>35</v>
      </c>
      <c r="BA406" s="162" t="s">
        <v>7</v>
      </c>
      <c r="BB406" s="162" t="s">
        <v>7</v>
      </c>
      <c r="BC406" s="162" t="s">
        <v>7</v>
      </c>
      <c r="BD406" s="162" t="s">
        <v>7</v>
      </c>
      <c r="BE406" s="162" t="s">
        <v>7</v>
      </c>
      <c r="BF406" s="162" t="str">
        <f t="shared" si="12"/>
        <v>Não</v>
      </c>
      <c r="BG406" s="162" t="str">
        <f t="shared" si="13"/>
        <v>Sim</v>
      </c>
      <c r="BH406" s="162" t="s">
        <v>35</v>
      </c>
      <c r="BI406" t="s">
        <v>35</v>
      </c>
      <c r="BJ406" s="162" t="s">
        <v>10165</v>
      </c>
      <c r="BK406" t="s">
        <v>35</v>
      </c>
      <c r="BL406" s="162">
        <v>0</v>
      </c>
      <c r="BM406" t="s">
        <v>35</v>
      </c>
      <c r="BN406" t="s">
        <v>35</v>
      </c>
      <c r="BO406" t="s">
        <v>35</v>
      </c>
      <c r="BP406" s="162">
        <v>0</v>
      </c>
      <c r="BQ406" t="s">
        <v>35</v>
      </c>
      <c r="BR406" t="s">
        <v>35</v>
      </c>
      <c r="BS406" s="162" t="s">
        <v>35</v>
      </c>
    </row>
    <row r="407" spans="1:71">
      <c r="A407" s="162">
        <v>406</v>
      </c>
      <c r="B407" t="s">
        <v>238</v>
      </c>
      <c r="C407" s="162">
        <v>1</v>
      </c>
      <c r="D407" s="122" t="s">
        <v>612</v>
      </c>
      <c r="E407" t="s">
        <v>679</v>
      </c>
      <c r="F407" t="s">
        <v>3</v>
      </c>
      <c r="G407" t="s">
        <v>241</v>
      </c>
      <c r="H407" t="s">
        <v>698</v>
      </c>
      <c r="I407" s="162">
        <v>1</v>
      </c>
      <c r="J407" t="s">
        <v>1855</v>
      </c>
      <c r="K407" t="s">
        <v>3</v>
      </c>
      <c r="L407" s="165">
        <v>35486</v>
      </c>
      <c r="M407" s="166">
        <v>20</v>
      </c>
      <c r="N407" t="s">
        <v>5</v>
      </c>
      <c r="O407" t="s">
        <v>10135</v>
      </c>
      <c r="P407" t="s">
        <v>1074</v>
      </c>
      <c r="Q407" t="s">
        <v>1694</v>
      </c>
      <c r="R407">
        <v>0</v>
      </c>
      <c r="S407" s="162">
        <v>0</v>
      </c>
      <c r="T407" t="s">
        <v>9932</v>
      </c>
      <c r="U407" s="162">
        <v>4.8</v>
      </c>
      <c r="V407">
        <v>0</v>
      </c>
      <c r="W407" s="162">
        <v>0</v>
      </c>
      <c r="X407">
        <v>0</v>
      </c>
      <c r="Y407" s="162">
        <v>0</v>
      </c>
      <c r="Z407">
        <v>0</v>
      </c>
      <c r="AA407" s="162">
        <v>0</v>
      </c>
      <c r="AB407">
        <v>0</v>
      </c>
      <c r="AC407" s="162" t="s">
        <v>7</v>
      </c>
      <c r="AD407" s="162" t="s">
        <v>7</v>
      </c>
      <c r="AE407" s="162" t="s">
        <v>7</v>
      </c>
      <c r="AF407" s="162" t="s">
        <v>7</v>
      </c>
      <c r="AG407" s="162" t="s">
        <v>7</v>
      </c>
      <c r="AH407" s="162" t="s">
        <v>7</v>
      </c>
      <c r="AI407" t="s">
        <v>9843</v>
      </c>
      <c r="AJ407" t="s">
        <v>7</v>
      </c>
      <c r="AK407" t="s">
        <v>1540</v>
      </c>
      <c r="AL407" t="s">
        <v>51</v>
      </c>
      <c r="AM407" s="162" t="s">
        <v>10137</v>
      </c>
      <c r="AN407" t="s">
        <v>52</v>
      </c>
      <c r="AO407" t="s">
        <v>35</v>
      </c>
      <c r="AP407" t="s">
        <v>35</v>
      </c>
      <c r="AQ407" t="s">
        <v>35</v>
      </c>
      <c r="AR407" t="s">
        <v>35</v>
      </c>
      <c r="AS407" s="162" t="s">
        <v>35</v>
      </c>
      <c r="AT407" s="117" t="s">
        <v>35</v>
      </c>
      <c r="AU407" s="162" t="s">
        <v>7</v>
      </c>
      <c r="AV407" s="162" t="s">
        <v>7</v>
      </c>
      <c r="AW407" s="162" t="s">
        <v>7</v>
      </c>
      <c r="AX407" s="162" t="s">
        <v>9851</v>
      </c>
      <c r="AY407" s="162" t="s">
        <v>35</v>
      </c>
      <c r="AZ407" t="s">
        <v>35</v>
      </c>
      <c r="BA407" s="162" t="s">
        <v>7</v>
      </c>
      <c r="BB407" s="162" t="s">
        <v>7</v>
      </c>
      <c r="BC407" s="162" t="s">
        <v>7</v>
      </c>
      <c r="BD407" s="162" t="s">
        <v>7</v>
      </c>
      <c r="BE407" s="162" t="s">
        <v>7</v>
      </c>
      <c r="BF407" s="162" t="str">
        <f t="shared" si="12"/>
        <v>Não</v>
      </c>
      <c r="BG407" s="162" t="str">
        <f t="shared" si="13"/>
        <v>Sim</v>
      </c>
      <c r="BH407" s="162" t="s">
        <v>35</v>
      </c>
      <c r="BI407" t="s">
        <v>35</v>
      </c>
      <c r="BJ407" s="162" t="s">
        <v>10165</v>
      </c>
      <c r="BK407" t="s">
        <v>35</v>
      </c>
      <c r="BL407" s="162">
        <v>0</v>
      </c>
      <c r="BM407" t="s">
        <v>7</v>
      </c>
      <c r="BN407" t="s">
        <v>35</v>
      </c>
      <c r="BO407" t="s">
        <v>35</v>
      </c>
      <c r="BP407" s="162">
        <v>0</v>
      </c>
      <c r="BQ407" t="s">
        <v>35</v>
      </c>
      <c r="BR407" t="s">
        <v>35</v>
      </c>
      <c r="BS407" s="162" t="s">
        <v>35</v>
      </c>
    </row>
    <row r="408" spans="1:71">
      <c r="A408" s="162">
        <v>407</v>
      </c>
      <c r="B408" t="s">
        <v>28</v>
      </c>
      <c r="C408" s="162">
        <v>0</v>
      </c>
      <c r="D408" s="122" t="s">
        <v>73</v>
      </c>
      <c r="E408" t="s">
        <v>30</v>
      </c>
      <c r="F408" t="s">
        <v>3</v>
      </c>
      <c r="G408" t="s">
        <v>23</v>
      </c>
      <c r="H408" t="s">
        <v>74</v>
      </c>
      <c r="I408" s="162">
        <v>1</v>
      </c>
      <c r="J408" t="s">
        <v>76</v>
      </c>
      <c r="K408" t="s">
        <v>3</v>
      </c>
      <c r="L408" s="165">
        <v>34806</v>
      </c>
      <c r="M408" s="166">
        <v>22</v>
      </c>
      <c r="N408" t="s">
        <v>4</v>
      </c>
      <c r="O408" t="s">
        <v>10134</v>
      </c>
      <c r="P408" t="s">
        <v>77</v>
      </c>
      <c r="Q408" t="s">
        <v>1186</v>
      </c>
      <c r="R408" t="s">
        <v>10053</v>
      </c>
      <c r="S408" s="162">
        <v>842.2</v>
      </c>
      <c r="T408" t="s">
        <v>9880</v>
      </c>
      <c r="U408" s="162">
        <v>291.7</v>
      </c>
      <c r="V408" t="s">
        <v>10076</v>
      </c>
      <c r="W408" s="162">
        <v>1961.4</v>
      </c>
      <c r="X408">
        <v>0</v>
      </c>
      <c r="Y408" s="162">
        <v>0</v>
      </c>
      <c r="Z408">
        <v>0</v>
      </c>
      <c r="AA408" s="162">
        <v>0</v>
      </c>
      <c r="AB408">
        <v>0</v>
      </c>
      <c r="AC408" s="162" t="s">
        <v>7</v>
      </c>
      <c r="AD408" s="162" t="s">
        <v>7</v>
      </c>
      <c r="AE408" s="162" t="s">
        <v>7</v>
      </c>
      <c r="AF408" s="162" t="s">
        <v>7</v>
      </c>
      <c r="AG408" s="162" t="s">
        <v>7</v>
      </c>
      <c r="AH408" s="162" t="s">
        <v>7</v>
      </c>
      <c r="AI408" t="s">
        <v>9846</v>
      </c>
      <c r="AJ408" t="s">
        <v>7</v>
      </c>
      <c r="AK408" t="s">
        <v>80</v>
      </c>
      <c r="AL408" t="s">
        <v>6</v>
      </c>
      <c r="AM408" s="162" t="s">
        <v>10137</v>
      </c>
      <c r="AN408" t="s">
        <v>35</v>
      </c>
      <c r="AO408" t="s">
        <v>35</v>
      </c>
      <c r="AP408" t="s">
        <v>35</v>
      </c>
      <c r="AQ408" t="s">
        <v>35</v>
      </c>
      <c r="AR408" t="s">
        <v>35</v>
      </c>
      <c r="AS408" s="162" t="s">
        <v>35</v>
      </c>
      <c r="AT408" s="117" t="s">
        <v>35</v>
      </c>
      <c r="AU408" s="162" t="s">
        <v>7</v>
      </c>
      <c r="AV408" s="162" t="s">
        <v>7</v>
      </c>
      <c r="AW408" s="162" t="s">
        <v>7</v>
      </c>
      <c r="AX408" s="162" t="s">
        <v>9851</v>
      </c>
      <c r="AY408" s="162" t="s">
        <v>35</v>
      </c>
      <c r="AZ408" t="s">
        <v>35</v>
      </c>
      <c r="BA408" s="162" t="s">
        <v>7</v>
      </c>
      <c r="BB408" s="162" t="s">
        <v>7</v>
      </c>
      <c r="BC408" s="162" t="s">
        <v>7</v>
      </c>
      <c r="BD408" s="162" t="s">
        <v>7</v>
      </c>
      <c r="BE408" s="162" t="s">
        <v>7</v>
      </c>
      <c r="BF408" s="162" t="str">
        <f t="shared" si="12"/>
        <v>Não</v>
      </c>
      <c r="BG408" s="162" t="str">
        <f t="shared" si="13"/>
        <v>Sim</v>
      </c>
      <c r="BH408" s="162" t="s">
        <v>35</v>
      </c>
      <c r="BI408" t="s">
        <v>35</v>
      </c>
      <c r="BJ408" s="162" t="s">
        <v>10165</v>
      </c>
      <c r="BK408" t="s">
        <v>35</v>
      </c>
      <c r="BL408" s="162">
        <v>0</v>
      </c>
      <c r="BM408" t="s">
        <v>35</v>
      </c>
      <c r="BN408" t="s">
        <v>35</v>
      </c>
      <c r="BO408" t="s">
        <v>35</v>
      </c>
      <c r="BP408" s="162">
        <v>0</v>
      </c>
      <c r="BQ408" t="s">
        <v>35</v>
      </c>
      <c r="BR408" t="s">
        <v>35</v>
      </c>
      <c r="BS408" s="162" t="s">
        <v>35</v>
      </c>
    </row>
    <row r="409" spans="1:71">
      <c r="A409" s="162">
        <v>408</v>
      </c>
      <c r="B409" t="s">
        <v>176</v>
      </c>
      <c r="C409" s="162">
        <v>0</v>
      </c>
      <c r="D409" s="122">
        <v>43017</v>
      </c>
      <c r="E409" t="s">
        <v>898</v>
      </c>
      <c r="F409" t="s">
        <v>3</v>
      </c>
      <c r="G409" t="s">
        <v>185</v>
      </c>
      <c r="H409" t="s">
        <v>1904</v>
      </c>
      <c r="I409" s="162">
        <v>1</v>
      </c>
      <c r="J409" t="s">
        <v>1901</v>
      </c>
      <c r="K409" t="s">
        <v>3</v>
      </c>
      <c r="L409" s="165" t="s">
        <v>9831</v>
      </c>
      <c r="M409" s="166">
        <v>41</v>
      </c>
      <c r="N409" t="s">
        <v>4</v>
      </c>
      <c r="O409" t="s">
        <v>10134</v>
      </c>
      <c r="P409" t="s">
        <v>48</v>
      </c>
      <c r="Q409" t="s">
        <v>1186</v>
      </c>
      <c r="R409" t="s">
        <v>2008</v>
      </c>
      <c r="S409" s="162">
        <v>25.2</v>
      </c>
      <c r="T409">
        <v>0</v>
      </c>
      <c r="U409" s="162">
        <v>0</v>
      </c>
      <c r="V409" t="s">
        <v>10077</v>
      </c>
      <c r="W409" s="162">
        <v>7</v>
      </c>
      <c r="X409">
        <v>0</v>
      </c>
      <c r="Y409" s="162">
        <v>0</v>
      </c>
      <c r="Z409">
        <v>0</v>
      </c>
      <c r="AA409" s="162">
        <v>0</v>
      </c>
      <c r="AB409">
        <v>0</v>
      </c>
      <c r="AC409" s="162" t="s">
        <v>7</v>
      </c>
      <c r="AD409" s="162" t="s">
        <v>7</v>
      </c>
      <c r="AE409" s="162" t="s">
        <v>7</v>
      </c>
      <c r="AF409" s="162" t="s">
        <v>7</v>
      </c>
      <c r="AG409" s="162" t="s">
        <v>7</v>
      </c>
      <c r="AH409" s="162" t="s">
        <v>7</v>
      </c>
      <c r="AI409" t="s">
        <v>9846</v>
      </c>
      <c r="AJ409" t="s">
        <v>7</v>
      </c>
      <c r="AK409" t="s">
        <v>1122</v>
      </c>
      <c r="AL409" t="s">
        <v>51</v>
      </c>
      <c r="AM409" s="162" t="s">
        <v>10137</v>
      </c>
      <c r="AN409" t="s">
        <v>52</v>
      </c>
      <c r="AO409" t="s">
        <v>35</v>
      </c>
      <c r="AP409" t="s">
        <v>35</v>
      </c>
      <c r="AQ409" t="s">
        <v>35</v>
      </c>
      <c r="AR409" t="s">
        <v>35</v>
      </c>
      <c r="AS409" s="162" t="s">
        <v>35</v>
      </c>
      <c r="AT409" s="117" t="s">
        <v>35</v>
      </c>
      <c r="AU409" s="162" t="s">
        <v>7</v>
      </c>
      <c r="AV409" s="162" t="s">
        <v>7</v>
      </c>
      <c r="AW409" s="162" t="s">
        <v>7</v>
      </c>
      <c r="AX409" s="162" t="s">
        <v>9851</v>
      </c>
      <c r="AY409" s="162" t="s">
        <v>35</v>
      </c>
      <c r="AZ409" t="s">
        <v>35</v>
      </c>
      <c r="BA409" s="162" t="s">
        <v>7</v>
      </c>
      <c r="BB409" s="162" t="s">
        <v>7</v>
      </c>
      <c r="BC409" s="162" t="s">
        <v>7</v>
      </c>
      <c r="BD409" s="162" t="s">
        <v>7</v>
      </c>
      <c r="BE409" s="162" t="s">
        <v>7</v>
      </c>
      <c r="BF409" s="162" t="str">
        <f t="shared" si="12"/>
        <v>Não</v>
      </c>
      <c r="BG409" s="162" t="str">
        <f t="shared" si="13"/>
        <v>Sim</v>
      </c>
      <c r="BH409" s="162" t="s">
        <v>35</v>
      </c>
      <c r="BI409" t="s">
        <v>35</v>
      </c>
      <c r="BJ409" s="162" t="s">
        <v>10165</v>
      </c>
      <c r="BK409" t="s">
        <v>35</v>
      </c>
      <c r="BL409" s="162">
        <v>0</v>
      </c>
      <c r="BM409" t="s">
        <v>7</v>
      </c>
      <c r="BN409" t="s">
        <v>35</v>
      </c>
      <c r="BO409" t="s">
        <v>35</v>
      </c>
      <c r="BP409" s="162">
        <v>0</v>
      </c>
      <c r="BQ409" t="s">
        <v>35</v>
      </c>
      <c r="BR409" t="s">
        <v>35</v>
      </c>
      <c r="BS409" s="162" t="s">
        <v>35</v>
      </c>
    </row>
    <row r="410" spans="1:71">
      <c r="A410" s="162">
        <v>409</v>
      </c>
      <c r="B410" t="s">
        <v>227</v>
      </c>
      <c r="C410" s="162">
        <v>1</v>
      </c>
      <c r="D410" s="122" t="s">
        <v>615</v>
      </c>
      <c r="E410" t="s">
        <v>679</v>
      </c>
      <c r="F410" t="s">
        <v>3</v>
      </c>
      <c r="G410" t="s">
        <v>241</v>
      </c>
      <c r="H410" t="s">
        <v>680</v>
      </c>
      <c r="I410" s="162">
        <v>1</v>
      </c>
      <c r="J410" t="s">
        <v>1855</v>
      </c>
      <c r="K410" t="s">
        <v>3</v>
      </c>
      <c r="L410" s="165">
        <v>34390</v>
      </c>
      <c r="M410" s="166">
        <v>23</v>
      </c>
      <c r="N410" t="s">
        <v>4</v>
      </c>
      <c r="O410" t="s">
        <v>10134</v>
      </c>
      <c r="P410" t="s">
        <v>41</v>
      </c>
      <c r="Q410" t="s">
        <v>1667</v>
      </c>
      <c r="R410" t="s">
        <v>1670</v>
      </c>
      <c r="S410" s="162">
        <v>22.5</v>
      </c>
      <c r="T410" t="s">
        <v>1668</v>
      </c>
      <c r="U410" s="162">
        <v>20.3</v>
      </c>
      <c r="V410" t="s">
        <v>1669</v>
      </c>
      <c r="W410" s="162">
        <v>2.2000000000000002</v>
      </c>
      <c r="X410">
        <v>0</v>
      </c>
      <c r="Y410" s="162">
        <v>0</v>
      </c>
      <c r="Z410">
        <v>0</v>
      </c>
      <c r="AA410" s="162">
        <v>0</v>
      </c>
      <c r="AB410">
        <v>0</v>
      </c>
      <c r="AC410" s="162" t="s">
        <v>7</v>
      </c>
      <c r="AD410" s="162" t="s">
        <v>7</v>
      </c>
      <c r="AE410" s="162" t="s">
        <v>7</v>
      </c>
      <c r="AF410" s="162" t="s">
        <v>7</v>
      </c>
      <c r="AG410" s="162" t="s">
        <v>7</v>
      </c>
      <c r="AH410" s="162" t="s">
        <v>7</v>
      </c>
      <c r="AI410" t="s">
        <v>9843</v>
      </c>
      <c r="AJ410" t="s">
        <v>7</v>
      </c>
      <c r="AK410" t="s">
        <v>1173</v>
      </c>
      <c r="AL410" t="s">
        <v>6</v>
      </c>
      <c r="AM410" s="162" t="s">
        <v>10137</v>
      </c>
      <c r="AN410" t="s">
        <v>35</v>
      </c>
      <c r="AO410" t="s">
        <v>35</v>
      </c>
      <c r="AP410" t="s">
        <v>35</v>
      </c>
      <c r="AQ410" t="s">
        <v>35</v>
      </c>
      <c r="AR410" t="s">
        <v>35</v>
      </c>
      <c r="AS410" s="162" t="s">
        <v>35</v>
      </c>
      <c r="AT410" s="117" t="s">
        <v>35</v>
      </c>
      <c r="AU410" s="162" t="s">
        <v>7</v>
      </c>
      <c r="AV410" s="162" t="s">
        <v>7</v>
      </c>
      <c r="AW410" s="162" t="s">
        <v>7</v>
      </c>
      <c r="AX410" s="162" t="s">
        <v>9851</v>
      </c>
      <c r="AY410" s="162" t="s">
        <v>35</v>
      </c>
      <c r="AZ410" t="s">
        <v>35</v>
      </c>
      <c r="BA410" s="162" t="s">
        <v>7</v>
      </c>
      <c r="BB410" s="162" t="s">
        <v>7</v>
      </c>
      <c r="BC410" s="162" t="s">
        <v>7</v>
      </c>
      <c r="BD410" s="162" t="s">
        <v>7</v>
      </c>
      <c r="BE410" s="162" t="s">
        <v>7</v>
      </c>
      <c r="BF410" s="162" t="str">
        <f t="shared" si="12"/>
        <v>Não</v>
      </c>
      <c r="BG410" s="162" t="str">
        <f t="shared" si="13"/>
        <v>Sim</v>
      </c>
      <c r="BH410" s="162" t="s">
        <v>35</v>
      </c>
      <c r="BI410" t="s">
        <v>35</v>
      </c>
      <c r="BJ410" s="162" t="s">
        <v>10165</v>
      </c>
      <c r="BK410" t="s">
        <v>35</v>
      </c>
      <c r="BL410" s="162">
        <v>0</v>
      </c>
      <c r="BM410" t="s">
        <v>35</v>
      </c>
      <c r="BN410" t="s">
        <v>35</v>
      </c>
      <c r="BO410" t="s">
        <v>35</v>
      </c>
      <c r="BP410" s="162">
        <v>0</v>
      </c>
      <c r="BQ410" t="s">
        <v>35</v>
      </c>
      <c r="BR410" t="s">
        <v>35</v>
      </c>
      <c r="BS410" s="162" t="s">
        <v>35</v>
      </c>
    </row>
    <row r="411" spans="1:71">
      <c r="A411" s="162">
        <v>410</v>
      </c>
      <c r="B411" t="s">
        <v>440</v>
      </c>
      <c r="C411" s="162">
        <v>1</v>
      </c>
      <c r="D411" s="122" t="s">
        <v>1028</v>
      </c>
      <c r="E411" t="s">
        <v>1018</v>
      </c>
      <c r="F411" t="s">
        <v>3</v>
      </c>
      <c r="G411" t="s">
        <v>443</v>
      </c>
      <c r="H411" t="s">
        <v>1029</v>
      </c>
      <c r="I411" s="162">
        <v>1</v>
      </c>
      <c r="J411" t="s">
        <v>1855</v>
      </c>
      <c r="K411" t="s">
        <v>3</v>
      </c>
      <c r="L411" s="165">
        <v>24948</v>
      </c>
      <c r="M411" s="166">
        <v>49</v>
      </c>
      <c r="N411" t="s">
        <v>4</v>
      </c>
      <c r="O411" t="s">
        <v>10134</v>
      </c>
      <c r="P411" t="s">
        <v>48</v>
      </c>
      <c r="Q411" t="s">
        <v>1423</v>
      </c>
      <c r="R411" t="s">
        <v>1424</v>
      </c>
      <c r="S411" s="162">
        <v>51.900000000000006</v>
      </c>
      <c r="T411" t="s">
        <v>1425</v>
      </c>
      <c r="U411" s="162">
        <v>7.9</v>
      </c>
      <c r="V411" t="s">
        <v>1971</v>
      </c>
      <c r="W411" s="162">
        <v>3.7</v>
      </c>
      <c r="X411">
        <v>0</v>
      </c>
      <c r="Y411" s="162">
        <v>0</v>
      </c>
      <c r="Z411">
        <v>0</v>
      </c>
      <c r="AA411" s="162">
        <v>0</v>
      </c>
      <c r="AB411">
        <v>0</v>
      </c>
      <c r="AC411" s="162" t="s">
        <v>7</v>
      </c>
      <c r="AD411" s="162" t="s">
        <v>7</v>
      </c>
      <c r="AE411" s="162" t="s">
        <v>7</v>
      </c>
      <c r="AF411" s="162" t="s">
        <v>7</v>
      </c>
      <c r="AG411" s="162" t="s">
        <v>7</v>
      </c>
      <c r="AH411" s="162" t="s">
        <v>7</v>
      </c>
      <c r="AI411" t="s">
        <v>9843</v>
      </c>
      <c r="AJ411" t="s">
        <v>7</v>
      </c>
      <c r="AK411" t="s">
        <v>1426</v>
      </c>
      <c r="AL411" t="s">
        <v>6</v>
      </c>
      <c r="AM411" s="162" t="s">
        <v>10137</v>
      </c>
      <c r="AN411" t="s">
        <v>35</v>
      </c>
      <c r="AO411" t="s">
        <v>35</v>
      </c>
      <c r="AP411" t="s">
        <v>35</v>
      </c>
      <c r="AQ411" t="s">
        <v>35</v>
      </c>
      <c r="AR411" t="s">
        <v>35</v>
      </c>
      <c r="AS411" s="162" t="s">
        <v>35</v>
      </c>
      <c r="AT411" s="117" t="s">
        <v>35</v>
      </c>
      <c r="AU411" s="162" t="s">
        <v>7</v>
      </c>
      <c r="AV411" s="162" t="s">
        <v>7</v>
      </c>
      <c r="AW411" s="162" t="s">
        <v>7</v>
      </c>
      <c r="AX411" s="162" t="s">
        <v>9851</v>
      </c>
      <c r="AY411" s="162" t="s">
        <v>35</v>
      </c>
      <c r="AZ411" t="s">
        <v>35</v>
      </c>
      <c r="BA411" s="162" t="s">
        <v>7</v>
      </c>
      <c r="BB411" s="162" t="s">
        <v>7</v>
      </c>
      <c r="BC411" s="162" t="s">
        <v>7</v>
      </c>
      <c r="BD411" s="162" t="s">
        <v>7</v>
      </c>
      <c r="BE411" s="162" t="s">
        <v>7</v>
      </c>
      <c r="BF411" s="162" t="str">
        <f t="shared" si="12"/>
        <v>Não</v>
      </c>
      <c r="BG411" s="162" t="str">
        <f t="shared" si="13"/>
        <v>Sim</v>
      </c>
      <c r="BH411" s="162" t="s">
        <v>35</v>
      </c>
      <c r="BI411" t="s">
        <v>35</v>
      </c>
      <c r="BJ411" s="162" t="s">
        <v>10165</v>
      </c>
      <c r="BK411" t="s">
        <v>35</v>
      </c>
      <c r="BL411" s="162">
        <v>0</v>
      </c>
      <c r="BM411" t="s">
        <v>35</v>
      </c>
      <c r="BN411" t="s">
        <v>35</v>
      </c>
      <c r="BO411" t="s">
        <v>35</v>
      </c>
      <c r="BP411" s="162">
        <v>0</v>
      </c>
      <c r="BQ411" t="s">
        <v>35</v>
      </c>
      <c r="BR411" t="s">
        <v>35</v>
      </c>
      <c r="BS411" s="162" t="s">
        <v>35</v>
      </c>
    </row>
    <row r="412" spans="1:71">
      <c r="A412" s="162">
        <v>411</v>
      </c>
      <c r="B412" t="s">
        <v>177</v>
      </c>
      <c r="C412" s="162">
        <v>1</v>
      </c>
      <c r="D412" s="122">
        <v>43040</v>
      </c>
      <c r="E412" t="s">
        <v>610</v>
      </c>
      <c r="F412" t="s">
        <v>515</v>
      </c>
      <c r="G412" t="s">
        <v>185</v>
      </c>
      <c r="H412" t="s">
        <v>616</v>
      </c>
      <c r="I412" s="162">
        <v>1</v>
      </c>
      <c r="J412" t="s">
        <v>1855</v>
      </c>
      <c r="K412" t="s">
        <v>3</v>
      </c>
      <c r="L412" s="165">
        <v>35018</v>
      </c>
      <c r="M412" s="166">
        <v>21</v>
      </c>
      <c r="N412" t="s">
        <v>5</v>
      </c>
      <c r="O412" t="s">
        <v>10135</v>
      </c>
      <c r="P412" t="s">
        <v>18</v>
      </c>
      <c r="Q412" t="s">
        <v>2000</v>
      </c>
      <c r="R412" t="s">
        <v>10064</v>
      </c>
      <c r="S412" s="162">
        <v>57.1</v>
      </c>
      <c r="T412" t="s">
        <v>10065</v>
      </c>
      <c r="U412" s="162">
        <v>13.7</v>
      </c>
      <c r="V412" t="s">
        <v>10066</v>
      </c>
      <c r="W412" s="162">
        <v>3.3</v>
      </c>
      <c r="X412">
        <v>0</v>
      </c>
      <c r="Y412" s="162">
        <v>0</v>
      </c>
      <c r="Z412">
        <v>0</v>
      </c>
      <c r="AA412" s="162">
        <v>0</v>
      </c>
      <c r="AB412">
        <v>0</v>
      </c>
      <c r="AC412" s="162" t="s">
        <v>7</v>
      </c>
      <c r="AD412" s="162" t="s">
        <v>7</v>
      </c>
      <c r="AE412" s="162" t="s">
        <v>7</v>
      </c>
      <c r="AF412" s="162" t="s">
        <v>7</v>
      </c>
      <c r="AG412" s="162" t="s">
        <v>7</v>
      </c>
      <c r="AH412" s="162" t="s">
        <v>7</v>
      </c>
      <c r="AI412" t="s">
        <v>9843</v>
      </c>
      <c r="AJ412" t="s">
        <v>7</v>
      </c>
      <c r="AK412" t="s">
        <v>1392</v>
      </c>
      <c r="AL412" t="s">
        <v>6</v>
      </c>
      <c r="AM412" s="162" t="s">
        <v>10137</v>
      </c>
      <c r="AN412" t="s">
        <v>35</v>
      </c>
      <c r="AO412" t="s">
        <v>35</v>
      </c>
      <c r="AP412" t="s">
        <v>35</v>
      </c>
      <c r="AQ412" t="s">
        <v>35</v>
      </c>
      <c r="AR412" t="s">
        <v>35</v>
      </c>
      <c r="AS412" s="162" t="s">
        <v>35</v>
      </c>
      <c r="AT412" s="117" t="s">
        <v>35</v>
      </c>
      <c r="AU412" s="162" t="s">
        <v>7</v>
      </c>
      <c r="AV412" s="162" t="s">
        <v>7</v>
      </c>
      <c r="AW412" s="162" t="s">
        <v>7</v>
      </c>
      <c r="AX412" s="162" t="s">
        <v>9851</v>
      </c>
      <c r="AY412" s="162" t="s">
        <v>35</v>
      </c>
      <c r="AZ412" t="s">
        <v>35</v>
      </c>
      <c r="BA412" s="162" t="s">
        <v>7</v>
      </c>
      <c r="BB412" s="162" t="s">
        <v>7</v>
      </c>
      <c r="BC412" s="162" t="s">
        <v>7</v>
      </c>
      <c r="BD412" s="162" t="s">
        <v>7</v>
      </c>
      <c r="BE412" s="162" t="s">
        <v>7</v>
      </c>
      <c r="BF412" s="162" t="str">
        <f t="shared" si="12"/>
        <v>Não</v>
      </c>
      <c r="BG412" s="162" t="str">
        <f t="shared" si="13"/>
        <v>Sim</v>
      </c>
      <c r="BH412" s="162" t="s">
        <v>35</v>
      </c>
      <c r="BI412" t="s">
        <v>35</v>
      </c>
      <c r="BJ412" s="162" t="s">
        <v>10165</v>
      </c>
      <c r="BK412" t="s">
        <v>35</v>
      </c>
      <c r="BL412" s="162">
        <v>0</v>
      </c>
      <c r="BM412" t="s">
        <v>35</v>
      </c>
      <c r="BN412" t="s">
        <v>35</v>
      </c>
      <c r="BO412" t="s">
        <v>35</v>
      </c>
      <c r="BP412" s="162">
        <v>0</v>
      </c>
      <c r="BQ412" t="s">
        <v>35</v>
      </c>
      <c r="BR412" t="s">
        <v>35</v>
      </c>
      <c r="BS412" s="162" t="s">
        <v>35</v>
      </c>
    </row>
    <row r="413" spans="1:71">
      <c r="A413" s="162">
        <v>412</v>
      </c>
      <c r="B413" t="s">
        <v>117</v>
      </c>
      <c r="C413" s="162">
        <v>1</v>
      </c>
      <c r="D413" s="122">
        <v>42934</v>
      </c>
      <c r="E413" t="s">
        <v>476</v>
      </c>
      <c r="F413" t="s">
        <v>3</v>
      </c>
      <c r="G413" t="s">
        <v>120</v>
      </c>
      <c r="H413" t="s">
        <v>485</v>
      </c>
      <c r="I413" s="162">
        <v>1</v>
      </c>
      <c r="J413" t="s">
        <v>1855</v>
      </c>
      <c r="K413" t="s">
        <v>3</v>
      </c>
      <c r="L413" s="165">
        <v>34292</v>
      </c>
      <c r="M413" s="166">
        <v>23</v>
      </c>
      <c r="N413" t="s">
        <v>4</v>
      </c>
      <c r="O413" t="s">
        <v>10134</v>
      </c>
      <c r="P413" t="s">
        <v>77</v>
      </c>
      <c r="Q413" t="s">
        <v>1094</v>
      </c>
      <c r="R413" t="s">
        <v>9881</v>
      </c>
      <c r="S413" s="162">
        <v>17.600000000000001</v>
      </c>
      <c r="T413" t="s">
        <v>9882</v>
      </c>
      <c r="U413" s="162">
        <v>15.2</v>
      </c>
      <c r="V413" t="s">
        <v>9883</v>
      </c>
      <c r="W413" s="162">
        <v>3.7</v>
      </c>
      <c r="X413">
        <v>0</v>
      </c>
      <c r="Y413" s="162">
        <v>0</v>
      </c>
      <c r="Z413">
        <v>0</v>
      </c>
      <c r="AA413" s="162">
        <v>0</v>
      </c>
      <c r="AB413">
        <v>0</v>
      </c>
      <c r="AC413" s="162" t="s">
        <v>7</v>
      </c>
      <c r="AD413" s="162" t="s">
        <v>7</v>
      </c>
      <c r="AE413" s="162" t="s">
        <v>7</v>
      </c>
      <c r="AF413" s="162" t="s">
        <v>7</v>
      </c>
      <c r="AG413" s="162" t="s">
        <v>7</v>
      </c>
      <c r="AH413" s="162" t="s">
        <v>7</v>
      </c>
      <c r="AI413" t="s">
        <v>9843</v>
      </c>
      <c r="AJ413" t="s">
        <v>7</v>
      </c>
      <c r="AK413" t="s">
        <v>80</v>
      </c>
      <c r="AL413" t="s">
        <v>6</v>
      </c>
      <c r="AM413" s="162" t="s">
        <v>10137</v>
      </c>
      <c r="AN413" t="s">
        <v>35</v>
      </c>
      <c r="AO413" t="s">
        <v>35</v>
      </c>
      <c r="AP413" t="s">
        <v>35</v>
      </c>
      <c r="AQ413" t="s">
        <v>35</v>
      </c>
      <c r="AR413" t="s">
        <v>35</v>
      </c>
      <c r="AS413" s="162" t="s">
        <v>35</v>
      </c>
      <c r="AT413" s="117" t="s">
        <v>35</v>
      </c>
      <c r="AU413" s="162" t="s">
        <v>7</v>
      </c>
      <c r="AV413" s="162" t="s">
        <v>7</v>
      </c>
      <c r="AW413" s="162" t="s">
        <v>7</v>
      </c>
      <c r="AX413" s="162" t="s">
        <v>9851</v>
      </c>
      <c r="AY413" s="162" t="s">
        <v>35</v>
      </c>
      <c r="AZ413" t="s">
        <v>35</v>
      </c>
      <c r="BA413" s="162" t="s">
        <v>7</v>
      </c>
      <c r="BB413" s="162" t="s">
        <v>7</v>
      </c>
      <c r="BC413" s="162" t="s">
        <v>7</v>
      </c>
      <c r="BD413" s="162" t="s">
        <v>7</v>
      </c>
      <c r="BE413" s="162" t="s">
        <v>7</v>
      </c>
      <c r="BF413" s="162" t="str">
        <f t="shared" si="12"/>
        <v>Não</v>
      </c>
      <c r="BG413" s="162" t="str">
        <f t="shared" si="13"/>
        <v>Sim</v>
      </c>
      <c r="BH413" s="162" t="s">
        <v>35</v>
      </c>
      <c r="BI413" t="s">
        <v>35</v>
      </c>
      <c r="BJ413" s="162" t="s">
        <v>10165</v>
      </c>
      <c r="BK413" t="s">
        <v>35</v>
      </c>
      <c r="BL413" s="162">
        <v>0</v>
      </c>
      <c r="BM413" t="s">
        <v>35</v>
      </c>
      <c r="BN413" t="s">
        <v>35</v>
      </c>
      <c r="BO413" t="s">
        <v>35</v>
      </c>
      <c r="BP413" s="162">
        <v>0</v>
      </c>
      <c r="BQ413" t="s">
        <v>35</v>
      </c>
      <c r="BR413" t="s">
        <v>35</v>
      </c>
      <c r="BS413" s="162" t="s">
        <v>35</v>
      </c>
    </row>
    <row r="414" spans="1:71">
      <c r="A414" s="162">
        <v>413</v>
      </c>
      <c r="B414" t="s">
        <v>135</v>
      </c>
      <c r="C414" s="162">
        <v>1</v>
      </c>
      <c r="D414" s="122" t="s">
        <v>523</v>
      </c>
      <c r="E414" t="s">
        <v>516</v>
      </c>
      <c r="F414" t="s">
        <v>3</v>
      </c>
      <c r="G414" t="s">
        <v>140</v>
      </c>
      <c r="H414" t="s">
        <v>524</v>
      </c>
      <c r="I414" s="162">
        <v>1</v>
      </c>
      <c r="J414" t="s">
        <v>1115</v>
      </c>
      <c r="K414" t="s">
        <v>3</v>
      </c>
      <c r="L414" s="165">
        <v>32699</v>
      </c>
      <c r="M414" s="166">
        <v>28</v>
      </c>
      <c r="N414" t="s">
        <v>4</v>
      </c>
      <c r="O414" t="s">
        <v>10134</v>
      </c>
      <c r="P414" t="s">
        <v>48</v>
      </c>
      <c r="Q414" t="s">
        <v>1116</v>
      </c>
      <c r="R414" t="s">
        <v>1119</v>
      </c>
      <c r="S414" s="162">
        <v>1.8</v>
      </c>
      <c r="T414" t="s">
        <v>1118</v>
      </c>
      <c r="U414" s="162">
        <v>10</v>
      </c>
      <c r="V414" t="s">
        <v>1117</v>
      </c>
      <c r="W414" s="162">
        <v>4</v>
      </c>
      <c r="X414">
        <v>0</v>
      </c>
      <c r="Y414" s="162">
        <v>0</v>
      </c>
      <c r="Z414">
        <v>0</v>
      </c>
      <c r="AA414" s="162">
        <v>0</v>
      </c>
      <c r="AB414">
        <v>0</v>
      </c>
      <c r="AC414" s="162" t="s">
        <v>7</v>
      </c>
      <c r="AD414" s="162" t="s">
        <v>7</v>
      </c>
      <c r="AE414" s="162" t="s">
        <v>7</v>
      </c>
      <c r="AF414" s="162" t="s">
        <v>7</v>
      </c>
      <c r="AG414" s="162" t="s">
        <v>7</v>
      </c>
      <c r="AH414" s="162" t="s">
        <v>7</v>
      </c>
      <c r="AI414" t="s">
        <v>9843</v>
      </c>
      <c r="AJ414" t="s">
        <v>7</v>
      </c>
      <c r="AK414" t="s">
        <v>9800</v>
      </c>
      <c r="AL414" t="s">
        <v>6</v>
      </c>
      <c r="AM414" s="162" t="s">
        <v>10137</v>
      </c>
      <c r="AN414" t="s">
        <v>35</v>
      </c>
      <c r="AO414" t="s">
        <v>35</v>
      </c>
      <c r="AP414" t="s">
        <v>35</v>
      </c>
      <c r="AQ414" t="s">
        <v>35</v>
      </c>
      <c r="AR414" t="s">
        <v>35</v>
      </c>
      <c r="AS414" s="162" t="s">
        <v>35</v>
      </c>
      <c r="AT414" s="117" t="s">
        <v>35</v>
      </c>
      <c r="AU414" s="162" t="s">
        <v>7</v>
      </c>
      <c r="AV414" s="162" t="s">
        <v>7</v>
      </c>
      <c r="AW414" s="162" t="s">
        <v>7</v>
      </c>
      <c r="AX414" s="162" t="s">
        <v>9851</v>
      </c>
      <c r="AY414" s="162" t="s">
        <v>35</v>
      </c>
      <c r="AZ414" t="s">
        <v>35</v>
      </c>
      <c r="BA414" s="162" t="s">
        <v>7</v>
      </c>
      <c r="BB414" s="162" t="s">
        <v>7</v>
      </c>
      <c r="BC414" s="162" t="s">
        <v>7</v>
      </c>
      <c r="BD414" s="162" t="s">
        <v>7</v>
      </c>
      <c r="BE414" s="162" t="s">
        <v>7</v>
      </c>
      <c r="BF414" s="162" t="str">
        <f t="shared" si="12"/>
        <v>Não</v>
      </c>
      <c r="BG414" s="162" t="str">
        <f t="shared" si="13"/>
        <v>Sim</v>
      </c>
      <c r="BH414" s="162" t="s">
        <v>35</v>
      </c>
      <c r="BI414" t="s">
        <v>35</v>
      </c>
      <c r="BJ414" s="162" t="s">
        <v>10165</v>
      </c>
      <c r="BK414" t="s">
        <v>35</v>
      </c>
      <c r="BL414" s="162">
        <v>0</v>
      </c>
      <c r="BM414" t="s">
        <v>35</v>
      </c>
      <c r="BN414" t="s">
        <v>35</v>
      </c>
      <c r="BO414" t="s">
        <v>35</v>
      </c>
      <c r="BP414" s="162">
        <v>0</v>
      </c>
      <c r="BQ414" t="s">
        <v>35</v>
      </c>
      <c r="BR414" t="s">
        <v>35</v>
      </c>
      <c r="BS414" s="162" t="s">
        <v>35</v>
      </c>
    </row>
    <row r="415" spans="1:71">
      <c r="A415" s="162">
        <v>414</v>
      </c>
      <c r="B415" t="s">
        <v>279</v>
      </c>
      <c r="C415" s="162">
        <v>1</v>
      </c>
      <c r="D415" s="122">
        <v>42921</v>
      </c>
      <c r="E415" t="s">
        <v>788</v>
      </c>
      <c r="F415" t="s">
        <v>515</v>
      </c>
      <c r="G415" t="s">
        <v>291</v>
      </c>
      <c r="H415" t="s">
        <v>2058</v>
      </c>
      <c r="I415" s="162">
        <v>1</v>
      </c>
      <c r="J415" t="s">
        <v>1855</v>
      </c>
      <c r="K415" t="s">
        <v>515</v>
      </c>
      <c r="L415" s="165">
        <v>21778</v>
      </c>
      <c r="M415" s="166">
        <v>57</v>
      </c>
      <c r="N415" t="s">
        <v>5</v>
      </c>
      <c r="O415" t="s">
        <v>10135</v>
      </c>
      <c r="P415" t="s">
        <v>1101</v>
      </c>
      <c r="Q415" t="s">
        <v>1120</v>
      </c>
      <c r="R415">
        <v>0</v>
      </c>
      <c r="S415" s="162">
        <v>0</v>
      </c>
      <c r="T415">
        <v>0</v>
      </c>
      <c r="U415" s="162">
        <v>0</v>
      </c>
      <c r="V415" t="s">
        <v>2089</v>
      </c>
      <c r="W415" s="162">
        <v>0.4</v>
      </c>
      <c r="X415">
        <v>0</v>
      </c>
      <c r="Y415" s="162">
        <v>0</v>
      </c>
      <c r="Z415">
        <v>0</v>
      </c>
      <c r="AA415" s="162">
        <v>0</v>
      </c>
      <c r="AB415">
        <v>0</v>
      </c>
      <c r="AC415" s="162" t="s">
        <v>7</v>
      </c>
      <c r="AD415" s="162" t="s">
        <v>7</v>
      </c>
      <c r="AE415" s="162" t="s">
        <v>7</v>
      </c>
      <c r="AF415" s="162" t="s">
        <v>7</v>
      </c>
      <c r="AG415" s="162" t="s">
        <v>7</v>
      </c>
      <c r="AH415" s="162" t="s">
        <v>7</v>
      </c>
      <c r="AI415" t="s">
        <v>9843</v>
      </c>
      <c r="AJ415" t="s">
        <v>7</v>
      </c>
      <c r="AK415" t="s">
        <v>1106</v>
      </c>
      <c r="AL415" t="s">
        <v>51</v>
      </c>
      <c r="AM415" s="162" t="s">
        <v>10137</v>
      </c>
      <c r="AN415" t="s">
        <v>52</v>
      </c>
      <c r="AO415" t="s">
        <v>35</v>
      </c>
      <c r="AP415" t="s">
        <v>35</v>
      </c>
      <c r="AQ415" t="s">
        <v>35</v>
      </c>
      <c r="AR415" t="s">
        <v>35</v>
      </c>
      <c r="AS415" s="162" t="s">
        <v>35</v>
      </c>
      <c r="AT415" s="117" t="s">
        <v>35</v>
      </c>
      <c r="AU415" s="162" t="s">
        <v>7</v>
      </c>
      <c r="AV415" s="162" t="s">
        <v>7</v>
      </c>
      <c r="AW415" s="162" t="s">
        <v>7</v>
      </c>
      <c r="AX415" s="162" t="s">
        <v>9851</v>
      </c>
      <c r="AY415" s="162" t="s">
        <v>35</v>
      </c>
      <c r="AZ415" t="s">
        <v>35</v>
      </c>
      <c r="BA415" s="162" t="s">
        <v>7</v>
      </c>
      <c r="BB415" s="162" t="s">
        <v>7</v>
      </c>
      <c r="BC415" s="162" t="s">
        <v>7</v>
      </c>
      <c r="BD415" s="162" t="s">
        <v>7</v>
      </c>
      <c r="BE415" s="162" t="s">
        <v>7</v>
      </c>
      <c r="BF415" s="162" t="str">
        <f t="shared" si="12"/>
        <v>Não</v>
      </c>
      <c r="BG415" s="162" t="str">
        <f t="shared" si="13"/>
        <v>Sim</v>
      </c>
      <c r="BH415" s="162" t="s">
        <v>35</v>
      </c>
      <c r="BI415" t="s">
        <v>35</v>
      </c>
      <c r="BJ415" s="162" t="s">
        <v>10165</v>
      </c>
      <c r="BK415" t="s">
        <v>35</v>
      </c>
      <c r="BL415" s="162">
        <v>0</v>
      </c>
      <c r="BM415" t="s">
        <v>7</v>
      </c>
      <c r="BN415" t="s">
        <v>35</v>
      </c>
      <c r="BO415" t="s">
        <v>35</v>
      </c>
      <c r="BP415" s="162">
        <v>0</v>
      </c>
      <c r="BQ415" t="s">
        <v>35</v>
      </c>
      <c r="BR415" t="s">
        <v>35</v>
      </c>
      <c r="BS415" s="162" t="s">
        <v>35</v>
      </c>
    </row>
    <row r="416" spans="1:71">
      <c r="A416" s="162">
        <v>415</v>
      </c>
      <c r="B416" t="s">
        <v>252</v>
      </c>
      <c r="C416" s="162">
        <v>1</v>
      </c>
      <c r="D416" s="122" t="s">
        <v>722</v>
      </c>
      <c r="E416" t="s">
        <v>723</v>
      </c>
      <c r="F416" t="s">
        <v>3</v>
      </c>
      <c r="G416" t="s">
        <v>264</v>
      </c>
      <c r="H416" t="s">
        <v>724</v>
      </c>
      <c r="I416" s="162">
        <v>1</v>
      </c>
      <c r="J416" t="s">
        <v>1855</v>
      </c>
      <c r="K416" t="s">
        <v>3</v>
      </c>
      <c r="L416" s="165">
        <v>33630</v>
      </c>
      <c r="M416" s="166">
        <v>25</v>
      </c>
      <c r="N416" t="s">
        <v>1093</v>
      </c>
      <c r="O416" t="s">
        <v>10135</v>
      </c>
      <c r="P416" t="s">
        <v>48</v>
      </c>
      <c r="Q416" t="s">
        <v>1186</v>
      </c>
      <c r="R416" t="s">
        <v>10082</v>
      </c>
      <c r="S416" s="162">
        <v>127.5</v>
      </c>
      <c r="T416" t="s">
        <v>9937</v>
      </c>
      <c r="U416" s="162">
        <v>17.7</v>
      </c>
      <c r="V416" t="s">
        <v>9938</v>
      </c>
      <c r="W416" s="162">
        <v>17.600000000000001</v>
      </c>
      <c r="X416">
        <v>0</v>
      </c>
      <c r="Y416" s="162">
        <v>0</v>
      </c>
      <c r="Z416">
        <v>0</v>
      </c>
      <c r="AA416" s="162">
        <v>0</v>
      </c>
      <c r="AB416" t="s">
        <v>10083</v>
      </c>
      <c r="AC416" s="162" t="s">
        <v>7</v>
      </c>
      <c r="AD416" s="162" t="s">
        <v>7</v>
      </c>
      <c r="AE416" s="162" t="s">
        <v>9851</v>
      </c>
      <c r="AF416" s="162" t="s">
        <v>7</v>
      </c>
      <c r="AG416" s="162" t="s">
        <v>9851</v>
      </c>
      <c r="AH416" s="162" t="s">
        <v>7</v>
      </c>
      <c r="AI416" t="s">
        <v>9843</v>
      </c>
      <c r="AJ416" t="s">
        <v>7</v>
      </c>
      <c r="AK416" t="s">
        <v>1173</v>
      </c>
      <c r="AL416" t="s">
        <v>51</v>
      </c>
      <c r="AM416" s="162" t="s">
        <v>10137</v>
      </c>
      <c r="AN416" t="s">
        <v>52</v>
      </c>
      <c r="AO416" t="s">
        <v>35</v>
      </c>
      <c r="AP416" t="s">
        <v>35</v>
      </c>
      <c r="AQ416" t="s">
        <v>35</v>
      </c>
      <c r="AR416" t="s">
        <v>35</v>
      </c>
      <c r="AS416" s="162" t="s">
        <v>35</v>
      </c>
      <c r="AT416" s="117" t="s">
        <v>35</v>
      </c>
      <c r="AU416" s="162" t="s">
        <v>7</v>
      </c>
      <c r="AV416" s="162" t="s">
        <v>7</v>
      </c>
      <c r="AW416" s="162" t="s">
        <v>7</v>
      </c>
      <c r="AX416" s="162" t="s">
        <v>9851</v>
      </c>
      <c r="AY416" s="162" t="s">
        <v>35</v>
      </c>
      <c r="AZ416" t="s">
        <v>35</v>
      </c>
      <c r="BA416" s="162" t="s">
        <v>7</v>
      </c>
      <c r="BB416" s="162" t="s">
        <v>7</v>
      </c>
      <c r="BC416" s="162" t="s">
        <v>7</v>
      </c>
      <c r="BD416" s="162" t="s">
        <v>7</v>
      </c>
      <c r="BE416" s="162" t="s">
        <v>7</v>
      </c>
      <c r="BF416" s="162" t="str">
        <f t="shared" si="12"/>
        <v>Não</v>
      </c>
      <c r="BG416" s="162" t="str">
        <f t="shared" si="13"/>
        <v>Sim</v>
      </c>
      <c r="BH416" s="162" t="s">
        <v>35</v>
      </c>
      <c r="BI416" t="s">
        <v>35</v>
      </c>
      <c r="BJ416" s="162" t="s">
        <v>10165</v>
      </c>
      <c r="BK416" t="s">
        <v>35</v>
      </c>
      <c r="BL416" s="162">
        <v>0</v>
      </c>
      <c r="BM416" t="s">
        <v>7</v>
      </c>
      <c r="BN416" t="s">
        <v>35</v>
      </c>
      <c r="BO416" t="s">
        <v>35</v>
      </c>
      <c r="BP416" s="162">
        <v>0</v>
      </c>
      <c r="BQ416" t="s">
        <v>35</v>
      </c>
      <c r="BR416" t="s">
        <v>35</v>
      </c>
      <c r="BS416" s="162" t="s">
        <v>35</v>
      </c>
    </row>
    <row r="417" spans="1:71">
      <c r="A417" s="162">
        <v>416</v>
      </c>
      <c r="B417" t="s">
        <v>324</v>
      </c>
      <c r="C417" s="162">
        <v>1</v>
      </c>
      <c r="D417" s="122">
        <v>43060</v>
      </c>
      <c r="E417" t="s">
        <v>846</v>
      </c>
      <c r="F417" t="s">
        <v>3</v>
      </c>
      <c r="G417" t="s">
        <v>335</v>
      </c>
      <c r="H417" t="s">
        <v>1887</v>
      </c>
      <c r="I417" s="162">
        <v>1</v>
      </c>
      <c r="J417" t="s">
        <v>1855</v>
      </c>
      <c r="K417" t="s">
        <v>3</v>
      </c>
      <c r="L417" s="165">
        <v>33917</v>
      </c>
      <c r="M417" s="166">
        <v>25</v>
      </c>
      <c r="N417" t="s">
        <v>5</v>
      </c>
      <c r="O417" t="s">
        <v>10135</v>
      </c>
      <c r="P417" t="s">
        <v>48</v>
      </c>
      <c r="Q417" t="s">
        <v>1186</v>
      </c>
      <c r="R417" t="s">
        <v>9981</v>
      </c>
      <c r="S417" s="162">
        <v>86.4</v>
      </c>
      <c r="T417">
        <v>0</v>
      </c>
      <c r="U417" s="162">
        <v>0</v>
      </c>
      <c r="V417" t="s">
        <v>9982</v>
      </c>
      <c r="W417" s="162">
        <v>1.2</v>
      </c>
      <c r="X417">
        <v>0</v>
      </c>
      <c r="Y417" s="162">
        <v>0</v>
      </c>
      <c r="Z417">
        <v>0</v>
      </c>
      <c r="AA417" s="162">
        <v>0</v>
      </c>
      <c r="AB417">
        <v>0</v>
      </c>
      <c r="AC417" s="162" t="s">
        <v>7</v>
      </c>
      <c r="AD417" s="162" t="s">
        <v>7</v>
      </c>
      <c r="AE417" s="162" t="s">
        <v>7</v>
      </c>
      <c r="AF417" s="162" t="s">
        <v>7</v>
      </c>
      <c r="AG417" s="162" t="s">
        <v>7</v>
      </c>
      <c r="AH417" s="162" t="s">
        <v>7</v>
      </c>
      <c r="AI417" t="s">
        <v>9843</v>
      </c>
      <c r="AJ417" t="s">
        <v>7</v>
      </c>
      <c r="AK417" t="s">
        <v>1936</v>
      </c>
      <c r="AL417" t="s">
        <v>51</v>
      </c>
      <c r="AM417" s="162" t="s">
        <v>10137</v>
      </c>
      <c r="AN417" t="s">
        <v>52</v>
      </c>
      <c r="AO417" t="s">
        <v>35</v>
      </c>
      <c r="AP417" t="s">
        <v>35</v>
      </c>
      <c r="AQ417" t="s">
        <v>35</v>
      </c>
      <c r="AR417" t="s">
        <v>35</v>
      </c>
      <c r="AS417" s="162" t="s">
        <v>35</v>
      </c>
      <c r="AT417" s="117" t="s">
        <v>35</v>
      </c>
      <c r="AU417" s="162" t="s">
        <v>7</v>
      </c>
      <c r="AV417" s="162" t="s">
        <v>7</v>
      </c>
      <c r="AW417" s="162" t="s">
        <v>7</v>
      </c>
      <c r="AX417" s="162" t="s">
        <v>9851</v>
      </c>
      <c r="AY417" s="162" t="s">
        <v>35</v>
      </c>
      <c r="AZ417" t="s">
        <v>35</v>
      </c>
      <c r="BA417" s="162" t="s">
        <v>7</v>
      </c>
      <c r="BB417" s="162" t="s">
        <v>7</v>
      </c>
      <c r="BC417" s="162" t="s">
        <v>7</v>
      </c>
      <c r="BD417" s="162" t="s">
        <v>7</v>
      </c>
      <c r="BE417" s="162" t="s">
        <v>7</v>
      </c>
      <c r="BF417" s="162" t="str">
        <f t="shared" si="12"/>
        <v>Não</v>
      </c>
      <c r="BG417" s="162" t="str">
        <f t="shared" si="13"/>
        <v>Sim</v>
      </c>
      <c r="BH417" s="162" t="s">
        <v>35</v>
      </c>
      <c r="BI417" t="s">
        <v>35</v>
      </c>
      <c r="BJ417" s="162" t="s">
        <v>10165</v>
      </c>
      <c r="BK417" t="s">
        <v>35</v>
      </c>
      <c r="BL417" s="162">
        <v>0</v>
      </c>
      <c r="BM417" t="s">
        <v>7</v>
      </c>
      <c r="BN417" t="s">
        <v>35</v>
      </c>
      <c r="BO417" t="s">
        <v>35</v>
      </c>
      <c r="BP417" s="162">
        <v>0</v>
      </c>
      <c r="BQ417" t="s">
        <v>35</v>
      </c>
      <c r="BR417" t="s">
        <v>35</v>
      </c>
      <c r="BS417" s="162" t="s">
        <v>35</v>
      </c>
    </row>
    <row r="418" spans="1:71">
      <c r="A418" s="162">
        <v>417</v>
      </c>
      <c r="B418" t="s">
        <v>1869</v>
      </c>
      <c r="C418" s="162">
        <v>1</v>
      </c>
      <c r="D418" s="122">
        <v>42964</v>
      </c>
      <c r="E418" t="s">
        <v>836</v>
      </c>
      <c r="F418" t="s">
        <v>3</v>
      </c>
      <c r="G418" t="s">
        <v>323</v>
      </c>
      <c r="H418" t="s">
        <v>1873</v>
      </c>
      <c r="I418" s="162">
        <v>1</v>
      </c>
      <c r="J418" t="s">
        <v>1855</v>
      </c>
      <c r="K418" t="s">
        <v>3</v>
      </c>
      <c r="L418" s="165">
        <v>34879</v>
      </c>
      <c r="M418" s="166">
        <v>22</v>
      </c>
      <c r="N418" t="s">
        <v>4</v>
      </c>
      <c r="O418" t="s">
        <v>10134</v>
      </c>
      <c r="P418" t="s">
        <v>48</v>
      </c>
      <c r="Q418" t="s">
        <v>1874</v>
      </c>
      <c r="R418" t="s">
        <v>1942</v>
      </c>
      <c r="S418" s="162">
        <v>14.9</v>
      </c>
      <c r="T418" t="s">
        <v>1946</v>
      </c>
      <c r="U418" s="162">
        <v>8</v>
      </c>
      <c r="V418" t="s">
        <v>1947</v>
      </c>
      <c r="W418" s="162">
        <v>1</v>
      </c>
      <c r="X418">
        <v>0</v>
      </c>
      <c r="Y418" s="162">
        <v>0</v>
      </c>
      <c r="Z418">
        <v>0</v>
      </c>
      <c r="AA418" s="162">
        <v>0</v>
      </c>
      <c r="AB418" t="s">
        <v>10084</v>
      </c>
      <c r="AC418" s="162" t="s">
        <v>7</v>
      </c>
      <c r="AD418" s="162" t="s">
        <v>7</v>
      </c>
      <c r="AE418" s="162" t="s">
        <v>7</v>
      </c>
      <c r="AF418" s="162" t="s">
        <v>7</v>
      </c>
      <c r="AG418" s="162" t="s">
        <v>9851</v>
      </c>
      <c r="AH418" s="162" t="s">
        <v>7</v>
      </c>
      <c r="AI418" t="s">
        <v>9843</v>
      </c>
      <c r="AJ418" t="s">
        <v>7</v>
      </c>
      <c r="AK418" t="s">
        <v>1875</v>
      </c>
      <c r="AL418" t="s">
        <v>6</v>
      </c>
      <c r="AM418" s="162" t="s">
        <v>10137</v>
      </c>
      <c r="AN418" t="s">
        <v>35</v>
      </c>
      <c r="AO418" t="s">
        <v>35</v>
      </c>
      <c r="AP418" t="s">
        <v>35</v>
      </c>
      <c r="AQ418" t="s">
        <v>35</v>
      </c>
      <c r="AR418" t="s">
        <v>35</v>
      </c>
      <c r="AS418" s="162" t="s">
        <v>35</v>
      </c>
      <c r="AT418" s="117" t="s">
        <v>35</v>
      </c>
      <c r="AU418" s="162" t="s">
        <v>7</v>
      </c>
      <c r="AV418" s="162" t="s">
        <v>7</v>
      </c>
      <c r="AW418" s="162" t="s">
        <v>7</v>
      </c>
      <c r="AX418" s="162" t="s">
        <v>9851</v>
      </c>
      <c r="AY418" s="162" t="s">
        <v>35</v>
      </c>
      <c r="AZ418" t="s">
        <v>35</v>
      </c>
      <c r="BA418" s="162" t="s">
        <v>7</v>
      </c>
      <c r="BB418" s="162" t="s">
        <v>7</v>
      </c>
      <c r="BC418" s="162" t="s">
        <v>7</v>
      </c>
      <c r="BD418" s="162" t="s">
        <v>7</v>
      </c>
      <c r="BE418" s="162" t="s">
        <v>7</v>
      </c>
      <c r="BF418" s="162" t="str">
        <f t="shared" si="12"/>
        <v>Não</v>
      </c>
      <c r="BG418" s="162" t="str">
        <f t="shared" si="13"/>
        <v>Sim</v>
      </c>
      <c r="BH418" s="162" t="s">
        <v>35</v>
      </c>
      <c r="BI418" t="s">
        <v>35</v>
      </c>
      <c r="BJ418" s="162" t="s">
        <v>10165</v>
      </c>
      <c r="BK418" t="s">
        <v>35</v>
      </c>
      <c r="BL418" s="162">
        <v>0</v>
      </c>
      <c r="BM418" t="s">
        <v>35</v>
      </c>
      <c r="BN418" t="s">
        <v>35</v>
      </c>
      <c r="BO418" t="s">
        <v>35</v>
      </c>
      <c r="BP418" s="162">
        <v>0</v>
      </c>
      <c r="BQ418" t="s">
        <v>35</v>
      </c>
      <c r="BR418" t="s">
        <v>35</v>
      </c>
      <c r="BS418" s="162" t="s">
        <v>35</v>
      </c>
    </row>
    <row r="419" spans="1:71">
      <c r="A419" s="162">
        <v>418</v>
      </c>
      <c r="B419" t="s">
        <v>347</v>
      </c>
      <c r="C419" s="162">
        <v>1</v>
      </c>
      <c r="D419" s="122" t="s">
        <v>681</v>
      </c>
      <c r="E419" t="s">
        <v>858</v>
      </c>
      <c r="F419" t="s">
        <v>515</v>
      </c>
      <c r="G419" t="s">
        <v>348</v>
      </c>
      <c r="H419" t="s">
        <v>872</v>
      </c>
      <c r="I419" s="162">
        <v>1</v>
      </c>
      <c r="J419" t="s">
        <v>1855</v>
      </c>
      <c r="K419" t="s">
        <v>3</v>
      </c>
      <c r="L419" s="165">
        <v>31615</v>
      </c>
      <c r="M419" s="166">
        <v>31</v>
      </c>
      <c r="N419" t="s">
        <v>1093</v>
      </c>
      <c r="O419" t="s">
        <v>10135</v>
      </c>
      <c r="P419" t="s">
        <v>48</v>
      </c>
      <c r="Q419" t="s">
        <v>1186</v>
      </c>
      <c r="R419" t="s">
        <v>9990</v>
      </c>
      <c r="S419" s="162">
        <v>27.4</v>
      </c>
      <c r="T419">
        <v>0</v>
      </c>
      <c r="U419" s="162">
        <v>0</v>
      </c>
      <c r="V419" t="s">
        <v>9991</v>
      </c>
      <c r="W419" s="162">
        <v>1.8</v>
      </c>
      <c r="X419">
        <v>0</v>
      </c>
      <c r="Y419" s="162">
        <v>0</v>
      </c>
      <c r="Z419">
        <v>0</v>
      </c>
      <c r="AA419" s="162">
        <v>0</v>
      </c>
      <c r="AB419">
        <v>0</v>
      </c>
      <c r="AC419" s="162" t="s">
        <v>7</v>
      </c>
      <c r="AD419" s="162" t="s">
        <v>7</v>
      </c>
      <c r="AE419" s="162" t="s">
        <v>7</v>
      </c>
      <c r="AF419" s="162" t="s">
        <v>7</v>
      </c>
      <c r="AG419" s="162" t="s">
        <v>7</v>
      </c>
      <c r="AH419" s="162" t="s">
        <v>7</v>
      </c>
      <c r="AI419" t="s">
        <v>9843</v>
      </c>
      <c r="AJ419" t="s">
        <v>7</v>
      </c>
      <c r="AK419" t="s">
        <v>80</v>
      </c>
      <c r="AL419" t="s">
        <v>51</v>
      </c>
      <c r="AM419" s="162" t="s">
        <v>10137</v>
      </c>
      <c r="AN419" t="s">
        <v>52</v>
      </c>
      <c r="AO419" t="s">
        <v>35</v>
      </c>
      <c r="AP419" t="s">
        <v>35</v>
      </c>
      <c r="AQ419" t="s">
        <v>35</v>
      </c>
      <c r="AR419" t="s">
        <v>35</v>
      </c>
      <c r="AS419" s="162" t="s">
        <v>35</v>
      </c>
      <c r="AT419" s="117" t="s">
        <v>35</v>
      </c>
      <c r="AU419" s="162" t="s">
        <v>7</v>
      </c>
      <c r="AV419" s="162" t="s">
        <v>7</v>
      </c>
      <c r="AW419" s="162" t="s">
        <v>7</v>
      </c>
      <c r="AX419" s="162" t="s">
        <v>9851</v>
      </c>
      <c r="AY419" s="162" t="s">
        <v>35</v>
      </c>
      <c r="AZ419" t="s">
        <v>35</v>
      </c>
      <c r="BA419" s="162" t="s">
        <v>7</v>
      </c>
      <c r="BB419" s="162" t="s">
        <v>7</v>
      </c>
      <c r="BC419" s="162" t="s">
        <v>7</v>
      </c>
      <c r="BD419" s="162" t="s">
        <v>7</v>
      </c>
      <c r="BE419" s="162" t="s">
        <v>7</v>
      </c>
      <c r="BF419" s="162" t="str">
        <f t="shared" si="12"/>
        <v>Não</v>
      </c>
      <c r="BG419" s="162" t="str">
        <f t="shared" si="13"/>
        <v>Sim</v>
      </c>
      <c r="BH419" s="162" t="s">
        <v>35</v>
      </c>
      <c r="BI419" t="s">
        <v>35</v>
      </c>
      <c r="BJ419" s="162" t="s">
        <v>10165</v>
      </c>
      <c r="BK419" t="s">
        <v>35</v>
      </c>
      <c r="BL419" s="162">
        <v>0</v>
      </c>
      <c r="BM419" t="s">
        <v>7</v>
      </c>
      <c r="BN419" t="s">
        <v>35</v>
      </c>
      <c r="BO419" t="s">
        <v>35</v>
      </c>
      <c r="BP419" s="162">
        <v>0</v>
      </c>
      <c r="BQ419" t="s">
        <v>35</v>
      </c>
      <c r="BR419" t="s">
        <v>35</v>
      </c>
      <c r="BS419" s="162" t="s">
        <v>35</v>
      </c>
    </row>
    <row r="420" spans="1:71">
      <c r="A420" s="162">
        <v>419</v>
      </c>
      <c r="B420" t="s">
        <v>1345</v>
      </c>
      <c r="C420" s="162">
        <v>1</v>
      </c>
      <c r="D420" s="122" t="s">
        <v>39</v>
      </c>
      <c r="E420" t="s">
        <v>1018</v>
      </c>
      <c r="F420" t="s">
        <v>3</v>
      </c>
      <c r="G420" t="s">
        <v>443</v>
      </c>
      <c r="H420" t="s">
        <v>1436</v>
      </c>
      <c r="I420" s="162">
        <v>1</v>
      </c>
      <c r="J420" t="s">
        <v>1864</v>
      </c>
      <c r="K420" t="s">
        <v>3</v>
      </c>
      <c r="L420" s="165">
        <v>33012</v>
      </c>
      <c r="M420" s="166">
        <v>27</v>
      </c>
      <c r="N420" t="s">
        <v>5</v>
      </c>
      <c r="O420" t="s">
        <v>10135</v>
      </c>
      <c r="P420" t="s">
        <v>48</v>
      </c>
      <c r="Q420" t="s">
        <v>9784</v>
      </c>
      <c r="R420" t="s">
        <v>1438</v>
      </c>
      <c r="S420" s="162">
        <v>20.2</v>
      </c>
      <c r="T420" t="s">
        <v>1437</v>
      </c>
      <c r="U420" s="162">
        <v>63.3</v>
      </c>
      <c r="V420">
        <v>0</v>
      </c>
      <c r="W420" s="162">
        <v>0</v>
      </c>
      <c r="X420" t="s">
        <v>1439</v>
      </c>
      <c r="Y420" s="162">
        <v>11.9</v>
      </c>
      <c r="Z420">
        <v>0</v>
      </c>
      <c r="AA420" s="162">
        <v>0</v>
      </c>
      <c r="AB420">
        <v>0</v>
      </c>
      <c r="AC420" s="162" t="s">
        <v>7</v>
      </c>
      <c r="AD420" s="162" t="s">
        <v>7</v>
      </c>
      <c r="AE420" s="162" t="s">
        <v>7</v>
      </c>
      <c r="AF420" s="162" t="s">
        <v>7</v>
      </c>
      <c r="AG420" s="162" t="s">
        <v>7</v>
      </c>
      <c r="AH420" s="162" t="s">
        <v>7</v>
      </c>
      <c r="AI420" t="s">
        <v>9846</v>
      </c>
      <c r="AJ420" t="s">
        <v>1271</v>
      </c>
      <c r="AK420" t="s">
        <v>1440</v>
      </c>
      <c r="AL420" t="s">
        <v>6</v>
      </c>
      <c r="AM420" s="162" t="s">
        <v>10137</v>
      </c>
      <c r="AN420" t="s">
        <v>35</v>
      </c>
      <c r="AO420" t="s">
        <v>35</v>
      </c>
      <c r="AP420" t="s">
        <v>35</v>
      </c>
      <c r="AQ420" t="s">
        <v>35</v>
      </c>
      <c r="AR420" t="s">
        <v>35</v>
      </c>
      <c r="AS420" s="162" t="s">
        <v>35</v>
      </c>
      <c r="AT420" s="117" t="s">
        <v>35</v>
      </c>
      <c r="AU420" s="162" t="s">
        <v>7</v>
      </c>
      <c r="AV420" s="162" t="s">
        <v>7</v>
      </c>
      <c r="AW420" s="162" t="s">
        <v>7</v>
      </c>
      <c r="AX420" s="162" t="s">
        <v>9851</v>
      </c>
      <c r="AY420" s="162" t="s">
        <v>35</v>
      </c>
      <c r="AZ420" t="s">
        <v>35</v>
      </c>
      <c r="BA420" s="162" t="s">
        <v>7</v>
      </c>
      <c r="BB420" s="162" t="s">
        <v>7</v>
      </c>
      <c r="BC420" s="162" t="s">
        <v>7</v>
      </c>
      <c r="BD420" s="162" t="s">
        <v>7</v>
      </c>
      <c r="BE420" s="162" t="s">
        <v>7</v>
      </c>
      <c r="BF420" s="162" t="str">
        <f t="shared" si="12"/>
        <v>Não</v>
      </c>
      <c r="BG420" s="162" t="str">
        <f t="shared" si="13"/>
        <v>Sim</v>
      </c>
      <c r="BH420" s="162" t="s">
        <v>35</v>
      </c>
      <c r="BI420" t="s">
        <v>35</v>
      </c>
      <c r="BJ420" s="162" t="s">
        <v>10165</v>
      </c>
      <c r="BK420" t="s">
        <v>35</v>
      </c>
      <c r="BL420" s="162">
        <v>0</v>
      </c>
      <c r="BM420" t="s">
        <v>35</v>
      </c>
      <c r="BN420" t="s">
        <v>35</v>
      </c>
      <c r="BO420" t="s">
        <v>35</v>
      </c>
      <c r="BP420" s="162">
        <v>0</v>
      </c>
      <c r="BQ420" t="s">
        <v>35</v>
      </c>
      <c r="BR420" t="s">
        <v>35</v>
      </c>
      <c r="BS420" s="162" t="s">
        <v>35</v>
      </c>
    </row>
    <row r="421" spans="1:71">
      <c r="A421" s="162">
        <v>420</v>
      </c>
      <c r="B421" t="s">
        <v>216</v>
      </c>
      <c r="C421" s="162">
        <v>1</v>
      </c>
      <c r="D421" s="122" t="s">
        <v>771</v>
      </c>
      <c r="E421" t="s">
        <v>772</v>
      </c>
      <c r="F421" t="s">
        <v>515</v>
      </c>
      <c r="G421" t="s">
        <v>225</v>
      </c>
      <c r="H421" t="s">
        <v>773</v>
      </c>
      <c r="I421" s="162">
        <v>1</v>
      </c>
      <c r="J421" t="s">
        <v>1855</v>
      </c>
      <c r="K421" t="s">
        <v>3</v>
      </c>
      <c r="L421" s="165">
        <v>32760</v>
      </c>
      <c r="M421" s="166">
        <v>27</v>
      </c>
      <c r="N421" t="s">
        <v>1093</v>
      </c>
      <c r="O421" t="s">
        <v>10135</v>
      </c>
      <c r="P421" t="s">
        <v>1101</v>
      </c>
      <c r="Q421" t="s">
        <v>9773</v>
      </c>
      <c r="R421" t="s">
        <v>1237</v>
      </c>
      <c r="S421" s="162">
        <v>24.2</v>
      </c>
      <c r="T421" t="s">
        <v>1235</v>
      </c>
      <c r="U421" s="162">
        <v>25.3</v>
      </c>
      <c r="V421" t="s">
        <v>1236</v>
      </c>
      <c r="W421" s="162">
        <v>8.8000000000000007</v>
      </c>
      <c r="X421" t="s">
        <v>1238</v>
      </c>
      <c r="Y421" s="162">
        <v>12.2</v>
      </c>
      <c r="Z421">
        <v>0</v>
      </c>
      <c r="AA421" s="162">
        <v>0</v>
      </c>
      <c r="AB421">
        <v>0</v>
      </c>
      <c r="AC421" s="162" t="s">
        <v>7</v>
      </c>
      <c r="AD421" s="162" t="s">
        <v>7</v>
      </c>
      <c r="AE421" s="162" t="s">
        <v>7</v>
      </c>
      <c r="AF421" s="162" t="s">
        <v>7</v>
      </c>
      <c r="AG421" s="162" t="s">
        <v>7</v>
      </c>
      <c r="AH421" s="162" t="s">
        <v>7</v>
      </c>
      <c r="AI421" t="s">
        <v>9846</v>
      </c>
      <c r="AJ421" t="s">
        <v>1271</v>
      </c>
      <c r="AK421" t="s">
        <v>1173</v>
      </c>
      <c r="AL421" t="s">
        <v>6</v>
      </c>
      <c r="AM421" s="162" t="s">
        <v>10137</v>
      </c>
      <c r="AN421" t="s">
        <v>35</v>
      </c>
      <c r="AO421" t="s">
        <v>35</v>
      </c>
      <c r="AP421" t="s">
        <v>35</v>
      </c>
      <c r="AQ421" t="s">
        <v>35</v>
      </c>
      <c r="AR421" t="s">
        <v>35</v>
      </c>
      <c r="AS421" s="162" t="s">
        <v>35</v>
      </c>
      <c r="AT421" s="117" t="s">
        <v>35</v>
      </c>
      <c r="AU421" s="162" t="s">
        <v>7</v>
      </c>
      <c r="AV421" s="162" t="s">
        <v>7</v>
      </c>
      <c r="AW421" s="162" t="s">
        <v>7</v>
      </c>
      <c r="AX421" s="162" t="s">
        <v>9851</v>
      </c>
      <c r="AY421" s="162" t="s">
        <v>35</v>
      </c>
      <c r="AZ421" t="s">
        <v>35</v>
      </c>
      <c r="BA421" s="162" t="s">
        <v>7</v>
      </c>
      <c r="BB421" s="162" t="s">
        <v>7</v>
      </c>
      <c r="BC421" s="162" t="s">
        <v>7</v>
      </c>
      <c r="BD421" s="162" t="s">
        <v>7</v>
      </c>
      <c r="BE421" s="162" t="s">
        <v>7</v>
      </c>
      <c r="BF421" s="162" t="str">
        <f t="shared" si="12"/>
        <v>Não</v>
      </c>
      <c r="BG421" s="162" t="str">
        <f t="shared" si="13"/>
        <v>Sim</v>
      </c>
      <c r="BH421" s="162" t="s">
        <v>35</v>
      </c>
      <c r="BI421" t="s">
        <v>35</v>
      </c>
      <c r="BJ421" s="162" t="s">
        <v>10165</v>
      </c>
      <c r="BK421" t="s">
        <v>35</v>
      </c>
      <c r="BL421" s="162">
        <v>0</v>
      </c>
      <c r="BM421" t="s">
        <v>35</v>
      </c>
      <c r="BN421" t="s">
        <v>35</v>
      </c>
      <c r="BO421" t="s">
        <v>35</v>
      </c>
      <c r="BP421" s="162">
        <v>0</v>
      </c>
      <c r="BQ421" t="s">
        <v>35</v>
      </c>
      <c r="BR421" t="s">
        <v>35</v>
      </c>
      <c r="BS421" s="162" t="s">
        <v>35</v>
      </c>
    </row>
  </sheetData>
  <autoFilter ref="A1:BS421"/>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2:B21"/>
  <sheetViews>
    <sheetView showGridLines="0" workbookViewId="0">
      <selection activeCell="I19" sqref="I19"/>
    </sheetView>
  </sheetViews>
  <sheetFormatPr defaultRowHeight="15"/>
  <cols>
    <col min="1" max="16384" width="9.140625" style="86"/>
  </cols>
  <sheetData>
    <row r="2" spans="2:2">
      <c r="B2" s="163"/>
    </row>
    <row r="3" spans="2:2">
      <c r="B3" s="86" t="s">
        <v>10119</v>
      </c>
    </row>
    <row r="5" spans="2:2">
      <c r="B5" s="86" t="s">
        <v>10120</v>
      </c>
    </row>
    <row r="7" spans="2:2">
      <c r="B7" s="86" t="s">
        <v>10121</v>
      </c>
    </row>
    <row r="9" spans="2:2">
      <c r="B9" s="86" t="s">
        <v>10107</v>
      </c>
    </row>
    <row r="10" spans="2:2">
      <c r="B10" s="86" t="s">
        <v>10108</v>
      </c>
    </row>
    <row r="11" spans="2:2">
      <c r="B11" s="86" t="s">
        <v>10109</v>
      </c>
    </row>
    <row r="12" spans="2:2">
      <c r="B12" s="86" t="s">
        <v>10110</v>
      </c>
    </row>
    <row r="13" spans="2:2">
      <c r="B13" s="86" t="s">
        <v>10111</v>
      </c>
    </row>
    <row r="15" spans="2:2">
      <c r="B15" s="86" t="s">
        <v>10112</v>
      </c>
    </row>
    <row r="16" spans="2:2">
      <c r="B16" s="86" t="s">
        <v>10113</v>
      </c>
    </row>
    <row r="17" spans="2:2">
      <c r="B17" s="86" t="s">
        <v>10114</v>
      </c>
    </row>
    <row r="18" spans="2:2">
      <c r="B18" s="86" t="s">
        <v>10115</v>
      </c>
    </row>
    <row r="19" spans="2:2">
      <c r="B19" s="86" t="s">
        <v>10116</v>
      </c>
    </row>
    <row r="20" spans="2:2">
      <c r="B20" s="86" t="s">
        <v>10117</v>
      </c>
    </row>
    <row r="21" spans="2:2">
      <c r="B21" s="86" t="s">
        <v>10118</v>
      </c>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2:M365"/>
  <sheetViews>
    <sheetView showGridLines="0" topLeftCell="D286" workbookViewId="0">
      <selection activeCell="I296" sqref="I296:M296"/>
    </sheetView>
  </sheetViews>
  <sheetFormatPr defaultRowHeight="15"/>
  <cols>
    <col min="2" max="2" width="23.42578125" customWidth="1"/>
    <col min="3" max="3" width="26.5703125" customWidth="1"/>
    <col min="4" max="4" width="22.7109375" customWidth="1"/>
    <col min="5" max="5" width="23" customWidth="1"/>
    <col min="6" max="6" width="25.5703125" customWidth="1"/>
    <col min="7" max="9" width="17.85546875" customWidth="1"/>
    <col min="10" max="10" width="13.140625" customWidth="1"/>
    <col min="11" max="11" width="10.85546875" bestFit="1" customWidth="1"/>
    <col min="14" max="14" width="14.140625" bestFit="1" customWidth="1"/>
    <col min="15" max="15" width="17.28515625" bestFit="1" customWidth="1"/>
    <col min="16" max="16" width="13.42578125" customWidth="1"/>
    <col min="17" max="17" width="13.7109375" customWidth="1"/>
    <col min="18" max="18" width="16.140625" bestFit="1" customWidth="1"/>
  </cols>
  <sheetData>
    <row r="2" spans="2:3">
      <c r="B2" s="158" t="s">
        <v>10089</v>
      </c>
    </row>
    <row r="3" spans="2:3">
      <c r="B3" s="2">
        <f>SUM(BD!C:C)</f>
        <v>352</v>
      </c>
    </row>
    <row r="5" spans="2:3">
      <c r="B5" s="158" t="s">
        <v>10090</v>
      </c>
    </row>
    <row r="6" spans="2:3">
      <c r="B6" t="s">
        <v>10091</v>
      </c>
      <c r="C6" s="122">
        <f>SMALL(BD!D:D,1)</f>
        <v>42753</v>
      </c>
    </row>
    <row r="7" spans="2:3">
      <c r="B7" t="s">
        <v>10092</v>
      </c>
      <c r="C7" s="122">
        <f>LARGE(BD!D:D,1)</f>
        <v>43379</v>
      </c>
    </row>
    <row r="9" spans="2:3">
      <c r="B9" s="159" t="s">
        <v>10131</v>
      </c>
      <c r="C9" t="s">
        <v>10093</v>
      </c>
    </row>
    <row r="10" spans="2:3">
      <c r="B10" s="2" t="s">
        <v>746</v>
      </c>
      <c r="C10" s="160">
        <v>12</v>
      </c>
    </row>
    <row r="11" spans="2:3">
      <c r="B11" s="2" t="s">
        <v>949</v>
      </c>
      <c r="C11" s="160">
        <v>11</v>
      </c>
    </row>
    <row r="12" spans="2:3">
      <c r="B12" s="2" t="s">
        <v>836</v>
      </c>
      <c r="C12" s="160">
        <v>10</v>
      </c>
    </row>
    <row r="13" spans="2:3">
      <c r="B13" s="2" t="s">
        <v>858</v>
      </c>
      <c r="C13" s="160">
        <v>10</v>
      </c>
    </row>
    <row r="14" spans="2:3">
      <c r="B14" s="2" t="s">
        <v>477</v>
      </c>
      <c r="C14" s="160">
        <v>10</v>
      </c>
    </row>
    <row r="15" spans="2:3">
      <c r="B15" s="2" t="s">
        <v>1006</v>
      </c>
      <c r="C15" s="160">
        <v>10</v>
      </c>
    </row>
    <row r="16" spans="2:3">
      <c r="B16" s="2" t="s">
        <v>728</v>
      </c>
      <c r="C16" s="160">
        <v>10</v>
      </c>
    </row>
    <row r="17" spans="2:3">
      <c r="B17" s="2" t="s">
        <v>898</v>
      </c>
      <c r="C17" s="160">
        <v>10</v>
      </c>
    </row>
    <row r="18" spans="2:3">
      <c r="B18" s="2" t="s">
        <v>656</v>
      </c>
      <c r="C18" s="160">
        <v>10</v>
      </c>
    </row>
    <row r="19" spans="2:3">
      <c r="B19" s="2" t="s">
        <v>1036</v>
      </c>
      <c r="C19" s="160">
        <v>10</v>
      </c>
    </row>
    <row r="20" spans="2:3">
      <c r="B20" s="2" t="s">
        <v>540</v>
      </c>
      <c r="C20" s="160">
        <v>10</v>
      </c>
    </row>
    <row r="21" spans="2:3">
      <c r="B21" s="2" t="s">
        <v>802</v>
      </c>
      <c r="C21" s="160">
        <v>9</v>
      </c>
    </row>
    <row r="22" spans="2:3">
      <c r="B22" s="2" t="s">
        <v>951</v>
      </c>
      <c r="C22" s="160">
        <v>9</v>
      </c>
    </row>
    <row r="23" spans="2:3">
      <c r="B23" s="2" t="s">
        <v>476</v>
      </c>
      <c r="C23" s="160">
        <v>9</v>
      </c>
    </row>
    <row r="24" spans="2:3">
      <c r="B24" s="2" t="s">
        <v>603</v>
      </c>
      <c r="C24" s="160">
        <v>9</v>
      </c>
    </row>
    <row r="25" spans="2:3">
      <c r="B25" s="2" t="s">
        <v>2056</v>
      </c>
      <c r="C25" s="160">
        <v>8</v>
      </c>
    </row>
    <row r="26" spans="2:3">
      <c r="B26" s="2" t="s">
        <v>679</v>
      </c>
      <c r="C26" s="160">
        <v>8</v>
      </c>
    </row>
    <row r="27" spans="2:3">
      <c r="B27" s="2" t="s">
        <v>516</v>
      </c>
      <c r="C27" s="160">
        <v>8</v>
      </c>
    </row>
    <row r="28" spans="2:3">
      <c r="B28" s="2" t="s">
        <v>791</v>
      </c>
      <c r="C28" s="160">
        <v>8</v>
      </c>
    </row>
    <row r="29" spans="2:3">
      <c r="B29" s="2" t="s">
        <v>610</v>
      </c>
      <c r="C29" s="160">
        <v>8</v>
      </c>
    </row>
    <row r="30" spans="2:3">
      <c r="B30" s="2" t="s">
        <v>873</v>
      </c>
      <c r="C30" s="160">
        <v>8</v>
      </c>
    </row>
    <row r="31" spans="2:3">
      <c r="B31" s="2" t="s">
        <v>677</v>
      </c>
      <c r="C31" s="160">
        <v>8</v>
      </c>
    </row>
    <row r="32" spans="2:3">
      <c r="B32" s="2" t="s">
        <v>823</v>
      </c>
      <c r="C32" s="160">
        <v>8</v>
      </c>
    </row>
    <row r="33" spans="2:3">
      <c r="B33" s="2" t="s">
        <v>632</v>
      </c>
      <c r="C33" s="160">
        <v>8</v>
      </c>
    </row>
    <row r="34" spans="2:3">
      <c r="B34" s="2" t="s">
        <v>1018</v>
      </c>
      <c r="C34" s="160">
        <v>8</v>
      </c>
    </row>
    <row r="35" spans="2:3">
      <c r="B35" s="2" t="s">
        <v>723</v>
      </c>
      <c r="C35" s="160">
        <v>7</v>
      </c>
    </row>
    <row r="36" spans="2:3">
      <c r="B36" s="2" t="s">
        <v>30</v>
      </c>
      <c r="C36" s="160">
        <v>7</v>
      </c>
    </row>
    <row r="37" spans="2:3">
      <c r="B37" s="2" t="s">
        <v>626</v>
      </c>
      <c r="C37" s="160">
        <v>7</v>
      </c>
    </row>
    <row r="38" spans="2:3">
      <c r="B38" s="2" t="s">
        <v>922</v>
      </c>
      <c r="C38" s="160">
        <v>7</v>
      </c>
    </row>
    <row r="39" spans="2:3">
      <c r="B39" s="2" t="s">
        <v>772</v>
      </c>
      <c r="C39" s="160">
        <v>7</v>
      </c>
    </row>
    <row r="40" spans="2:3">
      <c r="B40" s="2" t="s">
        <v>652</v>
      </c>
      <c r="C40" s="160">
        <v>7</v>
      </c>
    </row>
    <row r="41" spans="2:3">
      <c r="B41" s="2" t="s">
        <v>807</v>
      </c>
      <c r="C41" s="160">
        <v>6</v>
      </c>
    </row>
    <row r="42" spans="2:3">
      <c r="B42" s="2" t="s">
        <v>1050</v>
      </c>
      <c r="C42" s="160">
        <v>6</v>
      </c>
    </row>
    <row r="43" spans="2:3">
      <c r="B43" s="2" t="s">
        <v>919</v>
      </c>
      <c r="C43" s="160">
        <v>6</v>
      </c>
    </row>
    <row r="44" spans="2:3">
      <c r="B44" s="2" t="s">
        <v>847</v>
      </c>
      <c r="C44" s="160">
        <v>6</v>
      </c>
    </row>
    <row r="45" spans="2:3">
      <c r="B45" s="2" t="s">
        <v>495</v>
      </c>
      <c r="C45" s="160">
        <v>5</v>
      </c>
    </row>
    <row r="46" spans="2:3">
      <c r="B46" s="2" t="s">
        <v>788</v>
      </c>
      <c r="C46" s="160">
        <v>5</v>
      </c>
    </row>
    <row r="47" spans="2:3">
      <c r="B47" s="2" t="s">
        <v>846</v>
      </c>
      <c r="C47" s="160">
        <v>5</v>
      </c>
    </row>
    <row r="48" spans="2:3">
      <c r="B48" s="2" t="s">
        <v>569</v>
      </c>
      <c r="C48" s="160">
        <v>5</v>
      </c>
    </row>
    <row r="49" spans="2:3">
      <c r="B49" s="2" t="s">
        <v>614</v>
      </c>
      <c r="C49" s="160">
        <v>5</v>
      </c>
    </row>
    <row r="50" spans="2:3">
      <c r="B50" s="2" t="s">
        <v>1047</v>
      </c>
      <c r="C50" s="160">
        <v>5</v>
      </c>
    </row>
    <row r="51" spans="2:3">
      <c r="B51" s="2" t="s">
        <v>490</v>
      </c>
      <c r="C51" s="160">
        <v>5</v>
      </c>
    </row>
    <row r="52" spans="2:3">
      <c r="B52" s="2" t="s">
        <v>876</v>
      </c>
      <c r="C52" s="160">
        <v>5</v>
      </c>
    </row>
    <row r="53" spans="2:3">
      <c r="B53" s="2" t="s">
        <v>571</v>
      </c>
      <c r="C53" s="160">
        <v>5</v>
      </c>
    </row>
    <row r="54" spans="2:3">
      <c r="B54" s="2" t="s">
        <v>593</v>
      </c>
      <c r="C54" s="160">
        <v>4</v>
      </c>
    </row>
    <row r="55" spans="2:3">
      <c r="B55" s="2" t="s">
        <v>855</v>
      </c>
      <c r="C55" s="160">
        <v>4</v>
      </c>
    </row>
    <row r="56" spans="2:3">
      <c r="B56" s="2" t="s">
        <v>896</v>
      </c>
      <c r="C56" s="160">
        <v>4</v>
      </c>
    </row>
    <row r="57" spans="2:3">
      <c r="B57" s="2" t="s">
        <v>706</v>
      </c>
      <c r="C57" s="160">
        <v>4</v>
      </c>
    </row>
    <row r="58" spans="2:3">
      <c r="B58" s="2" t="s">
        <v>703</v>
      </c>
      <c r="C58" s="160">
        <v>4</v>
      </c>
    </row>
    <row r="59" spans="2:3">
      <c r="B59" s="2" t="s">
        <v>825</v>
      </c>
      <c r="C59" s="160">
        <v>3</v>
      </c>
    </row>
    <row r="60" spans="2:3">
      <c r="B60" s="2" t="s">
        <v>96</v>
      </c>
      <c r="C60" s="160">
        <v>3</v>
      </c>
    </row>
    <row r="61" spans="2:3">
      <c r="B61" s="2" t="s">
        <v>754</v>
      </c>
      <c r="C61" s="160">
        <v>3</v>
      </c>
    </row>
    <row r="62" spans="2:3">
      <c r="B62" s="2" t="s">
        <v>607</v>
      </c>
      <c r="C62" s="160">
        <v>3</v>
      </c>
    </row>
    <row r="63" spans="2:3">
      <c r="B63" s="2" t="s">
        <v>769</v>
      </c>
      <c r="C63" s="160">
        <v>3</v>
      </c>
    </row>
    <row r="64" spans="2:3">
      <c r="B64" s="2" t="s">
        <v>537</v>
      </c>
      <c r="C64" s="160">
        <v>3</v>
      </c>
    </row>
    <row r="65" spans="2:3">
      <c r="B65" s="2" t="s">
        <v>1020</v>
      </c>
      <c r="C65" s="160">
        <v>3</v>
      </c>
    </row>
    <row r="66" spans="2:3">
      <c r="B66" s="2" t="s">
        <v>994</v>
      </c>
      <c r="C66" s="160">
        <v>3</v>
      </c>
    </row>
    <row r="67" spans="2:3">
      <c r="B67" s="2" t="s">
        <v>107</v>
      </c>
      <c r="C67" s="160">
        <v>3</v>
      </c>
    </row>
    <row r="68" spans="2:3">
      <c r="B68" s="2" t="s">
        <v>881</v>
      </c>
      <c r="C68" s="160">
        <v>3</v>
      </c>
    </row>
    <row r="69" spans="2:3">
      <c r="B69" s="2" t="s">
        <v>998</v>
      </c>
      <c r="C69" s="160">
        <v>3</v>
      </c>
    </row>
    <row r="70" spans="2:3">
      <c r="B70" s="2" t="s">
        <v>551</v>
      </c>
      <c r="C70" s="160">
        <v>3</v>
      </c>
    </row>
    <row r="71" spans="2:3">
      <c r="B71" s="2" t="s">
        <v>709</v>
      </c>
      <c r="C71" s="160">
        <v>2</v>
      </c>
    </row>
    <row r="72" spans="2:3">
      <c r="B72" s="2" t="s">
        <v>910</v>
      </c>
      <c r="C72" s="160">
        <v>2</v>
      </c>
    </row>
    <row r="73" spans="2:3">
      <c r="B73" s="2" t="s">
        <v>526</v>
      </c>
      <c r="C73" s="160">
        <v>2</v>
      </c>
    </row>
    <row r="74" spans="2:3">
      <c r="B74" s="2" t="s">
        <v>576</v>
      </c>
      <c r="C74" s="160">
        <v>2</v>
      </c>
    </row>
    <row r="75" spans="2:3">
      <c r="B75" s="2" t="s">
        <v>718</v>
      </c>
      <c r="C75" s="160">
        <v>2</v>
      </c>
    </row>
    <row r="76" spans="2:3">
      <c r="B76" s="2" t="s">
        <v>564</v>
      </c>
      <c r="C76" s="160">
        <v>2</v>
      </c>
    </row>
    <row r="77" spans="2:3">
      <c r="B77" s="2" t="s">
        <v>102</v>
      </c>
      <c r="C77" s="160">
        <v>2</v>
      </c>
    </row>
    <row r="78" spans="2:3">
      <c r="B78" s="2" t="s">
        <v>99</v>
      </c>
      <c r="C78" s="160">
        <v>1</v>
      </c>
    </row>
    <row r="79" spans="2:3">
      <c r="B79" s="2" t="s">
        <v>582</v>
      </c>
      <c r="C79" s="160">
        <v>1</v>
      </c>
    </row>
    <row r="80" spans="2:3">
      <c r="B80" s="2" t="s">
        <v>938</v>
      </c>
      <c r="C80" s="160">
        <v>1</v>
      </c>
    </row>
    <row r="81" spans="2:3">
      <c r="B81" s="2" t="s">
        <v>1034</v>
      </c>
      <c r="C81" s="160">
        <v>1</v>
      </c>
    </row>
    <row r="82" spans="2:3">
      <c r="B82" s="2" t="s">
        <v>783</v>
      </c>
      <c r="C82" s="160">
        <v>1</v>
      </c>
    </row>
    <row r="83" spans="2:3">
      <c r="B83" s="2" t="s">
        <v>499</v>
      </c>
      <c r="C83" s="160">
        <v>1</v>
      </c>
    </row>
    <row r="84" spans="2:3">
      <c r="B84" s="2" t="s">
        <v>598</v>
      </c>
      <c r="C84" s="160">
        <v>1</v>
      </c>
    </row>
    <row r="85" spans="2:3">
      <c r="B85" s="2" t="s">
        <v>936</v>
      </c>
      <c r="C85" s="160">
        <v>1</v>
      </c>
    </row>
    <row r="86" spans="2:3">
      <c r="B86" s="2" t="s">
        <v>1918</v>
      </c>
      <c r="C86" s="160">
        <v>1</v>
      </c>
    </row>
    <row r="87" spans="2:3">
      <c r="B87" s="2" t="s">
        <v>984</v>
      </c>
      <c r="C87" s="160">
        <v>1</v>
      </c>
    </row>
    <row r="88" spans="2:3">
      <c r="B88" s="2" t="s">
        <v>10132</v>
      </c>
      <c r="C88" s="160">
        <v>420</v>
      </c>
    </row>
    <row r="90" spans="2:3">
      <c r="B90" s="159" t="s">
        <v>10131</v>
      </c>
      <c r="C90" t="s">
        <v>10094</v>
      </c>
    </row>
    <row r="91" spans="2:3">
      <c r="B91" s="2" t="s">
        <v>411</v>
      </c>
      <c r="C91" s="160">
        <v>22</v>
      </c>
    </row>
    <row r="92" spans="2:3">
      <c r="B92" s="2" t="s">
        <v>364</v>
      </c>
      <c r="C92" s="160">
        <v>20</v>
      </c>
    </row>
    <row r="93" spans="2:3">
      <c r="B93" s="2" t="s">
        <v>264</v>
      </c>
      <c r="C93" s="160">
        <v>17</v>
      </c>
    </row>
    <row r="94" spans="2:3">
      <c r="B94" s="2" t="s">
        <v>155</v>
      </c>
      <c r="C94" s="160">
        <v>17</v>
      </c>
    </row>
    <row r="95" spans="2:3">
      <c r="B95" s="2" t="s">
        <v>214</v>
      </c>
      <c r="C95" s="160">
        <v>17</v>
      </c>
    </row>
    <row r="96" spans="2:3">
      <c r="B96" s="2" t="s">
        <v>378</v>
      </c>
      <c r="C96" s="160">
        <v>16</v>
      </c>
    </row>
    <row r="97" spans="2:3">
      <c r="B97" s="2" t="s">
        <v>241</v>
      </c>
      <c r="C97" s="160">
        <v>16</v>
      </c>
    </row>
    <row r="98" spans="2:3">
      <c r="B98" s="2" t="s">
        <v>426</v>
      </c>
      <c r="C98" s="160">
        <v>15</v>
      </c>
    </row>
    <row r="99" spans="2:3">
      <c r="B99" s="2" t="s">
        <v>277</v>
      </c>
      <c r="C99" s="160">
        <v>15</v>
      </c>
    </row>
    <row r="100" spans="2:3">
      <c r="B100" s="2" t="s">
        <v>198</v>
      </c>
      <c r="C100" s="160">
        <v>15</v>
      </c>
    </row>
    <row r="101" spans="2:3">
      <c r="B101" s="2" t="s">
        <v>304</v>
      </c>
      <c r="C101" s="160">
        <v>15</v>
      </c>
    </row>
    <row r="102" spans="2:3">
      <c r="B102" s="2" t="s">
        <v>185</v>
      </c>
      <c r="C102" s="160">
        <v>15</v>
      </c>
    </row>
    <row r="103" spans="2:3">
      <c r="B103" s="2" t="s">
        <v>291</v>
      </c>
      <c r="C103" s="160">
        <v>15</v>
      </c>
    </row>
    <row r="104" spans="2:3">
      <c r="B104" s="2" t="s">
        <v>392</v>
      </c>
      <c r="C104" s="160">
        <v>14</v>
      </c>
    </row>
    <row r="105" spans="2:3">
      <c r="B105" s="2" t="s">
        <v>348</v>
      </c>
      <c r="C105" s="160">
        <v>14</v>
      </c>
    </row>
    <row r="106" spans="2:3">
      <c r="B106" s="2" t="s">
        <v>166</v>
      </c>
      <c r="C106" s="160">
        <v>13</v>
      </c>
    </row>
    <row r="107" spans="2:3">
      <c r="B107" s="2" t="s">
        <v>473</v>
      </c>
      <c r="C107" s="160">
        <v>12</v>
      </c>
    </row>
    <row r="108" spans="2:3">
      <c r="B108" s="2" t="s">
        <v>120</v>
      </c>
      <c r="C108" s="160">
        <v>12</v>
      </c>
    </row>
    <row r="109" spans="2:3">
      <c r="B109" s="2" t="s">
        <v>316</v>
      </c>
      <c r="C109" s="160">
        <v>12</v>
      </c>
    </row>
    <row r="110" spans="2:3">
      <c r="B110" s="2" t="s">
        <v>335</v>
      </c>
      <c r="C110" s="160">
        <v>12</v>
      </c>
    </row>
    <row r="111" spans="2:3">
      <c r="B111" s="2" t="s">
        <v>251</v>
      </c>
      <c r="C111" s="160">
        <v>11</v>
      </c>
    </row>
    <row r="112" spans="2:3">
      <c r="B112" s="2" t="s">
        <v>323</v>
      </c>
      <c r="C112" s="160">
        <v>11</v>
      </c>
    </row>
    <row r="113" spans="2:3">
      <c r="B113" s="2" t="s">
        <v>443</v>
      </c>
      <c r="C113" s="160">
        <v>11</v>
      </c>
    </row>
    <row r="114" spans="2:3">
      <c r="B114" s="2" t="s">
        <v>461</v>
      </c>
      <c r="C114" s="160">
        <v>11</v>
      </c>
    </row>
    <row r="115" spans="2:3">
      <c r="B115" s="2" t="s">
        <v>131</v>
      </c>
      <c r="C115" s="160">
        <v>11</v>
      </c>
    </row>
    <row r="116" spans="2:3">
      <c r="B116" s="2" t="s">
        <v>225</v>
      </c>
      <c r="C116" s="160">
        <v>11</v>
      </c>
    </row>
    <row r="117" spans="2:3">
      <c r="B117" s="2" t="s">
        <v>450</v>
      </c>
      <c r="C117" s="160">
        <v>10</v>
      </c>
    </row>
    <row r="118" spans="2:3">
      <c r="B118" s="2" t="s">
        <v>140</v>
      </c>
      <c r="C118" s="160">
        <v>10</v>
      </c>
    </row>
    <row r="119" spans="2:3">
      <c r="B119" s="2" t="s">
        <v>173</v>
      </c>
      <c r="C119" s="160">
        <v>9</v>
      </c>
    </row>
    <row r="120" spans="2:3">
      <c r="B120" s="2" t="s">
        <v>87</v>
      </c>
      <c r="C120" s="160">
        <v>7</v>
      </c>
    </row>
    <row r="121" spans="2:3">
      <c r="B121" s="2" t="s">
        <v>433</v>
      </c>
      <c r="C121" s="160">
        <v>7</v>
      </c>
    </row>
    <row r="122" spans="2:3">
      <c r="B122" s="2" t="s">
        <v>23</v>
      </c>
      <c r="C122" s="160">
        <v>7</v>
      </c>
    </row>
    <row r="123" spans="2:3">
      <c r="B123" s="2" t="s">
        <v>10132</v>
      </c>
      <c r="C123" s="160">
        <v>420</v>
      </c>
    </row>
    <row r="125" spans="2:3">
      <c r="B125" s="158" t="s">
        <v>10096</v>
      </c>
    </row>
    <row r="126" spans="2:3">
      <c r="B126" s="2">
        <f>SUM(BD!I:I)</f>
        <v>419</v>
      </c>
    </row>
    <row r="128" spans="2:3">
      <c r="B128" s="159" t="s">
        <v>10131</v>
      </c>
      <c r="C128" t="s">
        <v>10097</v>
      </c>
    </row>
    <row r="129" spans="2:7">
      <c r="B129" s="2" t="s">
        <v>1855</v>
      </c>
      <c r="C129" s="160">
        <v>337</v>
      </c>
    </row>
    <row r="130" spans="2:7">
      <c r="B130" s="2" t="s">
        <v>76</v>
      </c>
      <c r="C130" s="160">
        <v>41</v>
      </c>
    </row>
    <row r="131" spans="2:7">
      <c r="B131" s="2" t="s">
        <v>1864</v>
      </c>
      <c r="C131" s="160">
        <v>13</v>
      </c>
    </row>
    <row r="132" spans="2:7">
      <c r="B132" s="2" t="s">
        <v>1085</v>
      </c>
      <c r="C132" s="160">
        <v>7</v>
      </c>
    </row>
    <row r="133" spans="2:7">
      <c r="B133" s="2" t="s">
        <v>1115</v>
      </c>
      <c r="C133" s="160">
        <v>7</v>
      </c>
    </row>
    <row r="134" spans="2:7">
      <c r="B134" s="2" t="s">
        <v>1598</v>
      </c>
      <c r="C134" s="160">
        <v>6</v>
      </c>
    </row>
    <row r="135" spans="2:7">
      <c r="B135" s="2" t="s">
        <v>1311</v>
      </c>
      <c r="C135" s="160">
        <v>3</v>
      </c>
    </row>
    <row r="136" spans="2:7">
      <c r="B136" s="2" t="s">
        <v>1550</v>
      </c>
      <c r="C136" s="160">
        <v>3</v>
      </c>
    </row>
    <row r="137" spans="2:7">
      <c r="B137" s="2" t="s">
        <v>1901</v>
      </c>
      <c r="C137" s="160">
        <v>2</v>
      </c>
    </row>
    <row r="138" spans="2:7">
      <c r="B138" s="2" t="s">
        <v>1547</v>
      </c>
      <c r="C138" s="160">
        <v>1</v>
      </c>
    </row>
    <row r="139" spans="2:7">
      <c r="B139" s="2" t="s">
        <v>10132</v>
      </c>
      <c r="C139" s="160">
        <v>420</v>
      </c>
    </row>
    <row r="141" spans="2:7">
      <c r="B141" s="159" t="s">
        <v>10131</v>
      </c>
      <c r="C141" t="s">
        <v>10098</v>
      </c>
      <c r="E141" s="172" t="s">
        <v>10139</v>
      </c>
      <c r="F141" s="173" t="s">
        <v>10140</v>
      </c>
      <c r="G141" s="172" t="s">
        <v>10141</v>
      </c>
    </row>
    <row r="142" spans="2:7">
      <c r="B142" s="2" t="s">
        <v>515</v>
      </c>
      <c r="C142" s="160">
        <v>41</v>
      </c>
      <c r="E142" t="str">
        <f>B142</f>
        <v>Feminino</v>
      </c>
      <c r="F142">
        <f>C142</f>
        <v>41</v>
      </c>
      <c r="G142" s="170">
        <f>F142/GETPIVOTDATA("Sexo",$B$141)</f>
        <v>9.7619047619047619E-2</v>
      </c>
    </row>
    <row r="143" spans="2:7">
      <c r="B143" s="2" t="s">
        <v>3</v>
      </c>
      <c r="C143" s="160">
        <v>379</v>
      </c>
      <c r="E143" t="str">
        <f>B143</f>
        <v>Masculino</v>
      </c>
      <c r="F143">
        <f>C143</f>
        <v>379</v>
      </c>
      <c r="G143" s="170">
        <f>F143/GETPIVOTDATA("Sexo",$B$141)</f>
        <v>0.90238095238095239</v>
      </c>
    </row>
    <row r="144" spans="2:7">
      <c r="B144" s="2" t="s">
        <v>10132</v>
      </c>
      <c r="C144" s="160">
        <v>420</v>
      </c>
      <c r="E144" s="169" t="s">
        <v>10142</v>
      </c>
      <c r="F144" s="169">
        <f>C144</f>
        <v>420</v>
      </c>
      <c r="G144" s="171">
        <f>F144/GETPIVOTDATA("Sexo",$B$141)</f>
        <v>1</v>
      </c>
    </row>
    <row r="145" spans="2:7">
      <c r="B145" s="2"/>
      <c r="C145" s="160"/>
      <c r="E145" s="174"/>
      <c r="F145" s="174"/>
      <c r="G145" s="175"/>
    </row>
    <row r="146" spans="2:7">
      <c r="B146" s="159" t="s">
        <v>10131</v>
      </c>
      <c r="C146" t="s">
        <v>10251</v>
      </c>
      <c r="E146" s="172" t="s">
        <v>10252</v>
      </c>
      <c r="F146" s="173" t="s">
        <v>10140</v>
      </c>
      <c r="G146" s="172" t="s">
        <v>10141</v>
      </c>
    </row>
    <row r="147" spans="2:7">
      <c r="B147" s="2" t="s">
        <v>515</v>
      </c>
      <c r="C147" s="160">
        <v>213</v>
      </c>
      <c r="E147" t="str">
        <f>B147</f>
        <v>Feminino</v>
      </c>
      <c r="F147">
        <f>C147</f>
        <v>213</v>
      </c>
      <c r="G147" s="170">
        <f>F147/GETPIVOTDATA("Sexo",$B$141)</f>
        <v>0.50714285714285712</v>
      </c>
    </row>
    <row r="148" spans="2:7">
      <c r="B148" s="2" t="s">
        <v>3</v>
      </c>
      <c r="C148" s="160">
        <v>207</v>
      </c>
      <c r="E148" t="str">
        <f>B148</f>
        <v>Masculino</v>
      </c>
      <c r="F148">
        <f>C148</f>
        <v>207</v>
      </c>
      <c r="G148" s="170">
        <f>F148/GETPIVOTDATA("Sexo",$B$141)</f>
        <v>0.49285714285714288</v>
      </c>
    </row>
    <row r="149" spans="2:7">
      <c r="B149" s="2" t="s">
        <v>10132</v>
      </c>
      <c r="C149" s="160">
        <v>420</v>
      </c>
      <c r="E149" s="169" t="s">
        <v>10142</v>
      </c>
      <c r="F149" s="169">
        <f>C149</f>
        <v>420</v>
      </c>
      <c r="G149" s="171">
        <f>F149/GETPIVOTDATA("Sexo",$B$141)</f>
        <v>1</v>
      </c>
    </row>
    <row r="151" spans="2:7">
      <c r="B151" s="159" t="s">
        <v>10131</v>
      </c>
      <c r="C151" t="s">
        <v>10099</v>
      </c>
      <c r="E151" s="172" t="s">
        <v>10144</v>
      </c>
      <c r="F151" s="173" t="s">
        <v>10140</v>
      </c>
      <c r="G151" s="172" t="s">
        <v>10141</v>
      </c>
    </row>
    <row r="152" spans="2:7">
      <c r="B152" s="2" t="s">
        <v>5</v>
      </c>
      <c r="C152" s="160">
        <v>215</v>
      </c>
      <c r="E152" t="str">
        <f>B152</f>
        <v>Parda</v>
      </c>
      <c r="F152">
        <f>C152</f>
        <v>215</v>
      </c>
      <c r="G152" s="170">
        <f>F152/GETPIVOTDATA("Sexo",$B$141)</f>
        <v>0.51190476190476186</v>
      </c>
    </row>
    <row r="153" spans="2:7">
      <c r="B153" s="2" t="s">
        <v>4</v>
      </c>
      <c r="C153" s="160">
        <v>138</v>
      </c>
      <c r="E153" t="str">
        <f t="shared" ref="E153:E156" si="0">B153</f>
        <v>Branca</v>
      </c>
      <c r="F153">
        <f t="shared" ref="F153:F156" si="1">C153</f>
        <v>138</v>
      </c>
      <c r="G153" s="170">
        <f t="shared" ref="G153:G156" si="2">F153/GETPIVOTDATA("Sexo",$B$141)</f>
        <v>0.32857142857142857</v>
      </c>
    </row>
    <row r="154" spans="2:7">
      <c r="B154" s="2" t="s">
        <v>1093</v>
      </c>
      <c r="C154" s="160">
        <v>62</v>
      </c>
      <c r="E154" t="str">
        <f t="shared" si="0"/>
        <v>Preta</v>
      </c>
      <c r="F154">
        <f t="shared" si="1"/>
        <v>62</v>
      </c>
      <c r="G154" s="170">
        <f t="shared" si="2"/>
        <v>0.14761904761904762</v>
      </c>
    </row>
    <row r="155" spans="2:7">
      <c r="B155" s="2" t="s">
        <v>18</v>
      </c>
      <c r="C155" s="160">
        <v>3</v>
      </c>
      <c r="E155" t="str">
        <f t="shared" si="0"/>
        <v>Outros</v>
      </c>
      <c r="F155">
        <f t="shared" si="1"/>
        <v>3</v>
      </c>
      <c r="G155" s="170">
        <f t="shared" si="2"/>
        <v>7.1428571428571426E-3</v>
      </c>
    </row>
    <row r="156" spans="2:7">
      <c r="B156" s="2" t="s">
        <v>1419</v>
      </c>
      <c r="C156" s="160">
        <v>2</v>
      </c>
      <c r="E156" t="str">
        <f t="shared" si="0"/>
        <v>Amarela</v>
      </c>
      <c r="F156">
        <f t="shared" si="1"/>
        <v>2</v>
      </c>
      <c r="G156" s="170">
        <f t="shared" si="2"/>
        <v>4.7619047619047623E-3</v>
      </c>
    </row>
    <row r="157" spans="2:7">
      <c r="B157" s="2" t="s">
        <v>10132</v>
      </c>
      <c r="C157" s="160">
        <v>420</v>
      </c>
      <c r="E157" s="169" t="s">
        <v>10142</v>
      </c>
      <c r="F157" s="169">
        <f>C157</f>
        <v>420</v>
      </c>
      <c r="G157" s="171">
        <f>F157/GETPIVOTDATA("Sexo",$B$141)</f>
        <v>1</v>
      </c>
    </row>
    <row r="158" spans="2:7">
      <c r="B158" s="2"/>
      <c r="C158" s="160"/>
      <c r="E158" s="174"/>
      <c r="F158" s="174"/>
      <c r="G158" s="175"/>
    </row>
    <row r="159" spans="2:7">
      <c r="B159" s="159" t="s">
        <v>10131</v>
      </c>
      <c r="C159" t="s">
        <v>10143</v>
      </c>
      <c r="E159" s="172" t="s">
        <v>10145</v>
      </c>
      <c r="F159" s="173" t="s">
        <v>10140</v>
      </c>
      <c r="G159" s="172" t="s">
        <v>10141</v>
      </c>
    </row>
    <row r="160" spans="2:7">
      <c r="B160" s="2" t="s">
        <v>10134</v>
      </c>
      <c r="C160" s="160">
        <v>140</v>
      </c>
      <c r="E160" t="str">
        <f>B160</f>
        <v>Branco e amarelo</v>
      </c>
      <c r="F160">
        <f>C160</f>
        <v>140</v>
      </c>
      <c r="G160" s="170">
        <f>F160/GETPIVOTDATA("Sexo",$B$141)</f>
        <v>0.33333333333333331</v>
      </c>
    </row>
    <row r="161" spans="2:13">
      <c r="B161" s="2" t="s">
        <v>10135</v>
      </c>
      <c r="C161" s="160">
        <v>280</v>
      </c>
      <c r="E161" t="str">
        <f>B161</f>
        <v>Negros, pardos e outros</v>
      </c>
      <c r="F161">
        <f>C161</f>
        <v>280</v>
      </c>
      <c r="G161" s="170">
        <f>F161/GETPIVOTDATA("Sexo",$B$141)</f>
        <v>0.66666666666666663</v>
      </c>
    </row>
    <row r="162" spans="2:13">
      <c r="B162" s="2" t="s">
        <v>10132</v>
      </c>
      <c r="C162" s="160">
        <v>420</v>
      </c>
      <c r="E162" s="169" t="s">
        <v>10142</v>
      </c>
      <c r="F162" s="169">
        <f>C162</f>
        <v>420</v>
      </c>
      <c r="G162" s="171">
        <f>F162/GETPIVOTDATA("Sexo",$B$141)</f>
        <v>1</v>
      </c>
    </row>
    <row r="163" spans="2:13">
      <c r="E163" s="174"/>
      <c r="F163" s="174"/>
      <c r="G163" s="175"/>
    </row>
    <row r="164" spans="2:13">
      <c r="E164" s="174"/>
      <c r="F164" s="174"/>
      <c r="G164" s="175"/>
    </row>
    <row r="165" spans="2:13">
      <c r="B165" t="s">
        <v>10146</v>
      </c>
      <c r="C165" t="s">
        <v>10147</v>
      </c>
      <c r="D165" t="s">
        <v>10148</v>
      </c>
      <c r="E165" t="s">
        <v>10149</v>
      </c>
      <c r="F165" t="s">
        <v>10150</v>
      </c>
      <c r="G165" s="175"/>
      <c r="H165" s="169" t="s">
        <v>10151</v>
      </c>
      <c r="I165" s="169" t="s">
        <v>10152</v>
      </c>
      <c r="J165" s="169" t="s">
        <v>10153</v>
      </c>
      <c r="K165" s="169" t="s">
        <v>10154</v>
      </c>
      <c r="L165" s="169" t="s">
        <v>10155</v>
      </c>
      <c r="M165" s="169" t="s">
        <v>10156</v>
      </c>
    </row>
    <row r="166" spans="2:13">
      <c r="B166" s="160">
        <v>419</v>
      </c>
      <c r="C166" s="160">
        <v>27.102625298329354</v>
      </c>
      <c r="D166" s="160">
        <v>18</v>
      </c>
      <c r="E166" s="160">
        <v>59</v>
      </c>
      <c r="F166" s="160">
        <v>7.7268851328896107</v>
      </c>
      <c r="G166" s="175"/>
      <c r="H166" s="169" t="s">
        <v>10122</v>
      </c>
      <c r="I166" s="169">
        <f>B166</f>
        <v>419</v>
      </c>
      <c r="J166" s="177">
        <f>C166</f>
        <v>27.102625298329354</v>
      </c>
      <c r="K166" s="169">
        <f>D166</f>
        <v>18</v>
      </c>
      <c r="L166" s="169">
        <f>E166</f>
        <v>59</v>
      </c>
      <c r="M166" s="178">
        <f>F166</f>
        <v>7.7268851328896107</v>
      </c>
    </row>
    <row r="167" spans="2:13">
      <c r="E167" s="174"/>
      <c r="F167" s="174"/>
      <c r="G167" s="175"/>
    </row>
    <row r="169" spans="2:13">
      <c r="B169" s="159" t="s">
        <v>10131</v>
      </c>
      <c r="C169" t="s">
        <v>10100</v>
      </c>
      <c r="E169" s="172" t="s">
        <v>10157</v>
      </c>
      <c r="F169" s="173" t="s">
        <v>10140</v>
      </c>
      <c r="G169" s="172" t="s">
        <v>10141</v>
      </c>
    </row>
    <row r="170" spans="2:13">
      <c r="B170" s="2" t="s">
        <v>36</v>
      </c>
      <c r="C170" s="160">
        <v>284</v>
      </c>
      <c r="E170" t="str">
        <f t="shared" ref="E170:F173" si="3">B170</f>
        <v>Procedente</v>
      </c>
      <c r="F170">
        <f t="shared" si="3"/>
        <v>284</v>
      </c>
      <c r="G170" s="170">
        <f>F170/GETPIVOTDATA("Sexo",$B$141)</f>
        <v>0.67619047619047623</v>
      </c>
    </row>
    <row r="171" spans="2:13">
      <c r="B171" s="2" t="s">
        <v>78</v>
      </c>
      <c r="C171" s="160">
        <v>73</v>
      </c>
      <c r="E171" t="str">
        <f t="shared" si="3"/>
        <v>Parcialmente procedente</v>
      </c>
      <c r="F171">
        <f t="shared" si="3"/>
        <v>73</v>
      </c>
      <c r="G171" s="170">
        <f>F171/GETPIVOTDATA("Sexo",$B$141)</f>
        <v>0.1738095238095238</v>
      </c>
    </row>
    <row r="172" spans="2:13">
      <c r="B172" s="2" t="s">
        <v>6</v>
      </c>
      <c r="C172" s="160">
        <v>35</v>
      </c>
      <c r="E172" t="str">
        <f t="shared" si="3"/>
        <v>Absolvição</v>
      </c>
      <c r="F172">
        <f t="shared" si="3"/>
        <v>35</v>
      </c>
      <c r="G172" s="170">
        <f>F172/GETPIVOTDATA("Sexo",$B$141)</f>
        <v>8.3333333333333329E-2</v>
      </c>
    </row>
    <row r="173" spans="2:13">
      <c r="B173" s="2" t="s">
        <v>51</v>
      </c>
      <c r="C173" s="160">
        <v>28</v>
      </c>
      <c r="E173" t="str">
        <f t="shared" si="3"/>
        <v>Desclassificação</v>
      </c>
      <c r="F173">
        <f t="shared" si="3"/>
        <v>28</v>
      </c>
      <c r="G173" s="170">
        <f>F173/GETPIVOTDATA("Sexo",$B$141)</f>
        <v>6.6666666666666666E-2</v>
      </c>
    </row>
    <row r="174" spans="2:13">
      <c r="B174" s="2" t="s">
        <v>10132</v>
      </c>
      <c r="C174" s="160">
        <v>420</v>
      </c>
      <c r="E174" s="169" t="s">
        <v>10142</v>
      </c>
      <c r="F174" s="169">
        <f>C174</f>
        <v>420</v>
      </c>
      <c r="G174" s="171">
        <f>F174/GETPIVOTDATA("Sexo",$B$141)</f>
        <v>1</v>
      </c>
    </row>
    <row r="176" spans="2:13">
      <c r="B176" s="159" t="s">
        <v>10131</v>
      </c>
      <c r="C176" t="s">
        <v>10158</v>
      </c>
      <c r="E176" s="172" t="s">
        <v>10159</v>
      </c>
      <c r="F176" s="173" t="s">
        <v>10140</v>
      </c>
      <c r="G176" s="172" t="s">
        <v>10141</v>
      </c>
    </row>
    <row r="177" spans="2:7">
      <c r="B177" s="2" t="s">
        <v>10138</v>
      </c>
      <c r="C177" s="160">
        <v>357</v>
      </c>
      <c r="E177" t="str">
        <f>B177</f>
        <v>Condenação por tráfico</v>
      </c>
      <c r="F177">
        <f>C177</f>
        <v>357</v>
      </c>
      <c r="G177" s="170">
        <f>F177/GETPIVOTDATA("Sexo",$B$141)</f>
        <v>0.85</v>
      </c>
    </row>
    <row r="178" spans="2:7">
      <c r="B178" s="2" t="s">
        <v>10137</v>
      </c>
      <c r="C178" s="160">
        <v>63</v>
      </c>
      <c r="E178" t="str">
        <f>B178</f>
        <v>Sem Condenação por tráfico</v>
      </c>
      <c r="F178">
        <f>C178</f>
        <v>63</v>
      </c>
      <c r="G178" s="170">
        <f>F178/GETPIVOTDATA("Sexo",$B$141)</f>
        <v>0.15</v>
      </c>
    </row>
    <row r="179" spans="2:7">
      <c r="B179" s="2" t="s">
        <v>10132</v>
      </c>
      <c r="C179" s="160">
        <v>420</v>
      </c>
      <c r="E179" s="169" t="s">
        <v>10142</v>
      </c>
      <c r="F179" s="169">
        <f>C179</f>
        <v>420</v>
      </c>
      <c r="G179" s="171">
        <f>F179/GETPIVOTDATA("Sexo",$B$141)</f>
        <v>1</v>
      </c>
    </row>
    <row r="182" spans="2:7">
      <c r="B182" s="159" t="s">
        <v>10131</v>
      </c>
      <c r="C182" t="s">
        <v>10101</v>
      </c>
      <c r="E182" s="172" t="s">
        <v>10227</v>
      </c>
      <c r="F182" s="173" t="s">
        <v>10140</v>
      </c>
      <c r="G182" s="172" t="s">
        <v>10141</v>
      </c>
    </row>
    <row r="183" spans="2:7">
      <c r="B183" s="2" t="s">
        <v>7</v>
      </c>
      <c r="C183" s="160">
        <v>262</v>
      </c>
      <c r="E183" t="str">
        <f t="shared" ref="E183:F185" si="4">B183</f>
        <v>Não</v>
      </c>
      <c r="F183">
        <f t="shared" si="4"/>
        <v>262</v>
      </c>
      <c r="G183" s="170">
        <f>F183/GETPIVOTDATA("Sexo",$B$141)</f>
        <v>0.62380952380952381</v>
      </c>
    </row>
    <row r="184" spans="2:7">
      <c r="B184" s="2" t="s">
        <v>1097</v>
      </c>
      <c r="C184" s="160">
        <v>95</v>
      </c>
      <c r="E184" t="str">
        <f t="shared" si="4"/>
        <v>Reincidência</v>
      </c>
      <c r="F184">
        <f t="shared" si="4"/>
        <v>95</v>
      </c>
      <c r="G184" s="170">
        <f>F184/GETPIVOTDATA("Sexo",$B$141)</f>
        <v>0.22619047619047619</v>
      </c>
    </row>
    <row r="185" spans="2:7">
      <c r="B185" s="2" t="s">
        <v>35</v>
      </c>
      <c r="C185" s="160">
        <v>63</v>
      </c>
      <c r="E185" t="str">
        <f t="shared" si="4"/>
        <v>NA</v>
      </c>
      <c r="F185">
        <f t="shared" si="4"/>
        <v>63</v>
      </c>
      <c r="G185" s="170">
        <f>F185/GETPIVOTDATA("Sexo",$B$141)</f>
        <v>0.15</v>
      </c>
    </row>
    <row r="186" spans="2:7">
      <c r="B186" s="2" t="s">
        <v>10132</v>
      </c>
      <c r="C186" s="160">
        <v>420</v>
      </c>
      <c r="E186" s="169" t="s">
        <v>10142</v>
      </c>
      <c r="F186" s="169">
        <f>C186</f>
        <v>420</v>
      </c>
      <c r="G186" s="171">
        <f>F186/GETPIVOTDATA("Sexo",$B$141)</f>
        <v>1</v>
      </c>
    </row>
    <row r="188" spans="2:7">
      <c r="B188" s="159" t="s">
        <v>10131</v>
      </c>
      <c r="C188" t="s">
        <v>10228</v>
      </c>
      <c r="E188" s="172" t="s">
        <v>10229</v>
      </c>
      <c r="F188" s="173" t="s">
        <v>10140</v>
      </c>
      <c r="G188" s="172" t="s">
        <v>10141</v>
      </c>
    </row>
    <row r="189" spans="2:7">
      <c r="B189" s="2" t="s">
        <v>9851</v>
      </c>
      <c r="C189" s="160">
        <v>95</v>
      </c>
      <c r="E189" t="str">
        <f>B189</f>
        <v>Sim</v>
      </c>
      <c r="F189">
        <f>C189</f>
        <v>95</v>
      </c>
      <c r="G189" s="170">
        <f>F189/GETPIVOTDATA("Sexo",$B$141)</f>
        <v>0.22619047619047619</v>
      </c>
    </row>
    <row r="190" spans="2:7">
      <c r="B190" s="2" t="s">
        <v>10132</v>
      </c>
      <c r="C190" s="160">
        <v>95</v>
      </c>
      <c r="E190" t="str">
        <f>B190</f>
        <v>Grand Total</v>
      </c>
      <c r="F190">
        <f>C190</f>
        <v>95</v>
      </c>
      <c r="G190" s="170">
        <f>F190/GETPIVOTDATA("Sexo",$B$141)</f>
        <v>0.22619047619047619</v>
      </c>
    </row>
    <row r="191" spans="2:7">
      <c r="E191" s="169" t="s">
        <v>10142</v>
      </c>
      <c r="F191" s="169">
        <f>C191</f>
        <v>0</v>
      </c>
      <c r="G191" s="171">
        <f>F191/GETPIVOTDATA("Sexo",$B$141)</f>
        <v>0</v>
      </c>
    </row>
    <row r="193" spans="2:9">
      <c r="B193" s="159" t="s">
        <v>10131</v>
      </c>
      <c r="C193" t="s">
        <v>10102</v>
      </c>
    </row>
    <row r="194" spans="2:9">
      <c r="B194" s="2" t="s">
        <v>7</v>
      </c>
      <c r="C194" s="160">
        <v>307</v>
      </c>
    </row>
    <row r="195" spans="2:9">
      <c r="B195" s="2" t="s">
        <v>35</v>
      </c>
      <c r="C195" s="160">
        <v>63</v>
      </c>
    </row>
    <row r="196" spans="2:9">
      <c r="B196" s="2" t="s">
        <v>1111</v>
      </c>
      <c r="C196" s="160">
        <v>33</v>
      </c>
    </row>
    <row r="197" spans="2:9">
      <c r="B197" s="2" t="s">
        <v>1244</v>
      </c>
      <c r="C197" s="160">
        <v>9</v>
      </c>
    </row>
    <row r="198" spans="2:9">
      <c r="B198" s="2" t="s">
        <v>1677</v>
      </c>
      <c r="C198" s="160">
        <v>8</v>
      </c>
    </row>
    <row r="199" spans="2:9">
      <c r="B199" s="2" t="s">
        <v>10132</v>
      </c>
      <c r="C199" s="160">
        <v>420</v>
      </c>
    </row>
    <row r="200" spans="2:9">
      <c r="B200" s="2"/>
      <c r="C200" s="160"/>
    </row>
    <row r="201" spans="2:9">
      <c r="B201" s="2"/>
      <c r="C201" s="160"/>
      <c r="E201" s="187" t="s">
        <v>10231</v>
      </c>
      <c r="F201" s="173" t="s">
        <v>9851</v>
      </c>
      <c r="G201" s="172" t="s">
        <v>10141</v>
      </c>
      <c r="H201" s="173" t="s">
        <v>7</v>
      </c>
      <c r="I201" s="172" t="s">
        <v>10141</v>
      </c>
    </row>
    <row r="202" spans="2:9">
      <c r="B202" s="2"/>
      <c r="C202" s="160"/>
      <c r="E202" s="189" t="s">
        <v>1111</v>
      </c>
      <c r="F202">
        <f>COUNTIF(BD!$AU:$AU,Descritivo!F$201)</f>
        <v>41</v>
      </c>
      <c r="G202" s="170">
        <f>F202/(F202+H202)</f>
        <v>9.7619047619047619E-2</v>
      </c>
      <c r="H202">
        <f>COUNTIF(BD!$AU:$AU,Descritivo!H$201)</f>
        <v>379</v>
      </c>
      <c r="I202" s="170">
        <f>H202/(F202+H202)</f>
        <v>0.90238095238095239</v>
      </c>
    </row>
    <row r="203" spans="2:9">
      <c r="B203" s="2"/>
      <c r="C203" s="160"/>
      <c r="E203" s="189" t="s">
        <v>1244</v>
      </c>
      <c r="F203">
        <f>COUNTIF(BD!$AV:$AV,Descritivo!F$201)</f>
        <v>17</v>
      </c>
      <c r="G203" s="170">
        <f>F203/(F203+H203)</f>
        <v>4.0476190476190478E-2</v>
      </c>
      <c r="H203">
        <f>COUNTIF(BD!$AV:$AV,Descritivo!H$201)</f>
        <v>403</v>
      </c>
      <c r="I203" s="170">
        <f>H203/(F203+H203)</f>
        <v>0.95952380952380956</v>
      </c>
    </row>
    <row r="204" spans="2:9">
      <c r="B204" s="2"/>
      <c r="C204" s="160"/>
      <c r="E204" s="189" t="s">
        <v>10230</v>
      </c>
      <c r="F204">
        <f>COUNTIF(BD!$AW:$AW,Descritivo!F$201)</f>
        <v>307</v>
      </c>
      <c r="G204" s="170">
        <f>F204/(F204+H204)</f>
        <v>0.73095238095238091</v>
      </c>
      <c r="H204">
        <f>COUNTIF(BD!$AW:$AW,Descritivo!H$201)</f>
        <v>113</v>
      </c>
      <c r="I204" s="170">
        <f>H204/(F204+H204)</f>
        <v>0.26904761904761904</v>
      </c>
    </row>
    <row r="205" spans="2:9">
      <c r="B205" s="2"/>
      <c r="C205" s="160"/>
      <c r="E205" s="190" t="s">
        <v>35</v>
      </c>
      <c r="F205" s="185">
        <f>COUNTIF(BD!$AX:$AX,Descritivo!F$201)</f>
        <v>63</v>
      </c>
      <c r="G205" s="179">
        <f>F205/(F205+H205)</f>
        <v>0.15</v>
      </c>
      <c r="H205" s="168">
        <f>COUNTIF(BD!$AX:$AX,Descritivo!H$201)</f>
        <v>357</v>
      </c>
      <c r="I205" s="179">
        <f>H205/(F205+H205)</f>
        <v>0.85</v>
      </c>
    </row>
    <row r="206" spans="2:9">
      <c r="B206" s="2"/>
      <c r="C206" s="160"/>
    </row>
    <row r="207" spans="2:9">
      <c r="B207" s="159" t="s">
        <v>10131</v>
      </c>
      <c r="C207" t="s">
        <v>10232</v>
      </c>
      <c r="E207" s="172" t="s">
        <v>10233</v>
      </c>
      <c r="F207" s="173" t="s">
        <v>10140</v>
      </c>
      <c r="G207" s="172" t="s">
        <v>10141</v>
      </c>
    </row>
    <row r="208" spans="2:9">
      <c r="B208" s="2" t="s">
        <v>9851</v>
      </c>
      <c r="C208" s="160">
        <v>50</v>
      </c>
      <c r="E208" t="str">
        <f t="shared" ref="E208:F210" si="5">B208</f>
        <v>Sim</v>
      </c>
      <c r="F208">
        <f t="shared" si="5"/>
        <v>50</v>
      </c>
      <c r="G208" s="170">
        <f>F208/GETPIVOTDATA("Sexo",$B$141)</f>
        <v>0.11904761904761904</v>
      </c>
    </row>
    <row r="209" spans="2:7">
      <c r="B209" s="2" t="s">
        <v>7</v>
      </c>
      <c r="C209" s="160">
        <v>307</v>
      </c>
      <c r="E209" t="str">
        <f t="shared" si="5"/>
        <v>Não</v>
      </c>
      <c r="F209">
        <f t="shared" si="5"/>
        <v>307</v>
      </c>
      <c r="G209" s="170">
        <f>F209/GETPIVOTDATA("Sexo",$B$141)</f>
        <v>0.73095238095238091</v>
      </c>
    </row>
    <row r="210" spans="2:7">
      <c r="B210" s="2" t="s">
        <v>35</v>
      </c>
      <c r="C210" s="160">
        <v>63</v>
      </c>
      <c r="E210" t="str">
        <f t="shared" si="5"/>
        <v>NA</v>
      </c>
      <c r="F210">
        <f t="shared" si="5"/>
        <v>63</v>
      </c>
      <c r="G210" s="170">
        <f>F210/GETPIVOTDATA("Sexo",$B$141)</f>
        <v>0.15</v>
      </c>
    </row>
    <row r="211" spans="2:7">
      <c r="B211" s="2" t="s">
        <v>10132</v>
      </c>
      <c r="C211" s="160">
        <v>420</v>
      </c>
      <c r="E211" s="169" t="s">
        <v>10142</v>
      </c>
      <c r="F211" s="169">
        <f>C211</f>
        <v>420</v>
      </c>
      <c r="G211" s="171">
        <f>F211/GETPIVOTDATA("Sexo",$B$141)</f>
        <v>1</v>
      </c>
    </row>
    <row r="212" spans="2:7">
      <c r="B212" s="2"/>
      <c r="C212" s="160"/>
    </row>
    <row r="213" spans="2:7">
      <c r="B213" s="159" t="s">
        <v>10131</v>
      </c>
      <c r="C213" t="s">
        <v>10103</v>
      </c>
    </row>
    <row r="214" spans="2:7">
      <c r="B214" s="2" t="s">
        <v>7</v>
      </c>
      <c r="C214" s="160">
        <v>317</v>
      </c>
    </row>
    <row r="215" spans="2:7">
      <c r="B215" s="2" t="s">
        <v>35</v>
      </c>
      <c r="C215" s="160">
        <v>63</v>
      </c>
    </row>
    <row r="216" spans="2:7">
      <c r="B216" s="2" t="s">
        <v>1937</v>
      </c>
      <c r="C216" s="160">
        <v>22</v>
      </c>
    </row>
    <row r="217" spans="2:7">
      <c r="B217" s="2" t="s">
        <v>9868</v>
      </c>
      <c r="C217" s="160">
        <v>9</v>
      </c>
    </row>
    <row r="218" spans="2:7">
      <c r="B218" s="2" t="s">
        <v>9869</v>
      </c>
      <c r="C218" s="160">
        <v>4</v>
      </c>
    </row>
    <row r="219" spans="2:7">
      <c r="B219" s="2" t="s">
        <v>69</v>
      </c>
      <c r="C219" s="160">
        <v>3</v>
      </c>
    </row>
    <row r="220" spans="2:7">
      <c r="B220" s="2" t="s">
        <v>9795</v>
      </c>
      <c r="C220" s="160">
        <v>1</v>
      </c>
    </row>
    <row r="221" spans="2:7">
      <c r="B221" s="2" t="s">
        <v>9867</v>
      </c>
      <c r="C221" s="160">
        <v>1</v>
      </c>
    </row>
    <row r="222" spans="2:7">
      <c r="B222" s="2" t="s">
        <v>10132</v>
      </c>
      <c r="C222" s="160">
        <v>420</v>
      </c>
    </row>
    <row r="223" spans="2:7">
      <c r="B223" s="2"/>
      <c r="C223" s="160"/>
    </row>
    <row r="225" spans="2:9">
      <c r="E225" s="187" t="s">
        <v>10236</v>
      </c>
      <c r="F225" s="173" t="s">
        <v>9851</v>
      </c>
      <c r="G225" s="172" t="s">
        <v>10141</v>
      </c>
      <c r="H225" s="173" t="s">
        <v>7</v>
      </c>
      <c r="I225" s="193" t="s">
        <v>10141</v>
      </c>
    </row>
    <row r="226" spans="2:9">
      <c r="E226" s="192" t="s">
        <v>1937</v>
      </c>
      <c r="F226" s="176">
        <f>COUNTIF(BD!$BA:$BA,Descritivo!F$225)</f>
        <v>24</v>
      </c>
      <c r="G226" s="181">
        <f>F226/(F226+H226)</f>
        <v>5.7142857142857141E-2</v>
      </c>
      <c r="H226" s="176">
        <f>COUNTIF(BD!$BA:$BA,Descritivo!H$225)</f>
        <v>396</v>
      </c>
      <c r="I226" s="181">
        <f>H226/(F226+H226)</f>
        <v>0.94285714285714284</v>
      </c>
    </row>
    <row r="227" spans="2:9">
      <c r="E227" s="191" t="s">
        <v>10234</v>
      </c>
      <c r="F227" s="184">
        <f>COUNTIF(BD!$BB:$BB,Descritivo!F$225)</f>
        <v>1</v>
      </c>
      <c r="G227" s="175">
        <f t="shared" ref="G227:G232" si="6">F227/(F227+H227)</f>
        <v>2.3809523809523812E-3</v>
      </c>
      <c r="H227" s="174">
        <f>COUNTIF(BD!$BB:$BB,Descritivo!H$225)</f>
        <v>419</v>
      </c>
      <c r="I227" s="175">
        <f t="shared" ref="I227:I232" si="7">H227/(F227+H227)</f>
        <v>0.99761904761904763</v>
      </c>
    </row>
    <row r="228" spans="2:9">
      <c r="E228" s="191" t="s">
        <v>9869</v>
      </c>
      <c r="F228" s="184">
        <f>COUNTIF(BD!$BC:$BC,Descritivo!F$225)</f>
        <v>5</v>
      </c>
      <c r="G228" s="175">
        <f t="shared" si="6"/>
        <v>1.1904761904761904E-2</v>
      </c>
      <c r="H228" s="174">
        <f>COUNTIF(BD!$BC:$BC,Descritivo!H$225)</f>
        <v>415</v>
      </c>
      <c r="I228" s="175">
        <f t="shared" si="7"/>
        <v>0.98809523809523814</v>
      </c>
    </row>
    <row r="229" spans="2:9">
      <c r="E229" s="191" t="s">
        <v>10235</v>
      </c>
      <c r="F229" s="184">
        <f>COUNTIF(BD!$BD:$BD,Descritivo!F$225)</f>
        <v>3</v>
      </c>
      <c r="G229" s="175">
        <f t="shared" si="6"/>
        <v>7.1428571428571426E-3</v>
      </c>
      <c r="H229" s="174">
        <f>COUNTIF(BD!$BD:$BD,Descritivo!H$225)</f>
        <v>417</v>
      </c>
      <c r="I229" s="175">
        <f t="shared" si="7"/>
        <v>0.99285714285714288</v>
      </c>
    </row>
    <row r="230" spans="2:9">
      <c r="E230" s="191" t="s">
        <v>9868</v>
      </c>
      <c r="F230" s="184">
        <f>COUNTIF(BD!$BE:$BE,Descritivo!F$225)</f>
        <v>9</v>
      </c>
      <c r="G230" s="175">
        <f t="shared" si="6"/>
        <v>2.1428571428571429E-2</v>
      </c>
      <c r="H230" s="174">
        <f>COUNTIF(BD!$BE:$BE,Descritivo!H$225)</f>
        <v>411</v>
      </c>
      <c r="I230" s="175">
        <f t="shared" si="7"/>
        <v>0.97857142857142854</v>
      </c>
    </row>
    <row r="231" spans="2:9">
      <c r="E231" s="191" t="s">
        <v>10230</v>
      </c>
      <c r="F231" s="184">
        <f>COUNTIF(BD!$BF:$BF,Descritivo!F$225)</f>
        <v>317</v>
      </c>
      <c r="G231" s="175">
        <f t="shared" si="6"/>
        <v>0.75476190476190474</v>
      </c>
      <c r="H231" s="174">
        <f>COUNTIF(BD!$BF:$BF,Descritivo!H$225)</f>
        <v>103</v>
      </c>
      <c r="I231" s="175">
        <f t="shared" si="7"/>
        <v>0.24523809523809523</v>
      </c>
    </row>
    <row r="232" spans="2:9">
      <c r="E232" s="188" t="s">
        <v>35</v>
      </c>
      <c r="F232" s="185">
        <f>COUNTIF(BD!$BG:$BG,Descritivo!F$225)</f>
        <v>63</v>
      </c>
      <c r="G232" s="179">
        <f t="shared" si="6"/>
        <v>0.15</v>
      </c>
      <c r="H232" s="168">
        <f>COUNTIF(BD!$BG:$BG,Descritivo!H$225)</f>
        <v>357</v>
      </c>
      <c r="I232" s="179">
        <f t="shared" si="7"/>
        <v>0.85</v>
      </c>
    </row>
    <row r="235" spans="2:9">
      <c r="B235" s="159" t="s">
        <v>10131</v>
      </c>
      <c r="C235" t="s">
        <v>10237</v>
      </c>
      <c r="E235" s="180" t="s">
        <v>10238</v>
      </c>
      <c r="F235" s="173" t="s">
        <v>10140</v>
      </c>
      <c r="G235" s="172" t="s">
        <v>10141</v>
      </c>
    </row>
    <row r="236" spans="2:9">
      <c r="B236" s="2" t="s">
        <v>9851</v>
      </c>
      <c r="C236" s="160">
        <v>40</v>
      </c>
      <c r="E236" t="str">
        <f t="shared" ref="E236" si="8">B236</f>
        <v>Sim</v>
      </c>
      <c r="F236">
        <f t="shared" ref="F236" si="9">C236</f>
        <v>40</v>
      </c>
      <c r="G236" s="181">
        <f t="shared" ref="G236" si="10">F236/GETPIVOTDATA("Sexo",$B$141)</f>
        <v>9.5238095238095233E-2</v>
      </c>
    </row>
    <row r="237" spans="2:9">
      <c r="B237" s="2" t="s">
        <v>7</v>
      </c>
      <c r="C237" s="160">
        <v>317</v>
      </c>
      <c r="E237" t="str">
        <f t="shared" ref="E237:E238" si="11">B237</f>
        <v>Não</v>
      </c>
      <c r="F237">
        <f t="shared" ref="F237:F238" si="12">C237</f>
        <v>317</v>
      </c>
      <c r="G237" s="175">
        <f t="shared" ref="G237:G239" si="13">F237/GETPIVOTDATA("Sexo",$B$141)</f>
        <v>0.75476190476190474</v>
      </c>
    </row>
    <row r="238" spans="2:9">
      <c r="B238" s="2" t="s">
        <v>35</v>
      </c>
      <c r="C238" s="160">
        <v>63</v>
      </c>
      <c r="E238" t="str">
        <f t="shared" si="11"/>
        <v>NA</v>
      </c>
      <c r="F238">
        <f t="shared" si="12"/>
        <v>63</v>
      </c>
      <c r="G238" s="175">
        <f t="shared" si="13"/>
        <v>0.15</v>
      </c>
    </row>
    <row r="239" spans="2:9">
      <c r="B239" s="2" t="s">
        <v>10132</v>
      </c>
      <c r="C239" s="160">
        <v>420</v>
      </c>
      <c r="E239" s="169" t="s">
        <v>10142</v>
      </c>
      <c r="F239" s="169">
        <f>C239</f>
        <v>420</v>
      </c>
      <c r="G239" s="171">
        <f t="shared" si="13"/>
        <v>1</v>
      </c>
    </row>
    <row r="242" spans="2:7">
      <c r="B242" s="159" t="s">
        <v>10131</v>
      </c>
      <c r="C242" t="s">
        <v>10105</v>
      </c>
      <c r="E242" s="180" t="s">
        <v>10167</v>
      </c>
      <c r="F242" s="173" t="s">
        <v>10140</v>
      </c>
      <c r="G242" s="172" t="s">
        <v>10141</v>
      </c>
    </row>
    <row r="243" spans="2:7">
      <c r="B243" s="2" t="s">
        <v>9851</v>
      </c>
      <c r="C243" s="160">
        <v>51</v>
      </c>
      <c r="E243" t="str">
        <f t="shared" ref="E243:F245" si="14">B243</f>
        <v>Sim</v>
      </c>
      <c r="F243">
        <f t="shared" si="14"/>
        <v>51</v>
      </c>
      <c r="G243" s="181">
        <f t="shared" ref="G243:G246" si="15">F243/GETPIVOTDATA("Sexo",$B$141)</f>
        <v>0.12142857142857143</v>
      </c>
    </row>
    <row r="244" spans="2:7">
      <c r="B244" s="2" t="s">
        <v>7</v>
      </c>
      <c r="C244" s="160">
        <v>99</v>
      </c>
      <c r="E244" t="str">
        <f t="shared" si="14"/>
        <v>Não</v>
      </c>
      <c r="F244">
        <f t="shared" si="14"/>
        <v>99</v>
      </c>
      <c r="G244" s="175">
        <f t="shared" si="15"/>
        <v>0.23571428571428571</v>
      </c>
    </row>
    <row r="245" spans="2:7">
      <c r="B245" s="2" t="s">
        <v>35</v>
      </c>
      <c r="C245" s="160">
        <v>270</v>
      </c>
      <c r="E245" t="str">
        <f t="shared" si="14"/>
        <v>NA</v>
      </c>
      <c r="F245">
        <f t="shared" si="14"/>
        <v>270</v>
      </c>
      <c r="G245" s="179">
        <f t="shared" si="15"/>
        <v>0.6428571428571429</v>
      </c>
    </row>
    <row r="246" spans="2:7">
      <c r="B246" s="2" t="s">
        <v>10132</v>
      </c>
      <c r="C246" s="160">
        <v>420</v>
      </c>
      <c r="E246" s="169" t="s">
        <v>10142</v>
      </c>
      <c r="F246" s="169">
        <f>C246</f>
        <v>420</v>
      </c>
      <c r="G246" s="171">
        <f t="shared" si="15"/>
        <v>1</v>
      </c>
    </row>
    <row r="248" spans="2:7">
      <c r="B248" s="159" t="s">
        <v>10131</v>
      </c>
      <c r="C248" t="s">
        <v>10106</v>
      </c>
      <c r="E248" s="180" t="s">
        <v>10168</v>
      </c>
      <c r="F248" s="173" t="s">
        <v>10140</v>
      </c>
      <c r="G248" s="172" t="s">
        <v>10141</v>
      </c>
    </row>
    <row r="249" spans="2:7">
      <c r="B249" s="2" t="s">
        <v>1849</v>
      </c>
      <c r="C249" s="160">
        <v>250</v>
      </c>
      <c r="E249" t="str">
        <f t="shared" ref="E249:F252" si="16">B249</f>
        <v xml:space="preserve">Fechado </v>
      </c>
      <c r="F249">
        <f t="shared" si="16"/>
        <v>250</v>
      </c>
      <c r="G249" s="181">
        <f t="shared" ref="G249:G252" si="17">F249/GETPIVOTDATA("Sexo",$B$141)</f>
        <v>0.59523809523809523</v>
      </c>
    </row>
    <row r="250" spans="2:7">
      <c r="B250" s="2" t="s">
        <v>1114</v>
      </c>
      <c r="C250" s="160">
        <v>29</v>
      </c>
      <c r="E250" t="str">
        <f t="shared" si="16"/>
        <v>Semiaberto</v>
      </c>
      <c r="F250">
        <f t="shared" si="16"/>
        <v>29</v>
      </c>
      <c r="G250" s="175">
        <f t="shared" si="17"/>
        <v>6.9047619047619052E-2</v>
      </c>
    </row>
    <row r="251" spans="2:7">
      <c r="B251" s="2" t="s">
        <v>37</v>
      </c>
      <c r="C251" s="160">
        <v>29</v>
      </c>
      <c r="E251" t="str">
        <f t="shared" si="16"/>
        <v>Aberto</v>
      </c>
      <c r="F251">
        <f t="shared" si="16"/>
        <v>29</v>
      </c>
      <c r="G251" s="175">
        <f t="shared" si="17"/>
        <v>6.9047619047619052E-2</v>
      </c>
    </row>
    <row r="252" spans="2:7">
      <c r="B252" s="2" t="s">
        <v>35</v>
      </c>
      <c r="C252" s="160">
        <v>112</v>
      </c>
      <c r="E252" t="str">
        <f t="shared" si="16"/>
        <v>NA</v>
      </c>
      <c r="F252">
        <f t="shared" si="16"/>
        <v>112</v>
      </c>
      <c r="G252" s="175">
        <f t="shared" si="17"/>
        <v>0.26666666666666666</v>
      </c>
    </row>
    <row r="253" spans="2:7">
      <c r="B253" s="2" t="s">
        <v>10132</v>
      </c>
      <c r="C253" s="160">
        <v>420</v>
      </c>
      <c r="E253" s="169" t="s">
        <v>10142</v>
      </c>
      <c r="F253" s="169">
        <f>C253</f>
        <v>420</v>
      </c>
      <c r="G253" s="171">
        <f t="shared" ref="G253" si="18">F253/GETPIVOTDATA("Sexo",$B$141)</f>
        <v>1</v>
      </c>
    </row>
    <row r="255" spans="2:7">
      <c r="B255" s="159" t="s">
        <v>10131</v>
      </c>
      <c r="C255" t="s">
        <v>10171</v>
      </c>
      <c r="E255" s="180" t="s">
        <v>10172</v>
      </c>
      <c r="F255" s="173" t="s">
        <v>10140</v>
      </c>
      <c r="G255" s="172" t="s">
        <v>10141</v>
      </c>
    </row>
    <row r="256" spans="2:7">
      <c r="B256" s="2" t="s">
        <v>10170</v>
      </c>
      <c r="C256" s="160">
        <v>224</v>
      </c>
      <c r="E256" t="str">
        <f t="shared" ref="E256:F256" si="19">B256</f>
        <v>Fechado</v>
      </c>
      <c r="F256">
        <f t="shared" si="19"/>
        <v>224</v>
      </c>
      <c r="G256" s="181">
        <f t="shared" ref="G256" si="20">F256/GETPIVOTDATA("Sexo",$B$141)</f>
        <v>0.53333333333333333</v>
      </c>
    </row>
    <row r="257" spans="2:7">
      <c r="B257" s="2" t="s">
        <v>1114</v>
      </c>
      <c r="C257" s="160">
        <v>29</v>
      </c>
      <c r="E257" t="str">
        <f t="shared" ref="E257:E260" si="21">B257</f>
        <v>Semiaberto</v>
      </c>
      <c r="F257">
        <f t="shared" ref="F257:F260" si="22">C257</f>
        <v>29</v>
      </c>
      <c r="G257" s="175">
        <f t="shared" ref="G257:G261" si="23">F257/GETPIVOTDATA("Sexo",$B$141)</f>
        <v>6.9047619047619052E-2</v>
      </c>
    </row>
    <row r="258" spans="2:7">
      <c r="B258" s="2" t="s">
        <v>37</v>
      </c>
      <c r="C258" s="160">
        <v>29</v>
      </c>
      <c r="E258" t="str">
        <f t="shared" si="21"/>
        <v>Aberto</v>
      </c>
      <c r="F258">
        <f t="shared" si="22"/>
        <v>29</v>
      </c>
      <c r="G258" s="175">
        <f t="shared" si="23"/>
        <v>6.9047619047619052E-2</v>
      </c>
    </row>
    <row r="259" spans="2:7">
      <c r="B259" s="2" t="s">
        <v>35</v>
      </c>
      <c r="C259" s="160">
        <v>112</v>
      </c>
      <c r="E259" t="str">
        <f t="shared" si="21"/>
        <v>NA</v>
      </c>
      <c r="F259">
        <f t="shared" si="22"/>
        <v>112</v>
      </c>
      <c r="G259" s="175">
        <f t="shared" si="23"/>
        <v>0.26666666666666666</v>
      </c>
    </row>
    <row r="260" spans="2:7">
      <c r="B260" s="2" t="s">
        <v>10253</v>
      </c>
      <c r="C260" s="160">
        <v>26</v>
      </c>
      <c r="E260" t="str">
        <f t="shared" si="21"/>
        <v>NA (Pena Total &gt; 8)</v>
      </c>
      <c r="F260">
        <f t="shared" si="22"/>
        <v>26</v>
      </c>
      <c r="G260" s="175">
        <f t="shared" si="23"/>
        <v>6.1904761904761907E-2</v>
      </c>
    </row>
    <row r="261" spans="2:7">
      <c r="B261" s="2" t="s">
        <v>10132</v>
      </c>
      <c r="C261" s="160">
        <v>420</v>
      </c>
      <c r="E261" s="169" t="s">
        <v>10142</v>
      </c>
      <c r="F261" s="169">
        <f>C261</f>
        <v>420</v>
      </c>
      <c r="G261" s="171">
        <f t="shared" si="23"/>
        <v>1</v>
      </c>
    </row>
    <row r="263" spans="2:7">
      <c r="B263" s="159" t="s">
        <v>10131</v>
      </c>
      <c r="C263" t="s">
        <v>10133</v>
      </c>
    </row>
    <row r="264" spans="2:7">
      <c r="B264" s="2" t="s">
        <v>6</v>
      </c>
      <c r="C264" s="160">
        <v>35</v>
      </c>
    </row>
    <row r="265" spans="2:7">
      <c r="B265" s="2" t="s">
        <v>51</v>
      </c>
      <c r="C265" s="160">
        <v>28</v>
      </c>
    </row>
    <row r="266" spans="2:7">
      <c r="B266" s="2" t="s">
        <v>78</v>
      </c>
      <c r="C266" s="160">
        <v>73</v>
      </c>
    </row>
    <row r="267" spans="2:7">
      <c r="B267" s="2" t="s">
        <v>36</v>
      </c>
      <c r="C267" s="160">
        <v>284</v>
      </c>
    </row>
    <row r="268" spans="2:7">
      <c r="B268" s="2" t="s">
        <v>10132</v>
      </c>
      <c r="C268" s="160">
        <v>420</v>
      </c>
    </row>
    <row r="270" spans="2:7">
      <c r="B270" s="159" t="s">
        <v>10131</v>
      </c>
      <c r="C270" t="s">
        <v>10160</v>
      </c>
      <c r="E270" s="180" t="s">
        <v>10161</v>
      </c>
      <c r="F270" s="173" t="s">
        <v>10140</v>
      </c>
      <c r="G270" s="172" t="s">
        <v>10141</v>
      </c>
    </row>
    <row r="271" spans="2:7">
      <c r="B271" s="2" t="s">
        <v>9870</v>
      </c>
      <c r="C271" s="160">
        <v>100</v>
      </c>
      <c r="E271" t="str">
        <f t="shared" ref="E271:F275" si="24">B271</f>
        <v>Sim total</v>
      </c>
      <c r="F271">
        <f t="shared" si="24"/>
        <v>100</v>
      </c>
      <c r="G271" s="170">
        <f t="shared" ref="G271:G276" si="25">F271/GETPIVOTDATA("Sexo",$B$141)</f>
        <v>0.23809523809523808</v>
      </c>
    </row>
    <row r="272" spans="2:7">
      <c r="B272" s="2" t="s">
        <v>9871</v>
      </c>
      <c r="C272" s="160">
        <v>58</v>
      </c>
      <c r="E272" t="str">
        <f t="shared" si="24"/>
        <v>Sim parcial</v>
      </c>
      <c r="F272">
        <f t="shared" si="24"/>
        <v>58</v>
      </c>
      <c r="G272" s="170">
        <f t="shared" si="25"/>
        <v>0.1380952380952381</v>
      </c>
    </row>
    <row r="273" spans="2:13">
      <c r="B273" s="2" t="s">
        <v>7</v>
      </c>
      <c r="C273" s="160">
        <v>95</v>
      </c>
      <c r="E273" t="str">
        <f t="shared" si="24"/>
        <v>Não</v>
      </c>
      <c r="F273">
        <f t="shared" si="24"/>
        <v>95</v>
      </c>
      <c r="G273" s="170">
        <f t="shared" si="25"/>
        <v>0.22619047619047619</v>
      </c>
    </row>
    <row r="274" spans="2:13">
      <c r="B274" s="2" t="s">
        <v>9872</v>
      </c>
      <c r="C274" s="160">
        <v>104</v>
      </c>
      <c r="E274" t="str">
        <f t="shared" si="24"/>
        <v>Não cabimento</v>
      </c>
      <c r="F274">
        <f>C274</f>
        <v>104</v>
      </c>
      <c r="G274" s="170">
        <f t="shared" si="25"/>
        <v>0.24761904761904763</v>
      </c>
    </row>
    <row r="275" spans="2:13">
      <c r="B275" s="2" t="s">
        <v>35</v>
      </c>
      <c r="C275" s="160">
        <v>63</v>
      </c>
      <c r="E275" t="str">
        <f t="shared" si="24"/>
        <v>NA</v>
      </c>
      <c r="F275">
        <f>C275</f>
        <v>63</v>
      </c>
      <c r="G275" s="170">
        <f t="shared" si="25"/>
        <v>0.15</v>
      </c>
    </row>
    <row r="276" spans="2:13">
      <c r="B276" s="2" t="s">
        <v>10132</v>
      </c>
      <c r="C276" s="160">
        <v>420</v>
      </c>
      <c r="E276" s="169" t="s">
        <v>10142</v>
      </c>
      <c r="F276" s="169">
        <f>C276</f>
        <v>420</v>
      </c>
      <c r="G276" s="171">
        <f t="shared" si="25"/>
        <v>1</v>
      </c>
    </row>
    <row r="278" spans="2:13">
      <c r="B278" s="159" t="s">
        <v>10131</v>
      </c>
      <c r="C278" t="s">
        <v>10166</v>
      </c>
      <c r="E278" s="180" t="s">
        <v>10162</v>
      </c>
      <c r="F278" s="173" t="s">
        <v>10140</v>
      </c>
      <c r="G278" s="172" t="s">
        <v>10141</v>
      </c>
    </row>
    <row r="279" spans="2:13">
      <c r="B279" s="2" t="s">
        <v>10164</v>
      </c>
      <c r="C279" s="160">
        <v>158</v>
      </c>
      <c r="E279" t="s">
        <v>10164</v>
      </c>
      <c r="F279" s="176">
        <f>C279</f>
        <v>158</v>
      </c>
      <c r="G279" s="181">
        <f t="shared" ref="G279:G282" si="26">F279/GETPIVOTDATA("Sexo",$B$141)</f>
        <v>0.37619047619047619</v>
      </c>
    </row>
    <row r="280" spans="2:13">
      <c r="B280" s="2" t="s">
        <v>7</v>
      </c>
      <c r="C280" s="160">
        <v>95</v>
      </c>
      <c r="E280" t="s">
        <v>7</v>
      </c>
      <c r="F280" s="174">
        <f>C280</f>
        <v>95</v>
      </c>
      <c r="G280" s="175">
        <f t="shared" si="26"/>
        <v>0.22619047619047619</v>
      </c>
    </row>
    <row r="281" spans="2:13">
      <c r="B281" s="2" t="s">
        <v>10165</v>
      </c>
      <c r="C281" s="160">
        <v>167</v>
      </c>
      <c r="E281" s="168" t="s">
        <v>10165</v>
      </c>
      <c r="F281" s="168">
        <f>C281</f>
        <v>167</v>
      </c>
      <c r="G281" s="179">
        <f t="shared" si="26"/>
        <v>0.39761904761904759</v>
      </c>
    </row>
    <row r="282" spans="2:13">
      <c r="B282" s="2" t="s">
        <v>10132</v>
      </c>
      <c r="C282" s="160">
        <v>420</v>
      </c>
      <c r="E282" s="169" t="s">
        <v>10142</v>
      </c>
      <c r="F282" s="169">
        <f>C282</f>
        <v>420</v>
      </c>
      <c r="G282" s="171">
        <f t="shared" si="26"/>
        <v>1</v>
      </c>
    </row>
    <row r="284" spans="2:13">
      <c r="B284" t="s">
        <v>10173</v>
      </c>
      <c r="C284" t="s">
        <v>10174</v>
      </c>
      <c r="D284" t="s">
        <v>10175</v>
      </c>
      <c r="E284" t="s">
        <v>10176</v>
      </c>
      <c r="F284" t="s">
        <v>10177</v>
      </c>
      <c r="H284" s="169" t="s">
        <v>10151</v>
      </c>
      <c r="I284" s="169" t="s">
        <v>10152</v>
      </c>
      <c r="J284" s="169" t="s">
        <v>10153</v>
      </c>
      <c r="K284" s="169" t="s">
        <v>10154</v>
      </c>
      <c r="L284" s="169" t="s">
        <v>10155</v>
      </c>
      <c r="M284" s="169" t="s">
        <v>10156</v>
      </c>
    </row>
    <row r="285" spans="2:13">
      <c r="B285" s="160">
        <v>420</v>
      </c>
      <c r="C285" s="160">
        <v>49.770873015873008</v>
      </c>
      <c r="D285" s="160">
        <v>0</v>
      </c>
      <c r="E285" s="160">
        <v>372</v>
      </c>
      <c r="F285" s="160">
        <v>44.679976534620039</v>
      </c>
      <c r="H285" s="169" t="s">
        <v>10178</v>
      </c>
      <c r="I285" s="169">
        <f>B285</f>
        <v>420</v>
      </c>
      <c r="J285" s="177">
        <f>C285</f>
        <v>49.770873015873008</v>
      </c>
      <c r="K285" s="169">
        <f>D285</f>
        <v>0</v>
      </c>
      <c r="L285" s="169">
        <f>E285</f>
        <v>372</v>
      </c>
      <c r="M285" s="178">
        <f>F285</f>
        <v>44.679976534620039</v>
      </c>
    </row>
    <row r="286" spans="2:13">
      <c r="H286" t="s">
        <v>10180</v>
      </c>
    </row>
    <row r="289" spans="2:13">
      <c r="B289" s="159" t="s">
        <v>10104</v>
      </c>
      <c r="C289" t="s">
        <v>10179</v>
      </c>
    </row>
    <row r="291" spans="2:13">
      <c r="B291" t="s">
        <v>10173</v>
      </c>
      <c r="C291" t="s">
        <v>10174</v>
      </c>
      <c r="D291" t="s">
        <v>10175</v>
      </c>
      <c r="E291" t="s">
        <v>10176</v>
      </c>
      <c r="F291" t="s">
        <v>10177</v>
      </c>
      <c r="H291" s="169" t="s">
        <v>10151</v>
      </c>
      <c r="I291" s="169" t="s">
        <v>10152</v>
      </c>
      <c r="J291" s="169" t="s">
        <v>10153</v>
      </c>
      <c r="K291" s="169" t="s">
        <v>10154</v>
      </c>
      <c r="L291" s="169" t="s">
        <v>10155</v>
      </c>
      <c r="M291" s="169" t="s">
        <v>10156</v>
      </c>
    </row>
    <row r="292" spans="2:13">
      <c r="B292" s="160">
        <v>359</v>
      </c>
      <c r="C292" s="160">
        <v>58.227762302692653</v>
      </c>
      <c r="D292" s="160">
        <v>4</v>
      </c>
      <c r="E292" s="160">
        <v>372</v>
      </c>
      <c r="F292" s="160">
        <v>42.926108613039091</v>
      </c>
      <c r="H292" s="169" t="s">
        <v>10178</v>
      </c>
      <c r="I292" s="169">
        <f>B292</f>
        <v>359</v>
      </c>
      <c r="J292" s="177">
        <f>C292</f>
        <v>58.227762302692653</v>
      </c>
      <c r="K292" s="169">
        <f>D292</f>
        <v>4</v>
      </c>
      <c r="L292" s="169">
        <f>E292</f>
        <v>372</v>
      </c>
      <c r="M292" s="178">
        <f>F292</f>
        <v>42.926108613039091</v>
      </c>
    </row>
    <row r="293" spans="2:13">
      <c r="H293" t="s">
        <v>10181</v>
      </c>
    </row>
    <row r="295" spans="2:13">
      <c r="B295" t="s">
        <v>10182</v>
      </c>
      <c r="C295" t="s">
        <v>10183</v>
      </c>
      <c r="D295" t="s">
        <v>10184</v>
      </c>
      <c r="E295" t="s">
        <v>10185</v>
      </c>
      <c r="F295" t="s">
        <v>10186</v>
      </c>
      <c r="H295" s="169" t="s">
        <v>10151</v>
      </c>
      <c r="I295" s="169" t="s">
        <v>10152</v>
      </c>
      <c r="J295" s="169" t="s">
        <v>10153</v>
      </c>
      <c r="K295" s="169" t="s">
        <v>10154</v>
      </c>
      <c r="L295" s="169" t="s">
        <v>10155</v>
      </c>
      <c r="M295" s="169" t="s">
        <v>10156</v>
      </c>
    </row>
    <row r="296" spans="2:13">
      <c r="B296" s="160">
        <v>420</v>
      </c>
      <c r="C296" s="160">
        <v>45.049523809523784</v>
      </c>
      <c r="D296" s="160">
        <v>0</v>
      </c>
      <c r="E296" s="160">
        <v>180</v>
      </c>
      <c r="F296" s="160">
        <v>31.976659186581458</v>
      </c>
      <c r="H296" s="169" t="s">
        <v>10188</v>
      </c>
      <c r="I296" s="169">
        <f>B296</f>
        <v>420</v>
      </c>
      <c r="J296" s="177">
        <f>C296</f>
        <v>45.049523809523784</v>
      </c>
      <c r="K296" s="169">
        <f>D296</f>
        <v>0</v>
      </c>
      <c r="L296" s="169">
        <f>E296</f>
        <v>180</v>
      </c>
      <c r="M296" s="178">
        <f>F296</f>
        <v>31.976659186581458</v>
      </c>
    </row>
    <row r="297" spans="2:13">
      <c r="H297" t="s">
        <v>10187</v>
      </c>
    </row>
    <row r="300" spans="2:13">
      <c r="B300" s="159" t="s">
        <v>10128</v>
      </c>
      <c r="C300" t="s">
        <v>10179</v>
      </c>
    </row>
    <row r="302" spans="2:13">
      <c r="B302" t="s">
        <v>10182</v>
      </c>
      <c r="C302" t="s">
        <v>10183</v>
      </c>
      <c r="D302" t="s">
        <v>10184</v>
      </c>
      <c r="E302" t="s">
        <v>10185</v>
      </c>
      <c r="F302" t="s">
        <v>10186</v>
      </c>
      <c r="H302" s="169" t="s">
        <v>10151</v>
      </c>
      <c r="I302" s="169" t="s">
        <v>10152</v>
      </c>
      <c r="J302" s="169" t="s">
        <v>10153</v>
      </c>
      <c r="K302" s="169" t="s">
        <v>10154</v>
      </c>
      <c r="L302" s="169" t="s">
        <v>10155</v>
      </c>
      <c r="M302" s="169" t="s">
        <v>10156</v>
      </c>
    </row>
    <row r="303" spans="2:13">
      <c r="B303" s="160">
        <v>357</v>
      </c>
      <c r="C303" s="160">
        <v>52.999439775910332</v>
      </c>
      <c r="D303" s="160">
        <v>20</v>
      </c>
      <c r="E303" s="160">
        <v>180</v>
      </c>
      <c r="F303" s="160">
        <v>27.945148470371205</v>
      </c>
      <c r="H303" s="169" t="s">
        <v>10188</v>
      </c>
      <c r="I303" s="169">
        <f>B303</f>
        <v>357</v>
      </c>
      <c r="J303" s="177">
        <f>C303</f>
        <v>52.999439775910332</v>
      </c>
      <c r="K303" s="178">
        <f>D303</f>
        <v>20</v>
      </c>
      <c r="L303" s="169">
        <f>E303</f>
        <v>180</v>
      </c>
      <c r="M303" s="178">
        <f>F303</f>
        <v>27.945148470371205</v>
      </c>
    </row>
    <row r="304" spans="2:13">
      <c r="B304" s="160"/>
      <c r="C304" s="160"/>
      <c r="D304" s="160"/>
      <c r="E304" s="160"/>
      <c r="F304" s="160"/>
      <c r="H304" t="s">
        <v>10189</v>
      </c>
    </row>
    <row r="306" spans="2:13">
      <c r="B306" t="s">
        <v>10190</v>
      </c>
      <c r="C306" t="s">
        <v>10191</v>
      </c>
      <c r="D306" t="s">
        <v>10192</v>
      </c>
      <c r="E306" t="s">
        <v>10193</v>
      </c>
      <c r="F306" t="s">
        <v>10194</v>
      </c>
      <c r="H306" s="169" t="s">
        <v>10151</v>
      </c>
      <c r="I306" s="169" t="s">
        <v>10152</v>
      </c>
      <c r="J306" s="169" t="s">
        <v>10153</v>
      </c>
      <c r="K306" s="169" t="s">
        <v>10154</v>
      </c>
      <c r="L306" s="169" t="s">
        <v>10155</v>
      </c>
      <c r="M306" s="169" t="s">
        <v>10156</v>
      </c>
    </row>
    <row r="307" spans="2:13">
      <c r="B307" s="160">
        <v>420</v>
      </c>
      <c r="C307" s="160">
        <v>3323.8713809523788</v>
      </c>
      <c r="D307" s="160">
        <v>0</v>
      </c>
      <c r="E307" s="160">
        <v>209300</v>
      </c>
      <c r="F307" s="160">
        <v>21777.78313826368</v>
      </c>
      <c r="H307" s="169" t="s">
        <v>10123</v>
      </c>
      <c r="I307" s="169">
        <f>B307</f>
        <v>420</v>
      </c>
      <c r="J307" s="177">
        <f>C307</f>
        <v>3323.8713809523788</v>
      </c>
      <c r="K307" s="178">
        <f>D307</f>
        <v>0</v>
      </c>
      <c r="L307" s="169">
        <f>E307</f>
        <v>209300</v>
      </c>
      <c r="M307" s="178">
        <f>F307</f>
        <v>21777.78313826368</v>
      </c>
    </row>
    <row r="308" spans="2:13">
      <c r="H308" t="s">
        <v>10215</v>
      </c>
    </row>
    <row r="310" spans="2:13">
      <c r="B310" s="159" t="s">
        <v>10123</v>
      </c>
      <c r="C310" t="s">
        <v>10179</v>
      </c>
    </row>
    <row r="312" spans="2:13">
      <c r="B312" t="s">
        <v>10190</v>
      </c>
      <c r="C312" t="s">
        <v>10191</v>
      </c>
      <c r="D312" t="s">
        <v>10192</v>
      </c>
      <c r="E312" t="s">
        <v>10193</v>
      </c>
      <c r="F312" t="s">
        <v>10194</v>
      </c>
      <c r="H312" s="169" t="s">
        <v>10151</v>
      </c>
      <c r="I312" s="169" t="s">
        <v>10152</v>
      </c>
      <c r="J312" s="169" t="s">
        <v>10153</v>
      </c>
      <c r="K312" s="169" t="s">
        <v>10154</v>
      </c>
      <c r="L312" s="169" t="s">
        <v>10155</v>
      </c>
      <c r="M312" s="169" t="s">
        <v>10156</v>
      </c>
    </row>
    <row r="313" spans="2:13">
      <c r="B313" s="160">
        <v>290</v>
      </c>
      <c r="C313" s="160">
        <v>4813.8826896551718</v>
      </c>
      <c r="D313" s="160">
        <v>0.7</v>
      </c>
      <c r="E313" s="160">
        <v>209300</v>
      </c>
      <c r="F313" s="160">
        <v>26084.757099483144</v>
      </c>
      <c r="H313" s="169" t="s">
        <v>10123</v>
      </c>
      <c r="I313" s="169">
        <f>B313</f>
        <v>290</v>
      </c>
      <c r="J313" s="177">
        <f>C313</f>
        <v>4813.8826896551718</v>
      </c>
      <c r="K313" s="178">
        <f>D313</f>
        <v>0.7</v>
      </c>
      <c r="L313" s="169">
        <f>E313</f>
        <v>209300</v>
      </c>
      <c r="M313" s="178">
        <f>F313</f>
        <v>26084.757099483144</v>
      </c>
    </row>
    <row r="314" spans="2:13">
      <c r="H314" t="s">
        <v>10216</v>
      </c>
    </row>
    <row r="320" spans="2:13">
      <c r="B320" t="s">
        <v>10195</v>
      </c>
      <c r="C320" t="s">
        <v>10197</v>
      </c>
      <c r="D320" t="s">
        <v>10198</v>
      </c>
      <c r="E320" t="s">
        <v>10199</v>
      </c>
      <c r="F320" t="s">
        <v>10196</v>
      </c>
      <c r="H320" s="169" t="s">
        <v>10151</v>
      </c>
      <c r="I320" s="169" t="s">
        <v>10152</v>
      </c>
      <c r="J320" s="169" t="s">
        <v>10153</v>
      </c>
      <c r="K320" s="169" t="s">
        <v>10154</v>
      </c>
      <c r="L320" s="169" t="s">
        <v>10155</v>
      </c>
      <c r="M320" s="169" t="s">
        <v>10156</v>
      </c>
    </row>
    <row r="321" spans="2:13">
      <c r="B321" s="160">
        <v>420</v>
      </c>
      <c r="C321" s="160">
        <v>860.44404761904798</v>
      </c>
      <c r="D321" s="160">
        <v>0</v>
      </c>
      <c r="E321" s="160">
        <v>45962</v>
      </c>
      <c r="F321" s="160">
        <v>420</v>
      </c>
      <c r="H321" s="169" t="s">
        <v>10124</v>
      </c>
      <c r="I321" s="169">
        <f>B321</f>
        <v>420</v>
      </c>
      <c r="J321" s="177">
        <f>C321</f>
        <v>860.44404761904798</v>
      </c>
      <c r="K321" s="178">
        <f>D321</f>
        <v>0</v>
      </c>
      <c r="L321" s="169">
        <f>E321</f>
        <v>45962</v>
      </c>
      <c r="M321" s="178">
        <f>F321</f>
        <v>420</v>
      </c>
    </row>
    <row r="322" spans="2:13">
      <c r="H322" t="s">
        <v>10215</v>
      </c>
    </row>
    <row r="324" spans="2:13">
      <c r="B324" s="159" t="s">
        <v>10124</v>
      </c>
      <c r="C324" t="s">
        <v>10179</v>
      </c>
    </row>
    <row r="326" spans="2:13">
      <c r="B326" t="s">
        <v>10195</v>
      </c>
      <c r="C326" t="s">
        <v>10197</v>
      </c>
      <c r="D326" t="s">
        <v>10198</v>
      </c>
      <c r="E326" t="s">
        <v>10199</v>
      </c>
      <c r="F326" t="s">
        <v>10196</v>
      </c>
      <c r="H326" s="169" t="s">
        <v>10151</v>
      </c>
      <c r="I326" s="169" t="s">
        <v>10152</v>
      </c>
      <c r="J326" s="169" t="s">
        <v>10153</v>
      </c>
      <c r="K326" s="169" t="s">
        <v>10154</v>
      </c>
      <c r="L326" s="169" t="s">
        <v>10155</v>
      </c>
      <c r="M326" s="169" t="s">
        <v>10156</v>
      </c>
    </row>
    <row r="327" spans="2:13">
      <c r="B327" s="160">
        <v>314</v>
      </c>
      <c r="C327" s="160">
        <v>1150.9124203821641</v>
      </c>
      <c r="D327" s="160">
        <v>0.3</v>
      </c>
      <c r="E327" s="160">
        <v>45962</v>
      </c>
      <c r="F327" s="160">
        <v>314</v>
      </c>
      <c r="H327" s="169" t="s">
        <v>10124</v>
      </c>
      <c r="I327" s="169">
        <f>B327</f>
        <v>314</v>
      </c>
      <c r="J327" s="177">
        <f>C327</f>
        <v>1150.9124203821641</v>
      </c>
      <c r="K327" s="178">
        <f>D327</f>
        <v>0.3</v>
      </c>
      <c r="L327" s="169">
        <f>E327</f>
        <v>45962</v>
      </c>
      <c r="M327" s="178">
        <f>F327</f>
        <v>314</v>
      </c>
    </row>
    <row r="328" spans="2:13">
      <c r="H328" t="s">
        <v>10216</v>
      </c>
    </row>
    <row r="330" spans="2:13">
      <c r="B330" t="s">
        <v>10200</v>
      </c>
      <c r="C330" t="s">
        <v>10201</v>
      </c>
      <c r="D330" t="s">
        <v>10202</v>
      </c>
      <c r="E330" t="s">
        <v>10203</v>
      </c>
      <c r="F330" t="s">
        <v>10204</v>
      </c>
      <c r="H330" s="169" t="s">
        <v>10151</v>
      </c>
      <c r="I330" s="169" t="s">
        <v>10152</v>
      </c>
      <c r="J330" s="169" t="s">
        <v>10153</v>
      </c>
      <c r="K330" s="169" t="s">
        <v>10154</v>
      </c>
      <c r="L330" s="169" t="s">
        <v>10155</v>
      </c>
      <c r="M330" s="169" t="s">
        <v>10156</v>
      </c>
    </row>
    <row r="331" spans="2:13">
      <c r="B331" s="160">
        <v>420</v>
      </c>
      <c r="C331" s="160">
        <v>40.494928571428566</v>
      </c>
      <c r="D331" s="160">
        <v>0</v>
      </c>
      <c r="E331" s="160">
        <v>3334.6</v>
      </c>
      <c r="F331" s="160">
        <v>231.09518115275267</v>
      </c>
      <c r="H331" s="169" t="s">
        <v>10125</v>
      </c>
      <c r="I331" s="169">
        <f>B331</f>
        <v>420</v>
      </c>
      <c r="J331" s="177">
        <f>C331</f>
        <v>40.494928571428566</v>
      </c>
      <c r="K331" s="178">
        <f>D331</f>
        <v>0</v>
      </c>
      <c r="L331" s="169">
        <f>E331</f>
        <v>3334.6</v>
      </c>
      <c r="M331" s="178">
        <f>F331</f>
        <v>231.09518115275267</v>
      </c>
    </row>
    <row r="332" spans="2:13">
      <c r="H332" t="s">
        <v>10215</v>
      </c>
    </row>
    <row r="333" spans="2:13">
      <c r="B333" s="159" t="s">
        <v>10125</v>
      </c>
      <c r="C333" t="s">
        <v>10179</v>
      </c>
    </row>
    <row r="335" spans="2:13">
      <c r="B335" t="s">
        <v>10200</v>
      </c>
      <c r="C335" t="s">
        <v>10201</v>
      </c>
      <c r="D335" t="s">
        <v>10202</v>
      </c>
      <c r="E335" t="s">
        <v>10203</v>
      </c>
      <c r="F335" t="s">
        <v>10204</v>
      </c>
      <c r="H335" s="169" t="s">
        <v>10151</v>
      </c>
      <c r="I335" s="169" t="s">
        <v>10152</v>
      </c>
      <c r="J335" s="169" t="s">
        <v>10153</v>
      </c>
      <c r="K335" s="169" t="s">
        <v>10154</v>
      </c>
      <c r="L335" s="169" t="s">
        <v>10155</v>
      </c>
      <c r="M335" s="169" t="s">
        <v>10156</v>
      </c>
    </row>
    <row r="336" spans="2:13">
      <c r="B336" s="160">
        <v>157</v>
      </c>
      <c r="C336" s="160">
        <v>108.33038216560512</v>
      </c>
      <c r="D336" s="160">
        <v>0.05</v>
      </c>
      <c r="E336" s="160">
        <v>3334.6</v>
      </c>
      <c r="F336" s="160">
        <v>368.84218705969806</v>
      </c>
      <c r="H336" s="169" t="s">
        <v>10125</v>
      </c>
      <c r="I336" s="169">
        <f>B336</f>
        <v>157</v>
      </c>
      <c r="J336" s="177">
        <f>C336</f>
        <v>108.33038216560512</v>
      </c>
      <c r="K336" s="178">
        <f>D336</f>
        <v>0.05</v>
      </c>
      <c r="L336" s="169">
        <f>E336</f>
        <v>3334.6</v>
      </c>
      <c r="M336" s="178">
        <f>F336</f>
        <v>368.84218705969806</v>
      </c>
    </row>
    <row r="337" spans="2:13">
      <c r="H337" t="s">
        <v>10216</v>
      </c>
    </row>
    <row r="339" spans="2:13">
      <c r="B339" t="s">
        <v>10205</v>
      </c>
      <c r="C339" t="s">
        <v>10206</v>
      </c>
      <c r="D339" t="s">
        <v>10207</v>
      </c>
      <c r="E339" t="s">
        <v>10208</v>
      </c>
      <c r="F339" t="s">
        <v>10209</v>
      </c>
      <c r="H339" s="169" t="s">
        <v>10151</v>
      </c>
      <c r="I339" s="169" t="s">
        <v>10152</v>
      </c>
      <c r="J339" s="169" t="s">
        <v>10153</v>
      </c>
      <c r="K339" s="169" t="s">
        <v>10154</v>
      </c>
      <c r="L339" s="169" t="s">
        <v>10155</v>
      </c>
      <c r="M339" s="169" t="s">
        <v>10156</v>
      </c>
    </row>
    <row r="340" spans="2:13">
      <c r="B340" s="160">
        <v>420</v>
      </c>
      <c r="C340" s="160">
        <v>1.8973809523809524</v>
      </c>
      <c r="D340" s="160">
        <v>0</v>
      </c>
      <c r="E340" s="160">
        <v>246.3</v>
      </c>
      <c r="F340" s="160">
        <v>20.78150379653647</v>
      </c>
      <c r="H340" s="169" t="s">
        <v>10126</v>
      </c>
      <c r="I340" s="169">
        <f>B340</f>
        <v>420</v>
      </c>
      <c r="J340" s="177">
        <f>C340</f>
        <v>1.8973809523809524</v>
      </c>
      <c r="K340" s="178">
        <f>D340</f>
        <v>0</v>
      </c>
      <c r="L340" s="169">
        <f>E340</f>
        <v>246.3</v>
      </c>
      <c r="M340" s="178">
        <f>F340</f>
        <v>20.78150379653647</v>
      </c>
    </row>
    <row r="341" spans="2:13">
      <c r="H341" t="s">
        <v>10215</v>
      </c>
    </row>
    <row r="342" spans="2:13">
      <c r="B342" s="159" t="s">
        <v>10126</v>
      </c>
      <c r="C342" t="s">
        <v>10179</v>
      </c>
    </row>
    <row r="344" spans="2:13">
      <c r="B344" t="s">
        <v>10205</v>
      </c>
      <c r="C344" t="s">
        <v>10206</v>
      </c>
      <c r="D344" t="s">
        <v>10207</v>
      </c>
      <c r="E344" t="s">
        <v>10208</v>
      </c>
      <c r="F344" t="s">
        <v>10209</v>
      </c>
      <c r="H344" s="169" t="s">
        <v>10151</v>
      </c>
      <c r="I344" s="169" t="s">
        <v>10152</v>
      </c>
      <c r="J344" s="169" t="s">
        <v>10153</v>
      </c>
      <c r="K344" s="169" t="s">
        <v>10154</v>
      </c>
      <c r="L344" s="169" t="s">
        <v>10155</v>
      </c>
      <c r="M344" s="169" t="s">
        <v>10156</v>
      </c>
    </row>
    <row r="345" spans="2:13">
      <c r="B345" s="160">
        <v>13</v>
      </c>
      <c r="C345" s="160">
        <v>61.300000000000004</v>
      </c>
      <c r="D345" s="160">
        <v>0.4</v>
      </c>
      <c r="E345" s="160">
        <v>246.3</v>
      </c>
      <c r="F345" s="160">
        <v>105.52091419871861</v>
      </c>
      <c r="H345" s="169" t="s">
        <v>10126</v>
      </c>
      <c r="I345" s="169">
        <f>B345</f>
        <v>13</v>
      </c>
      <c r="J345" s="177">
        <f>C345</f>
        <v>61.300000000000004</v>
      </c>
      <c r="K345" s="178">
        <f>D345</f>
        <v>0.4</v>
      </c>
      <c r="L345" s="169">
        <f>E345</f>
        <v>246.3</v>
      </c>
      <c r="M345" s="178">
        <f>F345</f>
        <v>105.52091419871861</v>
      </c>
    </row>
    <row r="346" spans="2:13">
      <c r="H346" t="s">
        <v>10216</v>
      </c>
    </row>
    <row r="348" spans="2:13">
      <c r="B348" t="s">
        <v>10210</v>
      </c>
      <c r="C348" t="s">
        <v>10211</v>
      </c>
      <c r="D348" t="s">
        <v>10212</v>
      </c>
      <c r="E348" t="s">
        <v>10213</v>
      </c>
      <c r="F348" t="s">
        <v>10214</v>
      </c>
      <c r="H348" s="169" t="s">
        <v>10151</v>
      </c>
      <c r="I348" s="169" t="s">
        <v>10152</v>
      </c>
      <c r="J348" s="169" t="s">
        <v>10153</v>
      </c>
      <c r="K348" s="169" t="s">
        <v>10154</v>
      </c>
      <c r="L348" s="169" t="s">
        <v>10155</v>
      </c>
      <c r="M348" s="169" t="s">
        <v>10156</v>
      </c>
    </row>
    <row r="349" spans="2:13">
      <c r="B349" s="160">
        <v>420</v>
      </c>
      <c r="C349" s="160">
        <v>2.8095238095238093E-2</v>
      </c>
      <c r="D349" s="160">
        <v>0</v>
      </c>
      <c r="E349" s="160">
        <v>10.4</v>
      </c>
      <c r="F349" s="160">
        <v>0.50823405285678835</v>
      </c>
      <c r="H349" s="169" t="s">
        <v>10127</v>
      </c>
      <c r="I349" s="169">
        <f>B349</f>
        <v>420</v>
      </c>
      <c r="J349" s="177">
        <f>C349</f>
        <v>2.8095238095238093E-2</v>
      </c>
      <c r="K349" s="178">
        <f>D349</f>
        <v>0</v>
      </c>
      <c r="L349" s="169">
        <f>E349</f>
        <v>10.4</v>
      </c>
      <c r="M349" s="178">
        <f>F349</f>
        <v>0.50823405285678835</v>
      </c>
    </row>
    <row r="350" spans="2:13">
      <c r="H350" t="s">
        <v>10215</v>
      </c>
    </row>
    <row r="351" spans="2:13">
      <c r="B351" s="159" t="s">
        <v>10127</v>
      </c>
      <c r="C351" t="s">
        <v>10179</v>
      </c>
    </row>
    <row r="353" spans="2:13">
      <c r="B353" t="s">
        <v>10210</v>
      </c>
      <c r="C353" t="s">
        <v>10211</v>
      </c>
      <c r="D353" t="s">
        <v>10212</v>
      </c>
      <c r="E353" t="s">
        <v>10213</v>
      </c>
      <c r="F353" t="s">
        <v>10214</v>
      </c>
      <c r="H353" s="169" t="s">
        <v>10151</v>
      </c>
      <c r="I353" s="169" t="s">
        <v>10152</v>
      </c>
      <c r="J353" s="169" t="s">
        <v>10153</v>
      </c>
      <c r="K353" s="169" t="s">
        <v>10154</v>
      </c>
      <c r="L353" s="169" t="s">
        <v>10155</v>
      </c>
      <c r="M353" s="169" t="s">
        <v>10156</v>
      </c>
    </row>
    <row r="354" spans="2:13">
      <c r="B354" s="160">
        <v>8</v>
      </c>
      <c r="C354" s="160">
        <v>1.4749999999999999</v>
      </c>
      <c r="D354" s="160">
        <v>0.1</v>
      </c>
      <c r="E354" s="160">
        <v>10.4</v>
      </c>
      <c r="F354" s="160">
        <v>3.6086206308148912</v>
      </c>
      <c r="H354" s="169" t="s">
        <v>10127</v>
      </c>
      <c r="I354" s="169">
        <f>B354</f>
        <v>8</v>
      </c>
      <c r="J354" s="177">
        <f>C354</f>
        <v>1.4749999999999999</v>
      </c>
      <c r="K354" s="178">
        <f>D354</f>
        <v>0.1</v>
      </c>
      <c r="L354" s="169">
        <f>E354</f>
        <v>10.4</v>
      </c>
      <c r="M354" s="178">
        <f>F354</f>
        <v>3.6086206308148912</v>
      </c>
    </row>
    <row r="355" spans="2:13">
      <c r="H355" t="s">
        <v>10216</v>
      </c>
    </row>
    <row r="359" spans="2:13">
      <c r="H359" s="169" t="s">
        <v>10223</v>
      </c>
      <c r="I359" s="183" t="s">
        <v>9851</v>
      </c>
      <c r="J359" s="169" t="s">
        <v>10141</v>
      </c>
      <c r="K359" s="182" t="s">
        <v>7</v>
      </c>
      <c r="L359" s="169" t="s">
        <v>10141</v>
      </c>
    </row>
    <row r="360" spans="2:13">
      <c r="H360" t="s">
        <v>10217</v>
      </c>
      <c r="I360" s="184">
        <f>COUNTIF(BD!$AC:$AC,Descritivo!I$359)</f>
        <v>3</v>
      </c>
      <c r="J360" s="170">
        <f t="shared" ref="J360:J365" si="27">I360/(I360+K360)</f>
        <v>7.1428571428571426E-3</v>
      </c>
      <c r="K360">
        <f>COUNTIF(BD!$AC:$AC,Descritivo!K$359)</f>
        <v>417</v>
      </c>
      <c r="L360" s="170">
        <f t="shared" ref="L360:L365" si="28">K360/(I360+K360)</f>
        <v>0.99285714285714288</v>
      </c>
    </row>
    <row r="361" spans="2:13">
      <c r="H361" t="s">
        <v>10219</v>
      </c>
      <c r="I361" s="184">
        <f>COUNTIF(BD!$AD:$AD,Descritivo!I$359)</f>
        <v>3</v>
      </c>
      <c r="J361" s="170">
        <f t="shared" si="27"/>
        <v>7.1428571428571426E-3</v>
      </c>
      <c r="K361">
        <f>COUNTIF(BD!$AD:$AD,Descritivo!K$359)</f>
        <v>417</v>
      </c>
      <c r="L361" s="170">
        <f t="shared" si="28"/>
        <v>0.99285714285714288</v>
      </c>
    </row>
    <row r="362" spans="2:13">
      <c r="H362" t="s">
        <v>10218</v>
      </c>
      <c r="I362" s="184">
        <f>COUNTIF(BD!$AE:$AE,Descritivo!I$359)</f>
        <v>9</v>
      </c>
      <c r="J362" s="170">
        <f t="shared" si="27"/>
        <v>2.1428571428571429E-2</v>
      </c>
      <c r="K362">
        <f>COUNTIF(BD!$AE:$AE,Descritivo!K$359)</f>
        <v>411</v>
      </c>
      <c r="L362" s="170">
        <f t="shared" si="28"/>
        <v>0.97857142857142854</v>
      </c>
    </row>
    <row r="363" spans="2:13">
      <c r="H363" t="s">
        <v>10220</v>
      </c>
      <c r="I363" s="184">
        <f>COUNTIF(BD!$AF:$AF,Descritivo!I$359)</f>
        <v>2</v>
      </c>
      <c r="J363" s="170">
        <f t="shared" si="27"/>
        <v>4.7619047619047623E-3</v>
      </c>
      <c r="K363">
        <f>COUNTIF(BD!$AF:$AF,Descritivo!K$359)</f>
        <v>418</v>
      </c>
      <c r="L363" s="170">
        <f t="shared" si="28"/>
        <v>0.99523809523809526</v>
      </c>
    </row>
    <row r="364" spans="2:13">
      <c r="H364" t="s">
        <v>10221</v>
      </c>
      <c r="I364" s="184">
        <f>COUNTIF(BD!$AG:$AG,Descritivo!I$359)</f>
        <v>27</v>
      </c>
      <c r="J364" s="170">
        <f t="shared" si="27"/>
        <v>6.4285714285714279E-2</v>
      </c>
      <c r="K364">
        <f>COUNTIF(BD!$AG:$AG,Descritivo!K$359)</f>
        <v>393</v>
      </c>
      <c r="L364" s="170">
        <f t="shared" si="28"/>
        <v>0.93571428571428572</v>
      </c>
    </row>
    <row r="365" spans="2:13">
      <c r="H365" s="168" t="s">
        <v>10222</v>
      </c>
      <c r="I365" s="185">
        <f>COUNTIF(BD!$AH:$AH,Descritivo!I$359)</f>
        <v>1</v>
      </c>
      <c r="J365" s="179">
        <f t="shared" si="27"/>
        <v>2.3809523809523812E-3</v>
      </c>
      <c r="K365" s="168">
        <f>COUNTIF(BD!$AH:$AH,Descritivo!K$359)</f>
        <v>419</v>
      </c>
      <c r="L365" s="179">
        <f t="shared" si="28"/>
        <v>0.99761904761904763</v>
      </c>
    </row>
  </sheetData>
  <pageMargins left="0.511811024" right="0.511811024" top="0.78740157499999996" bottom="0.78740157499999996" header="0.31496062000000002" footer="0.31496062000000002"/>
  <pageSetup paperSize="9" orientation="portrait" r:id="rId3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2:AU36"/>
  <sheetViews>
    <sheetView showGridLines="0" showRowColHeaders="0" workbookViewId="0">
      <selection activeCell="A6" sqref="A6"/>
    </sheetView>
  </sheetViews>
  <sheetFormatPr defaultRowHeight="15"/>
  <cols>
    <col min="2" max="2" width="16.28515625" bestFit="1" customWidth="1"/>
    <col min="3" max="3" width="14.7109375" bestFit="1" customWidth="1"/>
    <col min="4" max="4" width="12.85546875" customWidth="1"/>
    <col min="5" max="5" width="7" style="194" customWidth="1"/>
    <col min="6" max="6" width="25.5703125" customWidth="1"/>
    <col min="7" max="7" width="10.28515625" customWidth="1"/>
    <col min="8" max="8" width="16.42578125" customWidth="1"/>
    <col min="9" max="9" width="5.5703125" bestFit="1" customWidth="1"/>
    <col min="10" max="10" width="13" style="194" customWidth="1"/>
    <col min="11" max="11" width="3.5703125" style="194" bestFit="1" customWidth="1"/>
    <col min="12" max="12" width="13" style="194" customWidth="1"/>
    <col min="13" max="13" width="3.5703125" style="194" bestFit="1" customWidth="1"/>
    <col min="14" max="14" width="13" style="194" customWidth="1"/>
    <col min="15" max="15" width="3.5703125" style="194" bestFit="1" customWidth="1"/>
    <col min="16" max="16" width="13" style="194" customWidth="1"/>
    <col min="17" max="17" width="3.5703125" style="194" bestFit="1" customWidth="1"/>
    <col min="18" max="18" width="13" style="194" customWidth="1"/>
    <col min="19" max="19" width="13.28515625" style="207" bestFit="1" customWidth="1"/>
    <col min="20" max="20" width="23.42578125" style="210" customWidth="1"/>
    <col min="21" max="21" width="7.7109375" style="210" customWidth="1"/>
    <col min="22" max="22" width="12.85546875" style="210" customWidth="1"/>
    <col min="23" max="23" width="4.5703125" style="210" bestFit="1" customWidth="1"/>
    <col min="24" max="24" width="12.85546875" style="210" customWidth="1"/>
    <col min="25" max="25" width="6.42578125" style="210" customWidth="1"/>
    <col min="26" max="26" width="12.140625" style="210" bestFit="1" customWidth="1"/>
    <col min="27" max="27" width="9.140625" style="210"/>
    <col min="28" max="28" width="12.85546875" style="210" bestFit="1" customWidth="1"/>
    <col min="29" max="29" width="9.140625" style="210"/>
    <col min="30" max="30" width="12.85546875" style="210" bestFit="1" customWidth="1"/>
    <col min="31" max="31" width="9.140625" style="210"/>
    <col min="32" max="32" width="11.42578125" style="210" bestFit="1" customWidth="1"/>
    <col min="33" max="33" width="9.140625" style="210"/>
    <col min="34" max="34" width="16" style="210" bestFit="1" customWidth="1"/>
    <col min="35" max="35" width="9.140625" style="210"/>
    <col min="36" max="37" width="9.140625" style="117"/>
    <col min="38" max="38" width="22" style="117" bestFit="1" customWidth="1"/>
    <col min="39" max="39" width="5.7109375" style="117" customWidth="1"/>
    <col min="40" max="41" width="9.42578125" style="117" customWidth="1"/>
    <col min="42" max="42" width="7.42578125" style="117" customWidth="1"/>
    <col min="43" max="43" width="12.28515625" style="117" customWidth="1"/>
    <col min="44" max="44" width="12.140625" style="117" customWidth="1"/>
    <col min="45" max="45" width="9.140625" style="117"/>
    <col min="46" max="46" width="11.140625" customWidth="1"/>
  </cols>
  <sheetData>
    <row r="2" spans="2:47">
      <c r="I2" s="205" t="s">
        <v>10243</v>
      </c>
      <c r="AN2" s="205" t="s">
        <v>10247</v>
      </c>
    </row>
    <row r="3" spans="2:47">
      <c r="D3" s="231" t="s">
        <v>10139</v>
      </c>
      <c r="E3" s="231"/>
      <c r="F3" s="231" t="s">
        <v>10144</v>
      </c>
      <c r="G3" s="231"/>
      <c r="H3" s="199" t="s">
        <v>10241</v>
      </c>
      <c r="I3" s="228" t="s">
        <v>10123</v>
      </c>
      <c r="J3" s="227"/>
      <c r="K3" s="227" t="s">
        <v>10124</v>
      </c>
      <c r="L3" s="227"/>
      <c r="M3" s="227" t="s">
        <v>10125</v>
      </c>
      <c r="N3" s="227"/>
      <c r="O3" s="227" t="s">
        <v>10126</v>
      </c>
      <c r="P3" s="227"/>
      <c r="Q3" s="227" t="s">
        <v>10127</v>
      </c>
      <c r="R3" s="227"/>
      <c r="S3" s="208" t="s">
        <v>10223</v>
      </c>
      <c r="T3" s="229" t="s">
        <v>20</v>
      </c>
      <c r="U3" s="233"/>
      <c r="V3" s="225" t="s">
        <v>10244</v>
      </c>
      <c r="W3" s="234"/>
      <c r="X3" s="234"/>
      <c r="Y3" s="226"/>
      <c r="Z3" s="229" t="s">
        <v>10245</v>
      </c>
      <c r="AA3" s="233"/>
      <c r="AB3" s="233"/>
      <c r="AC3" s="233"/>
      <c r="AD3" s="233"/>
      <c r="AE3" s="233"/>
      <c r="AF3" s="233"/>
      <c r="AG3" s="233"/>
      <c r="AH3" s="233"/>
      <c r="AI3" s="230"/>
      <c r="AJ3" s="225" t="s">
        <v>10236</v>
      </c>
      <c r="AK3" s="226"/>
      <c r="AL3" s="225" t="s">
        <v>10246</v>
      </c>
      <c r="AM3" s="226"/>
      <c r="AN3" s="228" t="s">
        <v>10248</v>
      </c>
      <c r="AO3" s="227"/>
      <c r="AP3" s="227" t="s">
        <v>10249</v>
      </c>
      <c r="AQ3" s="232"/>
      <c r="AR3" s="229" t="s">
        <v>22</v>
      </c>
      <c r="AS3" s="230"/>
      <c r="AT3" s="225" t="s">
        <v>21</v>
      </c>
      <c r="AU3" s="226"/>
    </row>
    <row r="4" spans="2:47">
      <c r="B4" s="196" t="s">
        <v>11</v>
      </c>
      <c r="C4" s="196" t="s">
        <v>10239</v>
      </c>
      <c r="D4" s="173" t="s">
        <v>3</v>
      </c>
      <c r="E4" s="196" t="s">
        <v>10141</v>
      </c>
      <c r="F4" s="173" t="s">
        <v>10135</v>
      </c>
      <c r="G4" s="172" t="s">
        <v>10141</v>
      </c>
      <c r="H4" s="196" t="s">
        <v>10240</v>
      </c>
      <c r="I4" s="202" t="s">
        <v>10242</v>
      </c>
      <c r="J4" s="196" t="s">
        <v>10240</v>
      </c>
      <c r="K4" s="196" t="s">
        <v>10242</v>
      </c>
      <c r="L4" s="196" t="s">
        <v>10240</v>
      </c>
      <c r="M4" s="196" t="s">
        <v>10242</v>
      </c>
      <c r="N4" s="196" t="s">
        <v>10240</v>
      </c>
      <c r="O4" s="196" t="s">
        <v>10242</v>
      </c>
      <c r="P4" s="196" t="s">
        <v>10240</v>
      </c>
      <c r="Q4" s="196" t="s">
        <v>10242</v>
      </c>
      <c r="R4" s="196" t="s">
        <v>10240</v>
      </c>
      <c r="S4" s="200" t="s">
        <v>10242</v>
      </c>
      <c r="T4" s="196" t="s">
        <v>10138</v>
      </c>
      <c r="U4" s="209" t="s">
        <v>10141</v>
      </c>
      <c r="V4" s="202" t="s">
        <v>1111</v>
      </c>
      <c r="W4" s="196" t="s">
        <v>10141</v>
      </c>
      <c r="X4" s="196" t="s">
        <v>1244</v>
      </c>
      <c r="Y4" s="200" t="s">
        <v>10141</v>
      </c>
      <c r="Z4" s="216" t="s">
        <v>1937</v>
      </c>
      <c r="AA4" s="196" t="s">
        <v>10141</v>
      </c>
      <c r="AB4" s="209" t="s">
        <v>10234</v>
      </c>
      <c r="AC4" s="196" t="s">
        <v>10141</v>
      </c>
      <c r="AD4" s="209" t="s">
        <v>9869</v>
      </c>
      <c r="AE4" s="196" t="s">
        <v>10141</v>
      </c>
      <c r="AF4" s="209" t="s">
        <v>10235</v>
      </c>
      <c r="AG4" s="196" t="s">
        <v>10141</v>
      </c>
      <c r="AH4" s="209" t="s">
        <v>9868</v>
      </c>
      <c r="AI4" s="200" t="s">
        <v>10141</v>
      </c>
      <c r="AJ4" s="216" t="s">
        <v>9851</v>
      </c>
      <c r="AK4" s="200" t="s">
        <v>10141</v>
      </c>
      <c r="AL4" s="216" t="s">
        <v>10164</v>
      </c>
      <c r="AM4" s="200" t="s">
        <v>10141</v>
      </c>
      <c r="AN4" s="202" t="s">
        <v>10242</v>
      </c>
      <c r="AO4" s="196" t="s">
        <v>10240</v>
      </c>
      <c r="AP4" s="195" t="s">
        <v>10242</v>
      </c>
      <c r="AQ4" s="219" t="s">
        <v>10240</v>
      </c>
      <c r="AR4" s="216" t="s">
        <v>9851</v>
      </c>
      <c r="AS4" s="200" t="s">
        <v>10141</v>
      </c>
      <c r="AT4" s="216" t="s">
        <v>10170</v>
      </c>
      <c r="AU4" s="200" t="s">
        <v>10141</v>
      </c>
    </row>
    <row r="5" spans="2:47">
      <c r="B5" s="2" t="s">
        <v>120</v>
      </c>
      <c r="C5" s="197">
        <f>COUNTIF(BD!G:G,'Panorama (res. por Vara)'!B5)</f>
        <v>12</v>
      </c>
      <c r="D5" s="197">
        <f>COUNTIFS(BD!G:G,'Panorama (res. por Vara)'!B5,BD!K:K,$D$4)</f>
        <v>12</v>
      </c>
      <c r="E5" s="198">
        <f>D5/C5</f>
        <v>1</v>
      </c>
      <c r="F5" s="197">
        <f>COUNTIFS(BD!G:G,'Panorama (res. por Vara)'!B5,BD!O:O,$F$4)</f>
        <v>4</v>
      </c>
      <c r="G5" s="198">
        <f>F5/C5</f>
        <v>0.33333333333333331</v>
      </c>
      <c r="H5" s="201">
        <f>SUMIF(BD!G:G,'Panorama (res. por Vara)'!B5,BD!M:M)/C5</f>
        <v>26.333333333333332</v>
      </c>
      <c r="I5" s="203">
        <f>COUNTIFS(BD!G:G,'Panorama (res. por Vara)'!B5,BD!S:S,"&gt;0")</f>
        <v>9</v>
      </c>
      <c r="J5" s="204">
        <f>SUMIF(BD!G:G,'Panorama (res. por Vara)'!B5,BD!S:S)/I5</f>
        <v>3209.6333333333332</v>
      </c>
      <c r="K5" s="194">
        <f>COUNTIFS(BD!G:G,'Panorama (res. por Vara)'!B5,BD!U:U,"&gt;0")</f>
        <v>6</v>
      </c>
      <c r="L5" s="204">
        <f>SUMIF(BD!G:G,'Panorama (res. por Vara)'!B5,BD!U:U)/K5</f>
        <v>205.58333333333334</v>
      </c>
      <c r="M5" s="194">
        <f>COUNTIFS(BD!G:G,'Panorama (res. por Vara)'!B5,BD!W:W,"&gt;0")</f>
        <v>3</v>
      </c>
      <c r="N5" s="204">
        <f>SUMIF(BD!G:G,'Panorama (res. por Vara)'!B5,BD!W:W)/M5</f>
        <v>6.9666666666666659</v>
      </c>
      <c r="O5" s="194">
        <f>COUNTIFS(BD!G:G,'Panorama (res. por Vara)'!B5,BD!Y:Y,"&gt;0")</f>
        <v>0</v>
      </c>
      <c r="P5" s="194" t="str">
        <f>IF(O5=0,"-",SUMIF(BD!G:G,'Panorama (res. por Vara)'!B5,BD!Y:Y)/O5)</f>
        <v>-</v>
      </c>
      <c r="Q5" s="194">
        <f>COUNTIFS(BD!G:G,'Panorama (res. por Vara)'!B5,BD!AA:AA,"&gt;0")</f>
        <v>0</v>
      </c>
      <c r="R5" s="207" t="str">
        <f>IF(Q5=0,"-",SUMIF(BD!G:G,'Panorama (res. por Vara)'!B5,BD!AA:AA)/Q5)</f>
        <v>-</v>
      </c>
      <c r="S5" s="206">
        <f>COUNTIFS(BD!G:G,'Panorama (res. por Vara)'!B5,BD!AB:AB,"&lt;&gt;0")</f>
        <v>0</v>
      </c>
      <c r="T5" s="210">
        <f>COUNTIFS(BD!G:G,'Panorama (res. por Vara)'!B5,BD!AM:AM,'Panorama (res. por Vara)'!$T$4)</f>
        <v>9</v>
      </c>
      <c r="U5" s="211">
        <f>T5/C5</f>
        <v>0.75</v>
      </c>
      <c r="V5" s="215">
        <f>COUNTIFS(BD!G:G,'Panorama (res. por Vara)'!B5,BD!AU:AU,"sim")</f>
        <v>0</v>
      </c>
      <c r="W5" s="213">
        <f>V5/C5</f>
        <v>0</v>
      </c>
      <c r="X5" s="212">
        <f>COUNTIFS(BD!G:G,'Panorama (res. por Vara)'!B5,BD!AV:AV,"sim")</f>
        <v>0</v>
      </c>
      <c r="Y5" s="214">
        <f>X5/C5</f>
        <v>0</v>
      </c>
      <c r="Z5" s="215">
        <f>COUNTIFS(BD!G:G,'Panorama (res. por Vara)'!B5,BD!BA:BA,"sim")</f>
        <v>0</v>
      </c>
      <c r="AA5" s="213">
        <f>Z5/$C5</f>
        <v>0</v>
      </c>
      <c r="AB5" s="212">
        <f>COUNTIFS(BD!G:G,'Panorama (res. por Vara)'!B5,BD!BB:BB,"sim")</f>
        <v>0</v>
      </c>
      <c r="AC5" s="213">
        <f>AB5/$C5</f>
        <v>0</v>
      </c>
      <c r="AD5" s="212">
        <f>COUNTIFS(BD!G:G,'Panorama (res. por Vara)'!B5,BD!BC:BC,"sim")</f>
        <v>0</v>
      </c>
      <c r="AE5" s="213">
        <f>AD5/$C5</f>
        <v>0</v>
      </c>
      <c r="AF5" s="212">
        <f>COUNTIFS(BD!G:G,'Panorama (res. por Vara)'!B5,BD!BD:BD,"sim")</f>
        <v>0</v>
      </c>
      <c r="AG5" s="213">
        <f>AF5/$C5</f>
        <v>0</v>
      </c>
      <c r="AH5" s="212">
        <f>COUNTIFS(BD!G:G,'Panorama (res. por Vara)'!B5,BD!BE:BE,"sim")</f>
        <v>0</v>
      </c>
      <c r="AI5" s="218">
        <f>AH5/$C5</f>
        <v>0</v>
      </c>
      <c r="AJ5" s="215">
        <f>COUNTIFS(BD!G:G,'Panorama (res. por Vara)'!B5,BD!BH:BH,"sim")</f>
        <v>0</v>
      </c>
      <c r="AK5" s="214">
        <f>AJ5/C5</f>
        <v>0</v>
      </c>
      <c r="AL5" s="217">
        <f>COUNTIFS(BD!G:G,'Panorama (res. por Vara)'!B5,BD!BJ:BJ,'Panorama (res. por Vara)'!$AL$4)</f>
        <v>1</v>
      </c>
      <c r="AM5" s="214">
        <f>AL5/C5</f>
        <v>8.3333333333333329E-2</v>
      </c>
      <c r="AN5" s="220">
        <f>COUNTIFS(BD!G:G,'Panorama (res. por Vara)'!B5,BD!BL:BL,"&gt;0")</f>
        <v>9</v>
      </c>
      <c r="AO5" s="221">
        <f>SUMIF(BD!G:G,'Panorama (res. por Vara)'!B5,BD!BL:BL)/AN5</f>
        <v>64.370370370370381</v>
      </c>
      <c r="AP5" s="212">
        <f>COUNTIFS(BD!G:G,'Panorama (res. por Vara)'!B5,BD!BP:BP,"&gt;0")</f>
        <v>9</v>
      </c>
      <c r="AQ5" s="222">
        <f>SUMIF(BD!G:G,'Panorama (res. por Vara)'!B5,BD!BP:BP)/AP5</f>
        <v>77.703703703703695</v>
      </c>
      <c r="AR5" s="217">
        <f>COUNTIFS(BD!G:G,'Panorama (res. por Vara)'!B5,BD!BQ:BQ,"Sim")</f>
        <v>1</v>
      </c>
      <c r="AS5" s="214">
        <f>AR5/C5</f>
        <v>8.3333333333333329E-2</v>
      </c>
      <c r="AT5" s="223">
        <f>COUNTIFS(BD!G:G,'Panorama (res. por Vara)'!B5,BD!BS:BS,"Fechado")</f>
        <v>7</v>
      </c>
      <c r="AU5" s="224">
        <f>AT5/C5</f>
        <v>0.58333333333333337</v>
      </c>
    </row>
    <row r="6" spans="2:47">
      <c r="B6" s="2" t="s">
        <v>225</v>
      </c>
      <c r="C6" s="197">
        <f>COUNTIF(BD!G:G,'Panorama (res. por Vara)'!B6)</f>
        <v>11</v>
      </c>
      <c r="D6" s="197">
        <f>COUNTIFS(BD!G:G,'Panorama (res. por Vara)'!B6,BD!K:K,$D$4)</f>
        <v>11</v>
      </c>
      <c r="E6" s="198">
        <f t="shared" ref="E6:E36" si="0">D6/C6</f>
        <v>1</v>
      </c>
      <c r="F6" s="197">
        <f>COUNTIFS(BD!G:G,'Panorama (res. por Vara)'!B6,BD!O:O,$F$4)</f>
        <v>7</v>
      </c>
      <c r="G6" s="198">
        <f t="shared" ref="G6:G36" si="1">F6/C6</f>
        <v>0.63636363636363635</v>
      </c>
      <c r="H6" s="201">
        <f>SUMIF(BD!G:G,'Panorama (res. por Vara)'!B6,BD!M:M)/C6</f>
        <v>24.09090909090909</v>
      </c>
      <c r="I6" s="203">
        <f>COUNTIFS(BD!G:G,'Panorama (res. por Vara)'!B6,BD!S:S,"&gt;0")</f>
        <v>7</v>
      </c>
      <c r="J6" s="204">
        <f>SUMIF(BD!G:G,'Panorama (res. por Vara)'!B6,BD!S:S)/I6</f>
        <v>72.714285714285708</v>
      </c>
      <c r="K6" s="194">
        <f>COUNTIFS(BD!G:G,'Panorama (res. por Vara)'!B6,BD!U:U,"&gt;0")</f>
        <v>9</v>
      </c>
      <c r="L6" s="204">
        <f>SUMIF(BD!G:G,'Panorama (res. por Vara)'!B6,BD!U:U)/K6</f>
        <v>59.699999999999996</v>
      </c>
      <c r="M6" s="194">
        <f>COUNTIFS(BD!G:G,'Panorama (res. por Vara)'!B6,BD!W:W,"&gt;0")</f>
        <v>6</v>
      </c>
      <c r="N6" s="204">
        <f>SUMIF(BD!G:G,'Panorama (res. por Vara)'!B6,BD!W:W)/M6</f>
        <v>16.916666666666664</v>
      </c>
      <c r="O6" s="194">
        <f>COUNTIFS(BD!G:G,'Panorama (res. por Vara)'!B6,BD!Y:Y,"&gt;0")</f>
        <v>1</v>
      </c>
      <c r="P6" s="194">
        <f>IF(O6=0,"-",SUMIF(BD!G:G,'Panorama (res. por Vara)'!B6,BD!Y:Y)/O6)</f>
        <v>12.2</v>
      </c>
      <c r="Q6" s="194">
        <f>COUNTIFS(BD!G:G,'Panorama (res. por Vara)'!B6,BD!AA:AA,"&gt;0")</f>
        <v>0</v>
      </c>
      <c r="R6" s="207" t="str">
        <f>IF(Q6=0,"-",SUMIF(BD!G:G,'Panorama (res. por Vara)'!B6,BD!AA:AA)/Q6)</f>
        <v>-</v>
      </c>
      <c r="S6" s="206">
        <f>COUNTIFS(BD!G:G,'Panorama (res. por Vara)'!B6,BD!AB:AB,"&lt;&gt;0")</f>
        <v>1</v>
      </c>
      <c r="T6" s="210">
        <f>COUNTIFS(BD!G:G,'Panorama (res. por Vara)'!B6,BD!AM:AM,'Panorama (res. por Vara)'!$T$4)</f>
        <v>10</v>
      </c>
      <c r="U6" s="211">
        <f t="shared" ref="U6:U36" si="2">T6/C6</f>
        <v>0.90909090909090906</v>
      </c>
      <c r="V6" s="215">
        <f>COUNTIFS(BD!G:G,'Panorama (res. por Vara)'!B6,BD!AU:AU,"sim")</f>
        <v>1</v>
      </c>
      <c r="W6" s="213">
        <f t="shared" ref="W6:W36" si="3">V6/C6</f>
        <v>9.0909090909090912E-2</v>
      </c>
      <c r="X6" s="212">
        <f>COUNTIFS(BD!G:G,'Panorama (res. por Vara)'!B6,BD!AV:AV,"sim")</f>
        <v>1</v>
      </c>
      <c r="Y6" s="214">
        <f t="shared" ref="Y6:Y36" si="4">X6/C6</f>
        <v>9.0909090909090912E-2</v>
      </c>
      <c r="Z6" s="215">
        <f>COUNTIFS(BD!G:G,'Panorama (res. por Vara)'!B6,BD!BA:BA,"sim")</f>
        <v>0</v>
      </c>
      <c r="AA6" s="213">
        <f t="shared" ref="AA6:AC36" si="5">Z6/$C6</f>
        <v>0</v>
      </c>
      <c r="AB6" s="212">
        <f>COUNTIFS(BD!G:G,'Panorama (res. por Vara)'!B6,BD!BB:BB,"sim")</f>
        <v>0</v>
      </c>
      <c r="AC6" s="213">
        <f t="shared" si="5"/>
        <v>0</v>
      </c>
      <c r="AD6" s="212">
        <f>COUNTIFS(BD!G:G,'Panorama (res. por Vara)'!B6,BD!BC:BC,"sim")</f>
        <v>0</v>
      </c>
      <c r="AE6" s="213">
        <f t="shared" ref="AE6" si="6">AD6/$C6</f>
        <v>0</v>
      </c>
      <c r="AF6" s="212">
        <f>COUNTIFS(BD!G:G,'Panorama (res. por Vara)'!B6,BD!BD:BD,"sim")</f>
        <v>0</v>
      </c>
      <c r="AG6" s="213">
        <f t="shared" ref="AG6" si="7">AF6/$C6</f>
        <v>0</v>
      </c>
      <c r="AH6" s="212">
        <f>COUNTIFS(BD!G:G,'Panorama (res. por Vara)'!B6,BD!BE:BE,"sim")</f>
        <v>0</v>
      </c>
      <c r="AI6" s="218">
        <f t="shared" ref="AI6" si="8">AH6/$C6</f>
        <v>0</v>
      </c>
      <c r="AJ6" s="215">
        <f>COUNTIFS(BD!G:G,'Panorama (res. por Vara)'!B6,BD!BH:BH,"sim")</f>
        <v>0</v>
      </c>
      <c r="AK6" s="214">
        <f t="shared" ref="AK6:AK36" si="9">AJ6/C6</f>
        <v>0</v>
      </c>
      <c r="AL6" s="217">
        <f>COUNTIFS(BD!G:G,'Panorama (res. por Vara)'!B6,BD!BJ:BJ,'Panorama (res. por Vara)'!$AL$4)</f>
        <v>8</v>
      </c>
      <c r="AM6" s="214">
        <f t="shared" ref="AM6:AM36" si="10">AL6/C6</f>
        <v>0.72727272727272729</v>
      </c>
      <c r="AN6" s="220">
        <f>COUNTIFS(BD!G:G,'Panorama (res. por Vara)'!B6,BD!BL:BL,"&gt;0")</f>
        <v>10</v>
      </c>
      <c r="AO6" s="221">
        <f>SUMIF(BD!G:G,'Panorama (res. por Vara)'!B6,BD!BL:BL)/AN6</f>
        <v>32.4</v>
      </c>
      <c r="AP6" s="212">
        <f>COUNTIFS(BD!G:G,'Panorama (res. por Vara)'!B6,BD!BP:BP,"&gt;0")</f>
        <v>10</v>
      </c>
      <c r="AQ6" s="222">
        <f>SUMIF(BD!G:G,'Panorama (res. por Vara)'!B6,BD!BP:BP)/AP6</f>
        <v>34.799999999999997</v>
      </c>
      <c r="AR6" s="217">
        <f>COUNTIFS(BD!G:G,'Panorama (res. por Vara)'!B6,BD!BQ:BQ,"Sim")</f>
        <v>0</v>
      </c>
      <c r="AS6" s="214">
        <f t="shared" ref="AS6:AS36" si="11">AR6/C6</f>
        <v>0</v>
      </c>
      <c r="AT6" s="223">
        <f>COUNTIFS(BD!G:G,'Panorama (res. por Vara)'!B6,BD!BS:BS,"Fechado")</f>
        <v>7</v>
      </c>
      <c r="AU6" s="224">
        <f t="shared" ref="AU6:AU36" si="12">AT6/C6</f>
        <v>0.63636363636363635</v>
      </c>
    </row>
    <row r="7" spans="2:47">
      <c r="B7" s="2" t="s">
        <v>364</v>
      </c>
      <c r="C7" s="197">
        <f>COUNTIF(BD!G:G,'Panorama (res. por Vara)'!B7)</f>
        <v>20</v>
      </c>
      <c r="D7" s="197">
        <f>COUNTIFS(BD!G:G,'Panorama (res. por Vara)'!B7,BD!K:K,$D$4)</f>
        <v>19</v>
      </c>
      <c r="E7" s="198">
        <f t="shared" si="0"/>
        <v>0.95</v>
      </c>
      <c r="F7" s="197">
        <f>COUNTIFS(BD!G:G,'Panorama (res. por Vara)'!B7,BD!O:O,$F$4)</f>
        <v>10</v>
      </c>
      <c r="G7" s="198">
        <f t="shared" si="1"/>
        <v>0.5</v>
      </c>
      <c r="H7" s="201">
        <f>SUMIF(BD!G:G,'Panorama (res. por Vara)'!B7,BD!M:M)/C7</f>
        <v>29.05</v>
      </c>
      <c r="I7" s="203">
        <f>COUNTIFS(BD!G:G,'Panorama (res. por Vara)'!B7,BD!S:S,"&gt;0")</f>
        <v>12</v>
      </c>
      <c r="J7" s="204">
        <f>SUMIF(BD!G:G,'Panorama (res. por Vara)'!B7,BD!S:S)/I7</f>
        <v>76597.708333333328</v>
      </c>
      <c r="K7" s="194">
        <f>COUNTIFS(BD!G:G,'Panorama (res. por Vara)'!B7,BD!U:U,"&gt;0")</f>
        <v>12</v>
      </c>
      <c r="L7" s="204">
        <f>SUMIF(BD!G:G,'Panorama (res. por Vara)'!B7,BD!U:U)/K7</f>
        <v>203.60000000000002</v>
      </c>
      <c r="M7" s="194">
        <f>COUNTIFS(BD!G:G,'Panorama (res. por Vara)'!B7,BD!W:W,"&gt;0")</f>
        <v>4</v>
      </c>
      <c r="N7" s="204">
        <f>SUMIF(BD!G:G,'Panorama (res. por Vara)'!B7,BD!W:W)/M7</f>
        <v>1.05</v>
      </c>
      <c r="O7" s="194">
        <f>COUNTIFS(BD!G:G,'Panorama (res. por Vara)'!B7,BD!Y:Y,"&gt;0")</f>
        <v>0</v>
      </c>
      <c r="P7" s="194" t="str">
        <f>IF(O7=0,"-",SUMIF(BD!G:G,'Panorama (res. por Vara)'!B7,BD!Y:Y)/O7)</f>
        <v>-</v>
      </c>
      <c r="Q7" s="194">
        <f>COUNTIFS(BD!G:G,'Panorama (res. por Vara)'!B7,BD!AA:AA,"&gt;0")</f>
        <v>0</v>
      </c>
      <c r="R7" s="207" t="str">
        <f>IF(Q7=0,"-",SUMIF(BD!G:G,'Panorama (res. por Vara)'!B7,BD!AA:AA)/Q7)</f>
        <v>-</v>
      </c>
      <c r="S7" s="206">
        <f>COUNTIFS(BD!G:G,'Panorama (res. por Vara)'!B7,BD!AB:AB,"&lt;&gt;0")</f>
        <v>2</v>
      </c>
      <c r="T7" s="210">
        <f>COUNTIFS(BD!G:G,'Panorama (res. por Vara)'!B7,BD!AM:AM,'Panorama (res. por Vara)'!$T$4)</f>
        <v>18</v>
      </c>
      <c r="U7" s="211">
        <f t="shared" si="2"/>
        <v>0.9</v>
      </c>
      <c r="V7" s="215">
        <f>COUNTIFS(BD!G:G,'Panorama (res. por Vara)'!B7,BD!AU:AU,"sim")</f>
        <v>4</v>
      </c>
      <c r="W7" s="213">
        <f t="shared" si="3"/>
        <v>0.2</v>
      </c>
      <c r="X7" s="212">
        <f>COUNTIFS(BD!G:G,'Panorama (res. por Vara)'!B7,BD!AV:AV,"sim")</f>
        <v>2</v>
      </c>
      <c r="Y7" s="214">
        <f t="shared" si="4"/>
        <v>0.1</v>
      </c>
      <c r="Z7" s="215">
        <f>COUNTIFS(BD!G:G,'Panorama (res. por Vara)'!B7,BD!BA:BA,"sim")</f>
        <v>4</v>
      </c>
      <c r="AA7" s="213">
        <f t="shared" si="5"/>
        <v>0.2</v>
      </c>
      <c r="AB7" s="212">
        <f>COUNTIFS(BD!G:G,'Panorama (res. por Vara)'!B7,BD!BB:BB,"sim")</f>
        <v>0</v>
      </c>
      <c r="AC7" s="213">
        <f t="shared" si="5"/>
        <v>0</v>
      </c>
      <c r="AD7" s="212">
        <f>COUNTIFS(BD!G:G,'Panorama (res. por Vara)'!B7,BD!BC:BC,"sim")</f>
        <v>0</v>
      </c>
      <c r="AE7" s="213">
        <f t="shared" ref="AE7" si="13">AD7/$C7</f>
        <v>0</v>
      </c>
      <c r="AF7" s="212">
        <f>COUNTIFS(BD!G:G,'Panorama (res. por Vara)'!B7,BD!BD:BD,"sim")</f>
        <v>0</v>
      </c>
      <c r="AG7" s="213">
        <f t="shared" ref="AG7" si="14">AF7/$C7</f>
        <v>0</v>
      </c>
      <c r="AH7" s="212">
        <f>COUNTIFS(BD!G:G,'Panorama (res. por Vara)'!B7,BD!BE:BE,"sim")</f>
        <v>0</v>
      </c>
      <c r="AI7" s="218">
        <f t="shared" ref="AI7" si="15">AH7/$C7</f>
        <v>0</v>
      </c>
      <c r="AJ7" s="215">
        <f>COUNTIFS(BD!G:G,'Panorama (res. por Vara)'!B7,BD!BH:BH,"sim")</f>
        <v>4</v>
      </c>
      <c r="AK7" s="214">
        <f t="shared" si="9"/>
        <v>0.2</v>
      </c>
      <c r="AL7" s="217">
        <f>COUNTIFS(BD!G:G,'Panorama (res. por Vara)'!B7,BD!BJ:BJ,'Panorama (res. por Vara)'!$AL$4)</f>
        <v>6</v>
      </c>
      <c r="AM7" s="214">
        <f t="shared" si="10"/>
        <v>0.3</v>
      </c>
      <c r="AN7" s="220">
        <f>COUNTIFS(BD!G:G,'Panorama (res. por Vara)'!B7,BD!BL:BL,"&gt;0")</f>
        <v>18</v>
      </c>
      <c r="AO7" s="221">
        <f>SUMIF(BD!G:G,'Panorama (res. por Vara)'!B7,BD!BL:BL)/AN7</f>
        <v>67.351851851851848</v>
      </c>
      <c r="AP7" s="212">
        <f>COUNTIFS(BD!G:G,'Panorama (res. por Vara)'!B7,BD!BP:BP,"&gt;0")</f>
        <v>18</v>
      </c>
      <c r="AQ7" s="222">
        <f>SUMIF(BD!G:G,'Panorama (res. por Vara)'!B7,BD!BP:BP)/AP7</f>
        <v>76.064814814814824</v>
      </c>
      <c r="AR7" s="217">
        <f>COUNTIFS(BD!G:G,'Panorama (res. por Vara)'!B7,BD!BQ:BQ,"Sim")</f>
        <v>3</v>
      </c>
      <c r="AS7" s="214">
        <f t="shared" si="11"/>
        <v>0.15</v>
      </c>
      <c r="AT7" s="223">
        <f>COUNTIFS(BD!G:G,'Panorama (res. por Vara)'!B7,BD!BS:BS,"Fechado")</f>
        <v>9</v>
      </c>
      <c r="AU7" s="224">
        <f t="shared" si="12"/>
        <v>0.45</v>
      </c>
    </row>
    <row r="8" spans="2:47">
      <c r="B8" s="2" t="s">
        <v>426</v>
      </c>
      <c r="C8" s="197">
        <f>COUNTIF(BD!G:G,'Panorama (res. por Vara)'!B8)</f>
        <v>15</v>
      </c>
      <c r="D8" s="197">
        <f>COUNTIFS(BD!G:G,'Panorama (res. por Vara)'!B8,BD!K:K,$D$4)</f>
        <v>14</v>
      </c>
      <c r="E8" s="198">
        <f t="shared" si="0"/>
        <v>0.93333333333333335</v>
      </c>
      <c r="F8" s="197">
        <f>COUNTIFS(BD!G:G,'Panorama (res. por Vara)'!B8,BD!O:O,$F$4)</f>
        <v>9</v>
      </c>
      <c r="G8" s="198">
        <f t="shared" si="1"/>
        <v>0.6</v>
      </c>
      <c r="H8" s="201">
        <f>SUMIF(BD!G:G,'Panorama (res. por Vara)'!B8,BD!M:M)/C8</f>
        <v>32.4</v>
      </c>
      <c r="I8" s="203">
        <f>COUNTIFS(BD!G:G,'Panorama (res. por Vara)'!B8,BD!S:S,"&gt;0")</f>
        <v>12</v>
      </c>
      <c r="J8" s="204">
        <f>SUMIF(BD!G:G,'Panorama (res. por Vara)'!B8,BD!S:S)/I8</f>
        <v>181.53333333333333</v>
      </c>
      <c r="K8" s="194">
        <f>COUNTIFS(BD!G:G,'Panorama (res. por Vara)'!B8,BD!U:U,"&gt;0")</f>
        <v>11</v>
      </c>
      <c r="L8" s="204">
        <f>SUMIF(BD!G:G,'Panorama (res. por Vara)'!B8,BD!U:U)/K8</f>
        <v>105.3090909090909</v>
      </c>
      <c r="M8" s="194">
        <f>COUNTIFS(BD!G:G,'Panorama (res. por Vara)'!B8,BD!W:W,"&gt;0")</f>
        <v>4</v>
      </c>
      <c r="N8" s="204">
        <f>SUMIF(BD!G:G,'Panorama (res. por Vara)'!B8,BD!W:W)/M8</f>
        <v>5</v>
      </c>
      <c r="O8" s="194">
        <f>COUNTIFS(BD!G:G,'Panorama (res. por Vara)'!B8,BD!Y:Y,"&gt;0")</f>
        <v>0</v>
      </c>
      <c r="P8" s="194" t="str">
        <f>IF(O8=0,"-",SUMIF(BD!G:G,'Panorama (res. por Vara)'!B8,BD!Y:Y)/O8)</f>
        <v>-</v>
      </c>
      <c r="Q8" s="194">
        <f>COUNTIFS(BD!G:G,'Panorama (res. por Vara)'!B8,BD!AA:AA,"&gt;0")</f>
        <v>0</v>
      </c>
      <c r="R8" s="207" t="str">
        <f>IF(Q8=0,"-",SUMIF(BD!G:G,'Panorama (res. por Vara)'!B8,BD!AA:AA)/Q8)</f>
        <v>-</v>
      </c>
      <c r="S8" s="206">
        <f>COUNTIFS(BD!G:G,'Panorama (res. por Vara)'!B8,BD!AB:AB,"&lt;&gt;0")</f>
        <v>1</v>
      </c>
      <c r="T8" s="210">
        <f>COUNTIFS(BD!G:G,'Panorama (res. por Vara)'!B8,BD!AM:AM,'Panorama (res. por Vara)'!$T$4)</f>
        <v>14</v>
      </c>
      <c r="U8" s="211">
        <f t="shared" si="2"/>
        <v>0.93333333333333335</v>
      </c>
      <c r="V8" s="215">
        <f>COUNTIFS(BD!G:G,'Panorama (res. por Vara)'!B8,BD!AU:AU,"sim")</f>
        <v>1</v>
      </c>
      <c r="W8" s="213">
        <f t="shared" si="3"/>
        <v>6.6666666666666666E-2</v>
      </c>
      <c r="X8" s="212">
        <f>COUNTIFS(BD!G:G,'Panorama (res. por Vara)'!B8,BD!AV:AV,"sim")</f>
        <v>0</v>
      </c>
      <c r="Y8" s="214">
        <f t="shared" si="4"/>
        <v>0</v>
      </c>
      <c r="Z8" s="215">
        <f>COUNTIFS(BD!G:G,'Panorama (res. por Vara)'!B8,BD!BA:BA,"sim")</f>
        <v>2</v>
      </c>
      <c r="AA8" s="213">
        <f t="shared" si="5"/>
        <v>0.13333333333333333</v>
      </c>
      <c r="AB8" s="212">
        <f>COUNTIFS(BD!G:G,'Panorama (res. por Vara)'!B8,BD!BB:BB,"sim")</f>
        <v>0</v>
      </c>
      <c r="AC8" s="213">
        <f t="shared" si="5"/>
        <v>0</v>
      </c>
      <c r="AD8" s="212">
        <f>COUNTIFS(BD!G:G,'Panorama (res. por Vara)'!B8,BD!BC:BC,"sim")</f>
        <v>0</v>
      </c>
      <c r="AE8" s="213">
        <f t="shared" ref="AE8" si="16">AD8/$C8</f>
        <v>0</v>
      </c>
      <c r="AF8" s="212">
        <f>COUNTIFS(BD!G:G,'Panorama (res. por Vara)'!B8,BD!BD:BD,"sim")</f>
        <v>0</v>
      </c>
      <c r="AG8" s="213">
        <f t="shared" ref="AG8" si="17">AF8/$C8</f>
        <v>0</v>
      </c>
      <c r="AH8" s="212">
        <f>COUNTIFS(BD!G:G,'Panorama (res. por Vara)'!B8,BD!BE:BE,"sim")</f>
        <v>1</v>
      </c>
      <c r="AI8" s="218">
        <f t="shared" ref="AI8" si="18">AH8/$C8</f>
        <v>6.6666666666666666E-2</v>
      </c>
      <c r="AJ8" s="215">
        <f>COUNTIFS(BD!G:G,'Panorama (res. por Vara)'!B8,BD!BH:BH,"sim")</f>
        <v>3</v>
      </c>
      <c r="AK8" s="214">
        <f t="shared" si="9"/>
        <v>0.2</v>
      </c>
      <c r="AL8" s="217">
        <f>COUNTIFS(BD!G:G,'Panorama (res. por Vara)'!B8,BD!BJ:BJ,'Panorama (res. por Vara)'!$AL$4)</f>
        <v>3</v>
      </c>
      <c r="AM8" s="214">
        <f t="shared" si="10"/>
        <v>0.2</v>
      </c>
      <c r="AN8" s="220">
        <f>COUNTIFS(BD!G:G,'Panorama (res. por Vara)'!B8,BD!BL:BL,"&gt;0")</f>
        <v>14</v>
      </c>
      <c r="AO8" s="221">
        <f>SUMIF(BD!G:G,'Panorama (res. por Vara)'!B8,BD!BL:BL)/AN8</f>
        <v>58.157142857142851</v>
      </c>
      <c r="AP8" s="212">
        <f>COUNTIFS(BD!G:G,'Panorama (res. por Vara)'!B8,BD!BP:BP,"&gt;0")</f>
        <v>14</v>
      </c>
      <c r="AQ8" s="222">
        <f>SUMIF(BD!G:G,'Panorama (res. por Vara)'!B8,BD!BP:BP)/AP8</f>
        <v>60.014285714285712</v>
      </c>
      <c r="AR8" s="217">
        <f>COUNTIFS(BD!G:G,'Panorama (res. por Vara)'!B8,BD!BQ:BQ,"Sim")</f>
        <v>0</v>
      </c>
      <c r="AS8" s="214">
        <f t="shared" si="11"/>
        <v>0</v>
      </c>
      <c r="AT8" s="223">
        <f>COUNTIFS(BD!G:G,'Panorama (res. por Vara)'!B8,BD!BS:BS,"Fechado")</f>
        <v>12</v>
      </c>
      <c r="AU8" s="224">
        <f t="shared" si="12"/>
        <v>0.8</v>
      </c>
    </row>
    <row r="9" spans="2:47">
      <c r="B9" s="2" t="s">
        <v>433</v>
      </c>
      <c r="C9" s="197">
        <f>COUNTIF(BD!G:G,'Panorama (res. por Vara)'!B9)</f>
        <v>7</v>
      </c>
      <c r="D9" s="197">
        <f>COUNTIFS(BD!G:G,'Panorama (res. por Vara)'!B9,BD!K:K,$D$4)</f>
        <v>6</v>
      </c>
      <c r="E9" s="198">
        <f t="shared" si="0"/>
        <v>0.8571428571428571</v>
      </c>
      <c r="F9" s="197">
        <f>COUNTIFS(BD!G:G,'Panorama (res. por Vara)'!B9,BD!O:O,$F$4)</f>
        <v>6</v>
      </c>
      <c r="G9" s="198">
        <f t="shared" si="1"/>
        <v>0.8571428571428571</v>
      </c>
      <c r="H9" s="201">
        <f>SUMIF(BD!G:G,'Panorama (res. por Vara)'!B9,BD!M:M)/C9</f>
        <v>24.571428571428573</v>
      </c>
      <c r="I9" s="203">
        <f>COUNTIFS(BD!G:G,'Panorama (res. por Vara)'!B9,BD!S:S,"&gt;0")</f>
        <v>5</v>
      </c>
      <c r="J9" s="204">
        <f>SUMIF(BD!G:G,'Panorama (res. por Vara)'!B9,BD!S:S)/I9</f>
        <v>191.64000000000001</v>
      </c>
      <c r="K9" s="194">
        <f>COUNTIFS(BD!G:G,'Panorama (res. por Vara)'!B9,BD!U:U,"&gt;0")</f>
        <v>4</v>
      </c>
      <c r="L9" s="204">
        <f>SUMIF(BD!G:G,'Panorama (res. por Vara)'!B9,BD!U:U)/K9</f>
        <v>79.5</v>
      </c>
      <c r="M9" s="194">
        <f>COUNTIFS(BD!G:G,'Panorama (res. por Vara)'!B9,BD!W:W,"&gt;0")</f>
        <v>3</v>
      </c>
      <c r="N9" s="204">
        <f>SUMIF(BD!G:G,'Panorama (res. por Vara)'!B9,BD!W:W)/M9</f>
        <v>12.700000000000001</v>
      </c>
      <c r="O9" s="194">
        <f>COUNTIFS(BD!G:G,'Panorama (res. por Vara)'!B9,BD!Y:Y,"&gt;0")</f>
        <v>1</v>
      </c>
      <c r="P9" s="194">
        <f>IF(O9=0,"-",SUMIF(BD!G:G,'Panorama (res. por Vara)'!B9,BD!Y:Y)/O9)</f>
        <v>2.7</v>
      </c>
      <c r="Q9" s="194">
        <f>COUNTIFS(BD!G:G,'Panorama (res. por Vara)'!B9,BD!AA:AA,"&gt;0")</f>
        <v>0</v>
      </c>
      <c r="R9" s="207" t="str">
        <f>IF(Q9=0,"-",SUMIF(BD!G:G,'Panorama (res. por Vara)'!B9,BD!AA:AA)/Q9)</f>
        <v>-</v>
      </c>
      <c r="S9" s="206">
        <f>COUNTIFS(BD!G:G,'Panorama (res. por Vara)'!B9,BD!AB:AB,"&lt;&gt;0")</f>
        <v>1</v>
      </c>
      <c r="T9" s="210">
        <f>COUNTIFS(BD!G:G,'Panorama (res. por Vara)'!B9,BD!AM:AM,'Panorama (res. por Vara)'!$T$4)</f>
        <v>7</v>
      </c>
      <c r="U9" s="211">
        <f t="shared" si="2"/>
        <v>1</v>
      </c>
      <c r="V9" s="215">
        <f>COUNTIFS(BD!G:G,'Panorama (res. por Vara)'!B9,BD!AU:AU,"sim")</f>
        <v>1</v>
      </c>
      <c r="W9" s="213">
        <f t="shared" si="3"/>
        <v>0.14285714285714285</v>
      </c>
      <c r="X9" s="212">
        <f>COUNTIFS(BD!G:G,'Panorama (res. por Vara)'!B9,BD!AV:AV,"sim")</f>
        <v>0</v>
      </c>
      <c r="Y9" s="214">
        <f t="shared" si="4"/>
        <v>0</v>
      </c>
      <c r="Z9" s="215">
        <f>COUNTIFS(BD!G:G,'Panorama (res. por Vara)'!B9,BD!BA:BA,"sim")</f>
        <v>0</v>
      </c>
      <c r="AA9" s="213">
        <f t="shared" si="5"/>
        <v>0</v>
      </c>
      <c r="AB9" s="212">
        <f>COUNTIFS(BD!G:G,'Panorama (res. por Vara)'!B9,BD!BB:BB,"sim")</f>
        <v>0</v>
      </c>
      <c r="AC9" s="213">
        <f t="shared" si="5"/>
        <v>0</v>
      </c>
      <c r="AD9" s="212">
        <f>COUNTIFS(BD!G:G,'Panorama (res. por Vara)'!B9,BD!BC:BC,"sim")</f>
        <v>0</v>
      </c>
      <c r="AE9" s="213">
        <f t="shared" ref="AE9" si="19">AD9/$C9</f>
        <v>0</v>
      </c>
      <c r="AF9" s="212">
        <f>COUNTIFS(BD!G:G,'Panorama (res. por Vara)'!B9,BD!BD:BD,"sim")</f>
        <v>0</v>
      </c>
      <c r="AG9" s="213">
        <f t="shared" ref="AG9" si="20">AF9/$C9</f>
        <v>0</v>
      </c>
      <c r="AH9" s="212">
        <f>COUNTIFS(BD!G:G,'Panorama (res. por Vara)'!B9,BD!BE:BE,"sim")</f>
        <v>0</v>
      </c>
      <c r="AI9" s="218">
        <f t="shared" ref="AI9" si="21">AH9/$C9</f>
        <v>0</v>
      </c>
      <c r="AJ9" s="215">
        <f>COUNTIFS(BD!G:G,'Panorama (res. por Vara)'!B9,BD!BH:BH,"sim")</f>
        <v>0</v>
      </c>
      <c r="AK9" s="214">
        <f t="shared" si="9"/>
        <v>0</v>
      </c>
      <c r="AL9" s="217">
        <f>COUNTIFS(BD!G:G,'Panorama (res. por Vara)'!B9,BD!BJ:BJ,'Panorama (res. por Vara)'!$AL$4)</f>
        <v>3</v>
      </c>
      <c r="AM9" s="214">
        <f t="shared" si="10"/>
        <v>0.42857142857142855</v>
      </c>
      <c r="AN9" s="220">
        <f>COUNTIFS(BD!G:G,'Panorama (res. por Vara)'!B9,BD!BL:BL,"&gt;0")</f>
        <v>7</v>
      </c>
      <c r="AO9" s="221">
        <f>SUMIF(BD!G:G,'Panorama (res. por Vara)'!B9,BD!BL:BL)/AN9</f>
        <v>49.523809523809518</v>
      </c>
      <c r="AP9" s="212">
        <f>COUNTIFS(BD!G:G,'Panorama (res. por Vara)'!B9,BD!BP:BP,"&gt;0")</f>
        <v>7</v>
      </c>
      <c r="AQ9" s="222">
        <f>SUMIF(BD!G:G,'Panorama (res. por Vara)'!B9,BD!BP:BP)/AP9</f>
        <v>49.523809523809518</v>
      </c>
      <c r="AR9" s="217">
        <f>COUNTIFS(BD!G:G,'Panorama (res. por Vara)'!B9,BD!BQ:BQ,"Sim")</f>
        <v>2</v>
      </c>
      <c r="AS9" s="214">
        <f t="shared" si="11"/>
        <v>0.2857142857142857</v>
      </c>
      <c r="AT9" s="223">
        <f>COUNTIFS(BD!G:G,'Panorama (res. por Vara)'!B9,BD!BS:BS,"Fechado")</f>
        <v>4</v>
      </c>
      <c r="AU9" s="224">
        <f t="shared" si="12"/>
        <v>0.5714285714285714</v>
      </c>
    </row>
    <row r="10" spans="2:47">
      <c r="B10" s="2" t="s">
        <v>443</v>
      </c>
      <c r="C10" s="197">
        <f>COUNTIF(BD!G:G,'Panorama (res. por Vara)'!B10)</f>
        <v>11</v>
      </c>
      <c r="D10" s="197">
        <f>COUNTIFS(BD!G:G,'Panorama (res. por Vara)'!B10,BD!K:K,$D$4)</f>
        <v>9</v>
      </c>
      <c r="E10" s="198">
        <f t="shared" si="0"/>
        <v>0.81818181818181823</v>
      </c>
      <c r="F10" s="197">
        <f>COUNTIFS(BD!G:G,'Panorama (res. por Vara)'!B10,BD!O:O,$F$4)</f>
        <v>6</v>
      </c>
      <c r="G10" s="198">
        <f t="shared" si="1"/>
        <v>0.54545454545454541</v>
      </c>
      <c r="H10" s="201">
        <f>SUMIF(BD!G:G,'Panorama (res. por Vara)'!B10,BD!M:M)/C10</f>
        <v>31.272727272727273</v>
      </c>
      <c r="I10" s="203">
        <f>COUNTIFS(BD!G:G,'Panorama (res. por Vara)'!B10,BD!S:S,"&gt;0")</f>
        <v>6</v>
      </c>
      <c r="J10" s="204">
        <f>SUMIF(BD!G:G,'Panorama (res. por Vara)'!B10,BD!S:S)/I10</f>
        <v>306.08333333333331</v>
      </c>
      <c r="K10" s="194">
        <f>COUNTIFS(BD!G:G,'Panorama (res. por Vara)'!B10,BD!U:U,"&gt;0")</f>
        <v>10</v>
      </c>
      <c r="L10" s="204">
        <f>SUMIF(BD!G:G,'Panorama (res. por Vara)'!B10,BD!U:U)/K10</f>
        <v>106.37</v>
      </c>
      <c r="M10" s="194">
        <f>COUNTIFS(BD!G:G,'Panorama (res. por Vara)'!B10,BD!W:W,"&gt;0")</f>
        <v>3</v>
      </c>
      <c r="N10" s="204">
        <f>SUMIF(BD!G:G,'Panorama (res. por Vara)'!B10,BD!W:W)/M10</f>
        <v>90.699999999999989</v>
      </c>
      <c r="O10" s="194">
        <f>COUNTIFS(BD!G:G,'Panorama (res. por Vara)'!B10,BD!Y:Y,"&gt;0")</f>
        <v>1</v>
      </c>
      <c r="P10" s="194">
        <f>IF(O10=0,"-",SUMIF(BD!G:G,'Panorama (res. por Vara)'!B10,BD!Y:Y)/O10)</f>
        <v>11.9</v>
      </c>
      <c r="Q10" s="194">
        <f>COUNTIFS(BD!G:G,'Panorama (res. por Vara)'!B10,BD!AA:AA,"&gt;0")</f>
        <v>0</v>
      </c>
      <c r="R10" s="207" t="str">
        <f>IF(Q10=0,"-",SUMIF(BD!G:G,'Panorama (res. por Vara)'!B10,BD!AA:AA)/Q10)</f>
        <v>-</v>
      </c>
      <c r="S10" s="206">
        <f>COUNTIFS(BD!G:G,'Panorama (res. por Vara)'!B10,BD!AB:AB,"&lt;&gt;0")</f>
        <v>0</v>
      </c>
      <c r="T10" s="210">
        <f>COUNTIFS(BD!G:G,'Panorama (res. por Vara)'!B10,BD!AM:AM,'Panorama (res. por Vara)'!$T$4)</f>
        <v>9</v>
      </c>
      <c r="U10" s="211">
        <f t="shared" si="2"/>
        <v>0.81818181818181823</v>
      </c>
      <c r="V10" s="215">
        <f>COUNTIFS(BD!G:G,'Panorama (res. por Vara)'!B10,BD!AU:AU,"sim")</f>
        <v>1</v>
      </c>
      <c r="W10" s="213">
        <f t="shared" si="3"/>
        <v>9.0909090909090912E-2</v>
      </c>
      <c r="X10" s="212">
        <f>COUNTIFS(BD!G:G,'Panorama (res. por Vara)'!B10,BD!AV:AV,"sim")</f>
        <v>0</v>
      </c>
      <c r="Y10" s="214">
        <f t="shared" si="4"/>
        <v>0</v>
      </c>
      <c r="Z10" s="215">
        <f>COUNTIFS(BD!G:G,'Panorama (res. por Vara)'!B10,BD!BA:BA,"sim")</f>
        <v>0</v>
      </c>
      <c r="AA10" s="213">
        <f t="shared" si="5"/>
        <v>0</v>
      </c>
      <c r="AB10" s="212">
        <f>COUNTIFS(BD!G:G,'Panorama (res. por Vara)'!B10,BD!BB:BB,"sim")</f>
        <v>0</v>
      </c>
      <c r="AC10" s="213">
        <f t="shared" si="5"/>
        <v>0</v>
      </c>
      <c r="AD10" s="212">
        <f>COUNTIFS(BD!G:G,'Panorama (res. por Vara)'!B10,BD!BC:BC,"sim")</f>
        <v>0</v>
      </c>
      <c r="AE10" s="213">
        <f t="shared" ref="AE10" si="22">AD10/$C10</f>
        <v>0</v>
      </c>
      <c r="AF10" s="212">
        <f>COUNTIFS(BD!G:G,'Panorama (res. por Vara)'!B10,BD!BD:BD,"sim")</f>
        <v>0</v>
      </c>
      <c r="AG10" s="213">
        <f t="shared" ref="AG10" si="23">AF10/$C10</f>
        <v>0</v>
      </c>
      <c r="AH10" s="212">
        <f>COUNTIFS(BD!G:G,'Panorama (res. por Vara)'!B10,BD!BE:BE,"sim")</f>
        <v>0</v>
      </c>
      <c r="AI10" s="218">
        <f t="shared" ref="AI10" si="24">AH10/$C10</f>
        <v>0</v>
      </c>
      <c r="AJ10" s="215">
        <f>COUNTIFS(BD!G:G,'Panorama (res. por Vara)'!B10,BD!BH:BH,"sim")</f>
        <v>0</v>
      </c>
      <c r="AK10" s="214">
        <f t="shared" si="9"/>
        <v>0</v>
      </c>
      <c r="AL10" s="217">
        <f>COUNTIFS(BD!G:G,'Panorama (res. por Vara)'!B10,BD!BJ:BJ,'Panorama (res. por Vara)'!$AL$4)</f>
        <v>4</v>
      </c>
      <c r="AM10" s="214">
        <f t="shared" si="10"/>
        <v>0.36363636363636365</v>
      </c>
      <c r="AN10" s="220">
        <f>COUNTIFS(BD!G:G,'Panorama (res. por Vara)'!B10,BD!BL:BL,"&gt;0")</f>
        <v>9</v>
      </c>
      <c r="AO10" s="221">
        <f>SUMIF(BD!G:G,'Panorama (res. por Vara)'!B10,BD!BL:BL)/AN10</f>
        <v>49.703703703703702</v>
      </c>
      <c r="AP10" s="212">
        <f>COUNTIFS(BD!G:G,'Panorama (res. por Vara)'!B10,BD!BP:BP,"&gt;0")</f>
        <v>9</v>
      </c>
      <c r="AQ10" s="222">
        <f>SUMIF(BD!G:G,'Panorama (res. por Vara)'!B10,BD!BP:BP)/AP10</f>
        <v>49.703703703703702</v>
      </c>
      <c r="AR10" s="217">
        <f>COUNTIFS(BD!G:G,'Panorama (res. por Vara)'!B10,BD!BQ:BQ,"Sim")</f>
        <v>0</v>
      </c>
      <c r="AS10" s="214">
        <f t="shared" si="11"/>
        <v>0</v>
      </c>
      <c r="AT10" s="223">
        <f>COUNTIFS(BD!G:G,'Panorama (res. por Vara)'!B10,BD!BS:BS,"Fechado")</f>
        <v>5</v>
      </c>
      <c r="AU10" s="224">
        <f t="shared" si="12"/>
        <v>0.45454545454545453</v>
      </c>
    </row>
    <row r="11" spans="2:47">
      <c r="B11" s="2" t="s">
        <v>450</v>
      </c>
      <c r="C11" s="197">
        <f>COUNTIF(BD!G:G,'Panorama (res. por Vara)'!B11)</f>
        <v>10</v>
      </c>
      <c r="D11" s="197">
        <f>COUNTIFS(BD!G:G,'Panorama (res. por Vara)'!B11,BD!K:K,$D$4)</f>
        <v>8</v>
      </c>
      <c r="E11" s="198">
        <f t="shared" si="0"/>
        <v>0.8</v>
      </c>
      <c r="F11" s="197">
        <f>COUNTIFS(BD!G:G,'Panorama (res. por Vara)'!B11,BD!O:O,$F$4)</f>
        <v>9</v>
      </c>
      <c r="G11" s="198">
        <f t="shared" si="1"/>
        <v>0.9</v>
      </c>
      <c r="H11" s="201">
        <f>SUMIF(BD!G:G,'Panorama (res. por Vara)'!B11,BD!M:M)/C11</f>
        <v>26.9</v>
      </c>
      <c r="I11" s="203">
        <f>COUNTIFS(BD!G:G,'Panorama (res. por Vara)'!B11,BD!S:S,"&gt;0")</f>
        <v>6</v>
      </c>
      <c r="J11" s="204">
        <f>SUMIF(BD!G:G,'Panorama (res. por Vara)'!B11,BD!S:S)/I11</f>
        <v>56.883333333333333</v>
      </c>
      <c r="K11" s="194">
        <f>COUNTIFS(BD!G:G,'Panorama (res. por Vara)'!B11,BD!U:U,"&gt;0")</f>
        <v>9</v>
      </c>
      <c r="L11" s="204">
        <f>SUMIF(BD!G:G,'Panorama (res. por Vara)'!B11,BD!U:U)/K11</f>
        <v>449.5</v>
      </c>
      <c r="M11" s="194">
        <f>COUNTIFS(BD!G:G,'Panorama (res. por Vara)'!B11,BD!W:W,"&gt;0")</f>
        <v>4</v>
      </c>
      <c r="N11" s="204">
        <f>SUMIF(BD!G:G,'Panorama (res. por Vara)'!B11,BD!W:W)/M11</f>
        <v>79.150000000000006</v>
      </c>
      <c r="O11" s="194">
        <f>COUNTIFS(BD!G:G,'Panorama (res. por Vara)'!B11,BD!Y:Y,"&gt;0")</f>
        <v>0</v>
      </c>
      <c r="P11" s="194" t="str">
        <f>IF(O11=0,"-",SUMIF(BD!G:G,'Panorama (res. por Vara)'!B11,BD!Y:Y)/O11)</f>
        <v>-</v>
      </c>
      <c r="Q11" s="194">
        <f>COUNTIFS(BD!G:G,'Panorama (res. por Vara)'!B11,BD!AA:AA,"&gt;0")</f>
        <v>0</v>
      </c>
      <c r="R11" s="207" t="str">
        <f>IF(Q11=0,"-",SUMIF(BD!G:G,'Panorama (res. por Vara)'!B11,BD!AA:AA)/Q11)</f>
        <v>-</v>
      </c>
      <c r="S11" s="206">
        <f>COUNTIFS(BD!G:G,'Panorama (res. por Vara)'!B11,BD!AB:AB,"&lt;&gt;0")</f>
        <v>2</v>
      </c>
      <c r="T11" s="210">
        <f>COUNTIFS(BD!G:G,'Panorama (res. por Vara)'!B11,BD!AM:AM,'Panorama (res. por Vara)'!$T$4)</f>
        <v>9</v>
      </c>
      <c r="U11" s="211">
        <f t="shared" si="2"/>
        <v>0.9</v>
      </c>
      <c r="V11" s="215">
        <f>COUNTIFS(BD!G:G,'Panorama (res. por Vara)'!B11,BD!AU:AU,"sim")</f>
        <v>0</v>
      </c>
      <c r="W11" s="213">
        <f t="shared" si="3"/>
        <v>0</v>
      </c>
      <c r="X11" s="212">
        <f>COUNTIFS(BD!G:G,'Panorama (res. por Vara)'!B11,BD!AV:AV,"sim")</f>
        <v>1</v>
      </c>
      <c r="Y11" s="214">
        <f t="shared" si="4"/>
        <v>0.1</v>
      </c>
      <c r="Z11" s="215">
        <f>COUNTIFS(BD!G:G,'Panorama (res. por Vara)'!B11,BD!BA:BA,"sim")</f>
        <v>2</v>
      </c>
      <c r="AA11" s="213">
        <f t="shared" si="5"/>
        <v>0.2</v>
      </c>
      <c r="AB11" s="212">
        <f>COUNTIFS(BD!G:G,'Panorama (res. por Vara)'!B11,BD!BB:BB,"sim")</f>
        <v>0</v>
      </c>
      <c r="AC11" s="213">
        <f t="shared" si="5"/>
        <v>0</v>
      </c>
      <c r="AD11" s="212">
        <f>COUNTIFS(BD!G:G,'Panorama (res. por Vara)'!B11,BD!BC:BC,"sim")</f>
        <v>0</v>
      </c>
      <c r="AE11" s="213">
        <f t="shared" ref="AE11" si="25">AD11/$C11</f>
        <v>0</v>
      </c>
      <c r="AF11" s="212">
        <f>COUNTIFS(BD!G:G,'Panorama (res. por Vara)'!B11,BD!BD:BD,"sim")</f>
        <v>0</v>
      </c>
      <c r="AG11" s="213">
        <f t="shared" ref="AG11" si="26">AF11/$C11</f>
        <v>0</v>
      </c>
      <c r="AH11" s="212">
        <f>COUNTIFS(BD!G:G,'Panorama (res. por Vara)'!B11,BD!BE:BE,"sim")</f>
        <v>0</v>
      </c>
      <c r="AI11" s="218">
        <f t="shared" ref="AI11" si="27">AH11/$C11</f>
        <v>0</v>
      </c>
      <c r="AJ11" s="215">
        <f>COUNTIFS(BD!G:G,'Panorama (res. por Vara)'!B11,BD!BH:BH,"sim")</f>
        <v>2</v>
      </c>
      <c r="AK11" s="214">
        <f t="shared" si="9"/>
        <v>0.2</v>
      </c>
      <c r="AL11" s="217">
        <f>COUNTIFS(BD!G:G,'Panorama (res. por Vara)'!B11,BD!BJ:BJ,'Panorama (res. por Vara)'!$AL$4)</f>
        <v>5</v>
      </c>
      <c r="AM11" s="214">
        <f t="shared" si="10"/>
        <v>0.5</v>
      </c>
      <c r="AN11" s="220">
        <f>COUNTIFS(BD!G:G,'Panorama (res. por Vara)'!B11,BD!BL:BL,"&gt;0")</f>
        <v>9</v>
      </c>
      <c r="AO11" s="221">
        <f>SUMIF(BD!G:G,'Panorama (res. por Vara)'!B11,BD!BL:BL)/AN11</f>
        <v>53.888888888888886</v>
      </c>
      <c r="AP11" s="212">
        <f>COUNTIFS(BD!G:G,'Panorama (res. por Vara)'!B11,BD!BP:BP,"&gt;0")</f>
        <v>9</v>
      </c>
      <c r="AQ11" s="222">
        <f>SUMIF(BD!G:G,'Panorama (res. por Vara)'!B11,BD!BP:BP)/AP11</f>
        <v>65.888888888888886</v>
      </c>
      <c r="AR11" s="217">
        <f>COUNTIFS(BD!G:G,'Panorama (res. por Vara)'!B11,BD!BQ:BQ,"Sim")</f>
        <v>3</v>
      </c>
      <c r="AS11" s="214">
        <f t="shared" si="11"/>
        <v>0.3</v>
      </c>
      <c r="AT11" s="223">
        <f>COUNTIFS(BD!G:G,'Panorama (res. por Vara)'!B11,BD!BS:BS,"Fechado")</f>
        <v>4</v>
      </c>
      <c r="AU11" s="224">
        <f t="shared" si="12"/>
        <v>0.4</v>
      </c>
    </row>
    <row r="12" spans="2:47">
      <c r="B12" s="2" t="s">
        <v>461</v>
      </c>
      <c r="C12" s="197">
        <f>COUNTIF(BD!G:G,'Panorama (res. por Vara)'!B12)</f>
        <v>11</v>
      </c>
      <c r="D12" s="197">
        <f>COUNTIFS(BD!G:G,'Panorama (res. por Vara)'!B12,BD!K:K,$D$4)</f>
        <v>10</v>
      </c>
      <c r="E12" s="198">
        <f t="shared" si="0"/>
        <v>0.90909090909090906</v>
      </c>
      <c r="F12" s="197">
        <f>COUNTIFS(BD!G:G,'Panorama (res. por Vara)'!B12,BD!O:O,$F$4)</f>
        <v>8</v>
      </c>
      <c r="G12" s="198">
        <f t="shared" si="1"/>
        <v>0.72727272727272729</v>
      </c>
      <c r="H12" s="201">
        <f>SUMIF(BD!G:G,'Panorama (res. por Vara)'!B12,BD!M:M)/C12</f>
        <v>29.545454545454547</v>
      </c>
      <c r="I12" s="203">
        <f>COUNTIFS(BD!G:G,'Panorama (res. por Vara)'!B12,BD!S:S,"&gt;0")</f>
        <v>10</v>
      </c>
      <c r="J12" s="204">
        <f>SUMIF(BD!G:G,'Panorama (res. por Vara)'!B12,BD!S:S)/I12</f>
        <v>1970.8699999999997</v>
      </c>
      <c r="K12" s="194">
        <f>COUNTIFS(BD!G:G,'Panorama (res. por Vara)'!B12,BD!U:U,"&gt;0")</f>
        <v>8</v>
      </c>
      <c r="L12" s="204">
        <f>SUMIF(BD!G:G,'Panorama (res. por Vara)'!B12,BD!U:U)/K12</f>
        <v>207.67500000000001</v>
      </c>
      <c r="M12" s="194">
        <f>COUNTIFS(BD!G:G,'Panorama (res. por Vara)'!B12,BD!W:W,"&gt;0")</f>
        <v>7</v>
      </c>
      <c r="N12" s="204">
        <f>SUMIF(BD!G:G,'Panorama (res. por Vara)'!B12,BD!W:W)/M12</f>
        <v>18.942857142857143</v>
      </c>
      <c r="O12" s="194">
        <f>COUNTIFS(BD!G:G,'Panorama (res. por Vara)'!B12,BD!Y:Y,"&gt;0")</f>
        <v>1</v>
      </c>
      <c r="P12" s="194">
        <f>IF(O12=0,"-",SUMIF(BD!G:G,'Panorama (res. por Vara)'!B12,BD!Y:Y)/O12)</f>
        <v>3.7</v>
      </c>
      <c r="Q12" s="194">
        <f>COUNTIFS(BD!G:G,'Panorama (res. por Vara)'!B12,BD!AA:AA,"&gt;0")</f>
        <v>1</v>
      </c>
      <c r="R12" s="207">
        <f>IF(Q12=0,"-",SUMIF(BD!G:G,'Panorama (res. por Vara)'!B12,BD!AA:AA)/Q12)</f>
        <v>0.1</v>
      </c>
      <c r="S12" s="206">
        <f>COUNTIFS(BD!G:G,'Panorama (res. por Vara)'!B12,BD!AB:AB,"&lt;&gt;0")</f>
        <v>1</v>
      </c>
      <c r="T12" s="210">
        <f>COUNTIFS(BD!G:G,'Panorama (res. por Vara)'!B12,BD!AM:AM,'Panorama (res. por Vara)'!$T$4)</f>
        <v>10</v>
      </c>
      <c r="U12" s="211">
        <f t="shared" si="2"/>
        <v>0.90909090909090906</v>
      </c>
      <c r="V12" s="215">
        <f>COUNTIFS(BD!G:G,'Panorama (res. por Vara)'!B12,BD!AU:AU,"sim")</f>
        <v>1</v>
      </c>
      <c r="W12" s="213">
        <f t="shared" si="3"/>
        <v>9.0909090909090912E-2</v>
      </c>
      <c r="X12" s="212">
        <f>COUNTIFS(BD!G:G,'Panorama (res. por Vara)'!B12,BD!AV:AV,"sim")</f>
        <v>0</v>
      </c>
      <c r="Y12" s="214">
        <f t="shared" si="4"/>
        <v>0</v>
      </c>
      <c r="Z12" s="215">
        <f>COUNTIFS(BD!G:G,'Panorama (res. por Vara)'!B12,BD!BA:BA,"sim")</f>
        <v>0</v>
      </c>
      <c r="AA12" s="213">
        <f t="shared" si="5"/>
        <v>0</v>
      </c>
      <c r="AB12" s="212">
        <f>COUNTIFS(BD!G:G,'Panorama (res. por Vara)'!B12,BD!BB:BB,"sim")</f>
        <v>0</v>
      </c>
      <c r="AC12" s="213">
        <f t="shared" si="5"/>
        <v>0</v>
      </c>
      <c r="AD12" s="212">
        <f>COUNTIFS(BD!G:G,'Panorama (res. por Vara)'!B12,BD!BC:BC,"sim")</f>
        <v>0</v>
      </c>
      <c r="AE12" s="213">
        <f t="shared" ref="AE12" si="28">AD12/$C12</f>
        <v>0</v>
      </c>
      <c r="AF12" s="212">
        <f>COUNTIFS(BD!G:G,'Panorama (res. por Vara)'!B12,BD!BD:BD,"sim")</f>
        <v>0</v>
      </c>
      <c r="AG12" s="213">
        <f t="shared" ref="AG12" si="29">AF12/$C12</f>
        <v>0</v>
      </c>
      <c r="AH12" s="212">
        <f>COUNTIFS(BD!G:G,'Panorama (res. por Vara)'!B12,BD!BE:BE,"sim")</f>
        <v>0</v>
      </c>
      <c r="AI12" s="218">
        <f t="shared" ref="AI12" si="30">AH12/$C12</f>
        <v>0</v>
      </c>
      <c r="AJ12" s="215">
        <f>COUNTIFS(BD!G:G,'Panorama (res. por Vara)'!B12,BD!BH:BH,"sim")</f>
        <v>0</v>
      </c>
      <c r="AK12" s="214">
        <f t="shared" si="9"/>
        <v>0</v>
      </c>
      <c r="AL12" s="217">
        <f>COUNTIFS(BD!G:G,'Panorama (res. por Vara)'!B12,BD!BJ:BJ,'Panorama (res. por Vara)'!$AL$4)</f>
        <v>5</v>
      </c>
      <c r="AM12" s="214">
        <f t="shared" si="10"/>
        <v>0.45454545454545453</v>
      </c>
      <c r="AN12" s="220">
        <f>COUNTIFS(BD!G:G,'Panorama (res. por Vara)'!B12,BD!BL:BL,"&gt;0")</f>
        <v>10</v>
      </c>
      <c r="AO12" s="221">
        <f>SUMIF(BD!G:G,'Panorama (res. por Vara)'!B12,BD!BL:BL)/AN12</f>
        <v>49.3</v>
      </c>
      <c r="AP12" s="212">
        <f>COUNTIFS(BD!G:G,'Panorama (res. por Vara)'!B12,BD!BP:BP,"&gt;0")</f>
        <v>10</v>
      </c>
      <c r="AQ12" s="222">
        <f>SUMIF(BD!G:G,'Panorama (res. por Vara)'!B12,BD!BP:BP)/AP12</f>
        <v>52.9</v>
      </c>
      <c r="AR12" s="217">
        <f>COUNTIFS(BD!G:G,'Panorama (res. por Vara)'!B12,BD!BQ:BQ,"Sim")</f>
        <v>1</v>
      </c>
      <c r="AS12" s="214">
        <f t="shared" si="11"/>
        <v>9.0909090909090912E-2</v>
      </c>
      <c r="AT12" s="223">
        <f>COUNTIFS(BD!G:G,'Panorama (res. por Vara)'!B12,BD!BS:BS,"Fechado")</f>
        <v>3</v>
      </c>
      <c r="AU12" s="224">
        <f t="shared" si="12"/>
        <v>0.27272727272727271</v>
      </c>
    </row>
    <row r="13" spans="2:47">
      <c r="B13" s="2" t="s">
        <v>473</v>
      </c>
      <c r="C13" s="197">
        <f>COUNTIF(BD!G:G,'Panorama (res. por Vara)'!B13)</f>
        <v>12</v>
      </c>
      <c r="D13" s="197">
        <f>COUNTIFS(BD!G:G,'Panorama (res. por Vara)'!B13,BD!K:K,$D$4)</f>
        <v>12</v>
      </c>
      <c r="E13" s="198">
        <f t="shared" si="0"/>
        <v>1</v>
      </c>
      <c r="F13" s="197">
        <f>COUNTIFS(BD!G:G,'Panorama (res. por Vara)'!B13,BD!O:O,$F$4)</f>
        <v>9</v>
      </c>
      <c r="G13" s="198">
        <f t="shared" si="1"/>
        <v>0.75</v>
      </c>
      <c r="H13" s="201">
        <f>SUMIF(BD!G:G,'Panorama (res. por Vara)'!B13,BD!M:M)/C13</f>
        <v>27.083333333333332</v>
      </c>
      <c r="I13" s="203">
        <f>COUNTIFS(BD!G:G,'Panorama (res. por Vara)'!B13,BD!S:S,"&gt;0")</f>
        <v>9</v>
      </c>
      <c r="J13" s="204">
        <f>SUMIF(BD!G:G,'Panorama (res. por Vara)'!B13,BD!S:S)/I13</f>
        <v>392.92222222222216</v>
      </c>
      <c r="K13" s="194">
        <f>COUNTIFS(BD!G:G,'Panorama (res. por Vara)'!B13,BD!U:U,"&gt;0")</f>
        <v>9</v>
      </c>
      <c r="L13" s="204">
        <f>SUMIF(BD!G:G,'Panorama (res. por Vara)'!B13,BD!U:U)/K13</f>
        <v>124.06666666666666</v>
      </c>
      <c r="M13" s="194">
        <f>COUNTIFS(BD!G:G,'Panorama (res. por Vara)'!B13,BD!W:W,"&gt;0")</f>
        <v>3</v>
      </c>
      <c r="N13" s="204">
        <f>SUMIF(BD!G:G,'Panorama (res. por Vara)'!B13,BD!W:W)/M13</f>
        <v>16</v>
      </c>
      <c r="O13" s="194">
        <f>COUNTIFS(BD!G:G,'Panorama (res. por Vara)'!B13,BD!Y:Y,"&gt;0")</f>
        <v>0</v>
      </c>
      <c r="P13" s="194" t="str">
        <f>IF(O13=0,"-",SUMIF(BD!G:G,'Panorama (res. por Vara)'!B13,BD!Y:Y)/O13)</f>
        <v>-</v>
      </c>
      <c r="Q13" s="194">
        <f>COUNTIFS(BD!G:G,'Panorama (res. por Vara)'!B13,BD!AA:AA,"&gt;0")</f>
        <v>0</v>
      </c>
      <c r="R13" s="207" t="str">
        <f>IF(Q13=0,"-",SUMIF(BD!G:G,'Panorama (res. por Vara)'!B13,BD!AA:AA)/Q13)</f>
        <v>-</v>
      </c>
      <c r="S13" s="206">
        <f>COUNTIFS(BD!G:G,'Panorama (res. por Vara)'!B13,BD!AB:AB,"&lt;&gt;0")</f>
        <v>0</v>
      </c>
      <c r="T13" s="210">
        <f>COUNTIFS(BD!G:G,'Panorama (res. por Vara)'!B13,BD!AM:AM,'Panorama (res. por Vara)'!$T$4)</f>
        <v>12</v>
      </c>
      <c r="U13" s="211">
        <f t="shared" si="2"/>
        <v>1</v>
      </c>
      <c r="V13" s="215">
        <f>COUNTIFS(BD!G:G,'Panorama (res. por Vara)'!B13,BD!AU:AU,"sim")</f>
        <v>0</v>
      </c>
      <c r="W13" s="213">
        <f t="shared" si="3"/>
        <v>0</v>
      </c>
      <c r="X13" s="212">
        <f>COUNTIFS(BD!G:G,'Panorama (res. por Vara)'!B13,BD!AV:AV,"sim")</f>
        <v>0</v>
      </c>
      <c r="Y13" s="214">
        <f t="shared" si="4"/>
        <v>0</v>
      </c>
      <c r="Z13" s="215">
        <f>COUNTIFS(BD!G:G,'Panorama (res. por Vara)'!B13,BD!BA:BA,"sim")</f>
        <v>0</v>
      </c>
      <c r="AA13" s="213">
        <f t="shared" si="5"/>
        <v>0</v>
      </c>
      <c r="AB13" s="212">
        <f>COUNTIFS(BD!G:G,'Panorama (res. por Vara)'!B13,BD!BB:BB,"sim")</f>
        <v>0</v>
      </c>
      <c r="AC13" s="213">
        <f t="shared" si="5"/>
        <v>0</v>
      </c>
      <c r="AD13" s="212">
        <f>COUNTIFS(BD!G:G,'Panorama (res. por Vara)'!B13,BD!BC:BC,"sim")</f>
        <v>0</v>
      </c>
      <c r="AE13" s="213">
        <f t="shared" ref="AE13" si="31">AD13/$C13</f>
        <v>0</v>
      </c>
      <c r="AF13" s="212">
        <f>COUNTIFS(BD!G:G,'Panorama (res. por Vara)'!B13,BD!BD:BD,"sim")</f>
        <v>0</v>
      </c>
      <c r="AG13" s="213">
        <f t="shared" ref="AG13" si="32">AF13/$C13</f>
        <v>0</v>
      </c>
      <c r="AH13" s="212">
        <f>COUNTIFS(BD!G:G,'Panorama (res. por Vara)'!B13,BD!BE:BE,"sim")</f>
        <v>2</v>
      </c>
      <c r="AI13" s="218">
        <f t="shared" ref="AI13" si="33">AH13/$C13</f>
        <v>0.16666666666666666</v>
      </c>
      <c r="AJ13" s="215">
        <f>COUNTIFS(BD!G:G,'Panorama (res. por Vara)'!B13,BD!BH:BH,"sim")</f>
        <v>2</v>
      </c>
      <c r="AK13" s="214">
        <f t="shared" si="9"/>
        <v>0.16666666666666666</v>
      </c>
      <c r="AL13" s="217">
        <f>COUNTIFS(BD!G:G,'Panorama (res. por Vara)'!B13,BD!BJ:BJ,'Panorama (res. por Vara)'!$AL$4)</f>
        <v>4</v>
      </c>
      <c r="AM13" s="214">
        <f t="shared" si="10"/>
        <v>0.33333333333333331</v>
      </c>
      <c r="AN13" s="220">
        <f>COUNTIFS(BD!G:G,'Panorama (res. por Vara)'!B13,BD!BL:BL,"&gt;0")</f>
        <v>12</v>
      </c>
      <c r="AO13" s="221">
        <f>SUMIF(BD!G:G,'Panorama (res. por Vara)'!B13,BD!BL:BL)/AN13</f>
        <v>55.194444444444436</v>
      </c>
      <c r="AP13" s="212">
        <f>COUNTIFS(BD!G:G,'Panorama (res. por Vara)'!B13,BD!BP:BP,"&gt;0")</f>
        <v>12</v>
      </c>
      <c r="AQ13" s="222">
        <f>SUMIF(BD!G:G,'Panorama (res. por Vara)'!B13,BD!BP:BP)/AP13</f>
        <v>55.194444444444436</v>
      </c>
      <c r="AR13" s="217">
        <f>COUNTIFS(BD!G:G,'Panorama (res. por Vara)'!B13,BD!BQ:BQ,"Sim")</f>
        <v>0</v>
      </c>
      <c r="AS13" s="214">
        <f t="shared" si="11"/>
        <v>0</v>
      </c>
      <c r="AT13" s="223">
        <f>COUNTIFS(BD!G:G,'Panorama (res. por Vara)'!B13,BD!BS:BS,"Fechado")</f>
        <v>7</v>
      </c>
      <c r="AU13" s="224">
        <f t="shared" si="12"/>
        <v>0.58333333333333337</v>
      </c>
    </row>
    <row r="14" spans="2:47">
      <c r="B14" s="2" t="s">
        <v>131</v>
      </c>
      <c r="C14" s="197">
        <f>COUNTIF(BD!G:G,'Panorama (res. por Vara)'!B14)</f>
        <v>11</v>
      </c>
      <c r="D14" s="197">
        <f>COUNTIFS(BD!G:G,'Panorama (res. por Vara)'!B14,BD!K:K,$D$4)</f>
        <v>9</v>
      </c>
      <c r="E14" s="198">
        <f t="shared" si="0"/>
        <v>0.81818181818181823</v>
      </c>
      <c r="F14" s="197">
        <f>COUNTIFS(BD!G:G,'Panorama (res. por Vara)'!B14,BD!O:O,$F$4)</f>
        <v>10</v>
      </c>
      <c r="G14" s="198">
        <f t="shared" si="1"/>
        <v>0.90909090909090906</v>
      </c>
      <c r="H14" s="201">
        <f>SUMIF(BD!G:G,'Panorama (res. por Vara)'!B14,BD!M:M)/C14</f>
        <v>27.09090909090909</v>
      </c>
      <c r="I14" s="203">
        <f>COUNTIFS(BD!G:G,'Panorama (res. por Vara)'!B14,BD!S:S,"&gt;0")</f>
        <v>7</v>
      </c>
      <c r="J14" s="204">
        <f>SUMIF(BD!G:G,'Panorama (res. por Vara)'!B14,BD!S:S)/I14</f>
        <v>3107.2285714285713</v>
      </c>
      <c r="K14" s="194">
        <f>COUNTIFS(BD!G:G,'Panorama (res. por Vara)'!B14,BD!U:U,"&gt;0")</f>
        <v>8</v>
      </c>
      <c r="L14" s="204">
        <f>SUMIF(BD!G:G,'Panorama (res. por Vara)'!B14,BD!U:U)/K14</f>
        <v>38.262499999999996</v>
      </c>
      <c r="M14" s="194">
        <f>COUNTIFS(BD!G:G,'Panorama (res. por Vara)'!B14,BD!W:W,"&gt;0")</f>
        <v>4</v>
      </c>
      <c r="N14" s="204">
        <f>SUMIF(BD!G:G,'Panorama (res. por Vara)'!B14,BD!W:W)/M14</f>
        <v>16.800000000000004</v>
      </c>
      <c r="O14" s="194">
        <f>COUNTIFS(BD!G:G,'Panorama (res. por Vara)'!B14,BD!Y:Y,"&gt;0")</f>
        <v>0</v>
      </c>
      <c r="P14" s="194" t="str">
        <f>IF(O14=0,"-",SUMIF(BD!G:G,'Panorama (res. por Vara)'!B14,BD!Y:Y)/O14)</f>
        <v>-</v>
      </c>
      <c r="Q14" s="194">
        <f>COUNTIFS(BD!G:G,'Panorama (res. por Vara)'!B14,BD!AA:AA,"&gt;0")</f>
        <v>0</v>
      </c>
      <c r="R14" s="207" t="str">
        <f>IF(Q14=0,"-",SUMIF(BD!G:G,'Panorama (res. por Vara)'!B14,BD!AA:AA)/Q14)</f>
        <v>-</v>
      </c>
      <c r="S14" s="206">
        <f>COUNTIFS(BD!G:G,'Panorama (res. por Vara)'!B14,BD!AB:AB,"&lt;&gt;0")</f>
        <v>1</v>
      </c>
      <c r="T14" s="210">
        <f>COUNTIFS(BD!G:G,'Panorama (res. por Vara)'!B14,BD!AM:AM,'Panorama (res. por Vara)'!$T$4)</f>
        <v>11</v>
      </c>
      <c r="U14" s="211">
        <f t="shared" si="2"/>
        <v>1</v>
      </c>
      <c r="V14" s="215">
        <f>COUNTIFS(BD!G:G,'Panorama (res. por Vara)'!B14,BD!AU:AU,"sim")</f>
        <v>2</v>
      </c>
      <c r="W14" s="213">
        <f t="shared" si="3"/>
        <v>0.18181818181818182</v>
      </c>
      <c r="X14" s="212">
        <f>COUNTIFS(BD!G:G,'Panorama (res. por Vara)'!B14,BD!AV:AV,"sim")</f>
        <v>0</v>
      </c>
      <c r="Y14" s="214">
        <f t="shared" si="4"/>
        <v>0</v>
      </c>
      <c r="Z14" s="215">
        <f>COUNTIFS(BD!G:G,'Panorama (res. por Vara)'!B14,BD!BA:BA,"sim")</f>
        <v>2</v>
      </c>
      <c r="AA14" s="213">
        <f t="shared" si="5"/>
        <v>0.18181818181818182</v>
      </c>
      <c r="AB14" s="212">
        <f>COUNTIFS(BD!G:G,'Panorama (res. por Vara)'!B14,BD!BB:BB,"sim")</f>
        <v>0</v>
      </c>
      <c r="AC14" s="213">
        <f t="shared" si="5"/>
        <v>0</v>
      </c>
      <c r="AD14" s="212">
        <f>COUNTIFS(BD!G:G,'Panorama (res. por Vara)'!B14,BD!BC:BC,"sim")</f>
        <v>0</v>
      </c>
      <c r="AE14" s="213">
        <f t="shared" ref="AE14" si="34">AD14/$C14</f>
        <v>0</v>
      </c>
      <c r="AF14" s="212">
        <f>COUNTIFS(BD!G:G,'Panorama (res. por Vara)'!B14,BD!BD:BD,"sim")</f>
        <v>0</v>
      </c>
      <c r="AG14" s="213">
        <f t="shared" ref="AG14" si="35">AF14/$C14</f>
        <v>0</v>
      </c>
      <c r="AH14" s="212">
        <f>COUNTIFS(BD!G:G,'Panorama (res. por Vara)'!B14,BD!BE:BE,"sim")</f>
        <v>0</v>
      </c>
      <c r="AI14" s="218">
        <f t="shared" ref="AI14" si="36">AH14/$C14</f>
        <v>0</v>
      </c>
      <c r="AJ14" s="215">
        <f>COUNTIFS(BD!G:G,'Panorama (res. por Vara)'!B14,BD!BH:BH,"sim")</f>
        <v>2</v>
      </c>
      <c r="AK14" s="214">
        <f t="shared" si="9"/>
        <v>0.18181818181818182</v>
      </c>
      <c r="AL14" s="217">
        <f>COUNTIFS(BD!G:G,'Panorama (res. por Vara)'!B14,BD!BJ:BJ,'Panorama (res. por Vara)'!$AL$4)</f>
        <v>3</v>
      </c>
      <c r="AM14" s="214">
        <f t="shared" si="10"/>
        <v>0.27272727272727271</v>
      </c>
      <c r="AN14" s="220">
        <f>COUNTIFS(BD!G:G,'Panorama (res. por Vara)'!B14,BD!BL:BL,"&gt;0")</f>
        <v>11</v>
      </c>
      <c r="AO14" s="221">
        <f>SUMIF(BD!G:G,'Panorama (res. por Vara)'!B14,BD!BL:BL)/AN14</f>
        <v>61.060606060606069</v>
      </c>
      <c r="AP14" s="212">
        <f>COUNTIFS(BD!G:G,'Panorama (res. por Vara)'!B14,BD!BP:BP,"&gt;0")</f>
        <v>11</v>
      </c>
      <c r="AQ14" s="222">
        <f>SUMIF(BD!G:G,'Panorama (res. por Vara)'!B14,BD!BP:BP)/AP14</f>
        <v>61.060606060606069</v>
      </c>
      <c r="AR14" s="217">
        <f>COUNTIFS(BD!G:G,'Panorama (res. por Vara)'!B14,BD!BQ:BQ,"Sim")</f>
        <v>1</v>
      </c>
      <c r="AS14" s="214">
        <f t="shared" si="11"/>
        <v>9.0909090909090912E-2</v>
      </c>
      <c r="AT14" s="223">
        <f>COUNTIFS(BD!G:G,'Panorama (res. por Vara)'!B14,BD!BS:BS,"Fechado")</f>
        <v>10</v>
      </c>
      <c r="AU14" s="224">
        <f t="shared" si="12"/>
        <v>0.90909090909090906</v>
      </c>
    </row>
    <row r="15" spans="2:47">
      <c r="B15" s="2" t="s">
        <v>87</v>
      </c>
      <c r="C15" s="197">
        <f>COUNTIF(BD!G:G,'Panorama (res. por Vara)'!B15)</f>
        <v>7</v>
      </c>
      <c r="D15" s="197">
        <f>COUNTIFS(BD!G:G,'Panorama (res. por Vara)'!B15,BD!K:K,$D$4)</f>
        <v>7</v>
      </c>
      <c r="E15" s="198">
        <f t="shared" si="0"/>
        <v>1</v>
      </c>
      <c r="F15" s="197">
        <f>COUNTIFS(BD!G:G,'Panorama (res. por Vara)'!B15,BD!O:O,$F$4)</f>
        <v>5</v>
      </c>
      <c r="G15" s="198">
        <f t="shared" si="1"/>
        <v>0.7142857142857143</v>
      </c>
      <c r="H15" s="201">
        <f>SUMIF(BD!G:G,'Panorama (res. por Vara)'!B15,BD!M:M)/C15</f>
        <v>29.714285714285715</v>
      </c>
      <c r="I15" s="203">
        <f>COUNTIFS(BD!G:G,'Panorama (res. por Vara)'!B15,BD!S:S,"&gt;0")</f>
        <v>2</v>
      </c>
      <c r="J15" s="204">
        <f>SUMIF(BD!G:G,'Panorama (res. por Vara)'!B15,BD!S:S)/I15</f>
        <v>43.65</v>
      </c>
      <c r="K15" s="194">
        <f>COUNTIFS(BD!G:G,'Panorama (res. por Vara)'!B15,BD!U:U,"&gt;0")</f>
        <v>6</v>
      </c>
      <c r="L15" s="204">
        <f>SUMIF(BD!G:G,'Panorama (res. por Vara)'!B15,BD!U:U)/K15</f>
        <v>62.68333333333333</v>
      </c>
      <c r="M15" s="194">
        <f>COUNTIFS(BD!G:G,'Panorama (res. por Vara)'!B15,BD!W:W,"&gt;0")</f>
        <v>2</v>
      </c>
      <c r="N15" s="204">
        <f>SUMIF(BD!G:G,'Panorama (res. por Vara)'!B15,BD!W:W)/M15</f>
        <v>9.5500000000000007</v>
      </c>
      <c r="O15" s="194">
        <f>COUNTIFS(BD!G:G,'Panorama (res. por Vara)'!B15,BD!Y:Y,"&gt;0")</f>
        <v>0</v>
      </c>
      <c r="P15" s="194" t="str">
        <f>IF(O15=0,"-",SUMIF(BD!G:G,'Panorama (res. por Vara)'!B15,BD!Y:Y)/O15)</f>
        <v>-</v>
      </c>
      <c r="Q15" s="194">
        <f>COUNTIFS(BD!G:G,'Panorama (res. por Vara)'!B15,BD!AA:AA,"&gt;0")</f>
        <v>0</v>
      </c>
      <c r="R15" s="207" t="str">
        <f>IF(Q15=0,"-",SUMIF(BD!G:G,'Panorama (res. por Vara)'!B15,BD!AA:AA)/Q15)</f>
        <v>-</v>
      </c>
      <c r="S15" s="206">
        <f>COUNTIFS(BD!G:G,'Panorama (res. por Vara)'!B15,BD!AB:AB,"&lt;&gt;0")</f>
        <v>0</v>
      </c>
      <c r="T15" s="210">
        <f>COUNTIFS(BD!G:G,'Panorama (res. por Vara)'!B15,BD!AM:AM,'Panorama (res. por Vara)'!$T$4)</f>
        <v>6</v>
      </c>
      <c r="U15" s="211">
        <f t="shared" si="2"/>
        <v>0.8571428571428571</v>
      </c>
      <c r="V15" s="215">
        <f>COUNTIFS(BD!G:G,'Panorama (res. por Vara)'!B15,BD!AU:AU,"sim")</f>
        <v>0</v>
      </c>
      <c r="W15" s="213">
        <f t="shared" si="3"/>
        <v>0</v>
      </c>
      <c r="X15" s="212">
        <f>COUNTIFS(BD!G:G,'Panorama (res. por Vara)'!B15,BD!AV:AV,"sim")</f>
        <v>0</v>
      </c>
      <c r="Y15" s="214">
        <f t="shared" si="4"/>
        <v>0</v>
      </c>
      <c r="Z15" s="215">
        <f>COUNTIFS(BD!G:G,'Panorama (res. por Vara)'!B15,BD!BA:BA,"sim")</f>
        <v>0</v>
      </c>
      <c r="AA15" s="213">
        <f t="shared" si="5"/>
        <v>0</v>
      </c>
      <c r="AB15" s="212">
        <f>COUNTIFS(BD!G:G,'Panorama (res. por Vara)'!B15,BD!BB:BB,"sim")</f>
        <v>0</v>
      </c>
      <c r="AC15" s="213">
        <f t="shared" si="5"/>
        <v>0</v>
      </c>
      <c r="AD15" s="212">
        <f>COUNTIFS(BD!G:G,'Panorama (res. por Vara)'!B15,BD!BC:BC,"sim")</f>
        <v>0</v>
      </c>
      <c r="AE15" s="213">
        <f t="shared" ref="AE15" si="37">AD15/$C15</f>
        <v>0</v>
      </c>
      <c r="AF15" s="212">
        <f>COUNTIFS(BD!G:G,'Panorama (res. por Vara)'!B15,BD!BD:BD,"sim")</f>
        <v>0</v>
      </c>
      <c r="AG15" s="213">
        <f t="shared" ref="AG15" si="38">AF15/$C15</f>
        <v>0</v>
      </c>
      <c r="AH15" s="212">
        <f>COUNTIFS(BD!G:G,'Panorama (res. por Vara)'!B15,BD!BE:BE,"sim")</f>
        <v>0</v>
      </c>
      <c r="AI15" s="218">
        <f t="shared" ref="AI15" si="39">AH15/$C15</f>
        <v>0</v>
      </c>
      <c r="AJ15" s="215">
        <f>COUNTIFS(BD!G:G,'Panorama (res. por Vara)'!B15,BD!BH:BH,"sim")</f>
        <v>0</v>
      </c>
      <c r="AK15" s="214">
        <f t="shared" si="9"/>
        <v>0</v>
      </c>
      <c r="AL15" s="217">
        <f>COUNTIFS(BD!G:G,'Panorama (res. por Vara)'!B15,BD!BJ:BJ,'Panorama (res. por Vara)'!$AL$4)</f>
        <v>3</v>
      </c>
      <c r="AM15" s="214">
        <f t="shared" si="10"/>
        <v>0.42857142857142855</v>
      </c>
      <c r="AN15" s="220">
        <f>COUNTIFS(BD!G:G,'Panorama (res. por Vara)'!B15,BD!BL:BL,"&gt;0")</f>
        <v>6</v>
      </c>
      <c r="AO15" s="221">
        <f>SUMIF(BD!G:G,'Panorama (res. por Vara)'!B15,BD!BL:BL)/AN15</f>
        <v>54.277777777777779</v>
      </c>
      <c r="AP15" s="212">
        <f>COUNTIFS(BD!G:G,'Panorama (res. por Vara)'!B15,BD!BP:BP,"&gt;0")</f>
        <v>6</v>
      </c>
      <c r="AQ15" s="222">
        <f>SUMIF(BD!G:G,'Panorama (res. por Vara)'!B15,BD!BP:BP)/AP15</f>
        <v>64.1111111111111</v>
      </c>
      <c r="AR15" s="217">
        <f>COUNTIFS(BD!G:G,'Panorama (res. por Vara)'!B15,BD!BQ:BQ,"Sim")</f>
        <v>0</v>
      </c>
      <c r="AS15" s="214">
        <f t="shared" si="11"/>
        <v>0</v>
      </c>
      <c r="AT15" s="223">
        <f>COUNTIFS(BD!G:G,'Panorama (res. por Vara)'!B15,BD!BS:BS,"Fechado")</f>
        <v>5</v>
      </c>
      <c r="AU15" s="224">
        <f t="shared" si="12"/>
        <v>0.7142857142857143</v>
      </c>
    </row>
    <row r="16" spans="2:47">
      <c r="B16" s="2" t="s">
        <v>140</v>
      </c>
      <c r="C16" s="197">
        <f>COUNTIF(BD!G:G,'Panorama (res. por Vara)'!B16)</f>
        <v>10</v>
      </c>
      <c r="D16" s="197">
        <f>COUNTIFS(BD!G:G,'Panorama (res. por Vara)'!B16,BD!K:K,$D$4)</f>
        <v>7</v>
      </c>
      <c r="E16" s="198">
        <f t="shared" si="0"/>
        <v>0.7</v>
      </c>
      <c r="F16" s="197">
        <f>COUNTIFS(BD!G:G,'Panorama (res. por Vara)'!B16,BD!O:O,$F$4)</f>
        <v>6</v>
      </c>
      <c r="G16" s="198">
        <f t="shared" si="1"/>
        <v>0.6</v>
      </c>
      <c r="H16" s="201">
        <f>SUMIF(BD!G:G,'Panorama (res. por Vara)'!B16,BD!M:M)/C16</f>
        <v>25.4</v>
      </c>
      <c r="I16" s="203">
        <f>COUNTIFS(BD!G:G,'Panorama (res. por Vara)'!B16,BD!S:S,"&gt;0")</f>
        <v>6</v>
      </c>
      <c r="J16" s="204">
        <f>SUMIF(BD!G:G,'Panorama (res. por Vara)'!B16,BD!S:S)/I16</f>
        <v>54.199999999999996</v>
      </c>
      <c r="K16" s="194">
        <f>COUNTIFS(BD!G:G,'Panorama (res. por Vara)'!B16,BD!U:U,"&gt;0")</f>
        <v>10</v>
      </c>
      <c r="L16" s="204">
        <f>SUMIF(BD!G:G,'Panorama (res. por Vara)'!B16,BD!U:U)/K16</f>
        <v>92.4</v>
      </c>
      <c r="M16" s="194">
        <f>COUNTIFS(BD!G:G,'Panorama (res. por Vara)'!B16,BD!W:W,"&gt;0")</f>
        <v>2</v>
      </c>
      <c r="N16" s="204">
        <f>SUMIF(BD!G:G,'Panorama (res. por Vara)'!B16,BD!W:W)/M16</f>
        <v>130.05000000000001</v>
      </c>
      <c r="O16" s="194">
        <f>COUNTIFS(BD!G:G,'Panorama (res. por Vara)'!B16,BD!Y:Y,"&gt;0")</f>
        <v>0</v>
      </c>
      <c r="P16" s="194" t="str">
        <f>IF(O16=0,"-",SUMIF(BD!G:G,'Panorama (res. por Vara)'!B16,BD!Y:Y)/O16)</f>
        <v>-</v>
      </c>
      <c r="Q16" s="194">
        <f>COUNTIFS(BD!G:G,'Panorama (res. por Vara)'!B16,BD!AA:AA,"&gt;0")</f>
        <v>0</v>
      </c>
      <c r="R16" s="207" t="str">
        <f>IF(Q16=0,"-",SUMIF(BD!G:G,'Panorama (res. por Vara)'!B16,BD!AA:AA)/Q16)</f>
        <v>-</v>
      </c>
      <c r="S16" s="206">
        <f>COUNTIFS(BD!G:G,'Panorama (res. por Vara)'!B16,BD!AB:AB,"&lt;&gt;0")</f>
        <v>1</v>
      </c>
      <c r="T16" s="210">
        <f>COUNTIFS(BD!G:G,'Panorama (res. por Vara)'!B16,BD!AM:AM,'Panorama (res. por Vara)'!$T$4)</f>
        <v>5</v>
      </c>
      <c r="U16" s="211">
        <f t="shared" si="2"/>
        <v>0.5</v>
      </c>
      <c r="V16" s="215">
        <f>COUNTIFS(BD!G:G,'Panorama (res. por Vara)'!B16,BD!AU:AU,"sim")</f>
        <v>1</v>
      </c>
      <c r="W16" s="213">
        <f t="shared" si="3"/>
        <v>0.1</v>
      </c>
      <c r="X16" s="212">
        <f>COUNTIFS(BD!G:G,'Panorama (res. por Vara)'!B16,BD!AV:AV,"sim")</f>
        <v>0</v>
      </c>
      <c r="Y16" s="214">
        <f t="shared" si="4"/>
        <v>0</v>
      </c>
      <c r="Z16" s="215">
        <f>COUNTIFS(BD!G:G,'Panorama (res. por Vara)'!B16,BD!BA:BA,"sim")</f>
        <v>0</v>
      </c>
      <c r="AA16" s="213">
        <f t="shared" si="5"/>
        <v>0</v>
      </c>
      <c r="AB16" s="212">
        <f>COUNTIFS(BD!G:G,'Panorama (res. por Vara)'!B16,BD!BB:BB,"sim")</f>
        <v>0</v>
      </c>
      <c r="AC16" s="213">
        <f t="shared" si="5"/>
        <v>0</v>
      </c>
      <c r="AD16" s="212">
        <f>COUNTIFS(BD!G:G,'Panorama (res. por Vara)'!B16,BD!BC:BC,"sim")</f>
        <v>0</v>
      </c>
      <c r="AE16" s="213">
        <f t="shared" ref="AE16" si="40">AD16/$C16</f>
        <v>0</v>
      </c>
      <c r="AF16" s="212">
        <f>COUNTIFS(BD!G:G,'Panorama (res. por Vara)'!B16,BD!BD:BD,"sim")</f>
        <v>0</v>
      </c>
      <c r="AG16" s="213">
        <f t="shared" ref="AG16" si="41">AF16/$C16</f>
        <v>0</v>
      </c>
      <c r="AH16" s="212">
        <f>COUNTIFS(BD!G:G,'Panorama (res. por Vara)'!B16,BD!BE:BE,"sim")</f>
        <v>0</v>
      </c>
      <c r="AI16" s="218">
        <f t="shared" ref="AI16" si="42">AH16/$C16</f>
        <v>0</v>
      </c>
      <c r="AJ16" s="215">
        <f>COUNTIFS(BD!G:G,'Panorama (res. por Vara)'!B16,BD!BH:BH,"sim")</f>
        <v>0</v>
      </c>
      <c r="AK16" s="214">
        <f t="shared" si="9"/>
        <v>0</v>
      </c>
      <c r="AL16" s="217">
        <f>COUNTIFS(BD!G:G,'Panorama (res. por Vara)'!B16,BD!BJ:BJ,'Panorama (res. por Vara)'!$AL$4)</f>
        <v>4</v>
      </c>
      <c r="AM16" s="214">
        <f t="shared" si="10"/>
        <v>0.4</v>
      </c>
      <c r="AN16" s="220">
        <f>COUNTIFS(BD!G:G,'Panorama (res. por Vara)'!B16,BD!BL:BL,"&gt;0")</f>
        <v>5</v>
      </c>
      <c r="AO16" s="221">
        <f>SUMIF(BD!G:G,'Panorama (res. por Vara)'!B16,BD!BL:BL)/AN16</f>
        <v>28</v>
      </c>
      <c r="AP16" s="212">
        <f>COUNTIFS(BD!G:G,'Panorama (res. por Vara)'!B16,BD!BP:BP,"&gt;0")</f>
        <v>5</v>
      </c>
      <c r="AQ16" s="222">
        <f>SUMIF(BD!G:G,'Panorama (res. por Vara)'!B16,BD!BP:BP)/AP16</f>
        <v>30.4</v>
      </c>
      <c r="AR16" s="217">
        <f>COUNTIFS(BD!G:G,'Panorama (res. por Vara)'!B16,BD!BQ:BQ,"Sim")</f>
        <v>0</v>
      </c>
      <c r="AS16" s="214">
        <f t="shared" si="11"/>
        <v>0</v>
      </c>
      <c r="AT16" s="223">
        <f>COUNTIFS(BD!G:G,'Panorama (res. por Vara)'!B16,BD!BS:BS,"Fechado")</f>
        <v>1</v>
      </c>
      <c r="AU16" s="224">
        <f t="shared" si="12"/>
        <v>0.1</v>
      </c>
    </row>
    <row r="17" spans="2:47">
      <c r="B17" s="2" t="s">
        <v>155</v>
      </c>
      <c r="C17" s="197">
        <f>COUNTIF(BD!G:G,'Panorama (res. por Vara)'!B17)</f>
        <v>17</v>
      </c>
      <c r="D17" s="197">
        <f>COUNTIFS(BD!G:G,'Panorama (res. por Vara)'!B17,BD!K:K,$D$4)</f>
        <v>15</v>
      </c>
      <c r="E17" s="198">
        <f t="shared" si="0"/>
        <v>0.88235294117647056</v>
      </c>
      <c r="F17" s="197">
        <f>COUNTIFS(BD!G:G,'Panorama (res. por Vara)'!B17,BD!O:O,$F$4)</f>
        <v>9</v>
      </c>
      <c r="G17" s="198">
        <f t="shared" si="1"/>
        <v>0.52941176470588236</v>
      </c>
      <c r="H17" s="201">
        <f>SUMIF(BD!G:G,'Panorama (res. por Vara)'!B17,BD!M:M)/C17</f>
        <v>26.117647058823529</v>
      </c>
      <c r="I17" s="203">
        <f>COUNTIFS(BD!G:G,'Panorama (res. por Vara)'!B17,BD!S:S,"&gt;0")</f>
        <v>11</v>
      </c>
      <c r="J17" s="204">
        <f>SUMIF(BD!G:G,'Panorama (res. por Vara)'!B17,BD!S:S)/I17</f>
        <v>427.74545454545455</v>
      </c>
      <c r="K17" s="194">
        <f>COUNTIFS(BD!G:G,'Panorama (res. por Vara)'!B17,BD!U:U,"&gt;0")</f>
        <v>6</v>
      </c>
      <c r="L17" s="204">
        <f>SUMIF(BD!G:G,'Panorama (res. por Vara)'!B17,BD!U:U)/K17</f>
        <v>221.93333333333331</v>
      </c>
      <c r="M17" s="194">
        <f>COUNTIFS(BD!G:G,'Panorama (res. por Vara)'!B17,BD!W:W,"&gt;0")</f>
        <v>6</v>
      </c>
      <c r="N17" s="204">
        <f>SUMIF(BD!G:G,'Panorama (res. por Vara)'!B17,BD!W:W)/M17</f>
        <v>578.67499999999995</v>
      </c>
      <c r="O17" s="194">
        <f>COUNTIFS(BD!G:G,'Panorama (res. por Vara)'!B17,BD!Y:Y,"&gt;0")</f>
        <v>2</v>
      </c>
      <c r="P17" s="194">
        <f>IF(O17=0,"-",SUMIF(BD!G:G,'Panorama (res. por Vara)'!B17,BD!Y:Y)/O17)</f>
        <v>5.9499999999999993</v>
      </c>
      <c r="Q17" s="194">
        <f>COUNTIFS(BD!G:G,'Panorama (res. por Vara)'!B17,BD!AA:AA,"&gt;0")</f>
        <v>0</v>
      </c>
      <c r="R17" s="207" t="str">
        <f>IF(Q17=0,"-",SUMIF(BD!G:G,'Panorama (res. por Vara)'!B17,BD!AA:AA)/Q17)</f>
        <v>-</v>
      </c>
      <c r="S17" s="206">
        <f>COUNTIFS(BD!G:G,'Panorama (res. por Vara)'!B17,BD!AB:AB,"&lt;&gt;0")</f>
        <v>2</v>
      </c>
      <c r="T17" s="210">
        <f>COUNTIFS(BD!G:G,'Panorama (res. por Vara)'!B17,BD!AM:AM,'Panorama (res. por Vara)'!$T$4)</f>
        <v>14</v>
      </c>
      <c r="U17" s="211">
        <f t="shared" si="2"/>
        <v>0.82352941176470584</v>
      </c>
      <c r="V17" s="215">
        <f>COUNTIFS(BD!G:G,'Panorama (res. por Vara)'!B17,BD!AU:AU,"sim")</f>
        <v>0</v>
      </c>
      <c r="W17" s="213">
        <f t="shared" si="3"/>
        <v>0</v>
      </c>
      <c r="X17" s="212">
        <f>COUNTIFS(BD!G:G,'Panorama (res. por Vara)'!B17,BD!AV:AV,"sim")</f>
        <v>0</v>
      </c>
      <c r="Y17" s="214">
        <f t="shared" si="4"/>
        <v>0</v>
      </c>
      <c r="Z17" s="215">
        <f>COUNTIFS(BD!G:G,'Panorama (res. por Vara)'!B17,BD!BA:BA,"sim")</f>
        <v>2</v>
      </c>
      <c r="AA17" s="213">
        <f t="shared" si="5"/>
        <v>0.11764705882352941</v>
      </c>
      <c r="AB17" s="212">
        <f>COUNTIFS(BD!G:G,'Panorama (res. por Vara)'!B17,BD!BB:BB,"sim")</f>
        <v>1</v>
      </c>
      <c r="AC17" s="213">
        <f t="shared" si="5"/>
        <v>5.8823529411764705E-2</v>
      </c>
      <c r="AD17" s="212">
        <f>COUNTIFS(BD!G:G,'Panorama (res. por Vara)'!B17,BD!BC:BC,"sim")</f>
        <v>0</v>
      </c>
      <c r="AE17" s="213">
        <f t="shared" ref="AE17" si="43">AD17/$C17</f>
        <v>0</v>
      </c>
      <c r="AF17" s="212">
        <f>COUNTIFS(BD!G:G,'Panorama (res. por Vara)'!B17,BD!BD:BD,"sim")</f>
        <v>0</v>
      </c>
      <c r="AG17" s="213">
        <f t="shared" ref="AG17" si="44">AF17/$C17</f>
        <v>0</v>
      </c>
      <c r="AH17" s="212">
        <f>COUNTIFS(BD!G:G,'Panorama (res. por Vara)'!B17,BD!BE:BE,"sim")</f>
        <v>0</v>
      </c>
      <c r="AI17" s="218">
        <f t="shared" ref="AI17" si="45">AH17/$C17</f>
        <v>0</v>
      </c>
      <c r="AJ17" s="215">
        <f>COUNTIFS(BD!G:G,'Panorama (res. por Vara)'!B17,BD!BH:BH,"sim")</f>
        <v>2</v>
      </c>
      <c r="AK17" s="214">
        <f t="shared" si="9"/>
        <v>0.11764705882352941</v>
      </c>
      <c r="AL17" s="217">
        <f>COUNTIFS(BD!G:G,'Panorama (res. por Vara)'!B17,BD!BJ:BJ,'Panorama (res. por Vara)'!$AL$4)</f>
        <v>4</v>
      </c>
      <c r="AM17" s="214">
        <f t="shared" si="10"/>
        <v>0.23529411764705882</v>
      </c>
      <c r="AN17" s="220">
        <f>COUNTIFS(BD!G:G,'Panorama (res. por Vara)'!B17,BD!BL:BL,"&gt;0")</f>
        <v>14</v>
      </c>
      <c r="AO17" s="221">
        <f>SUMIF(BD!G:G,'Panorama (res. por Vara)'!B17,BD!BL:BL)/AN17</f>
        <v>63.076190476190469</v>
      </c>
      <c r="AP17" s="212">
        <f>COUNTIFS(BD!G:G,'Panorama (res. por Vara)'!B17,BD!BP:BP,"&gt;0")</f>
        <v>14</v>
      </c>
      <c r="AQ17" s="222">
        <f>SUMIF(BD!G:G,'Panorama (res. por Vara)'!B17,BD!BP:BP)/AP17</f>
        <v>63.076190476190469</v>
      </c>
      <c r="AR17" s="217">
        <f>COUNTIFS(BD!G:G,'Panorama (res. por Vara)'!B17,BD!BQ:BQ,"Sim")</f>
        <v>4</v>
      </c>
      <c r="AS17" s="214">
        <f t="shared" si="11"/>
        <v>0.23529411764705882</v>
      </c>
      <c r="AT17" s="223">
        <f>COUNTIFS(BD!G:G,'Panorama (res. por Vara)'!B17,BD!BS:BS,"Fechado")</f>
        <v>8</v>
      </c>
      <c r="AU17" s="224">
        <f t="shared" si="12"/>
        <v>0.47058823529411764</v>
      </c>
    </row>
    <row r="18" spans="2:47">
      <c r="B18" s="2" t="s">
        <v>166</v>
      </c>
      <c r="C18" s="197">
        <f>COUNTIF(BD!G:G,'Panorama (res. por Vara)'!B18)</f>
        <v>13</v>
      </c>
      <c r="D18" s="197">
        <f>COUNTIFS(BD!G:G,'Panorama (res. por Vara)'!B18,BD!K:K,$D$4)</f>
        <v>11</v>
      </c>
      <c r="E18" s="198">
        <f t="shared" si="0"/>
        <v>0.84615384615384615</v>
      </c>
      <c r="F18" s="197">
        <f>COUNTIFS(BD!G:G,'Panorama (res. por Vara)'!B18,BD!O:O,$F$4)</f>
        <v>9</v>
      </c>
      <c r="G18" s="198">
        <f t="shared" si="1"/>
        <v>0.69230769230769229</v>
      </c>
      <c r="H18" s="201">
        <f>SUMIF(BD!G:G,'Panorama (res. por Vara)'!B18,BD!M:M)/C18</f>
        <v>29.153846153846153</v>
      </c>
      <c r="I18" s="203">
        <f>COUNTIFS(BD!G:G,'Panorama (res. por Vara)'!B18,BD!S:S,"&gt;0")</f>
        <v>9</v>
      </c>
      <c r="J18" s="204">
        <f>SUMIF(BD!G:G,'Panorama (res. por Vara)'!B18,BD!S:S)/I18</f>
        <v>1365.8777777777777</v>
      </c>
      <c r="K18" s="194">
        <f>COUNTIFS(BD!G:G,'Panorama (res. por Vara)'!B18,BD!U:U,"&gt;0")</f>
        <v>8</v>
      </c>
      <c r="L18" s="204">
        <f>SUMIF(BD!G:G,'Panorama (res. por Vara)'!B18,BD!U:U)/K18</f>
        <v>4476.9750000000004</v>
      </c>
      <c r="M18" s="194">
        <f>COUNTIFS(BD!G:G,'Panorama (res. por Vara)'!B18,BD!W:W,"&gt;0")</f>
        <v>4</v>
      </c>
      <c r="N18" s="204">
        <f>SUMIF(BD!G:G,'Panorama (res. por Vara)'!B18,BD!W:W)/M18</f>
        <v>76.06750000000001</v>
      </c>
      <c r="O18" s="194">
        <f>COUNTIFS(BD!G:G,'Panorama (res. por Vara)'!B18,BD!Y:Y,"&gt;0")</f>
        <v>0</v>
      </c>
      <c r="P18" s="194" t="str">
        <f>IF(O18=0,"-",SUMIF(BD!G:G,'Panorama (res. por Vara)'!B18,BD!Y:Y)/O18)</f>
        <v>-</v>
      </c>
      <c r="Q18" s="194">
        <f>COUNTIFS(BD!G:G,'Panorama (res. por Vara)'!B18,BD!AA:AA,"&gt;0")</f>
        <v>0</v>
      </c>
      <c r="R18" s="207" t="str">
        <f>IF(Q18=0,"-",SUMIF(BD!G:G,'Panorama (res. por Vara)'!B18,BD!AA:AA)/Q18)</f>
        <v>-</v>
      </c>
      <c r="S18" s="206">
        <f>COUNTIFS(BD!G:G,'Panorama (res. por Vara)'!B18,BD!AB:AB,"&lt;&gt;0")</f>
        <v>0</v>
      </c>
      <c r="T18" s="210">
        <f>COUNTIFS(BD!G:G,'Panorama (res. por Vara)'!B18,BD!AM:AM,'Panorama (res. por Vara)'!$T$4)</f>
        <v>12</v>
      </c>
      <c r="U18" s="211">
        <f t="shared" si="2"/>
        <v>0.92307692307692313</v>
      </c>
      <c r="V18" s="215">
        <f>COUNTIFS(BD!G:G,'Panorama (res. por Vara)'!B18,BD!AU:AU,"sim")</f>
        <v>1</v>
      </c>
      <c r="W18" s="213">
        <f t="shared" si="3"/>
        <v>7.6923076923076927E-2</v>
      </c>
      <c r="X18" s="212">
        <f>COUNTIFS(BD!G:G,'Panorama (res. por Vara)'!B18,BD!AV:AV,"sim")</f>
        <v>1</v>
      </c>
      <c r="Y18" s="214">
        <f t="shared" si="4"/>
        <v>7.6923076923076927E-2</v>
      </c>
      <c r="Z18" s="215">
        <f>COUNTIFS(BD!G:G,'Panorama (res. por Vara)'!B18,BD!BA:BA,"sim")</f>
        <v>0</v>
      </c>
      <c r="AA18" s="213">
        <f t="shared" si="5"/>
        <v>0</v>
      </c>
      <c r="AB18" s="212">
        <f>COUNTIFS(BD!G:G,'Panorama (res. por Vara)'!B18,BD!BB:BB,"sim")</f>
        <v>0</v>
      </c>
      <c r="AC18" s="213">
        <f t="shared" si="5"/>
        <v>0</v>
      </c>
      <c r="AD18" s="212">
        <f>COUNTIFS(BD!G:G,'Panorama (res. por Vara)'!B18,BD!BC:BC,"sim")</f>
        <v>1</v>
      </c>
      <c r="AE18" s="213">
        <f t="shared" ref="AE18" si="46">AD18/$C18</f>
        <v>7.6923076923076927E-2</v>
      </c>
      <c r="AF18" s="212">
        <f>COUNTIFS(BD!G:G,'Panorama (res. por Vara)'!B18,BD!BD:BD,"sim")</f>
        <v>0</v>
      </c>
      <c r="AG18" s="213">
        <f t="shared" ref="AG18" si="47">AF18/$C18</f>
        <v>0</v>
      </c>
      <c r="AH18" s="212">
        <f>COUNTIFS(BD!G:G,'Panorama (res. por Vara)'!B18,BD!BE:BE,"sim")</f>
        <v>2</v>
      </c>
      <c r="AI18" s="218">
        <f t="shared" ref="AI18" si="48">AH18/$C18</f>
        <v>0.15384615384615385</v>
      </c>
      <c r="AJ18" s="215">
        <f>COUNTIFS(BD!G:G,'Panorama (res. por Vara)'!B18,BD!BH:BH,"sim")</f>
        <v>3</v>
      </c>
      <c r="AK18" s="214">
        <f t="shared" si="9"/>
        <v>0.23076923076923078</v>
      </c>
      <c r="AL18" s="217">
        <f>COUNTIFS(BD!G:G,'Panorama (res. por Vara)'!B18,BD!BJ:BJ,'Panorama (res. por Vara)'!$AL$4)</f>
        <v>2</v>
      </c>
      <c r="AM18" s="214">
        <f t="shared" si="10"/>
        <v>0.15384615384615385</v>
      </c>
      <c r="AN18" s="220">
        <f>COUNTIFS(BD!G:G,'Panorama (res. por Vara)'!B18,BD!BL:BL,"&gt;0")</f>
        <v>12</v>
      </c>
      <c r="AO18" s="221">
        <f>SUMIF(BD!G:G,'Panorama (res. por Vara)'!B18,BD!BL:BL)/AN18</f>
        <v>69.566666666666663</v>
      </c>
      <c r="AP18" s="212">
        <f>COUNTIFS(BD!G:G,'Panorama (res. por Vara)'!B18,BD!BP:BP,"&gt;0")</f>
        <v>12</v>
      </c>
      <c r="AQ18" s="222">
        <f>SUMIF(BD!G:G,'Panorama (res. por Vara)'!B18,BD!BP:BP)/AP18</f>
        <v>69.62777777777778</v>
      </c>
      <c r="AR18" s="217">
        <f>COUNTIFS(BD!G:G,'Panorama (res. por Vara)'!B18,BD!BQ:BQ,"Sim")</f>
        <v>0</v>
      </c>
      <c r="AS18" s="214">
        <f t="shared" si="11"/>
        <v>0</v>
      </c>
      <c r="AT18" s="223">
        <f>COUNTIFS(BD!G:G,'Panorama (res. por Vara)'!B18,BD!BS:BS,"Fechado")</f>
        <v>9</v>
      </c>
      <c r="AU18" s="224">
        <f t="shared" si="12"/>
        <v>0.69230769230769229</v>
      </c>
    </row>
    <row r="19" spans="2:47">
      <c r="B19" s="2" t="s">
        <v>173</v>
      </c>
      <c r="C19" s="197">
        <f>COUNTIF(BD!G:G,'Panorama (res. por Vara)'!B19)</f>
        <v>9</v>
      </c>
      <c r="D19" s="197">
        <f>COUNTIFS(BD!G:G,'Panorama (res. por Vara)'!B19,BD!K:K,$D$4)</f>
        <v>7</v>
      </c>
      <c r="E19" s="198">
        <f t="shared" si="0"/>
        <v>0.77777777777777779</v>
      </c>
      <c r="F19" s="197">
        <f>COUNTIFS(BD!G:G,'Panorama (res. por Vara)'!B19,BD!O:O,$F$4)</f>
        <v>6</v>
      </c>
      <c r="G19" s="198">
        <f t="shared" si="1"/>
        <v>0.66666666666666663</v>
      </c>
      <c r="H19" s="201">
        <f>SUMIF(BD!G:G,'Panorama (res. por Vara)'!B19,BD!M:M)/C19</f>
        <v>30.111111111111111</v>
      </c>
      <c r="I19" s="203">
        <f>COUNTIFS(BD!G:G,'Panorama (res. por Vara)'!B19,BD!S:S,"&gt;0")</f>
        <v>3</v>
      </c>
      <c r="J19" s="204">
        <f>SUMIF(BD!G:G,'Panorama (res. por Vara)'!B19,BD!S:S)/I19</f>
        <v>327.09999999999997</v>
      </c>
      <c r="K19" s="194">
        <f>COUNTIFS(BD!G:G,'Panorama (res. por Vara)'!B19,BD!U:U,"&gt;0")</f>
        <v>8</v>
      </c>
      <c r="L19" s="204">
        <f>SUMIF(BD!G:G,'Panorama (res. por Vara)'!B19,BD!U:U)/K19</f>
        <v>3604.0125000000003</v>
      </c>
      <c r="M19" s="194">
        <f>COUNTIFS(BD!G:G,'Panorama (res. por Vara)'!B19,BD!W:W,"&gt;0")</f>
        <v>1</v>
      </c>
      <c r="N19" s="204">
        <f>SUMIF(BD!G:G,'Panorama (res. por Vara)'!B19,BD!W:W)/M19</f>
        <v>12.6</v>
      </c>
      <c r="O19" s="194">
        <f>COUNTIFS(BD!G:G,'Panorama (res. por Vara)'!B19,BD!Y:Y,"&gt;0")</f>
        <v>0</v>
      </c>
      <c r="P19" s="194" t="str">
        <f>IF(O19=0,"-",SUMIF(BD!G:G,'Panorama (res. por Vara)'!B19,BD!Y:Y)/O19)</f>
        <v>-</v>
      </c>
      <c r="Q19" s="194">
        <f>COUNTIFS(BD!G:G,'Panorama (res. por Vara)'!B19,BD!AA:AA,"&gt;0")</f>
        <v>0</v>
      </c>
      <c r="R19" s="207" t="str">
        <f>IF(Q19=0,"-",SUMIF(BD!G:G,'Panorama (res. por Vara)'!B19,BD!AA:AA)/Q19)</f>
        <v>-</v>
      </c>
      <c r="S19" s="206">
        <f>COUNTIFS(BD!G:G,'Panorama (res. por Vara)'!B19,BD!AB:AB,"&lt;&gt;0")</f>
        <v>0</v>
      </c>
      <c r="T19" s="210">
        <f>COUNTIFS(BD!G:G,'Panorama (res. por Vara)'!B19,BD!AM:AM,'Panorama (res. por Vara)'!$T$4)</f>
        <v>6</v>
      </c>
      <c r="U19" s="211">
        <f t="shared" si="2"/>
        <v>0.66666666666666663</v>
      </c>
      <c r="V19" s="215">
        <f>COUNTIFS(BD!G:G,'Panorama (res. por Vara)'!B19,BD!AU:AU,"sim")</f>
        <v>2</v>
      </c>
      <c r="W19" s="213">
        <f t="shared" si="3"/>
        <v>0.22222222222222221</v>
      </c>
      <c r="X19" s="212">
        <f>COUNTIFS(BD!G:G,'Panorama (res. por Vara)'!B19,BD!AV:AV,"sim")</f>
        <v>0</v>
      </c>
      <c r="Y19" s="214">
        <f t="shared" si="4"/>
        <v>0</v>
      </c>
      <c r="Z19" s="215">
        <f>COUNTIFS(BD!G:G,'Panorama (res. por Vara)'!B19,BD!BA:BA,"sim")</f>
        <v>1</v>
      </c>
      <c r="AA19" s="213">
        <f t="shared" si="5"/>
        <v>0.1111111111111111</v>
      </c>
      <c r="AB19" s="212">
        <f>COUNTIFS(BD!G:G,'Panorama (res. por Vara)'!B19,BD!BB:BB,"sim")</f>
        <v>0</v>
      </c>
      <c r="AC19" s="213">
        <f t="shared" si="5"/>
        <v>0</v>
      </c>
      <c r="AD19" s="212">
        <f>COUNTIFS(BD!G:G,'Panorama (res. por Vara)'!B19,BD!BC:BC,"sim")</f>
        <v>2</v>
      </c>
      <c r="AE19" s="213">
        <f t="shared" ref="AE19" si="49">AD19/$C19</f>
        <v>0.22222222222222221</v>
      </c>
      <c r="AF19" s="212">
        <f>COUNTIFS(BD!G:G,'Panorama (res. por Vara)'!B19,BD!BD:BD,"sim")</f>
        <v>0</v>
      </c>
      <c r="AG19" s="213">
        <f t="shared" ref="AG19" si="50">AF19/$C19</f>
        <v>0</v>
      </c>
      <c r="AH19" s="212">
        <f>COUNTIFS(BD!G:G,'Panorama (res. por Vara)'!B19,BD!BE:BE,"sim")</f>
        <v>0</v>
      </c>
      <c r="AI19" s="218">
        <f t="shared" ref="AI19" si="51">AH19/$C19</f>
        <v>0</v>
      </c>
      <c r="AJ19" s="215">
        <f>COUNTIFS(BD!G:G,'Panorama (res. por Vara)'!B19,BD!BH:BH,"sim")</f>
        <v>3</v>
      </c>
      <c r="AK19" s="214">
        <f t="shared" si="9"/>
        <v>0.33333333333333331</v>
      </c>
      <c r="AL19" s="217">
        <f>COUNTIFS(BD!G:G,'Panorama (res. por Vara)'!B19,BD!BJ:BJ,'Panorama (res. por Vara)'!$AL$4)</f>
        <v>0</v>
      </c>
      <c r="AM19" s="214">
        <f t="shared" si="10"/>
        <v>0</v>
      </c>
      <c r="AN19" s="220">
        <f>COUNTIFS(BD!G:G,'Panorama (res. por Vara)'!B19,BD!BL:BL,"&gt;0")</f>
        <v>6</v>
      </c>
      <c r="AO19" s="221">
        <f>SUMIF(BD!G:G,'Panorama (res. por Vara)'!B19,BD!BL:BL)/AN19</f>
        <v>92.12777777777778</v>
      </c>
      <c r="AP19" s="212">
        <f>COUNTIFS(BD!G:G,'Panorama (res. por Vara)'!B19,BD!BP:BP,"&gt;0")</f>
        <v>7</v>
      </c>
      <c r="AQ19" s="222">
        <f>SUMIF(BD!G:G,'Panorama (res. por Vara)'!B19,BD!BP:BP)/AP19</f>
        <v>79.538095238095238</v>
      </c>
      <c r="AR19" s="217">
        <f>COUNTIFS(BD!G:G,'Panorama (res. por Vara)'!B19,BD!BQ:BQ,"Sim")</f>
        <v>1</v>
      </c>
      <c r="AS19" s="214">
        <f t="shared" si="11"/>
        <v>0.1111111111111111</v>
      </c>
      <c r="AT19" s="223">
        <f>COUNTIFS(BD!G:G,'Panorama (res. por Vara)'!B19,BD!BS:BS,"Fechado")</f>
        <v>3</v>
      </c>
      <c r="AU19" s="224">
        <f t="shared" si="12"/>
        <v>0.33333333333333331</v>
      </c>
    </row>
    <row r="20" spans="2:47">
      <c r="B20" s="2" t="s">
        <v>185</v>
      </c>
      <c r="C20" s="197">
        <f>COUNTIF(BD!G:G,'Panorama (res. por Vara)'!B20)</f>
        <v>15</v>
      </c>
      <c r="D20" s="197">
        <f>COUNTIFS(BD!G:G,'Panorama (res. por Vara)'!B20,BD!K:K,$D$4)</f>
        <v>14</v>
      </c>
      <c r="E20" s="198">
        <f t="shared" si="0"/>
        <v>0.93333333333333335</v>
      </c>
      <c r="F20" s="197">
        <f>COUNTIFS(BD!G:G,'Panorama (res. por Vara)'!B20,BD!O:O,$F$4)</f>
        <v>10</v>
      </c>
      <c r="G20" s="198">
        <f t="shared" si="1"/>
        <v>0.66666666666666663</v>
      </c>
      <c r="H20" s="201">
        <f>SUMIF(BD!G:G,'Panorama (res. por Vara)'!B20,BD!M:M)/C20</f>
        <v>27.933333333333334</v>
      </c>
      <c r="I20" s="203">
        <f>COUNTIFS(BD!G:G,'Panorama (res. por Vara)'!B20,BD!S:S,"&gt;0")</f>
        <v>11</v>
      </c>
      <c r="J20" s="204">
        <f>SUMIF(BD!G:G,'Panorama (res. por Vara)'!B20,BD!S:S)/I20</f>
        <v>299.14545454545453</v>
      </c>
      <c r="K20" s="194">
        <f>COUNTIFS(BD!G:G,'Panorama (res. por Vara)'!B20,BD!U:U,"&gt;0")</f>
        <v>11</v>
      </c>
      <c r="L20" s="204">
        <f>SUMIF(BD!G:G,'Panorama (res. por Vara)'!B20,BD!U:U)/K20</f>
        <v>975.91818181818201</v>
      </c>
      <c r="M20" s="194">
        <f>COUNTIFS(BD!G:G,'Panorama (res. por Vara)'!B20,BD!W:W,"&gt;0")</f>
        <v>7</v>
      </c>
      <c r="N20" s="204">
        <f>SUMIF(BD!G:G,'Panorama (res. por Vara)'!B20,BD!W:W)/M20</f>
        <v>35.4</v>
      </c>
      <c r="O20" s="194">
        <f>COUNTIFS(BD!G:G,'Panorama (res. por Vara)'!B20,BD!Y:Y,"&gt;0")</f>
        <v>0</v>
      </c>
      <c r="P20" s="194" t="str">
        <f>IF(O20=0,"-",SUMIF(BD!G:G,'Panorama (res. por Vara)'!B20,BD!Y:Y)/O20)</f>
        <v>-</v>
      </c>
      <c r="Q20" s="194">
        <f>COUNTIFS(BD!G:G,'Panorama (res. por Vara)'!B20,BD!AA:AA,"&gt;0")</f>
        <v>0</v>
      </c>
      <c r="R20" s="207" t="str">
        <f>IF(Q20=0,"-",SUMIF(BD!G:G,'Panorama (res. por Vara)'!B20,BD!AA:AA)/Q20)</f>
        <v>-</v>
      </c>
      <c r="S20" s="206">
        <f>COUNTIFS(BD!G:G,'Panorama (res. por Vara)'!B20,BD!AB:AB,"&lt;&gt;0")</f>
        <v>1</v>
      </c>
      <c r="T20" s="210">
        <f>COUNTIFS(BD!G:G,'Panorama (res. por Vara)'!B20,BD!AM:AM,'Panorama (res. por Vara)'!$T$4)</f>
        <v>13</v>
      </c>
      <c r="U20" s="211">
        <f t="shared" si="2"/>
        <v>0.8666666666666667</v>
      </c>
      <c r="V20" s="215">
        <f>COUNTIFS(BD!G:G,'Panorama (res. por Vara)'!B20,BD!AU:AU,"sim")</f>
        <v>2</v>
      </c>
      <c r="W20" s="213">
        <f t="shared" si="3"/>
        <v>0.13333333333333333</v>
      </c>
      <c r="X20" s="212">
        <f>COUNTIFS(BD!G:G,'Panorama (res. por Vara)'!B20,BD!AV:AV,"sim")</f>
        <v>0</v>
      </c>
      <c r="Y20" s="214">
        <f t="shared" si="4"/>
        <v>0</v>
      </c>
      <c r="Z20" s="215">
        <f>COUNTIFS(BD!G:G,'Panorama (res. por Vara)'!B20,BD!BA:BA,"sim")</f>
        <v>0</v>
      </c>
      <c r="AA20" s="213">
        <f t="shared" si="5"/>
        <v>0</v>
      </c>
      <c r="AB20" s="212">
        <f>COUNTIFS(BD!G:G,'Panorama (res. por Vara)'!B20,BD!BB:BB,"sim")</f>
        <v>0</v>
      </c>
      <c r="AC20" s="213">
        <f t="shared" si="5"/>
        <v>0</v>
      </c>
      <c r="AD20" s="212">
        <f>COUNTIFS(BD!G:G,'Panorama (res. por Vara)'!B20,BD!BC:BC,"sim")</f>
        <v>0</v>
      </c>
      <c r="AE20" s="213">
        <f t="shared" ref="AE20" si="52">AD20/$C20</f>
        <v>0</v>
      </c>
      <c r="AF20" s="212">
        <f>COUNTIFS(BD!G:G,'Panorama (res. por Vara)'!B20,BD!BD:BD,"sim")</f>
        <v>0</v>
      </c>
      <c r="AG20" s="213">
        <f t="shared" ref="AG20" si="53">AF20/$C20</f>
        <v>0</v>
      </c>
      <c r="AH20" s="212">
        <f>COUNTIFS(BD!G:G,'Panorama (res. por Vara)'!B20,BD!BE:BE,"sim")</f>
        <v>1</v>
      </c>
      <c r="AI20" s="218">
        <f t="shared" ref="AI20" si="54">AH20/$C20</f>
        <v>6.6666666666666666E-2</v>
      </c>
      <c r="AJ20" s="215">
        <f>COUNTIFS(BD!G:G,'Panorama (res. por Vara)'!B20,BD!BH:BH,"sim")</f>
        <v>1</v>
      </c>
      <c r="AK20" s="214">
        <f t="shared" si="9"/>
        <v>6.6666666666666666E-2</v>
      </c>
      <c r="AL20" s="217">
        <f>COUNTIFS(BD!G:G,'Panorama (res. por Vara)'!B20,BD!BJ:BJ,'Panorama (res. por Vara)'!$AL$4)</f>
        <v>1</v>
      </c>
      <c r="AM20" s="214">
        <f t="shared" si="10"/>
        <v>6.6666666666666666E-2</v>
      </c>
      <c r="AN20" s="220">
        <f>COUNTIFS(BD!G:G,'Panorama (res. por Vara)'!B20,BD!BL:BL,"&gt;0")</f>
        <v>13</v>
      </c>
      <c r="AO20" s="221">
        <f>SUMIF(BD!G:G,'Panorama (res. por Vara)'!B20,BD!BL:BL)/AN20</f>
        <v>60.717948717948715</v>
      </c>
      <c r="AP20" s="212">
        <f>COUNTIFS(BD!G:G,'Panorama (res. por Vara)'!B20,BD!BP:BP,"&gt;0")</f>
        <v>13</v>
      </c>
      <c r="AQ20" s="222">
        <f>SUMIF(BD!G:G,'Panorama (res. por Vara)'!B20,BD!BP:BP)/AP20</f>
        <v>78.487179487179475</v>
      </c>
      <c r="AR20" s="217">
        <f>COUNTIFS(BD!G:G,'Panorama (res. por Vara)'!B20,BD!BQ:BQ,"Sim")</f>
        <v>1</v>
      </c>
      <c r="AS20" s="214">
        <f t="shared" si="11"/>
        <v>6.6666666666666666E-2</v>
      </c>
      <c r="AT20" s="223">
        <f>COUNTIFS(BD!G:G,'Panorama (res. por Vara)'!B20,BD!BS:BS,"Fechado")</f>
        <v>11</v>
      </c>
      <c r="AU20" s="224">
        <f t="shared" si="12"/>
        <v>0.73333333333333328</v>
      </c>
    </row>
    <row r="21" spans="2:47">
      <c r="B21" s="2" t="s">
        <v>198</v>
      </c>
      <c r="C21" s="197">
        <f>COUNTIF(BD!G:G,'Panorama (res. por Vara)'!B21)</f>
        <v>15</v>
      </c>
      <c r="D21" s="197">
        <f>COUNTIFS(BD!G:G,'Panorama (res. por Vara)'!B21,BD!K:K,$D$4)</f>
        <v>14</v>
      </c>
      <c r="E21" s="198">
        <f t="shared" si="0"/>
        <v>0.93333333333333335</v>
      </c>
      <c r="F21" s="197">
        <f>COUNTIFS(BD!G:G,'Panorama (res. por Vara)'!B21,BD!O:O,$F$4)</f>
        <v>9</v>
      </c>
      <c r="G21" s="198">
        <f t="shared" si="1"/>
        <v>0.6</v>
      </c>
      <c r="H21" s="201">
        <f>SUMIF(BD!G:G,'Panorama (res. por Vara)'!B21,BD!M:M)/C21</f>
        <v>23.733333333333334</v>
      </c>
      <c r="I21" s="203">
        <f>COUNTIFS(BD!G:G,'Panorama (res. por Vara)'!B21,BD!S:S,"&gt;0")</f>
        <v>10</v>
      </c>
      <c r="J21" s="204">
        <f>SUMIF(BD!G:G,'Panorama (res. por Vara)'!B21,BD!S:S)/I21</f>
        <v>113.08</v>
      </c>
      <c r="K21" s="194">
        <f>COUNTIFS(BD!G:G,'Panorama (res. por Vara)'!B21,BD!U:U,"&gt;0")</f>
        <v>11</v>
      </c>
      <c r="L21" s="204">
        <f>SUMIF(BD!G:G,'Panorama (res. por Vara)'!B21,BD!U:U)/K21</f>
        <v>19.963636363636365</v>
      </c>
      <c r="M21" s="194">
        <f>COUNTIFS(BD!G:G,'Panorama (res. por Vara)'!B21,BD!W:W,"&gt;0")</f>
        <v>7</v>
      </c>
      <c r="N21" s="204">
        <f>SUMIF(BD!G:G,'Panorama (res. por Vara)'!B21,BD!W:W)/M21</f>
        <v>131.54285714285714</v>
      </c>
      <c r="O21" s="194">
        <f>COUNTIFS(BD!G:G,'Panorama (res. por Vara)'!B21,BD!Y:Y,"&gt;0")</f>
        <v>0</v>
      </c>
      <c r="P21" s="194" t="str">
        <f>IF(O21=0,"-",SUMIF(BD!G:G,'Panorama (res. por Vara)'!B21,BD!Y:Y)/O21)</f>
        <v>-</v>
      </c>
      <c r="Q21" s="194">
        <f>COUNTIFS(BD!G:G,'Panorama (res. por Vara)'!B21,BD!AA:AA,"&gt;0")</f>
        <v>0</v>
      </c>
      <c r="R21" s="207" t="str">
        <f>IF(Q21=0,"-",SUMIF(BD!G:G,'Panorama (res. por Vara)'!B21,BD!AA:AA)/Q21)</f>
        <v>-</v>
      </c>
      <c r="S21" s="206">
        <f>COUNTIFS(BD!G:G,'Panorama (res. por Vara)'!B21,BD!AB:AB,"&lt;&gt;0")</f>
        <v>0</v>
      </c>
      <c r="T21" s="210">
        <f>COUNTIFS(BD!G:G,'Panorama (res. por Vara)'!B21,BD!AM:AM,'Panorama (res. por Vara)'!$T$4)</f>
        <v>14</v>
      </c>
      <c r="U21" s="211">
        <f t="shared" si="2"/>
        <v>0.93333333333333335</v>
      </c>
      <c r="V21" s="215">
        <f>COUNTIFS(BD!G:G,'Panorama (res. por Vara)'!B21,BD!AU:AU,"sim")</f>
        <v>0</v>
      </c>
      <c r="W21" s="213">
        <f t="shared" si="3"/>
        <v>0</v>
      </c>
      <c r="X21" s="212">
        <f>COUNTIFS(BD!G:G,'Panorama (res. por Vara)'!B21,BD!AV:AV,"sim")</f>
        <v>1</v>
      </c>
      <c r="Y21" s="214">
        <f t="shared" si="4"/>
        <v>6.6666666666666666E-2</v>
      </c>
      <c r="Z21" s="215">
        <f>COUNTIFS(BD!G:G,'Panorama (res. por Vara)'!B21,BD!BA:BA,"sim")</f>
        <v>0</v>
      </c>
      <c r="AA21" s="213">
        <f t="shared" si="5"/>
        <v>0</v>
      </c>
      <c r="AB21" s="212">
        <f>COUNTIFS(BD!G:G,'Panorama (res. por Vara)'!B21,BD!BB:BB,"sim")</f>
        <v>0</v>
      </c>
      <c r="AC21" s="213">
        <f t="shared" si="5"/>
        <v>0</v>
      </c>
      <c r="AD21" s="212">
        <f>COUNTIFS(BD!G:G,'Panorama (res. por Vara)'!B21,BD!BC:BC,"sim")</f>
        <v>0</v>
      </c>
      <c r="AE21" s="213">
        <f t="shared" ref="AE21" si="55">AD21/$C21</f>
        <v>0</v>
      </c>
      <c r="AF21" s="212">
        <f>COUNTIFS(BD!G:G,'Panorama (res. por Vara)'!B21,BD!BD:BD,"sim")</f>
        <v>0</v>
      </c>
      <c r="AG21" s="213">
        <f t="shared" ref="AG21" si="56">AF21/$C21</f>
        <v>0</v>
      </c>
      <c r="AH21" s="212">
        <f>COUNTIFS(BD!G:G,'Panorama (res. por Vara)'!B21,BD!BE:BE,"sim")</f>
        <v>0</v>
      </c>
      <c r="AI21" s="218">
        <f t="shared" ref="AI21" si="57">AH21/$C21</f>
        <v>0</v>
      </c>
      <c r="AJ21" s="215">
        <f>COUNTIFS(BD!G:G,'Panorama (res. por Vara)'!B21,BD!BH:BH,"sim")</f>
        <v>0</v>
      </c>
      <c r="AK21" s="214">
        <f t="shared" si="9"/>
        <v>0</v>
      </c>
      <c r="AL21" s="217">
        <f>COUNTIFS(BD!G:G,'Panorama (res. por Vara)'!B21,BD!BJ:BJ,'Panorama (res. por Vara)'!$AL$4)</f>
        <v>6</v>
      </c>
      <c r="AM21" s="214">
        <f t="shared" si="10"/>
        <v>0.4</v>
      </c>
      <c r="AN21" s="220">
        <f>COUNTIFS(BD!G:G,'Panorama (res. por Vara)'!B21,BD!BL:BL,"&gt;0")</f>
        <v>14</v>
      </c>
      <c r="AO21" s="221">
        <f>SUMIF(BD!G:G,'Panorama (res. por Vara)'!B21,BD!BL:BL)/AN21</f>
        <v>50.404761904761905</v>
      </c>
      <c r="AP21" s="212">
        <f>COUNTIFS(BD!G:G,'Panorama (res. por Vara)'!B21,BD!BP:BP,"&gt;0")</f>
        <v>14</v>
      </c>
      <c r="AQ21" s="222">
        <f>SUMIF(BD!G:G,'Panorama (res. por Vara)'!B21,BD!BP:BP)/AP21</f>
        <v>50.404761904761905</v>
      </c>
      <c r="AR21" s="217">
        <f>COUNTIFS(BD!G:G,'Panorama (res. por Vara)'!B21,BD!BQ:BQ,"Sim")</f>
        <v>4</v>
      </c>
      <c r="AS21" s="214">
        <f t="shared" si="11"/>
        <v>0.26666666666666666</v>
      </c>
      <c r="AT21" s="223">
        <f>COUNTIFS(BD!G:G,'Panorama (res. por Vara)'!B21,BD!BS:BS,"Fechado")</f>
        <v>8</v>
      </c>
      <c r="AU21" s="224">
        <f t="shared" si="12"/>
        <v>0.53333333333333333</v>
      </c>
    </row>
    <row r="22" spans="2:47">
      <c r="B22" s="2" t="s">
        <v>214</v>
      </c>
      <c r="C22" s="197">
        <f>COUNTIF(BD!G:G,'Panorama (res. por Vara)'!B22)</f>
        <v>17</v>
      </c>
      <c r="D22" s="197">
        <f>COUNTIFS(BD!G:G,'Panorama (res. por Vara)'!B22,BD!K:K,$D$4)</f>
        <v>17</v>
      </c>
      <c r="E22" s="198">
        <f t="shared" si="0"/>
        <v>1</v>
      </c>
      <c r="F22" s="197">
        <f>COUNTIFS(BD!G:G,'Panorama (res. por Vara)'!B22,BD!O:O,$F$4)</f>
        <v>14</v>
      </c>
      <c r="G22" s="198">
        <f t="shared" si="1"/>
        <v>0.82352941176470584</v>
      </c>
      <c r="H22" s="201">
        <f>SUMIF(BD!G:G,'Panorama (res. por Vara)'!B22,BD!M:M)/C22</f>
        <v>27.294117647058822</v>
      </c>
      <c r="I22" s="203">
        <f>COUNTIFS(BD!G:G,'Panorama (res. por Vara)'!B22,BD!S:S,"&gt;0")</f>
        <v>11</v>
      </c>
      <c r="J22" s="204">
        <f>SUMIF(BD!G:G,'Panorama (res. por Vara)'!B22,BD!S:S)/I22</f>
        <v>61.827272727272721</v>
      </c>
      <c r="K22" s="194">
        <f>COUNTIFS(BD!G:G,'Panorama (res. por Vara)'!B22,BD!U:U,"&gt;0")</f>
        <v>14</v>
      </c>
      <c r="L22" s="204">
        <f>SUMIF(BD!G:G,'Panorama (res. por Vara)'!B22,BD!U:U)/K22</f>
        <v>52.028571428571411</v>
      </c>
      <c r="M22" s="194">
        <f>COUNTIFS(BD!G:G,'Panorama (res. por Vara)'!B22,BD!W:W,"&gt;0")</f>
        <v>9</v>
      </c>
      <c r="N22" s="204">
        <f>SUMIF(BD!G:G,'Panorama (res. por Vara)'!B22,BD!W:W)/M22</f>
        <v>18.577777777777779</v>
      </c>
      <c r="O22" s="194">
        <f>COUNTIFS(BD!G:G,'Panorama (res. por Vara)'!B22,BD!Y:Y,"&gt;0")</f>
        <v>0</v>
      </c>
      <c r="P22" s="194" t="str">
        <f>IF(O22=0,"-",SUMIF(BD!G:G,'Panorama (res. por Vara)'!B22,BD!Y:Y)/O22)</f>
        <v>-</v>
      </c>
      <c r="Q22" s="194">
        <f>COUNTIFS(BD!G:G,'Panorama (res. por Vara)'!B22,BD!AA:AA,"&gt;0")</f>
        <v>0</v>
      </c>
      <c r="R22" s="207" t="str">
        <f>IF(Q22=0,"-",SUMIF(BD!G:G,'Panorama (res. por Vara)'!B22,BD!AA:AA)/Q22)</f>
        <v>-</v>
      </c>
      <c r="S22" s="206">
        <f>COUNTIFS(BD!G:G,'Panorama (res. por Vara)'!B22,BD!AB:AB,"&lt;&gt;0")</f>
        <v>1</v>
      </c>
      <c r="T22" s="210">
        <f>COUNTIFS(BD!G:G,'Panorama (res. por Vara)'!B22,BD!AM:AM,'Panorama (res. por Vara)'!$T$4)</f>
        <v>16</v>
      </c>
      <c r="U22" s="211">
        <f t="shared" si="2"/>
        <v>0.94117647058823528</v>
      </c>
      <c r="V22" s="215">
        <f>COUNTIFS(BD!G:G,'Panorama (res. por Vara)'!B22,BD!AU:AU,"sim")</f>
        <v>2</v>
      </c>
      <c r="W22" s="213">
        <f t="shared" si="3"/>
        <v>0.11764705882352941</v>
      </c>
      <c r="X22" s="212">
        <f>COUNTIFS(BD!G:G,'Panorama (res. por Vara)'!B22,BD!AV:AV,"sim")</f>
        <v>0</v>
      </c>
      <c r="Y22" s="214">
        <f t="shared" si="4"/>
        <v>0</v>
      </c>
      <c r="Z22" s="215">
        <f>COUNTIFS(BD!G:G,'Panorama (res. por Vara)'!B22,BD!BA:BA,"sim")</f>
        <v>1</v>
      </c>
      <c r="AA22" s="213">
        <f t="shared" si="5"/>
        <v>5.8823529411764705E-2</v>
      </c>
      <c r="AB22" s="212">
        <f>COUNTIFS(BD!G:G,'Panorama (res. por Vara)'!B22,BD!BB:BB,"sim")</f>
        <v>0</v>
      </c>
      <c r="AC22" s="213">
        <f t="shared" si="5"/>
        <v>0</v>
      </c>
      <c r="AD22" s="212">
        <f>COUNTIFS(BD!G:G,'Panorama (res. por Vara)'!B22,BD!BC:BC,"sim")</f>
        <v>0</v>
      </c>
      <c r="AE22" s="213">
        <f t="shared" ref="AE22" si="58">AD22/$C22</f>
        <v>0</v>
      </c>
      <c r="AF22" s="212">
        <f>COUNTIFS(BD!G:G,'Panorama (res. por Vara)'!B22,BD!BD:BD,"sim")</f>
        <v>0</v>
      </c>
      <c r="AG22" s="213">
        <f t="shared" ref="AG22" si="59">AF22/$C22</f>
        <v>0</v>
      </c>
      <c r="AH22" s="212">
        <f>COUNTIFS(BD!G:G,'Panorama (res. por Vara)'!B22,BD!BE:BE,"sim")</f>
        <v>0</v>
      </c>
      <c r="AI22" s="218">
        <f t="shared" ref="AI22" si="60">AH22/$C22</f>
        <v>0</v>
      </c>
      <c r="AJ22" s="215">
        <f>COUNTIFS(BD!G:G,'Panorama (res. por Vara)'!B22,BD!BH:BH,"sim")</f>
        <v>1</v>
      </c>
      <c r="AK22" s="214">
        <f t="shared" si="9"/>
        <v>5.8823529411764705E-2</v>
      </c>
      <c r="AL22" s="217">
        <f>COUNTIFS(BD!G:G,'Panorama (res. por Vara)'!B22,BD!BJ:BJ,'Panorama (res. por Vara)'!$AL$4)</f>
        <v>7</v>
      </c>
      <c r="AM22" s="214">
        <f t="shared" si="10"/>
        <v>0.41176470588235292</v>
      </c>
      <c r="AN22" s="220">
        <f>COUNTIFS(BD!G:G,'Panorama (res. por Vara)'!B22,BD!BL:BL,"&gt;0")</f>
        <v>16</v>
      </c>
      <c r="AO22" s="221">
        <f>SUMIF(BD!G:G,'Panorama (res. por Vara)'!B22,BD!BL:BL)/AN22</f>
        <v>45.9375</v>
      </c>
      <c r="AP22" s="212">
        <f>COUNTIFS(BD!G:G,'Panorama (res. por Vara)'!B22,BD!BP:BP,"&gt;0")</f>
        <v>17</v>
      </c>
      <c r="AQ22" s="222">
        <f>SUMIF(BD!G:G,'Panorama (res. por Vara)'!B22,BD!BP:BP)/AP22</f>
        <v>43.941176470588232</v>
      </c>
      <c r="AR22" s="217">
        <f>COUNTIFS(BD!G:G,'Panorama (res. por Vara)'!B22,BD!BQ:BQ,"Sim")</f>
        <v>3</v>
      </c>
      <c r="AS22" s="214">
        <f t="shared" si="11"/>
        <v>0.17647058823529413</v>
      </c>
      <c r="AT22" s="223">
        <f>COUNTIFS(BD!G:G,'Panorama (res. por Vara)'!B22,BD!BS:BS,"Fechado")</f>
        <v>12</v>
      </c>
      <c r="AU22" s="224">
        <f t="shared" si="12"/>
        <v>0.70588235294117652</v>
      </c>
    </row>
    <row r="23" spans="2:47">
      <c r="B23" s="2" t="s">
        <v>23</v>
      </c>
      <c r="C23" s="197">
        <f>COUNTIF(BD!G:G,'Panorama (res. por Vara)'!B23)</f>
        <v>7</v>
      </c>
      <c r="D23" s="197">
        <f>COUNTIFS(BD!G:G,'Panorama (res. por Vara)'!B23,BD!K:K,$D$4)</f>
        <v>7</v>
      </c>
      <c r="E23" s="198">
        <f t="shared" si="0"/>
        <v>1</v>
      </c>
      <c r="F23" s="197">
        <f>COUNTIFS(BD!G:G,'Panorama (res. por Vara)'!B23,BD!O:O,$F$4)</f>
        <v>3</v>
      </c>
      <c r="G23" s="198">
        <f t="shared" si="1"/>
        <v>0.42857142857142855</v>
      </c>
      <c r="H23" s="201">
        <f>SUMIF(BD!G:G,'Panorama (res. por Vara)'!B23,BD!M:M)/C23</f>
        <v>27.428571428571427</v>
      </c>
      <c r="I23" s="203">
        <f>COUNTIFS(BD!G:G,'Panorama (res. por Vara)'!B23,BD!S:S,"&gt;0")</f>
        <v>7</v>
      </c>
      <c r="J23" s="204">
        <f>SUMIF(BD!G:G,'Panorama (res. por Vara)'!B23,BD!S:S)/I23</f>
        <v>389.87142857142862</v>
      </c>
      <c r="K23" s="194">
        <f>COUNTIFS(BD!G:G,'Panorama (res. por Vara)'!B23,BD!U:U,"&gt;0")</f>
        <v>7</v>
      </c>
      <c r="L23" s="204">
        <f>SUMIF(BD!G:G,'Panorama (res. por Vara)'!B23,BD!U:U)/K23</f>
        <v>167.22857142857143</v>
      </c>
      <c r="M23" s="194">
        <f>COUNTIFS(BD!G:G,'Panorama (res. por Vara)'!B23,BD!W:W,"&gt;0")</f>
        <v>5</v>
      </c>
      <c r="N23" s="204">
        <f>SUMIF(BD!G:G,'Panorama (res. por Vara)'!B23,BD!W:W)/M23</f>
        <v>906.7299999999999</v>
      </c>
      <c r="O23" s="194">
        <f>COUNTIFS(BD!G:G,'Panorama (res. por Vara)'!B23,BD!Y:Y,"&gt;0")</f>
        <v>0</v>
      </c>
      <c r="P23" s="194" t="str">
        <f>IF(O23=0,"-",SUMIF(BD!G:G,'Panorama (res. por Vara)'!B23,BD!Y:Y)/O23)</f>
        <v>-</v>
      </c>
      <c r="Q23" s="194">
        <f>COUNTIFS(BD!G:G,'Panorama (res. por Vara)'!B23,BD!AA:AA,"&gt;0")</f>
        <v>0</v>
      </c>
      <c r="R23" s="207" t="str">
        <f>IF(Q23=0,"-",SUMIF(BD!G:G,'Panorama (res. por Vara)'!B23,BD!AA:AA)/Q23)</f>
        <v>-</v>
      </c>
      <c r="S23" s="206">
        <f>COUNTIFS(BD!G:G,'Panorama (res. por Vara)'!B23,BD!AB:AB,"&lt;&gt;0")</f>
        <v>1</v>
      </c>
      <c r="T23" s="210">
        <f>COUNTIFS(BD!G:G,'Panorama (res. por Vara)'!B23,BD!AM:AM,'Panorama (res. por Vara)'!$T$4)</f>
        <v>5</v>
      </c>
      <c r="U23" s="211">
        <f t="shared" si="2"/>
        <v>0.7142857142857143</v>
      </c>
      <c r="V23" s="215">
        <f>COUNTIFS(BD!G:G,'Panorama (res. por Vara)'!B23,BD!AU:AU,"sim")</f>
        <v>1</v>
      </c>
      <c r="W23" s="213">
        <f t="shared" si="3"/>
        <v>0.14285714285714285</v>
      </c>
      <c r="X23" s="212">
        <f>COUNTIFS(BD!G:G,'Panorama (res. por Vara)'!B23,BD!AV:AV,"sim")</f>
        <v>0</v>
      </c>
      <c r="Y23" s="214">
        <f t="shared" si="4"/>
        <v>0</v>
      </c>
      <c r="Z23" s="215">
        <f>COUNTIFS(BD!G:G,'Panorama (res. por Vara)'!B23,BD!BA:BA,"sim")</f>
        <v>0</v>
      </c>
      <c r="AA23" s="213">
        <f t="shared" si="5"/>
        <v>0</v>
      </c>
      <c r="AB23" s="212">
        <f>COUNTIFS(BD!G:G,'Panorama (res. por Vara)'!B23,BD!BB:BB,"sim")</f>
        <v>0</v>
      </c>
      <c r="AC23" s="213">
        <f t="shared" si="5"/>
        <v>0</v>
      </c>
      <c r="AD23" s="212">
        <f>COUNTIFS(BD!G:G,'Panorama (res. por Vara)'!B23,BD!BC:BC,"sim")</f>
        <v>0</v>
      </c>
      <c r="AE23" s="213">
        <f t="shared" ref="AE23" si="61">AD23/$C23</f>
        <v>0</v>
      </c>
      <c r="AF23" s="212">
        <f>COUNTIFS(BD!G:G,'Panorama (res. por Vara)'!B23,BD!BD:BD,"sim")</f>
        <v>0</v>
      </c>
      <c r="AG23" s="213">
        <f t="shared" ref="AG23" si="62">AF23/$C23</f>
        <v>0</v>
      </c>
      <c r="AH23" s="212">
        <f>COUNTIFS(BD!G:G,'Panorama (res. por Vara)'!B23,BD!BE:BE,"sim")</f>
        <v>0</v>
      </c>
      <c r="AI23" s="218">
        <f t="shared" ref="AI23" si="63">AH23/$C23</f>
        <v>0</v>
      </c>
      <c r="AJ23" s="215">
        <f>COUNTIFS(BD!G:G,'Panorama (res. por Vara)'!B23,BD!BH:BH,"sim")</f>
        <v>0</v>
      </c>
      <c r="AK23" s="214">
        <f t="shared" si="9"/>
        <v>0</v>
      </c>
      <c r="AL23" s="217">
        <f>COUNTIFS(BD!G:G,'Panorama (res. por Vara)'!B23,BD!BJ:BJ,'Panorama (res. por Vara)'!$AL$4)</f>
        <v>3</v>
      </c>
      <c r="AM23" s="214">
        <f t="shared" si="10"/>
        <v>0.42857142857142855</v>
      </c>
      <c r="AN23" s="220">
        <f>COUNTIFS(BD!G:G,'Panorama (res. por Vara)'!B23,BD!BL:BL,"&gt;0")</f>
        <v>5</v>
      </c>
      <c r="AO23" s="221">
        <f>SUMIF(BD!G:G,'Panorama (res. por Vara)'!B23,BD!BL:BL)/AN23</f>
        <v>45.4</v>
      </c>
      <c r="AP23" s="212">
        <f>COUNTIFS(BD!G:G,'Panorama (res. por Vara)'!B23,BD!BP:BP,"&gt;0")</f>
        <v>5</v>
      </c>
      <c r="AQ23" s="222">
        <f>SUMIF(BD!G:G,'Panorama (res. por Vara)'!B23,BD!BP:BP)/AP23</f>
        <v>45.4</v>
      </c>
      <c r="AR23" s="217">
        <f>COUNTIFS(BD!G:G,'Panorama (res. por Vara)'!B23,BD!BQ:BQ,"Sim")</f>
        <v>2</v>
      </c>
      <c r="AS23" s="214">
        <f t="shared" si="11"/>
        <v>0.2857142857142857</v>
      </c>
      <c r="AT23" s="223">
        <f>COUNTIFS(BD!G:G,'Panorama (res. por Vara)'!B23,BD!BS:BS,"Fechado")</f>
        <v>3</v>
      </c>
      <c r="AU23" s="224">
        <f t="shared" si="12"/>
        <v>0.42857142857142855</v>
      </c>
    </row>
    <row r="24" spans="2:47">
      <c r="B24" s="2" t="s">
        <v>241</v>
      </c>
      <c r="C24" s="197">
        <f>COUNTIF(BD!G:G,'Panorama (res. por Vara)'!B24)</f>
        <v>16</v>
      </c>
      <c r="D24" s="197">
        <f>COUNTIFS(BD!G:G,'Panorama (res. por Vara)'!B24,BD!K:K,$D$4)</f>
        <v>15</v>
      </c>
      <c r="E24" s="198">
        <f t="shared" si="0"/>
        <v>0.9375</v>
      </c>
      <c r="F24" s="197">
        <f>COUNTIFS(BD!G:G,'Panorama (res. por Vara)'!B24,BD!O:O,$F$4)</f>
        <v>10</v>
      </c>
      <c r="G24" s="198">
        <f t="shared" si="1"/>
        <v>0.625</v>
      </c>
      <c r="H24" s="201">
        <f>SUMIF(BD!G:G,'Panorama (res. por Vara)'!B24,BD!M:M)/C24</f>
        <v>26.5625</v>
      </c>
      <c r="I24" s="203">
        <f>COUNTIFS(BD!G:G,'Panorama (res. por Vara)'!B24,BD!S:S,"&gt;0")</f>
        <v>12</v>
      </c>
      <c r="J24" s="204">
        <f>SUMIF(BD!G:G,'Panorama (res. por Vara)'!B24,BD!S:S)/I24</f>
        <v>41.591666666666661</v>
      </c>
      <c r="K24" s="194">
        <f>COUNTIFS(BD!G:G,'Panorama (res. por Vara)'!B24,BD!U:U,"&gt;0")</f>
        <v>11</v>
      </c>
      <c r="L24" s="204">
        <f>SUMIF(BD!G:G,'Panorama (res. por Vara)'!B24,BD!U:U)/K24</f>
        <v>43.821818181818188</v>
      </c>
      <c r="M24" s="194">
        <f>COUNTIFS(BD!G:G,'Panorama (res. por Vara)'!B24,BD!W:W,"&gt;0")</f>
        <v>5</v>
      </c>
      <c r="N24" s="204">
        <f>SUMIF(BD!G:G,'Panorama (res. por Vara)'!B24,BD!W:W)/M24</f>
        <v>213.56000000000003</v>
      </c>
      <c r="O24" s="194">
        <f>COUNTIFS(BD!G:G,'Panorama (res. por Vara)'!B24,BD!Y:Y,"&gt;0")</f>
        <v>1</v>
      </c>
      <c r="P24" s="194">
        <f>IF(O24=0,"-",SUMIF(BD!G:G,'Panorama (res. por Vara)'!B24,BD!Y:Y)/O24)</f>
        <v>0.4</v>
      </c>
      <c r="Q24" s="194">
        <f>COUNTIFS(BD!G:G,'Panorama (res. por Vara)'!B24,BD!AA:AA,"&gt;0")</f>
        <v>0</v>
      </c>
      <c r="R24" s="207" t="str">
        <f>IF(Q24=0,"-",SUMIF(BD!G:G,'Panorama (res. por Vara)'!B24,BD!AA:AA)/Q24)</f>
        <v>-</v>
      </c>
      <c r="S24" s="206">
        <f>COUNTIFS(BD!G:G,'Panorama (res. por Vara)'!B24,BD!AB:AB,"&lt;&gt;0")</f>
        <v>2</v>
      </c>
      <c r="T24" s="210">
        <f>COUNTIFS(BD!G:G,'Panorama (res. por Vara)'!B24,BD!AM:AM,'Panorama (res. por Vara)'!$T$4)</f>
        <v>11</v>
      </c>
      <c r="U24" s="211">
        <f t="shared" si="2"/>
        <v>0.6875</v>
      </c>
      <c r="V24" s="215">
        <f>COUNTIFS(BD!G:G,'Panorama (res. por Vara)'!B24,BD!AU:AU,"sim")</f>
        <v>2</v>
      </c>
      <c r="W24" s="213">
        <f t="shared" si="3"/>
        <v>0.125</v>
      </c>
      <c r="X24" s="212">
        <f>COUNTIFS(BD!G:G,'Panorama (res. por Vara)'!B24,BD!AV:AV,"sim")</f>
        <v>2</v>
      </c>
      <c r="Y24" s="214">
        <f t="shared" si="4"/>
        <v>0.125</v>
      </c>
      <c r="Z24" s="215">
        <f>COUNTIFS(BD!G:G,'Panorama (res. por Vara)'!B24,BD!BA:BA,"sim")</f>
        <v>0</v>
      </c>
      <c r="AA24" s="213">
        <f t="shared" si="5"/>
        <v>0</v>
      </c>
      <c r="AB24" s="212">
        <f>COUNTIFS(BD!G:G,'Panorama (res. por Vara)'!B24,BD!BB:BB,"sim")</f>
        <v>0</v>
      </c>
      <c r="AC24" s="213">
        <f t="shared" si="5"/>
        <v>0</v>
      </c>
      <c r="AD24" s="212">
        <f>COUNTIFS(BD!G:G,'Panorama (res. por Vara)'!B24,BD!BC:BC,"sim")</f>
        <v>0</v>
      </c>
      <c r="AE24" s="213">
        <f t="shared" ref="AE24" si="64">AD24/$C24</f>
        <v>0</v>
      </c>
      <c r="AF24" s="212">
        <f>COUNTIFS(BD!G:G,'Panorama (res. por Vara)'!B24,BD!BD:BD,"sim")</f>
        <v>0</v>
      </c>
      <c r="AG24" s="213">
        <f t="shared" ref="AG24" si="65">AF24/$C24</f>
        <v>0</v>
      </c>
      <c r="AH24" s="212">
        <f>COUNTIFS(BD!G:G,'Panorama (res. por Vara)'!B24,BD!BE:BE,"sim")</f>
        <v>2</v>
      </c>
      <c r="AI24" s="218">
        <f t="shared" ref="AI24" si="66">AH24/$C24</f>
        <v>0.125</v>
      </c>
      <c r="AJ24" s="215">
        <f>COUNTIFS(BD!G:G,'Panorama (res. por Vara)'!B24,BD!BH:BH,"sim")</f>
        <v>2</v>
      </c>
      <c r="AK24" s="214">
        <f t="shared" si="9"/>
        <v>0.125</v>
      </c>
      <c r="AL24" s="217">
        <f>COUNTIFS(BD!G:G,'Panorama (res. por Vara)'!B24,BD!BJ:BJ,'Panorama (res. por Vara)'!$AL$4)</f>
        <v>6</v>
      </c>
      <c r="AM24" s="214">
        <f t="shared" si="10"/>
        <v>0.375</v>
      </c>
      <c r="AN24" s="220">
        <f>COUNTIFS(BD!G:G,'Panorama (res. por Vara)'!B24,BD!BL:BL,"&gt;0")</f>
        <v>11</v>
      </c>
      <c r="AO24" s="221">
        <f>SUMIF(BD!G:G,'Panorama (res. por Vara)'!B24,BD!BL:BL)/AN24</f>
        <v>58</v>
      </c>
      <c r="AP24" s="212">
        <f>COUNTIFS(BD!G:G,'Panorama (res. por Vara)'!B24,BD!BP:BP,"&gt;0")</f>
        <v>11</v>
      </c>
      <c r="AQ24" s="222">
        <f>SUMIF(BD!G:G,'Panorama (res. por Vara)'!B24,BD!BP:BP)/AP24</f>
        <v>57.945454545454545</v>
      </c>
      <c r="AR24" s="217">
        <f>COUNTIFS(BD!G:G,'Panorama (res. por Vara)'!B24,BD!BQ:BQ,"Sim")</f>
        <v>1</v>
      </c>
      <c r="AS24" s="214">
        <f t="shared" si="11"/>
        <v>6.25E-2</v>
      </c>
      <c r="AT24" s="223">
        <f>COUNTIFS(BD!G:G,'Panorama (res. por Vara)'!B24,BD!BS:BS,"Fechado")</f>
        <v>7</v>
      </c>
      <c r="AU24" s="224">
        <f t="shared" si="12"/>
        <v>0.4375</v>
      </c>
    </row>
    <row r="25" spans="2:47">
      <c r="B25" s="2" t="s">
        <v>251</v>
      </c>
      <c r="C25" s="197">
        <f>COUNTIF(BD!G:G,'Panorama (res. por Vara)'!B25)</f>
        <v>11</v>
      </c>
      <c r="D25" s="197">
        <f>COUNTIFS(BD!G:G,'Panorama (res. por Vara)'!B25,BD!K:K,$D$4)</f>
        <v>10</v>
      </c>
      <c r="E25" s="198">
        <f t="shared" si="0"/>
        <v>0.90909090909090906</v>
      </c>
      <c r="F25" s="197">
        <f>COUNTIFS(BD!G:G,'Panorama (res. por Vara)'!B25,BD!O:O,$F$4)</f>
        <v>7</v>
      </c>
      <c r="G25" s="198">
        <f t="shared" si="1"/>
        <v>0.63636363636363635</v>
      </c>
      <c r="H25" s="201">
        <f>SUMIF(BD!G:G,'Panorama (res. por Vara)'!B25,BD!M:M)/C25</f>
        <v>24.818181818181817</v>
      </c>
      <c r="I25" s="203">
        <f>COUNTIFS(BD!G:G,'Panorama (res. por Vara)'!B25,BD!S:S,"&gt;0")</f>
        <v>9</v>
      </c>
      <c r="J25" s="204">
        <f>SUMIF(BD!G:G,'Panorama (res. por Vara)'!B25,BD!S:S)/I25</f>
        <v>1892.4555555555553</v>
      </c>
      <c r="K25" s="194">
        <f>COUNTIFS(BD!G:G,'Panorama (res. por Vara)'!B25,BD!U:U,"&gt;0")</f>
        <v>9</v>
      </c>
      <c r="L25" s="204">
        <f>SUMIF(BD!G:G,'Panorama (res. por Vara)'!B25,BD!U:U)/K25</f>
        <v>112.66666666666667</v>
      </c>
      <c r="M25" s="194">
        <f>COUNTIFS(BD!G:G,'Panorama (res. por Vara)'!B25,BD!W:W,"&gt;0")</f>
        <v>4</v>
      </c>
      <c r="N25" s="204">
        <f>SUMIF(BD!G:G,'Panorama (res. por Vara)'!B25,BD!W:W)/M25</f>
        <v>168.05</v>
      </c>
      <c r="O25" s="194">
        <f>COUNTIFS(BD!G:G,'Panorama (res. por Vara)'!B25,BD!Y:Y,"&gt;0")</f>
        <v>0</v>
      </c>
      <c r="P25" s="194" t="str">
        <f>IF(O25=0,"-",SUMIF(BD!G:G,'Panorama (res. por Vara)'!B25,BD!Y:Y)/O25)</f>
        <v>-</v>
      </c>
      <c r="Q25" s="194">
        <f>COUNTIFS(BD!G:G,'Panorama (res. por Vara)'!B25,BD!AA:AA,"&gt;0")</f>
        <v>0</v>
      </c>
      <c r="R25" s="207" t="str">
        <f>IF(Q25=0,"-",SUMIF(BD!G:G,'Panorama (res. por Vara)'!B25,BD!AA:AA)/Q25)</f>
        <v>-</v>
      </c>
      <c r="S25" s="206">
        <f>COUNTIFS(BD!G:G,'Panorama (res. por Vara)'!B25,BD!AB:AB,"&lt;&gt;0")</f>
        <v>3</v>
      </c>
      <c r="T25" s="210">
        <f>COUNTIFS(BD!G:G,'Panorama (res. por Vara)'!B25,BD!AM:AM,'Panorama (res. por Vara)'!$T$4)</f>
        <v>11</v>
      </c>
      <c r="U25" s="211">
        <f t="shared" si="2"/>
        <v>1</v>
      </c>
      <c r="V25" s="215">
        <f>COUNTIFS(BD!G:G,'Panorama (res. por Vara)'!B25,BD!AU:AU,"sim")</f>
        <v>0</v>
      </c>
      <c r="W25" s="213">
        <f t="shared" si="3"/>
        <v>0</v>
      </c>
      <c r="X25" s="212">
        <f>COUNTIFS(BD!G:G,'Panorama (res. por Vara)'!B25,BD!AV:AV,"sim")</f>
        <v>0</v>
      </c>
      <c r="Y25" s="214">
        <f t="shared" si="4"/>
        <v>0</v>
      </c>
      <c r="Z25" s="215">
        <f>COUNTIFS(BD!G:G,'Panorama (res. por Vara)'!B25,BD!BA:BA,"sim")</f>
        <v>4</v>
      </c>
      <c r="AA25" s="213">
        <f t="shared" si="5"/>
        <v>0.36363636363636365</v>
      </c>
      <c r="AB25" s="212">
        <f>COUNTIFS(BD!G:G,'Panorama (res. por Vara)'!B25,BD!BB:BB,"sim")</f>
        <v>0</v>
      </c>
      <c r="AC25" s="213">
        <f t="shared" si="5"/>
        <v>0</v>
      </c>
      <c r="AD25" s="212">
        <f>COUNTIFS(BD!G:G,'Panorama (res. por Vara)'!B25,BD!BC:BC,"sim")</f>
        <v>0</v>
      </c>
      <c r="AE25" s="213">
        <f t="shared" ref="AE25" si="67">AD25/$C25</f>
        <v>0</v>
      </c>
      <c r="AF25" s="212">
        <f>COUNTIFS(BD!G:G,'Panorama (res. por Vara)'!B25,BD!BD:BD,"sim")</f>
        <v>0</v>
      </c>
      <c r="AG25" s="213">
        <f t="shared" ref="AG25" si="68">AF25/$C25</f>
        <v>0</v>
      </c>
      <c r="AH25" s="212">
        <f>COUNTIFS(BD!G:G,'Panorama (res. por Vara)'!B25,BD!BE:BE,"sim")</f>
        <v>0</v>
      </c>
      <c r="AI25" s="218">
        <f t="shared" ref="AI25" si="69">AH25/$C25</f>
        <v>0</v>
      </c>
      <c r="AJ25" s="215">
        <f>COUNTIFS(BD!G:G,'Panorama (res. por Vara)'!B25,BD!BH:BH,"sim")</f>
        <v>4</v>
      </c>
      <c r="AK25" s="214">
        <f t="shared" si="9"/>
        <v>0.36363636363636365</v>
      </c>
      <c r="AL25" s="217">
        <f>COUNTIFS(BD!G:G,'Panorama (res. por Vara)'!B25,BD!BJ:BJ,'Panorama (res. por Vara)'!$AL$4)</f>
        <v>7</v>
      </c>
      <c r="AM25" s="214">
        <f t="shared" si="10"/>
        <v>0.63636363636363635</v>
      </c>
      <c r="AN25" s="220">
        <f>COUNTIFS(BD!G:G,'Panorama (res. por Vara)'!B25,BD!BL:BL,"&gt;0")</f>
        <v>11</v>
      </c>
      <c r="AO25" s="221">
        <f>SUMIF(BD!G:G,'Panorama (res. por Vara)'!B25,BD!BL:BL)/AN25</f>
        <v>51.18181818181818</v>
      </c>
      <c r="AP25" s="212">
        <f>COUNTIFS(BD!G:G,'Panorama (res. por Vara)'!B25,BD!BP:BP,"&gt;0")</f>
        <v>11</v>
      </c>
      <c r="AQ25" s="222">
        <f>SUMIF(BD!G:G,'Panorama (res. por Vara)'!B25,BD!BP:BP)/AP25</f>
        <v>59.545454545454547</v>
      </c>
      <c r="AR25" s="217">
        <f>COUNTIFS(BD!G:G,'Panorama (res. por Vara)'!B25,BD!BQ:BQ,"Sim")</f>
        <v>0</v>
      </c>
      <c r="AS25" s="214">
        <f t="shared" si="11"/>
        <v>0</v>
      </c>
      <c r="AT25" s="223">
        <f>COUNTIFS(BD!G:G,'Panorama (res. por Vara)'!B25,BD!BS:BS,"Fechado")</f>
        <v>7</v>
      </c>
      <c r="AU25" s="224">
        <f t="shared" si="12"/>
        <v>0.63636363636363635</v>
      </c>
    </row>
    <row r="26" spans="2:47">
      <c r="B26" s="2" t="s">
        <v>264</v>
      </c>
      <c r="C26" s="197">
        <f>COUNTIF(BD!G:G,'Panorama (res. por Vara)'!B26)</f>
        <v>17</v>
      </c>
      <c r="D26" s="197">
        <f>COUNTIFS(BD!G:G,'Panorama (res. por Vara)'!B26,BD!K:K,$D$4)</f>
        <v>17</v>
      </c>
      <c r="E26" s="198">
        <f t="shared" si="0"/>
        <v>1</v>
      </c>
      <c r="F26" s="197">
        <f>COUNTIFS(BD!G:G,'Panorama (res. por Vara)'!B26,BD!O:O,$F$4)</f>
        <v>12</v>
      </c>
      <c r="G26" s="198">
        <f t="shared" si="1"/>
        <v>0.70588235294117652</v>
      </c>
      <c r="H26" s="201">
        <f>SUMIF(BD!G:G,'Panorama (res. por Vara)'!B26,BD!M:M)/C26</f>
        <v>32.411764705882355</v>
      </c>
      <c r="I26" s="203">
        <f>COUNTIFS(BD!G:G,'Panorama (res. por Vara)'!B26,BD!S:S,"&gt;0")</f>
        <v>6</v>
      </c>
      <c r="J26" s="204">
        <f>SUMIF(BD!G:G,'Panorama (res. por Vara)'!B26,BD!S:S)/I26</f>
        <v>488.68000000000006</v>
      </c>
      <c r="K26" s="194">
        <f>COUNTIFS(BD!G:G,'Panorama (res. por Vara)'!B26,BD!U:U,"&gt;0")</f>
        <v>15</v>
      </c>
      <c r="L26" s="204">
        <f>SUMIF(BD!G:G,'Panorama (res. por Vara)'!B26,BD!U:U)/K26</f>
        <v>15397.933333333336</v>
      </c>
      <c r="M26" s="194">
        <f>COUNTIFS(BD!G:G,'Panorama (res. por Vara)'!B26,BD!W:W,"&gt;0")</f>
        <v>6</v>
      </c>
      <c r="N26" s="204">
        <f>SUMIF(BD!G:G,'Panorama (res. por Vara)'!B26,BD!W:W)/M26</f>
        <v>94.433333333333323</v>
      </c>
      <c r="O26" s="194">
        <f>COUNTIFS(BD!G:G,'Panorama (res. por Vara)'!B26,BD!Y:Y,"&gt;0")</f>
        <v>0</v>
      </c>
      <c r="P26" s="194" t="str">
        <f>IF(O26=0,"-",SUMIF(BD!G:G,'Panorama (res. por Vara)'!B26,BD!Y:Y)/O26)</f>
        <v>-</v>
      </c>
      <c r="Q26" s="194">
        <f>COUNTIFS(BD!G:G,'Panorama (res. por Vara)'!B26,BD!AA:AA,"&gt;0")</f>
        <v>0</v>
      </c>
      <c r="R26" s="207" t="str">
        <f>IF(Q26=0,"-",SUMIF(BD!G:G,'Panorama (res. por Vara)'!B26,BD!AA:AA)/Q26)</f>
        <v>-</v>
      </c>
      <c r="S26" s="206">
        <f>COUNTIFS(BD!G:G,'Panorama (res. por Vara)'!B26,BD!AB:AB,"&lt;&gt;0")</f>
        <v>1</v>
      </c>
      <c r="T26" s="210">
        <f>COUNTIFS(BD!G:G,'Panorama (res. por Vara)'!B26,BD!AM:AM,'Panorama (res. por Vara)'!$T$4)</f>
        <v>11</v>
      </c>
      <c r="U26" s="211">
        <f t="shared" si="2"/>
        <v>0.6470588235294118</v>
      </c>
      <c r="V26" s="215">
        <f>COUNTIFS(BD!G:G,'Panorama (res. por Vara)'!B26,BD!AU:AU,"sim")</f>
        <v>5</v>
      </c>
      <c r="W26" s="213">
        <f t="shared" si="3"/>
        <v>0.29411764705882354</v>
      </c>
      <c r="X26" s="212">
        <f>COUNTIFS(BD!G:G,'Panorama (res. por Vara)'!B26,BD!AV:AV,"sim")</f>
        <v>0</v>
      </c>
      <c r="Y26" s="214">
        <f t="shared" si="4"/>
        <v>0</v>
      </c>
      <c r="Z26" s="215">
        <f>COUNTIFS(BD!G:G,'Panorama (res. por Vara)'!B26,BD!BA:BA,"sim")</f>
        <v>0</v>
      </c>
      <c r="AA26" s="213">
        <f t="shared" si="5"/>
        <v>0</v>
      </c>
      <c r="AB26" s="212">
        <f>COUNTIFS(BD!G:G,'Panorama (res. por Vara)'!B26,BD!BB:BB,"sim")</f>
        <v>0</v>
      </c>
      <c r="AC26" s="213">
        <f t="shared" si="5"/>
        <v>0</v>
      </c>
      <c r="AD26" s="212">
        <f>COUNTIFS(BD!G:G,'Panorama (res. por Vara)'!B26,BD!BC:BC,"sim")</f>
        <v>0</v>
      </c>
      <c r="AE26" s="213">
        <f t="shared" ref="AE26" si="70">AD26/$C26</f>
        <v>0</v>
      </c>
      <c r="AF26" s="212">
        <f>COUNTIFS(BD!G:G,'Panorama (res. por Vara)'!B26,BD!BD:BD,"sim")</f>
        <v>0</v>
      </c>
      <c r="AG26" s="213">
        <f t="shared" ref="AG26" si="71">AF26/$C26</f>
        <v>0</v>
      </c>
      <c r="AH26" s="212">
        <f>COUNTIFS(BD!G:G,'Panorama (res. por Vara)'!B26,BD!BE:BE,"sim")</f>
        <v>1</v>
      </c>
      <c r="AI26" s="218">
        <f t="shared" ref="AI26" si="72">AH26/$C26</f>
        <v>5.8823529411764705E-2</v>
      </c>
      <c r="AJ26" s="215">
        <f>COUNTIFS(BD!G:G,'Panorama (res. por Vara)'!B26,BD!BH:BH,"sim")</f>
        <v>1</v>
      </c>
      <c r="AK26" s="214">
        <f t="shared" si="9"/>
        <v>5.8823529411764705E-2</v>
      </c>
      <c r="AL26" s="217">
        <f>COUNTIFS(BD!G:G,'Panorama (res. por Vara)'!B26,BD!BJ:BJ,'Panorama (res. por Vara)'!$AL$4)</f>
        <v>2</v>
      </c>
      <c r="AM26" s="214">
        <f t="shared" si="10"/>
        <v>0.11764705882352941</v>
      </c>
      <c r="AN26" s="220">
        <f>COUNTIFS(BD!G:G,'Panorama (res. por Vara)'!B26,BD!BL:BL,"&gt;0")</f>
        <v>11</v>
      </c>
      <c r="AO26" s="221">
        <f>SUMIF(BD!G:G,'Panorama (res. por Vara)'!B26,BD!BL:BL)/AN26</f>
        <v>70.333333333333329</v>
      </c>
      <c r="AP26" s="212">
        <f>COUNTIFS(BD!G:G,'Panorama (res. por Vara)'!B26,BD!BP:BP,"&gt;0")</f>
        <v>11</v>
      </c>
      <c r="AQ26" s="222">
        <f>SUMIF(BD!G:G,'Panorama (res. por Vara)'!B26,BD!BP:BP)/AP26</f>
        <v>70.333333333333329</v>
      </c>
      <c r="AR26" s="217">
        <f>COUNTIFS(BD!G:G,'Panorama (res. por Vara)'!B26,BD!BQ:BQ,"Sim")</f>
        <v>0</v>
      </c>
      <c r="AS26" s="214">
        <f t="shared" si="11"/>
        <v>0</v>
      </c>
      <c r="AT26" s="223">
        <f>COUNTIFS(BD!G:G,'Panorama (res. por Vara)'!B26,BD!BS:BS,"Fechado")</f>
        <v>9</v>
      </c>
      <c r="AU26" s="224">
        <f t="shared" si="12"/>
        <v>0.52941176470588236</v>
      </c>
    </row>
    <row r="27" spans="2:47">
      <c r="B27" s="2" t="s">
        <v>277</v>
      </c>
      <c r="C27" s="197">
        <f>COUNTIF(BD!G:G,'Panorama (res. por Vara)'!B27)</f>
        <v>15</v>
      </c>
      <c r="D27" s="197">
        <f>COUNTIFS(BD!G:G,'Panorama (res. por Vara)'!B27,BD!K:K,$D$4)</f>
        <v>14</v>
      </c>
      <c r="E27" s="198">
        <f t="shared" si="0"/>
        <v>0.93333333333333335</v>
      </c>
      <c r="F27" s="197">
        <f>COUNTIFS(BD!G:G,'Panorama (res. por Vara)'!B27,BD!O:O,$F$4)</f>
        <v>9</v>
      </c>
      <c r="G27" s="198">
        <f t="shared" si="1"/>
        <v>0.6</v>
      </c>
      <c r="H27" s="201">
        <f>SUMIF(BD!G:G,'Panorama (res. por Vara)'!B27,BD!M:M)/C27</f>
        <v>26.8</v>
      </c>
      <c r="I27" s="203">
        <f>COUNTIFS(BD!G:G,'Panorama (res. por Vara)'!B27,BD!S:S,"&gt;0")</f>
        <v>5</v>
      </c>
      <c r="J27" s="204">
        <f>SUMIF(BD!G:G,'Panorama (res. por Vara)'!B27,BD!S:S)/I27</f>
        <v>52.96</v>
      </c>
      <c r="K27" s="194">
        <f>COUNTIFS(BD!G:G,'Panorama (res. por Vara)'!B27,BD!U:U,"&gt;0")</f>
        <v>13</v>
      </c>
      <c r="L27" s="204">
        <f>SUMIF(BD!G:G,'Panorama (res. por Vara)'!B27,BD!U:U)/K27</f>
        <v>59.976923076923079</v>
      </c>
      <c r="M27" s="194">
        <f>COUNTIFS(BD!G:G,'Panorama (res. por Vara)'!B27,BD!W:W,"&gt;0")</f>
        <v>3</v>
      </c>
      <c r="N27" s="204">
        <f>SUMIF(BD!G:G,'Panorama (res. por Vara)'!B27,BD!W:W)/M27</f>
        <v>35.766666666666666</v>
      </c>
      <c r="O27" s="194">
        <f>COUNTIFS(BD!G:G,'Panorama (res. por Vara)'!B27,BD!Y:Y,"&gt;0")</f>
        <v>0</v>
      </c>
      <c r="P27" s="194" t="str">
        <f>IF(O27=0,"-",SUMIF(BD!G:G,'Panorama (res. por Vara)'!B27,BD!Y:Y)/O27)</f>
        <v>-</v>
      </c>
      <c r="Q27" s="194">
        <f>COUNTIFS(BD!G:G,'Panorama (res. por Vara)'!B27,BD!AA:AA,"&gt;0")</f>
        <v>0</v>
      </c>
      <c r="R27" s="207" t="str">
        <f>IF(Q27=0,"-",SUMIF(BD!G:G,'Panorama (res. por Vara)'!B27,BD!AA:AA)/Q27)</f>
        <v>-</v>
      </c>
      <c r="S27" s="206">
        <f>COUNTIFS(BD!G:G,'Panorama (res. por Vara)'!B27,BD!AB:AB,"&lt;&gt;0")</f>
        <v>1</v>
      </c>
      <c r="T27" s="210">
        <f>COUNTIFS(BD!G:G,'Panorama (res. por Vara)'!B27,BD!AM:AM,'Panorama (res. por Vara)'!$T$4)</f>
        <v>13</v>
      </c>
      <c r="U27" s="211">
        <f t="shared" si="2"/>
        <v>0.8666666666666667</v>
      </c>
      <c r="V27" s="215">
        <f>COUNTIFS(BD!G:G,'Panorama (res. por Vara)'!B27,BD!AU:AU,"sim")</f>
        <v>1</v>
      </c>
      <c r="W27" s="213">
        <f t="shared" si="3"/>
        <v>6.6666666666666666E-2</v>
      </c>
      <c r="X27" s="212">
        <f>COUNTIFS(BD!G:G,'Panorama (res. por Vara)'!B27,BD!AV:AV,"sim")</f>
        <v>0</v>
      </c>
      <c r="Y27" s="214">
        <f t="shared" si="4"/>
        <v>0</v>
      </c>
      <c r="Z27" s="215">
        <f>COUNTIFS(BD!G:G,'Panorama (res. por Vara)'!B27,BD!BA:BA,"sim")</f>
        <v>2</v>
      </c>
      <c r="AA27" s="213">
        <f t="shared" si="5"/>
        <v>0.13333333333333333</v>
      </c>
      <c r="AB27" s="212">
        <f>COUNTIFS(BD!G:G,'Panorama (res. por Vara)'!B27,BD!BB:BB,"sim")</f>
        <v>0</v>
      </c>
      <c r="AC27" s="213">
        <f t="shared" si="5"/>
        <v>0</v>
      </c>
      <c r="AD27" s="212">
        <f>COUNTIFS(BD!G:G,'Panorama (res. por Vara)'!B27,BD!BC:BC,"sim")</f>
        <v>0</v>
      </c>
      <c r="AE27" s="213">
        <f t="shared" ref="AE27" si="73">AD27/$C27</f>
        <v>0</v>
      </c>
      <c r="AF27" s="212">
        <f>COUNTIFS(BD!G:G,'Panorama (res. por Vara)'!B27,BD!BD:BD,"sim")</f>
        <v>0</v>
      </c>
      <c r="AG27" s="213">
        <f t="shared" ref="AG27" si="74">AF27/$C27</f>
        <v>0</v>
      </c>
      <c r="AH27" s="212">
        <f>COUNTIFS(BD!G:G,'Panorama (res. por Vara)'!B27,BD!BE:BE,"sim")</f>
        <v>0</v>
      </c>
      <c r="AI27" s="218">
        <f t="shared" ref="AI27" si="75">AH27/$C27</f>
        <v>0</v>
      </c>
      <c r="AJ27" s="215">
        <f>COUNTIFS(BD!G:G,'Panorama (res. por Vara)'!B27,BD!BH:BH,"sim")</f>
        <v>2</v>
      </c>
      <c r="AK27" s="214">
        <f t="shared" si="9"/>
        <v>0.13333333333333333</v>
      </c>
      <c r="AL27" s="217">
        <f>COUNTIFS(BD!G:G,'Panorama (res. por Vara)'!B27,BD!BJ:BJ,'Panorama (res. por Vara)'!$AL$4)</f>
        <v>8</v>
      </c>
      <c r="AM27" s="214">
        <f t="shared" si="10"/>
        <v>0.53333333333333333</v>
      </c>
      <c r="AN27" s="220">
        <f>COUNTIFS(BD!G:G,'Panorama (res. por Vara)'!B27,BD!BL:BL,"&gt;0")</f>
        <v>13</v>
      </c>
      <c r="AO27" s="221">
        <f>SUMIF(BD!G:G,'Panorama (res. por Vara)'!B27,BD!BL:BL)/AN27</f>
        <v>39.564102564102555</v>
      </c>
      <c r="AP27" s="212">
        <f>COUNTIFS(BD!G:G,'Panorama (res. por Vara)'!B27,BD!BP:BP,"&gt;0")</f>
        <v>13</v>
      </c>
      <c r="AQ27" s="222">
        <f>SUMIF(BD!G:G,'Panorama (res. por Vara)'!B27,BD!BP:BP)/AP27</f>
        <v>39.564102564102555</v>
      </c>
      <c r="AR27" s="217">
        <f>COUNTIFS(BD!G:G,'Panorama (res. por Vara)'!B27,BD!BQ:BQ,"Sim")</f>
        <v>0</v>
      </c>
      <c r="AS27" s="214">
        <f t="shared" si="11"/>
        <v>0</v>
      </c>
      <c r="AT27" s="223">
        <f>COUNTIFS(BD!G:G,'Panorama (res. por Vara)'!B27,BD!BS:BS,"Fechado")</f>
        <v>12</v>
      </c>
      <c r="AU27" s="224">
        <f t="shared" si="12"/>
        <v>0.8</v>
      </c>
    </row>
    <row r="28" spans="2:47">
      <c r="B28" s="2" t="s">
        <v>291</v>
      </c>
      <c r="C28" s="197">
        <f>COUNTIF(BD!G:G,'Panorama (res. por Vara)'!B28)</f>
        <v>15</v>
      </c>
      <c r="D28" s="197">
        <f>COUNTIFS(BD!G:G,'Panorama (res. por Vara)'!B28,BD!K:K,$D$4)</f>
        <v>13</v>
      </c>
      <c r="E28" s="198">
        <f t="shared" si="0"/>
        <v>0.8666666666666667</v>
      </c>
      <c r="F28" s="197">
        <f>COUNTIFS(BD!G:G,'Panorama (res. por Vara)'!B28,BD!O:O,$F$4)</f>
        <v>13</v>
      </c>
      <c r="G28" s="198">
        <f t="shared" si="1"/>
        <v>0.8666666666666667</v>
      </c>
      <c r="H28" s="201">
        <f>SUMIF(BD!G:G,'Panorama (res. por Vara)'!B28,BD!M:M)/C28</f>
        <v>27.733333333333334</v>
      </c>
      <c r="I28" s="203">
        <f>COUNTIFS(BD!G:G,'Panorama (res. por Vara)'!B28,BD!S:S,"&gt;0")</f>
        <v>13</v>
      </c>
      <c r="J28" s="204">
        <f>SUMIF(BD!G:G,'Panorama (res. por Vara)'!B28,BD!S:S)/I28</f>
        <v>1514.2384615384619</v>
      </c>
      <c r="K28" s="194">
        <f>COUNTIFS(BD!G:G,'Panorama (res. por Vara)'!B28,BD!U:U,"&gt;0")</f>
        <v>7</v>
      </c>
      <c r="L28" s="204">
        <f>SUMIF(BD!G:G,'Panorama (res. por Vara)'!B28,BD!U:U)/K28</f>
        <v>24.665714285714291</v>
      </c>
      <c r="M28" s="194">
        <f>COUNTIFS(BD!G:G,'Panorama (res. por Vara)'!B28,BD!W:W,"&gt;0")</f>
        <v>6</v>
      </c>
      <c r="N28" s="204">
        <f>SUMIF(BD!G:G,'Panorama (res. por Vara)'!B28,BD!W:W)/M28</f>
        <v>5.6499999999999995</v>
      </c>
      <c r="O28" s="194">
        <f>COUNTIFS(BD!G:G,'Panorama (res. por Vara)'!B28,BD!Y:Y,"&gt;0")</f>
        <v>1</v>
      </c>
      <c r="P28" s="194">
        <f>IF(O28=0,"-",SUMIF(BD!G:G,'Panorama (res. por Vara)'!B28,BD!Y:Y)/O28)</f>
        <v>5.3</v>
      </c>
      <c r="Q28" s="194">
        <f>COUNTIFS(BD!G:G,'Panorama (res. por Vara)'!B28,BD!AA:AA,"&gt;0")</f>
        <v>0</v>
      </c>
      <c r="R28" s="207" t="str">
        <f>IF(Q28=0,"-",SUMIF(BD!G:G,'Panorama (res. por Vara)'!B28,BD!AA:AA)/Q28)</f>
        <v>-</v>
      </c>
      <c r="S28" s="206">
        <f>COUNTIFS(BD!G:G,'Panorama (res. por Vara)'!B28,BD!AB:AB,"&lt;&gt;0")</f>
        <v>1</v>
      </c>
      <c r="T28" s="210">
        <f>COUNTIFS(BD!G:G,'Panorama (res. por Vara)'!B28,BD!AM:AM,'Panorama (res. por Vara)'!$T$4)</f>
        <v>14</v>
      </c>
      <c r="U28" s="211">
        <f t="shared" si="2"/>
        <v>0.93333333333333335</v>
      </c>
      <c r="V28" s="215">
        <f>COUNTIFS(BD!G:G,'Panorama (res. por Vara)'!B28,BD!AU:AU,"sim")</f>
        <v>3</v>
      </c>
      <c r="W28" s="213">
        <f t="shared" si="3"/>
        <v>0.2</v>
      </c>
      <c r="X28" s="212">
        <f>COUNTIFS(BD!G:G,'Panorama (res. por Vara)'!B28,BD!AV:AV,"sim")</f>
        <v>2</v>
      </c>
      <c r="Y28" s="214">
        <f t="shared" si="4"/>
        <v>0.13333333333333333</v>
      </c>
      <c r="Z28" s="215">
        <f>COUNTIFS(BD!G:G,'Panorama (res. por Vara)'!B28,BD!BA:BA,"sim")</f>
        <v>0</v>
      </c>
      <c r="AA28" s="213">
        <f t="shared" si="5"/>
        <v>0</v>
      </c>
      <c r="AB28" s="212">
        <f>COUNTIFS(BD!G:G,'Panorama (res. por Vara)'!B28,BD!BB:BB,"sim")</f>
        <v>0</v>
      </c>
      <c r="AC28" s="213">
        <f t="shared" si="5"/>
        <v>0</v>
      </c>
      <c r="AD28" s="212">
        <f>COUNTIFS(BD!G:G,'Panorama (res. por Vara)'!B28,BD!BC:BC,"sim")</f>
        <v>0</v>
      </c>
      <c r="AE28" s="213">
        <f t="shared" ref="AE28" si="76">AD28/$C28</f>
        <v>0</v>
      </c>
      <c r="AF28" s="212">
        <f>COUNTIFS(BD!G:G,'Panorama (res. por Vara)'!B28,BD!BD:BD,"sim")</f>
        <v>0</v>
      </c>
      <c r="AG28" s="213">
        <f t="shared" ref="AG28" si="77">AF28/$C28</f>
        <v>0</v>
      </c>
      <c r="AH28" s="212">
        <f>COUNTIFS(BD!G:G,'Panorama (res. por Vara)'!B28,BD!BE:BE,"sim")</f>
        <v>0</v>
      </c>
      <c r="AI28" s="218">
        <f t="shared" ref="AI28" si="78">AH28/$C28</f>
        <v>0</v>
      </c>
      <c r="AJ28" s="215">
        <f>COUNTIFS(BD!G:G,'Panorama (res. por Vara)'!B28,BD!BH:BH,"sim")</f>
        <v>0</v>
      </c>
      <c r="AK28" s="214">
        <f t="shared" si="9"/>
        <v>0</v>
      </c>
      <c r="AL28" s="217">
        <f>COUNTIFS(BD!G:G,'Panorama (res. por Vara)'!B28,BD!BJ:BJ,'Panorama (res. por Vara)'!$AL$4)</f>
        <v>4</v>
      </c>
      <c r="AM28" s="214">
        <f t="shared" si="10"/>
        <v>0.26666666666666666</v>
      </c>
      <c r="AN28" s="220">
        <f>COUNTIFS(BD!G:G,'Panorama (res. por Vara)'!B28,BD!BL:BL,"&gt;0")</f>
        <v>14</v>
      </c>
      <c r="AO28" s="221">
        <f>SUMIF(BD!G:G,'Panorama (res. por Vara)'!B28,BD!BL:BL)/AN28</f>
        <v>59.714285714285715</v>
      </c>
      <c r="AP28" s="212">
        <f>COUNTIFS(BD!G:G,'Panorama (res. por Vara)'!B28,BD!BP:BP,"&gt;0")</f>
        <v>14</v>
      </c>
      <c r="AQ28" s="222">
        <f>SUMIF(BD!G:G,'Panorama (res. por Vara)'!B28,BD!BP:BP)/AP28</f>
        <v>64.857142857142861</v>
      </c>
      <c r="AR28" s="217">
        <f>COUNTIFS(BD!G:G,'Panorama (res. por Vara)'!B28,BD!BQ:BQ,"Sim")</f>
        <v>1</v>
      </c>
      <c r="AS28" s="214">
        <f t="shared" si="11"/>
        <v>6.6666666666666666E-2</v>
      </c>
      <c r="AT28" s="223">
        <f>COUNTIFS(BD!G:G,'Panorama (res. por Vara)'!B28,BD!BS:BS,"Fechado")</f>
        <v>13</v>
      </c>
      <c r="AU28" s="224">
        <f t="shared" si="12"/>
        <v>0.8666666666666667</v>
      </c>
    </row>
    <row r="29" spans="2:47">
      <c r="B29" s="2" t="s">
        <v>304</v>
      </c>
      <c r="C29" s="197">
        <f>COUNTIF(BD!G:G,'Panorama (res. por Vara)'!B29)</f>
        <v>15</v>
      </c>
      <c r="D29" s="197">
        <f>COUNTIFS(BD!G:G,'Panorama (res. por Vara)'!B29,BD!K:K,$D$4)</f>
        <v>10</v>
      </c>
      <c r="E29" s="198">
        <f t="shared" si="0"/>
        <v>0.66666666666666663</v>
      </c>
      <c r="F29" s="197">
        <f>COUNTIFS(BD!G:G,'Panorama (res. por Vara)'!B29,BD!O:O,$F$4)</f>
        <v>7</v>
      </c>
      <c r="G29" s="198">
        <f t="shared" si="1"/>
        <v>0.46666666666666667</v>
      </c>
      <c r="H29" s="201">
        <f>SUMIF(BD!G:G,'Panorama (res. por Vara)'!B29,BD!M:M)/C29</f>
        <v>25.666666666666668</v>
      </c>
      <c r="I29" s="203">
        <f>COUNTIFS(BD!G:G,'Panorama (res. por Vara)'!B29,BD!S:S,"&gt;0")</f>
        <v>10</v>
      </c>
      <c r="J29" s="204">
        <f>SUMIF(BD!G:G,'Panorama (res. por Vara)'!B29,BD!S:S)/I29</f>
        <v>2444.9</v>
      </c>
      <c r="K29" s="194">
        <f>COUNTIFS(BD!G:G,'Panorama (res. por Vara)'!B29,BD!U:U,"&gt;0")</f>
        <v>9</v>
      </c>
      <c r="L29" s="204">
        <f>SUMIF(BD!G:G,'Panorama (res. por Vara)'!B29,BD!U:U)/K29</f>
        <v>50.788888888888884</v>
      </c>
      <c r="M29" s="194">
        <f>COUNTIFS(BD!G:G,'Panorama (res. por Vara)'!B29,BD!W:W,"&gt;0")</f>
        <v>4</v>
      </c>
      <c r="N29" s="204">
        <f>SUMIF(BD!G:G,'Panorama (res. por Vara)'!B29,BD!W:W)/M29</f>
        <v>20.2</v>
      </c>
      <c r="O29" s="194">
        <f>COUNTIFS(BD!G:G,'Panorama (res. por Vara)'!B29,BD!Y:Y,"&gt;0")</f>
        <v>0</v>
      </c>
      <c r="P29" s="194" t="str">
        <f>IF(O29=0,"-",SUMIF(BD!G:G,'Panorama (res. por Vara)'!B29,BD!Y:Y)/O29)</f>
        <v>-</v>
      </c>
      <c r="Q29" s="194">
        <f>COUNTIFS(BD!G:G,'Panorama (res. por Vara)'!B29,BD!AA:AA,"&gt;0")</f>
        <v>2</v>
      </c>
      <c r="R29" s="207">
        <f>IF(Q29=0,"-",SUMIF(BD!G:G,'Panorama (res. por Vara)'!B29,BD!AA:AA)/Q29)</f>
        <v>0.1</v>
      </c>
      <c r="S29" s="206">
        <f>COUNTIFS(BD!G:G,'Panorama (res. por Vara)'!B29,BD!AB:AB,"&lt;&gt;0")</f>
        <v>1</v>
      </c>
      <c r="T29" s="210">
        <f>COUNTIFS(BD!G:G,'Panorama (res. por Vara)'!B29,BD!AM:AM,'Panorama (res. por Vara)'!$T$4)</f>
        <v>13</v>
      </c>
      <c r="U29" s="211">
        <f t="shared" si="2"/>
        <v>0.8666666666666667</v>
      </c>
      <c r="V29" s="215">
        <f>COUNTIFS(BD!G:G,'Panorama (res. por Vara)'!B29,BD!AU:AU,"sim")</f>
        <v>1</v>
      </c>
      <c r="W29" s="213">
        <f t="shared" si="3"/>
        <v>6.6666666666666666E-2</v>
      </c>
      <c r="X29" s="212">
        <f>COUNTIFS(BD!G:G,'Panorama (res. por Vara)'!B29,BD!AV:AV,"sim")</f>
        <v>1</v>
      </c>
      <c r="Y29" s="214">
        <f t="shared" si="4"/>
        <v>6.6666666666666666E-2</v>
      </c>
      <c r="Z29" s="215">
        <f>COUNTIFS(BD!G:G,'Panorama (res. por Vara)'!B29,BD!BA:BA,"sim")</f>
        <v>1</v>
      </c>
      <c r="AA29" s="213">
        <f t="shared" si="5"/>
        <v>6.6666666666666666E-2</v>
      </c>
      <c r="AB29" s="212">
        <f>COUNTIFS(BD!G:G,'Panorama (res. por Vara)'!B29,BD!BB:BB,"sim")</f>
        <v>0</v>
      </c>
      <c r="AC29" s="213">
        <f t="shared" si="5"/>
        <v>0</v>
      </c>
      <c r="AD29" s="212">
        <f>COUNTIFS(BD!G:G,'Panorama (res. por Vara)'!B29,BD!BC:BC,"sim")</f>
        <v>2</v>
      </c>
      <c r="AE29" s="213">
        <f t="shared" ref="AE29" si="79">AD29/$C29</f>
        <v>0.13333333333333333</v>
      </c>
      <c r="AF29" s="212">
        <f>COUNTIFS(BD!G:G,'Panorama (res. por Vara)'!B29,BD!BD:BD,"sim")</f>
        <v>0</v>
      </c>
      <c r="AG29" s="213">
        <f t="shared" ref="AG29" si="80">AF29/$C29</f>
        <v>0</v>
      </c>
      <c r="AH29" s="212">
        <f>COUNTIFS(BD!G:G,'Panorama (res. por Vara)'!B29,BD!BE:BE,"sim")</f>
        <v>0</v>
      </c>
      <c r="AI29" s="218">
        <f t="shared" ref="AI29" si="81">AH29/$C29</f>
        <v>0</v>
      </c>
      <c r="AJ29" s="215">
        <f>COUNTIFS(BD!G:G,'Panorama (res. por Vara)'!B29,BD!BH:BH,"sim")</f>
        <v>2</v>
      </c>
      <c r="AK29" s="214">
        <f t="shared" si="9"/>
        <v>0.13333333333333333</v>
      </c>
      <c r="AL29" s="217">
        <f>COUNTIFS(BD!G:G,'Panorama (res. por Vara)'!B29,BD!BJ:BJ,'Panorama (res. por Vara)'!$AL$4)</f>
        <v>6</v>
      </c>
      <c r="AM29" s="214">
        <f t="shared" si="10"/>
        <v>0.4</v>
      </c>
      <c r="AN29" s="220">
        <f>COUNTIFS(BD!G:G,'Panorama (res. por Vara)'!B29,BD!BL:BL,"&gt;0")</f>
        <v>13</v>
      </c>
      <c r="AO29" s="221">
        <f>SUMIF(BD!G:G,'Panorama (res. por Vara)'!B29,BD!BL:BL)/AN29</f>
        <v>54.589743589743598</v>
      </c>
      <c r="AP29" s="212">
        <f>COUNTIFS(BD!G:G,'Panorama (res. por Vara)'!B29,BD!BP:BP,"&gt;0")</f>
        <v>13</v>
      </c>
      <c r="AQ29" s="222">
        <f>SUMIF(BD!G:G,'Panorama (res. por Vara)'!B29,BD!BP:BP)/AP29</f>
        <v>54.589743589743598</v>
      </c>
      <c r="AR29" s="217">
        <f>COUNTIFS(BD!G:G,'Panorama (res. por Vara)'!B29,BD!BQ:BQ,"Sim")</f>
        <v>0</v>
      </c>
      <c r="AS29" s="214">
        <f t="shared" si="11"/>
        <v>0</v>
      </c>
      <c r="AT29" s="223">
        <f>COUNTIFS(BD!G:G,'Panorama (res. por Vara)'!B29,BD!BS:BS,"Fechado")</f>
        <v>8</v>
      </c>
      <c r="AU29" s="224">
        <f t="shared" si="12"/>
        <v>0.53333333333333333</v>
      </c>
    </row>
    <row r="30" spans="2:47">
      <c r="B30" s="2" t="s">
        <v>316</v>
      </c>
      <c r="C30" s="197">
        <f>COUNTIF(BD!G:G,'Panorama (res. por Vara)'!B30)</f>
        <v>12</v>
      </c>
      <c r="D30" s="197">
        <f>COUNTIFS(BD!G:G,'Panorama (res. por Vara)'!B30,BD!K:K,$D$4)</f>
        <v>10</v>
      </c>
      <c r="E30" s="198">
        <f t="shared" si="0"/>
        <v>0.83333333333333337</v>
      </c>
      <c r="F30" s="197">
        <f>COUNTIFS(BD!G:G,'Panorama (res. por Vara)'!B30,BD!O:O,$F$4)</f>
        <v>7</v>
      </c>
      <c r="G30" s="198">
        <f t="shared" si="1"/>
        <v>0.58333333333333337</v>
      </c>
      <c r="H30" s="201">
        <f>SUMIF(BD!G:G,'Panorama (res. por Vara)'!B30,BD!M:M)/C30</f>
        <v>22.166666666666668</v>
      </c>
      <c r="I30" s="203">
        <f>COUNTIFS(BD!G:G,'Panorama (res. por Vara)'!B30,BD!S:S,"&gt;0")</f>
        <v>11</v>
      </c>
      <c r="J30" s="204">
        <f>SUMIF(BD!G:G,'Panorama (res. por Vara)'!B30,BD!S:S)/I30</f>
        <v>473.22727272727275</v>
      </c>
      <c r="K30" s="194">
        <f>COUNTIFS(BD!G:G,'Panorama (res. por Vara)'!B30,BD!U:U,"&gt;0")</f>
        <v>10</v>
      </c>
      <c r="L30" s="204">
        <f>SUMIF(BD!G:G,'Panorama (res. por Vara)'!B30,BD!U:U)/K30</f>
        <v>457.26000000000005</v>
      </c>
      <c r="M30" s="194">
        <f>COUNTIFS(BD!G:G,'Panorama (res. por Vara)'!B30,BD!W:W,"&gt;0")</f>
        <v>7</v>
      </c>
      <c r="N30" s="204">
        <f>SUMIF(BD!G:G,'Panorama (res. por Vara)'!B30,BD!W:W)/M30</f>
        <v>22.428571428571427</v>
      </c>
      <c r="O30" s="194">
        <f>COUNTIFS(BD!G:G,'Panorama (res. por Vara)'!B30,BD!Y:Y,"&gt;0")</f>
        <v>1</v>
      </c>
      <c r="P30" s="194">
        <f>IF(O30=0,"-",SUMIF(BD!G:G,'Panorama (res. por Vara)'!B30,BD!Y:Y)/O30)</f>
        <v>4.5999999999999996</v>
      </c>
      <c r="Q30" s="194">
        <f>COUNTIFS(BD!G:G,'Panorama (res. por Vara)'!B30,BD!AA:AA,"&gt;0")</f>
        <v>1</v>
      </c>
      <c r="R30" s="207">
        <f>IF(Q30=0,"-",SUMIF(BD!G:G,'Panorama (res. por Vara)'!B30,BD!AA:AA)/Q30)</f>
        <v>10.4</v>
      </c>
      <c r="S30" s="206">
        <f>COUNTIFS(BD!G:G,'Panorama (res. por Vara)'!B30,BD!AB:AB,"&lt;&gt;0")</f>
        <v>2</v>
      </c>
      <c r="T30" s="210">
        <f>COUNTIFS(BD!G:G,'Panorama (res. por Vara)'!B30,BD!AM:AM,'Panorama (res. por Vara)'!$T$4)</f>
        <v>11</v>
      </c>
      <c r="U30" s="211">
        <f t="shared" si="2"/>
        <v>0.91666666666666663</v>
      </c>
      <c r="V30" s="215">
        <f>COUNTIFS(BD!G:G,'Panorama (res. por Vara)'!B30,BD!AU:AU,"sim")</f>
        <v>2</v>
      </c>
      <c r="W30" s="213">
        <f t="shared" si="3"/>
        <v>0.16666666666666666</v>
      </c>
      <c r="X30" s="212">
        <f>COUNTIFS(BD!G:G,'Panorama (res. por Vara)'!B30,BD!AV:AV,"sim")</f>
        <v>2</v>
      </c>
      <c r="Y30" s="214">
        <f t="shared" si="4"/>
        <v>0.16666666666666666</v>
      </c>
      <c r="Z30" s="215">
        <f>COUNTIFS(BD!G:G,'Panorama (res. por Vara)'!B30,BD!BA:BA,"sim")</f>
        <v>0</v>
      </c>
      <c r="AA30" s="213">
        <f t="shared" si="5"/>
        <v>0</v>
      </c>
      <c r="AB30" s="212">
        <f>COUNTIFS(BD!G:G,'Panorama (res. por Vara)'!B30,BD!BB:BB,"sim")</f>
        <v>0</v>
      </c>
      <c r="AC30" s="213">
        <f t="shared" si="5"/>
        <v>0</v>
      </c>
      <c r="AD30" s="212">
        <f>COUNTIFS(BD!G:G,'Panorama (res. por Vara)'!B30,BD!BC:BC,"sim")</f>
        <v>0</v>
      </c>
      <c r="AE30" s="213">
        <f t="shared" ref="AE30" si="82">AD30/$C30</f>
        <v>0</v>
      </c>
      <c r="AF30" s="212">
        <f>COUNTIFS(BD!G:G,'Panorama (res. por Vara)'!B30,BD!BD:BD,"sim")</f>
        <v>0</v>
      </c>
      <c r="AG30" s="213">
        <f t="shared" ref="AG30" si="83">AF30/$C30</f>
        <v>0</v>
      </c>
      <c r="AH30" s="212">
        <f>COUNTIFS(BD!G:G,'Panorama (res. por Vara)'!B30,BD!BE:BE,"sim")</f>
        <v>0</v>
      </c>
      <c r="AI30" s="218">
        <f t="shared" ref="AI30" si="84">AH30/$C30</f>
        <v>0</v>
      </c>
      <c r="AJ30" s="215">
        <f>COUNTIFS(BD!G:G,'Panorama (res. por Vara)'!B30,BD!BH:BH,"sim")</f>
        <v>0</v>
      </c>
      <c r="AK30" s="214">
        <f t="shared" si="9"/>
        <v>0</v>
      </c>
      <c r="AL30" s="217">
        <f>COUNTIFS(BD!G:G,'Panorama (res. por Vara)'!B30,BD!BJ:BJ,'Panorama (res. por Vara)'!$AL$4)</f>
        <v>8</v>
      </c>
      <c r="AM30" s="214">
        <f t="shared" si="10"/>
        <v>0.66666666666666663</v>
      </c>
      <c r="AN30" s="220">
        <f>COUNTIFS(BD!G:G,'Panorama (res. por Vara)'!B30,BD!BL:BL,"&gt;0")</f>
        <v>11</v>
      </c>
      <c r="AO30" s="221">
        <f>SUMIF(BD!G:G,'Panorama (res. por Vara)'!B30,BD!BL:BL)/AN30</f>
        <v>37.272727272727273</v>
      </c>
      <c r="AP30" s="212">
        <f>COUNTIFS(BD!G:G,'Panorama (res. por Vara)'!B30,BD!BP:BP,"&gt;0")</f>
        <v>11</v>
      </c>
      <c r="AQ30" s="222">
        <f>SUMIF(BD!G:G,'Panorama (res. por Vara)'!B30,BD!BP:BP)/AP30</f>
        <v>44.363636363636367</v>
      </c>
      <c r="AR30" s="217">
        <f>COUNTIFS(BD!G:G,'Panorama (res. por Vara)'!B30,BD!BQ:BQ,"Sim")</f>
        <v>2</v>
      </c>
      <c r="AS30" s="214">
        <f t="shared" si="11"/>
        <v>0.16666666666666666</v>
      </c>
      <c r="AT30" s="223">
        <f>COUNTIFS(BD!G:G,'Panorama (res. por Vara)'!B30,BD!BS:BS,"Fechado")</f>
        <v>7</v>
      </c>
      <c r="AU30" s="224">
        <f t="shared" si="12"/>
        <v>0.58333333333333337</v>
      </c>
    </row>
    <row r="31" spans="2:47">
      <c r="B31" s="2" t="s">
        <v>323</v>
      </c>
      <c r="C31" s="197">
        <f>COUNTIF(BD!G:G,'Panorama (res. por Vara)'!B31)</f>
        <v>11</v>
      </c>
      <c r="D31" s="197">
        <f>COUNTIFS(BD!G:G,'Panorama (res. por Vara)'!B31,BD!K:K,$D$4)</f>
        <v>9</v>
      </c>
      <c r="E31" s="198">
        <f t="shared" si="0"/>
        <v>0.81818181818181823</v>
      </c>
      <c r="F31" s="197">
        <f>COUNTIFS(BD!G:G,'Panorama (res. por Vara)'!B31,BD!O:O,$F$4)</f>
        <v>7</v>
      </c>
      <c r="G31" s="198">
        <f t="shared" si="1"/>
        <v>0.63636363636363635</v>
      </c>
      <c r="H31" s="201">
        <f>SUMIF(BD!G:G,'Panorama (res. por Vara)'!B31,BD!M:M)/C31</f>
        <v>26.636363636363637</v>
      </c>
      <c r="I31" s="203">
        <f>COUNTIFS(BD!G:G,'Panorama (res. por Vara)'!B31,BD!S:S,"&gt;0")</f>
        <v>10</v>
      </c>
      <c r="J31" s="204">
        <f>SUMIF(BD!G:G,'Panorama (res. por Vara)'!B31,BD!S:S)/I31</f>
        <v>24816.97</v>
      </c>
      <c r="K31" s="194">
        <f>COUNTIFS(BD!G:G,'Panorama (res. por Vara)'!B31,BD!U:U,"&gt;0")</f>
        <v>7</v>
      </c>
      <c r="L31" s="204">
        <f>SUMIF(BD!G:G,'Panorama (res. por Vara)'!B31,BD!U:U)/K31</f>
        <v>1108.1857142857145</v>
      </c>
      <c r="M31" s="194">
        <f>COUNTIFS(BD!G:G,'Panorama (res. por Vara)'!B31,BD!W:W,"&gt;0")</f>
        <v>7</v>
      </c>
      <c r="N31" s="204">
        <f>SUMIF(BD!G:G,'Panorama (res. por Vara)'!B31,BD!W:W)/M31</f>
        <v>266.62857142857143</v>
      </c>
      <c r="O31" s="194">
        <f>COUNTIFS(BD!G:G,'Panorama (res. por Vara)'!B31,BD!Y:Y,"&gt;0")</f>
        <v>0</v>
      </c>
      <c r="P31" s="194" t="str">
        <f>IF(O31=0,"-",SUMIF(BD!G:G,'Panorama (res. por Vara)'!B31,BD!Y:Y)/O31)</f>
        <v>-</v>
      </c>
      <c r="Q31" s="194">
        <f>COUNTIFS(BD!G:G,'Panorama (res. por Vara)'!B31,BD!AA:AA,"&gt;0")</f>
        <v>0</v>
      </c>
      <c r="R31" s="207" t="str">
        <f>IF(Q31=0,"-",SUMIF(BD!G:G,'Panorama (res. por Vara)'!B31,BD!AA:AA)/Q31)</f>
        <v>-</v>
      </c>
      <c r="S31" s="206">
        <f>COUNTIFS(BD!G:G,'Panorama (res. por Vara)'!B31,BD!AB:AB,"&lt;&gt;0")</f>
        <v>1</v>
      </c>
      <c r="T31" s="210">
        <f>COUNTIFS(BD!G:G,'Panorama (res. por Vara)'!B31,BD!AM:AM,'Panorama (res. por Vara)'!$T$4)</f>
        <v>8</v>
      </c>
      <c r="U31" s="211">
        <f t="shared" si="2"/>
        <v>0.72727272727272729</v>
      </c>
      <c r="V31" s="215">
        <f>COUNTIFS(BD!G:G,'Panorama (res. por Vara)'!B31,BD!AU:AU,"sim")</f>
        <v>1</v>
      </c>
      <c r="W31" s="213">
        <f t="shared" si="3"/>
        <v>9.0909090909090912E-2</v>
      </c>
      <c r="X31" s="212">
        <f>COUNTIFS(BD!G:G,'Panorama (res. por Vara)'!B31,BD!AV:AV,"sim")</f>
        <v>0</v>
      </c>
      <c r="Y31" s="214">
        <f t="shared" si="4"/>
        <v>0</v>
      </c>
      <c r="Z31" s="215">
        <f>COUNTIFS(BD!G:G,'Panorama (res. por Vara)'!B31,BD!BA:BA,"sim")</f>
        <v>0</v>
      </c>
      <c r="AA31" s="213">
        <f t="shared" si="5"/>
        <v>0</v>
      </c>
      <c r="AB31" s="212">
        <f>COUNTIFS(BD!G:G,'Panorama (res. por Vara)'!B31,BD!BB:BB,"sim")</f>
        <v>0</v>
      </c>
      <c r="AC31" s="213">
        <f t="shared" si="5"/>
        <v>0</v>
      </c>
      <c r="AD31" s="212">
        <f>COUNTIFS(BD!G:G,'Panorama (res. por Vara)'!B31,BD!BC:BC,"sim")</f>
        <v>0</v>
      </c>
      <c r="AE31" s="213">
        <f t="shared" ref="AE31" si="85">AD31/$C31</f>
        <v>0</v>
      </c>
      <c r="AF31" s="212">
        <f>COUNTIFS(BD!G:G,'Panorama (res. por Vara)'!B31,BD!BD:BD,"sim")</f>
        <v>3</v>
      </c>
      <c r="AG31" s="213">
        <f t="shared" ref="AG31" si="86">AF31/$C31</f>
        <v>0.27272727272727271</v>
      </c>
      <c r="AH31" s="212">
        <f>COUNTIFS(BD!G:G,'Panorama (res. por Vara)'!B31,BD!BE:BE,"sim")</f>
        <v>0</v>
      </c>
      <c r="AI31" s="218">
        <f t="shared" ref="AI31" si="87">AH31/$C31</f>
        <v>0</v>
      </c>
      <c r="AJ31" s="215">
        <f>COUNTIFS(BD!G:G,'Panorama (res. por Vara)'!B31,BD!BH:BH,"sim")</f>
        <v>3</v>
      </c>
      <c r="AK31" s="214">
        <f t="shared" si="9"/>
        <v>0.27272727272727271</v>
      </c>
      <c r="AL31" s="217">
        <f>COUNTIFS(BD!G:G,'Panorama (res. por Vara)'!B31,BD!BJ:BJ,'Panorama (res. por Vara)'!$AL$4)</f>
        <v>7</v>
      </c>
      <c r="AM31" s="214">
        <f t="shared" si="10"/>
        <v>0.63636363636363635</v>
      </c>
      <c r="AN31" s="220">
        <f>COUNTIFS(BD!G:G,'Panorama (res. por Vara)'!B31,BD!BL:BL,"&gt;0")</f>
        <v>8</v>
      </c>
      <c r="AO31" s="221">
        <f>SUMIF(BD!G:G,'Panorama (res. por Vara)'!B31,BD!BL:BL)/AN31</f>
        <v>37.25</v>
      </c>
      <c r="AP31" s="212">
        <f>COUNTIFS(BD!G:G,'Panorama (res. por Vara)'!B31,BD!BP:BP,"&gt;0")</f>
        <v>8</v>
      </c>
      <c r="AQ31" s="222">
        <f>SUMIF(BD!G:G,'Panorama (res. por Vara)'!B31,BD!BP:BP)/AP31</f>
        <v>40.25</v>
      </c>
      <c r="AR31" s="217">
        <f>COUNTIFS(BD!G:G,'Panorama (res. por Vara)'!B31,BD!BQ:BQ,"Sim")</f>
        <v>0</v>
      </c>
      <c r="AS31" s="214">
        <f t="shared" si="11"/>
        <v>0</v>
      </c>
      <c r="AT31" s="223">
        <f>COUNTIFS(BD!G:G,'Panorama (res. por Vara)'!B31,BD!BS:BS,"Fechado")</f>
        <v>1</v>
      </c>
      <c r="AU31" s="224">
        <f t="shared" si="12"/>
        <v>9.0909090909090912E-2</v>
      </c>
    </row>
    <row r="32" spans="2:47">
      <c r="B32" s="2" t="s">
        <v>335</v>
      </c>
      <c r="C32" s="197">
        <f>COUNTIF(BD!G:G,'Panorama (res. por Vara)'!B32)</f>
        <v>12</v>
      </c>
      <c r="D32" s="197">
        <f>COUNTIFS(BD!G:G,'Panorama (res. por Vara)'!B32,BD!K:K,$D$4)</f>
        <v>9</v>
      </c>
      <c r="E32" s="198">
        <f t="shared" si="0"/>
        <v>0.75</v>
      </c>
      <c r="F32" s="197">
        <f>COUNTIFS(BD!G:G,'Panorama (res. por Vara)'!B32,BD!O:O,$F$4)</f>
        <v>12</v>
      </c>
      <c r="G32" s="198">
        <f t="shared" si="1"/>
        <v>1</v>
      </c>
      <c r="H32" s="201">
        <f>SUMIF(BD!G:G,'Panorama (res. por Vara)'!B32,BD!M:M)/C32</f>
        <v>24.916666666666668</v>
      </c>
      <c r="I32" s="203">
        <f>COUNTIFS(BD!G:G,'Panorama (res. por Vara)'!B32,BD!S:S,"&gt;0")</f>
        <v>11</v>
      </c>
      <c r="J32" s="204">
        <f>SUMIF(BD!G:G,'Panorama (res. por Vara)'!B32,BD!S:S)/I32</f>
        <v>38.054545454545455</v>
      </c>
      <c r="K32" s="194">
        <f>COUNTIFS(BD!G:G,'Panorama (res. por Vara)'!B32,BD!U:U,"&gt;0")</f>
        <v>10</v>
      </c>
      <c r="L32" s="204">
        <f>SUMIF(BD!G:G,'Panorama (res. por Vara)'!B32,BD!U:U)/K32</f>
        <v>55.39</v>
      </c>
      <c r="M32" s="194">
        <f>COUNTIFS(BD!G:G,'Panorama (res. por Vara)'!B32,BD!W:W,"&gt;0")</f>
        <v>5</v>
      </c>
      <c r="N32" s="204">
        <f>SUMIF(BD!G:G,'Panorama (res. por Vara)'!B32,BD!W:W)/M32</f>
        <v>21.14</v>
      </c>
      <c r="O32" s="194">
        <f>COUNTIFS(BD!G:G,'Panorama (res. por Vara)'!B32,BD!Y:Y,"&gt;0")</f>
        <v>0</v>
      </c>
      <c r="P32" s="194" t="str">
        <f>IF(O32=0,"-",SUMIF(BD!G:G,'Panorama (res. por Vara)'!B32,BD!Y:Y)/O32)</f>
        <v>-</v>
      </c>
      <c r="Q32" s="194">
        <f>COUNTIFS(BD!G:G,'Panorama (res. por Vara)'!B32,BD!AA:AA,"&gt;0")</f>
        <v>0</v>
      </c>
      <c r="R32" s="207" t="str">
        <f>IF(Q32=0,"-",SUMIF(BD!G:G,'Panorama (res. por Vara)'!B32,BD!AA:AA)/Q32)</f>
        <v>-</v>
      </c>
      <c r="S32" s="206">
        <f>COUNTIFS(BD!G:G,'Panorama (res. por Vara)'!B32,BD!AB:AB,"&lt;&gt;0")</f>
        <v>0</v>
      </c>
      <c r="T32" s="210">
        <f>COUNTIFS(BD!G:G,'Panorama (res. por Vara)'!B32,BD!AM:AM,'Panorama (res. por Vara)'!$T$4)</f>
        <v>9</v>
      </c>
      <c r="U32" s="211">
        <f t="shared" si="2"/>
        <v>0.75</v>
      </c>
      <c r="V32" s="215">
        <f>COUNTIFS(BD!G:G,'Panorama (res. por Vara)'!B32,BD!AU:AU,"sim")</f>
        <v>0</v>
      </c>
      <c r="W32" s="213">
        <f t="shared" si="3"/>
        <v>0</v>
      </c>
      <c r="X32" s="212">
        <f>COUNTIFS(BD!G:G,'Panorama (res. por Vara)'!B32,BD!AV:AV,"sim")</f>
        <v>0</v>
      </c>
      <c r="Y32" s="214">
        <f t="shared" si="4"/>
        <v>0</v>
      </c>
      <c r="Z32" s="215">
        <f>COUNTIFS(BD!G:G,'Panorama (res. por Vara)'!B32,BD!BA:BA,"sim")</f>
        <v>0</v>
      </c>
      <c r="AA32" s="213">
        <f t="shared" si="5"/>
        <v>0</v>
      </c>
      <c r="AB32" s="212">
        <f>COUNTIFS(BD!G:G,'Panorama (res. por Vara)'!B32,BD!BB:BB,"sim")</f>
        <v>0</v>
      </c>
      <c r="AC32" s="213">
        <f t="shared" si="5"/>
        <v>0</v>
      </c>
      <c r="AD32" s="212">
        <f>COUNTIFS(BD!G:G,'Panorama (res. por Vara)'!B32,BD!BC:BC,"sim")</f>
        <v>0</v>
      </c>
      <c r="AE32" s="213">
        <f t="shared" ref="AE32" si="88">AD32/$C32</f>
        <v>0</v>
      </c>
      <c r="AF32" s="212">
        <f>COUNTIFS(BD!G:G,'Panorama (res. por Vara)'!B32,BD!BD:BD,"sim")</f>
        <v>0</v>
      </c>
      <c r="AG32" s="213">
        <f t="shared" ref="AG32" si="89">AF32/$C32</f>
        <v>0</v>
      </c>
      <c r="AH32" s="212">
        <f>COUNTIFS(BD!G:G,'Panorama (res. por Vara)'!B32,BD!BE:BE,"sim")</f>
        <v>0</v>
      </c>
      <c r="AI32" s="218">
        <f t="shared" ref="AI32" si="90">AH32/$C32</f>
        <v>0</v>
      </c>
      <c r="AJ32" s="215">
        <f>COUNTIFS(BD!G:G,'Panorama (res. por Vara)'!B32,BD!BH:BH,"sim")</f>
        <v>0</v>
      </c>
      <c r="AK32" s="214">
        <f t="shared" si="9"/>
        <v>0</v>
      </c>
      <c r="AL32" s="217">
        <f>COUNTIFS(BD!G:G,'Panorama (res. por Vara)'!B32,BD!BJ:BJ,'Panorama (res. por Vara)'!$AL$4)</f>
        <v>7</v>
      </c>
      <c r="AM32" s="214">
        <f t="shared" si="10"/>
        <v>0.58333333333333337</v>
      </c>
      <c r="AN32" s="220">
        <f>COUNTIFS(BD!G:G,'Panorama (res. por Vara)'!B32,BD!BL:BL,"&gt;0")</f>
        <v>9</v>
      </c>
      <c r="AO32" s="221">
        <f>SUMIF(BD!G:G,'Panorama (res. por Vara)'!B32,BD!BL:BL)/AN32</f>
        <v>31.296296296296298</v>
      </c>
      <c r="AP32" s="212">
        <f>COUNTIFS(BD!G:G,'Panorama (res. por Vara)'!B32,BD!BP:BP,"&gt;0")</f>
        <v>9</v>
      </c>
      <c r="AQ32" s="222">
        <f>SUMIF(BD!G:G,'Panorama (res. por Vara)'!B32,BD!BP:BP)/AP32</f>
        <v>31.296296296296298</v>
      </c>
      <c r="AR32" s="217">
        <f>COUNTIFS(BD!G:G,'Panorama (res. por Vara)'!B32,BD!BQ:BQ,"Sim")</f>
        <v>1</v>
      </c>
      <c r="AS32" s="214">
        <f t="shared" si="11"/>
        <v>8.3333333333333329E-2</v>
      </c>
      <c r="AT32" s="223">
        <f>COUNTIFS(BD!G:G,'Panorama (res. por Vara)'!B32,BD!BS:BS,"Fechado")</f>
        <v>8</v>
      </c>
      <c r="AU32" s="224">
        <f t="shared" si="12"/>
        <v>0.66666666666666663</v>
      </c>
    </row>
    <row r="33" spans="2:47">
      <c r="B33" s="2" t="s">
        <v>348</v>
      </c>
      <c r="C33" s="197">
        <f>COUNTIF(BD!G:G,'Panorama (res. por Vara)'!B33)</f>
        <v>14</v>
      </c>
      <c r="D33" s="197">
        <f>COUNTIFS(BD!G:G,'Panorama (res. por Vara)'!B33,BD!K:K,$D$4)</f>
        <v>13</v>
      </c>
      <c r="E33" s="198">
        <f t="shared" si="0"/>
        <v>0.9285714285714286</v>
      </c>
      <c r="F33" s="197">
        <f>COUNTIFS(BD!G:G,'Panorama (res. por Vara)'!B33,BD!O:O,$F$4)</f>
        <v>10</v>
      </c>
      <c r="G33" s="198">
        <f t="shared" si="1"/>
        <v>0.7142857142857143</v>
      </c>
      <c r="H33" s="201">
        <f>SUMIF(BD!G:G,'Panorama (res. por Vara)'!B33,BD!M:M)/C33</f>
        <v>26.142857142857142</v>
      </c>
      <c r="I33" s="203">
        <f>COUNTIFS(BD!G:G,'Panorama (res. por Vara)'!B33,BD!S:S,"&gt;0")</f>
        <v>14</v>
      </c>
      <c r="J33" s="204">
        <f>SUMIF(BD!G:G,'Panorama (res. por Vara)'!B33,BD!S:S)/I33</f>
        <v>536.60714285714278</v>
      </c>
      <c r="K33" s="194">
        <f>COUNTIFS(BD!G:G,'Panorama (res. por Vara)'!B33,BD!U:U,"&gt;0")</f>
        <v>11</v>
      </c>
      <c r="L33" s="204">
        <f>SUMIF(BD!G:G,'Panorama (res. por Vara)'!B33,BD!U:U)/K33</f>
        <v>726.21818181818185</v>
      </c>
      <c r="M33" s="194">
        <f>COUNTIFS(BD!G:G,'Panorama (res. por Vara)'!B33,BD!W:W,"&gt;0")</f>
        <v>4</v>
      </c>
      <c r="N33" s="204">
        <f>SUMIF(BD!G:G,'Panorama (res. por Vara)'!B33,BD!W:W)/M33</f>
        <v>218.79999999999998</v>
      </c>
      <c r="O33" s="194">
        <f>COUNTIFS(BD!G:G,'Panorama (res. por Vara)'!B33,BD!Y:Y,"&gt;0")</f>
        <v>0</v>
      </c>
      <c r="P33" s="194" t="str">
        <f>IF(O33=0,"-",SUMIF(BD!G:G,'Panorama (res. por Vara)'!B33,BD!Y:Y)/O33)</f>
        <v>-</v>
      </c>
      <c r="Q33" s="194">
        <f>COUNTIFS(BD!G:G,'Panorama (res. por Vara)'!B33,BD!AA:AA,"&gt;0")</f>
        <v>0</v>
      </c>
      <c r="R33" s="207" t="str">
        <f>IF(Q33=0,"-",SUMIF(BD!G:G,'Panorama (res. por Vara)'!B33,BD!AA:AA)/Q33)</f>
        <v>-</v>
      </c>
      <c r="S33" s="206">
        <f>COUNTIFS(BD!G:G,'Panorama (res. por Vara)'!B33,BD!AB:AB,"&lt;&gt;0")</f>
        <v>2</v>
      </c>
      <c r="T33" s="210">
        <f>COUNTIFS(BD!G:G,'Panorama (res. por Vara)'!B33,BD!AM:AM,'Panorama (res. por Vara)'!$T$4)</f>
        <v>9</v>
      </c>
      <c r="U33" s="211">
        <f t="shared" si="2"/>
        <v>0.6428571428571429</v>
      </c>
      <c r="V33" s="215">
        <f>COUNTIFS(BD!G:G,'Panorama (res. por Vara)'!B33,BD!AU:AU,"sim")</f>
        <v>4</v>
      </c>
      <c r="W33" s="213">
        <f t="shared" si="3"/>
        <v>0.2857142857142857</v>
      </c>
      <c r="X33" s="212">
        <f>COUNTIFS(BD!G:G,'Panorama (res. por Vara)'!B33,BD!AV:AV,"sim")</f>
        <v>1</v>
      </c>
      <c r="Y33" s="214">
        <f t="shared" si="4"/>
        <v>7.1428571428571425E-2</v>
      </c>
      <c r="Z33" s="215">
        <f>COUNTIFS(BD!G:G,'Panorama (res. por Vara)'!B33,BD!BA:BA,"sim")</f>
        <v>0</v>
      </c>
      <c r="AA33" s="213">
        <f t="shared" si="5"/>
        <v>0</v>
      </c>
      <c r="AB33" s="212">
        <f>COUNTIFS(BD!G:G,'Panorama (res. por Vara)'!B33,BD!BB:BB,"sim")</f>
        <v>0</v>
      </c>
      <c r="AC33" s="213">
        <f t="shared" si="5"/>
        <v>0</v>
      </c>
      <c r="AD33" s="212">
        <f>COUNTIFS(BD!G:G,'Panorama (res. por Vara)'!B33,BD!BC:BC,"sim")</f>
        <v>0</v>
      </c>
      <c r="AE33" s="213">
        <f t="shared" ref="AE33" si="91">AD33/$C33</f>
        <v>0</v>
      </c>
      <c r="AF33" s="212">
        <f>COUNTIFS(BD!G:G,'Panorama (res. por Vara)'!B33,BD!BD:BD,"sim")</f>
        <v>0</v>
      </c>
      <c r="AG33" s="213">
        <f t="shared" ref="AG33" si="92">AF33/$C33</f>
        <v>0</v>
      </c>
      <c r="AH33" s="212">
        <f>COUNTIFS(BD!G:G,'Panorama (res. por Vara)'!B33,BD!BE:BE,"sim")</f>
        <v>0</v>
      </c>
      <c r="AI33" s="218">
        <f t="shared" ref="AI33" si="93">AH33/$C33</f>
        <v>0</v>
      </c>
      <c r="AJ33" s="215">
        <f>COUNTIFS(BD!G:G,'Panorama (res. por Vara)'!B33,BD!BH:BH,"sim")</f>
        <v>0</v>
      </c>
      <c r="AK33" s="214">
        <f t="shared" si="9"/>
        <v>0</v>
      </c>
      <c r="AL33" s="217">
        <f>COUNTIFS(BD!G:G,'Panorama (res. por Vara)'!B33,BD!BJ:BJ,'Panorama (res. por Vara)'!$AL$4)</f>
        <v>1</v>
      </c>
      <c r="AM33" s="214">
        <f t="shared" si="10"/>
        <v>7.1428571428571425E-2</v>
      </c>
      <c r="AN33" s="220">
        <f>COUNTIFS(BD!G:G,'Panorama (res. por Vara)'!B33,BD!BL:BL,"&gt;0")</f>
        <v>9</v>
      </c>
      <c r="AO33" s="221">
        <f>SUMIF(BD!G:G,'Panorama (res. por Vara)'!B33,BD!BL:BL)/AN33</f>
        <v>71.033333333333331</v>
      </c>
      <c r="AP33" s="212">
        <f>COUNTIFS(BD!G:G,'Panorama (res. por Vara)'!B33,BD!BP:BP,"&gt;0")</f>
        <v>9</v>
      </c>
      <c r="AQ33" s="222">
        <f>SUMIF(BD!G:G,'Panorama (res. por Vara)'!B33,BD!BP:BP)/AP33</f>
        <v>71.033333333333331</v>
      </c>
      <c r="AR33" s="217">
        <f>COUNTIFS(BD!G:G,'Panorama (res. por Vara)'!B33,BD!BQ:BQ,"Sim")</f>
        <v>1</v>
      </c>
      <c r="AS33" s="214">
        <f t="shared" si="11"/>
        <v>7.1428571428571425E-2</v>
      </c>
      <c r="AT33" s="223">
        <f>COUNTIFS(BD!G:G,'Panorama (res. por Vara)'!B33,BD!BS:BS,"Fechado")</f>
        <v>7</v>
      </c>
      <c r="AU33" s="224">
        <f t="shared" si="12"/>
        <v>0.5</v>
      </c>
    </row>
    <row r="34" spans="2:47">
      <c r="B34" s="2" t="s">
        <v>378</v>
      </c>
      <c r="C34" s="197">
        <f>COUNTIF(BD!G:G,'Panorama (res. por Vara)'!B34)</f>
        <v>16</v>
      </c>
      <c r="D34" s="197">
        <f>COUNTIFS(BD!G:G,'Panorama (res. por Vara)'!B34,BD!K:K,$D$4)</f>
        <v>15</v>
      </c>
      <c r="E34" s="198">
        <f t="shared" si="0"/>
        <v>0.9375</v>
      </c>
      <c r="F34" s="197">
        <f>COUNTIFS(BD!G:G,'Panorama (res. por Vara)'!B34,BD!O:O,$F$4)</f>
        <v>13</v>
      </c>
      <c r="G34" s="198">
        <f t="shared" si="1"/>
        <v>0.8125</v>
      </c>
      <c r="H34" s="201">
        <f>SUMIF(BD!G:G,'Panorama (res. por Vara)'!B34,BD!M:M)/C34</f>
        <v>23.75</v>
      </c>
      <c r="I34" s="203">
        <f>COUNTIFS(BD!G:G,'Panorama (res. por Vara)'!B34,BD!S:S,"&gt;0")</f>
        <v>11</v>
      </c>
      <c r="J34" s="204">
        <f>SUMIF(BD!G:G,'Panorama (res. por Vara)'!B34,BD!S:S)/I34</f>
        <v>122.80909090909091</v>
      </c>
      <c r="K34" s="194">
        <f>COUNTIFS(BD!G:G,'Panorama (res. por Vara)'!B34,BD!U:U,"&gt;0")</f>
        <v>13</v>
      </c>
      <c r="L34" s="204">
        <f>SUMIF(BD!G:G,'Panorama (res. por Vara)'!B34,BD!U:U)/K34</f>
        <v>50.3</v>
      </c>
      <c r="M34" s="194">
        <f>COUNTIFS(BD!G:G,'Panorama (res. por Vara)'!B34,BD!W:W,"&gt;0")</f>
        <v>8</v>
      </c>
      <c r="N34" s="204">
        <f>SUMIF(BD!G:G,'Panorama (res. por Vara)'!B34,BD!W:W)/M34</f>
        <v>11.125</v>
      </c>
      <c r="O34" s="194">
        <f>COUNTIFS(BD!G:G,'Panorama (res. por Vara)'!B34,BD!Y:Y,"&gt;0")</f>
        <v>1</v>
      </c>
      <c r="P34" s="194">
        <f>IF(O34=0,"-",SUMIF(BD!G:G,'Panorama (res. por Vara)'!B34,BD!Y:Y)/O34)</f>
        <v>5.3</v>
      </c>
      <c r="Q34" s="194">
        <f>COUNTIFS(BD!G:G,'Panorama (res. por Vara)'!B34,BD!AA:AA,"&gt;0")</f>
        <v>1</v>
      </c>
      <c r="R34" s="207">
        <f>IF(Q34=0,"-",SUMIF(BD!G:G,'Panorama (res. por Vara)'!B34,BD!AA:AA)/Q34)</f>
        <v>0.5</v>
      </c>
      <c r="S34" s="206">
        <f>COUNTIFS(BD!G:G,'Panorama (res. por Vara)'!B34,BD!AB:AB,"&lt;&gt;0")</f>
        <v>4</v>
      </c>
      <c r="T34" s="210">
        <f>COUNTIFS(BD!G:G,'Panorama (res. por Vara)'!B34,BD!AM:AM,'Panorama (res. por Vara)'!$T$4)</f>
        <v>14</v>
      </c>
      <c r="U34" s="211">
        <f t="shared" si="2"/>
        <v>0.875</v>
      </c>
      <c r="V34" s="215">
        <f>COUNTIFS(BD!G:G,'Panorama (res. por Vara)'!B34,BD!AU:AU,"sim")</f>
        <v>1</v>
      </c>
      <c r="W34" s="213">
        <f t="shared" si="3"/>
        <v>6.25E-2</v>
      </c>
      <c r="X34" s="212">
        <f>COUNTIFS(BD!G:G,'Panorama (res. por Vara)'!B34,BD!AV:AV,"sim")</f>
        <v>3</v>
      </c>
      <c r="Y34" s="214">
        <f t="shared" si="4"/>
        <v>0.1875</v>
      </c>
      <c r="Z34" s="215">
        <f>COUNTIFS(BD!G:G,'Panorama (res. por Vara)'!B34,BD!BA:BA,"sim")</f>
        <v>0</v>
      </c>
      <c r="AA34" s="213">
        <f t="shared" si="5"/>
        <v>0</v>
      </c>
      <c r="AB34" s="212">
        <f>COUNTIFS(BD!G:G,'Panorama (res. por Vara)'!B34,BD!BB:BB,"sim")</f>
        <v>0</v>
      </c>
      <c r="AC34" s="213">
        <f t="shared" si="5"/>
        <v>0</v>
      </c>
      <c r="AD34" s="212">
        <f>COUNTIFS(BD!G:G,'Panorama (res. por Vara)'!B34,BD!BC:BC,"sim")</f>
        <v>0</v>
      </c>
      <c r="AE34" s="213">
        <f t="shared" ref="AE34" si="94">AD34/$C34</f>
        <v>0</v>
      </c>
      <c r="AF34" s="212">
        <f>COUNTIFS(BD!G:G,'Panorama (res. por Vara)'!B34,BD!BD:BD,"sim")</f>
        <v>0</v>
      </c>
      <c r="AG34" s="213">
        <f t="shared" ref="AG34" si="95">AF34/$C34</f>
        <v>0</v>
      </c>
      <c r="AH34" s="212">
        <f>COUNTIFS(BD!G:G,'Panorama (res. por Vara)'!B34,BD!BE:BE,"sim")</f>
        <v>0</v>
      </c>
      <c r="AI34" s="218">
        <f t="shared" ref="AI34" si="96">AH34/$C34</f>
        <v>0</v>
      </c>
      <c r="AJ34" s="215">
        <f>COUNTIFS(BD!G:G,'Panorama (res. por Vara)'!B34,BD!BH:BH,"sim")</f>
        <v>0</v>
      </c>
      <c r="AK34" s="214">
        <f t="shared" si="9"/>
        <v>0</v>
      </c>
      <c r="AL34" s="217">
        <f>COUNTIFS(BD!G:G,'Panorama (res. por Vara)'!B34,BD!BJ:BJ,'Panorama (res. por Vara)'!$AL$4)</f>
        <v>8</v>
      </c>
      <c r="AM34" s="214">
        <f t="shared" si="10"/>
        <v>0.5</v>
      </c>
      <c r="AN34" s="220">
        <f>COUNTIFS(BD!G:G,'Panorama (res. por Vara)'!B34,BD!BL:BL,"&gt;0")</f>
        <v>14</v>
      </c>
      <c r="AO34" s="221">
        <f>SUMIF(BD!G:G,'Panorama (res. por Vara)'!B34,BD!BL:BL)/AN34</f>
        <v>42.285714285714285</v>
      </c>
      <c r="AP34" s="212">
        <f>COUNTIFS(BD!G:G,'Panorama (res. por Vara)'!B34,BD!BP:BP,"&gt;0")</f>
        <v>14</v>
      </c>
      <c r="AQ34" s="222">
        <f>SUMIF(BD!G:G,'Panorama (res. por Vara)'!B34,BD!BP:BP)/AP34</f>
        <v>42.285714285714285</v>
      </c>
      <c r="AR34" s="217">
        <f>COUNTIFS(BD!G:G,'Panorama (res. por Vara)'!B34,BD!BQ:BQ,"Sim")</f>
        <v>4</v>
      </c>
      <c r="AS34" s="214">
        <f t="shared" si="11"/>
        <v>0.25</v>
      </c>
      <c r="AT34" s="223">
        <f>COUNTIFS(BD!G:G,'Panorama (res. por Vara)'!B34,BD!BS:BS,"Fechado")</f>
        <v>7</v>
      </c>
      <c r="AU34" s="224">
        <f t="shared" si="12"/>
        <v>0.4375</v>
      </c>
    </row>
    <row r="35" spans="2:47">
      <c r="B35" s="2" t="s">
        <v>392</v>
      </c>
      <c r="C35" s="197">
        <f>COUNTIF(BD!G:G,'Panorama (res. por Vara)'!B35)</f>
        <v>14</v>
      </c>
      <c r="D35" s="197">
        <f>COUNTIFS(BD!G:G,'Panorama (res. por Vara)'!B35,BD!K:K,$D$4)</f>
        <v>14</v>
      </c>
      <c r="E35" s="198">
        <f t="shared" si="0"/>
        <v>1</v>
      </c>
      <c r="F35" s="197">
        <f>COUNTIFS(BD!G:G,'Panorama (res. por Vara)'!B35,BD!O:O,$F$4)</f>
        <v>11</v>
      </c>
      <c r="G35" s="198">
        <f t="shared" si="1"/>
        <v>0.7857142857142857</v>
      </c>
      <c r="H35" s="201">
        <f>SUMIF(BD!G:G,'Panorama (res. por Vara)'!B35,BD!M:M)/C35</f>
        <v>26</v>
      </c>
      <c r="I35" s="203">
        <f>COUNTIFS(BD!G:G,'Panorama (res. por Vara)'!B35,BD!S:S,"&gt;0")</f>
        <v>12</v>
      </c>
      <c r="J35" s="204">
        <f>SUMIF(BD!G:G,'Panorama (res. por Vara)'!B35,BD!S:S)/I35</f>
        <v>802.70833333333348</v>
      </c>
      <c r="K35" s="194">
        <f>COUNTIFS(BD!G:G,'Panorama (res. por Vara)'!B35,BD!U:U,"&gt;0")</f>
        <v>13</v>
      </c>
      <c r="L35" s="204">
        <f>SUMIF(BD!G:G,'Panorama (res. por Vara)'!B35,BD!U:U)/K35</f>
        <v>173.70000000000002</v>
      </c>
      <c r="M35" s="194">
        <f>COUNTIFS(BD!G:G,'Panorama (res. por Vara)'!B35,BD!W:W,"&gt;0")</f>
        <v>4</v>
      </c>
      <c r="N35" s="204">
        <f>SUMIF(BD!G:G,'Panorama (res. por Vara)'!B35,BD!W:W)/M35</f>
        <v>13.725</v>
      </c>
      <c r="O35" s="194">
        <f>COUNTIFS(BD!G:G,'Panorama (res. por Vara)'!B35,BD!Y:Y,"&gt;0")</f>
        <v>0</v>
      </c>
      <c r="P35" s="194" t="str">
        <f>IF(O35=0,"-",SUMIF(BD!G:G,'Panorama (res. por Vara)'!B35,BD!Y:Y)/O35)</f>
        <v>-</v>
      </c>
      <c r="Q35" s="194">
        <f>COUNTIFS(BD!G:G,'Panorama (res. por Vara)'!B35,BD!AA:AA,"&gt;0")</f>
        <v>0</v>
      </c>
      <c r="R35" s="207" t="str">
        <f>IF(Q35=0,"-",SUMIF(BD!G:G,'Panorama (res. por Vara)'!B35,BD!AA:AA)/Q35)</f>
        <v>-</v>
      </c>
      <c r="S35" s="206">
        <f>COUNTIFS(BD!G:G,'Panorama (res. por Vara)'!B35,BD!AB:AB,"&lt;&gt;0")</f>
        <v>2</v>
      </c>
      <c r="T35" s="210">
        <f>COUNTIFS(BD!G:G,'Panorama (res. por Vara)'!B35,BD!AM:AM,'Panorama (res. por Vara)'!$T$4)</f>
        <v>12</v>
      </c>
      <c r="U35" s="211">
        <f t="shared" si="2"/>
        <v>0.8571428571428571</v>
      </c>
      <c r="V35" s="215">
        <f>COUNTIFS(BD!G:G,'Panorama (res. por Vara)'!B35,BD!AU:AU,"sim")</f>
        <v>0</v>
      </c>
      <c r="W35" s="213">
        <f t="shared" si="3"/>
        <v>0</v>
      </c>
      <c r="X35" s="212">
        <f>COUNTIFS(BD!G:G,'Panorama (res. por Vara)'!B35,BD!AV:AV,"sim")</f>
        <v>0</v>
      </c>
      <c r="Y35" s="214">
        <f t="shared" si="4"/>
        <v>0</v>
      </c>
      <c r="Z35" s="215">
        <f>COUNTIFS(BD!G:G,'Panorama (res. por Vara)'!B35,BD!BA:BA,"sim")</f>
        <v>2</v>
      </c>
      <c r="AA35" s="213">
        <f t="shared" si="5"/>
        <v>0.14285714285714285</v>
      </c>
      <c r="AB35" s="212">
        <f>COUNTIFS(BD!G:G,'Panorama (res. por Vara)'!B35,BD!BB:BB,"sim")</f>
        <v>0</v>
      </c>
      <c r="AC35" s="213">
        <f t="shared" si="5"/>
        <v>0</v>
      </c>
      <c r="AD35" s="212">
        <f>COUNTIFS(BD!G:G,'Panorama (res. por Vara)'!B35,BD!BC:BC,"sim")</f>
        <v>0</v>
      </c>
      <c r="AE35" s="213">
        <f t="shared" ref="AE35" si="97">AD35/$C35</f>
        <v>0</v>
      </c>
      <c r="AF35" s="212">
        <f>COUNTIFS(BD!G:G,'Panorama (res. por Vara)'!B35,BD!BD:BD,"sim")</f>
        <v>0</v>
      </c>
      <c r="AG35" s="213">
        <f t="shared" ref="AG35" si="98">AF35/$C35</f>
        <v>0</v>
      </c>
      <c r="AH35" s="212">
        <f>COUNTIFS(BD!G:G,'Panorama (res. por Vara)'!B35,BD!BE:BE,"sim")</f>
        <v>0</v>
      </c>
      <c r="AI35" s="218">
        <f t="shared" ref="AI35" si="99">AH35/$C35</f>
        <v>0</v>
      </c>
      <c r="AJ35" s="215">
        <f>COUNTIFS(BD!G:G,'Panorama (res. por Vara)'!B35,BD!BH:BH,"sim")</f>
        <v>2</v>
      </c>
      <c r="AK35" s="214">
        <f t="shared" si="9"/>
        <v>0.14285714285714285</v>
      </c>
      <c r="AL35" s="217">
        <f>COUNTIFS(BD!G:G,'Panorama (res. por Vara)'!B35,BD!BJ:BJ,'Panorama (res. por Vara)'!$AL$4)</f>
        <v>9</v>
      </c>
      <c r="AM35" s="214">
        <f t="shared" si="10"/>
        <v>0.6428571428571429</v>
      </c>
      <c r="AN35" s="220">
        <f>COUNTIFS(BD!G:G,'Panorama (res. por Vara)'!B35,BD!BL:BL,"&gt;0")</f>
        <v>12</v>
      </c>
      <c r="AO35" s="221">
        <f>SUMIF(BD!G:G,'Panorama (res. por Vara)'!B35,BD!BL:BL)/AN35</f>
        <v>42.888888888888886</v>
      </c>
      <c r="AP35" s="212">
        <f>COUNTIFS(BD!G:G,'Panorama (res. por Vara)'!B35,BD!BP:BP,"&gt;0")</f>
        <v>12</v>
      </c>
      <c r="AQ35" s="222">
        <f>SUMIF(BD!G:G,'Panorama (res. por Vara)'!B35,BD!BP:BP)/AP35</f>
        <v>49.722222222222221</v>
      </c>
      <c r="AR35" s="217">
        <f>COUNTIFS(BD!G:G,'Panorama (res. por Vara)'!B35,BD!BQ:BQ,"Sim")</f>
        <v>3</v>
      </c>
      <c r="AS35" s="214">
        <f t="shared" si="11"/>
        <v>0.21428571428571427</v>
      </c>
      <c r="AT35" s="223">
        <f>COUNTIFS(BD!G:G,'Panorama (res. por Vara)'!B35,BD!BS:BS,"Fechado")</f>
        <v>5</v>
      </c>
      <c r="AU35" s="224">
        <f t="shared" si="12"/>
        <v>0.35714285714285715</v>
      </c>
    </row>
    <row r="36" spans="2:47">
      <c r="B36" s="2" t="s">
        <v>411</v>
      </c>
      <c r="C36" s="197">
        <f>COUNTIF(BD!G:G,'Panorama (res. por Vara)'!B36)</f>
        <v>22</v>
      </c>
      <c r="D36" s="197">
        <f>COUNTIFS(BD!G:G,'Panorama (res. por Vara)'!B36,BD!K:K,$D$4)</f>
        <v>21</v>
      </c>
      <c r="E36" s="198">
        <f t="shared" si="0"/>
        <v>0.95454545454545459</v>
      </c>
      <c r="F36" s="197">
        <f>COUNTIFS(BD!G:G,'Panorama (res. por Vara)'!B36,BD!O:O,$F$4)</f>
        <v>13</v>
      </c>
      <c r="G36" s="198">
        <f t="shared" si="1"/>
        <v>0.59090909090909094</v>
      </c>
      <c r="H36" s="201">
        <f>SUMIF(BD!G:G,'Panorama (res. por Vara)'!B36,BD!M:M)/C36</f>
        <v>25.818181818181817</v>
      </c>
      <c r="I36" s="203">
        <f>COUNTIFS(BD!G:G,'Panorama (res. por Vara)'!B36,BD!S:S,"&gt;0")</f>
        <v>13</v>
      </c>
      <c r="J36" s="204">
        <f>SUMIF(BD!G:G,'Panorama (res. por Vara)'!B36,BD!S:S)/I36</f>
        <v>2597.9538461538468</v>
      </c>
      <c r="K36" s="194">
        <f>COUNTIFS(BD!G:G,'Panorama (res. por Vara)'!B36,BD!U:U,"&gt;0")</f>
        <v>19</v>
      </c>
      <c r="L36" s="204">
        <f>SUMIF(BD!G:G,'Panorama (res. por Vara)'!B36,BD!U:U)/K36</f>
        <v>511.09473684210531</v>
      </c>
      <c r="M36" s="194">
        <f>COUNTIFS(BD!G:G,'Panorama (res. por Vara)'!B36,BD!W:W,"&gt;0")</f>
        <v>10</v>
      </c>
      <c r="N36" s="204">
        <f>SUMIF(BD!G:G,'Panorama (res. por Vara)'!B36,BD!W:W)/M36</f>
        <v>37.230000000000004</v>
      </c>
      <c r="O36" s="194">
        <f>COUNTIFS(BD!G:G,'Panorama (res. por Vara)'!B36,BD!Y:Y,"&gt;0")</f>
        <v>3</v>
      </c>
      <c r="P36" s="194">
        <f>IF(O36=0,"-",SUMIF(BD!G:G,'Panorama (res. por Vara)'!B36,BD!Y:Y)/O36)</f>
        <v>246.30000000000004</v>
      </c>
      <c r="Q36" s="194">
        <f>COUNTIFS(BD!G:G,'Panorama (res. por Vara)'!B36,BD!AA:AA,"&gt;0")</f>
        <v>3</v>
      </c>
      <c r="R36" s="207">
        <f>IF(Q36=0,"-",SUMIF(BD!G:G,'Panorama (res. por Vara)'!B36,BD!AA:AA)/Q36)</f>
        <v>0.20000000000000004</v>
      </c>
      <c r="S36" s="206">
        <f>COUNTIFS(BD!G:G,'Panorama (res. por Vara)'!B36,BD!AB:AB,"&lt;&gt;0")</f>
        <v>3</v>
      </c>
      <c r="T36" s="210">
        <f>COUNTIFS(BD!G:G,'Panorama (res. por Vara)'!B36,BD!AM:AM,'Panorama (res. por Vara)'!$T$4)</f>
        <v>21</v>
      </c>
      <c r="U36" s="211">
        <f t="shared" si="2"/>
        <v>0.95454545454545459</v>
      </c>
      <c r="V36" s="215">
        <f>COUNTIFS(BD!G:G,'Panorama (res. por Vara)'!B36,BD!AU:AU,"sim")</f>
        <v>1</v>
      </c>
      <c r="W36" s="213">
        <f t="shared" si="3"/>
        <v>4.5454545454545456E-2</v>
      </c>
      <c r="X36" s="212">
        <f>COUNTIFS(BD!G:G,'Panorama (res. por Vara)'!B36,BD!AV:AV,"sim")</f>
        <v>0</v>
      </c>
      <c r="Y36" s="214">
        <f t="shared" si="4"/>
        <v>0</v>
      </c>
      <c r="Z36" s="215">
        <f>COUNTIFS(BD!G:G,'Panorama (res. por Vara)'!B36,BD!BA:BA,"sim")</f>
        <v>1</v>
      </c>
      <c r="AA36" s="213">
        <f t="shared" si="5"/>
        <v>4.5454545454545456E-2</v>
      </c>
      <c r="AB36" s="212">
        <f>COUNTIFS(BD!G:G,'Panorama (res. por Vara)'!B36,BD!BB:BB,"sim")</f>
        <v>0</v>
      </c>
      <c r="AC36" s="213">
        <f t="shared" si="5"/>
        <v>0</v>
      </c>
      <c r="AD36" s="212">
        <f>COUNTIFS(BD!G:G,'Panorama (res. por Vara)'!B36,BD!BC:BC,"sim")</f>
        <v>0</v>
      </c>
      <c r="AE36" s="213">
        <f t="shared" ref="AE36" si="100">AD36/$C36</f>
        <v>0</v>
      </c>
      <c r="AF36" s="212">
        <f>COUNTIFS(BD!G:G,'Panorama (res. por Vara)'!B36,BD!BD:BD,"sim")</f>
        <v>0</v>
      </c>
      <c r="AG36" s="213">
        <f t="shared" ref="AG36" si="101">AF36/$C36</f>
        <v>0</v>
      </c>
      <c r="AH36" s="212">
        <f>COUNTIFS(BD!G:G,'Panorama (res. por Vara)'!B36,BD!BE:BE,"sim")</f>
        <v>0</v>
      </c>
      <c r="AI36" s="218">
        <f t="shared" ref="AI36" si="102">AH36/$C36</f>
        <v>0</v>
      </c>
      <c r="AJ36" s="215">
        <f>COUNTIFS(BD!G:G,'Panorama (res. por Vara)'!B36,BD!BH:BH,"sim")</f>
        <v>1</v>
      </c>
      <c r="AK36" s="214">
        <f t="shared" si="9"/>
        <v>4.5454545454545456E-2</v>
      </c>
      <c r="AL36" s="217">
        <f>COUNTIFS(BD!G:G,'Panorama (res. por Vara)'!B36,BD!BJ:BJ,'Panorama (res. por Vara)'!$AL$4)</f>
        <v>13</v>
      </c>
      <c r="AM36" s="214">
        <f t="shared" si="10"/>
        <v>0.59090909090909094</v>
      </c>
      <c r="AN36" s="220">
        <f>COUNTIFS(BD!G:G,'Panorama (res. por Vara)'!B36,BD!BL:BL,"&gt;0")</f>
        <v>21</v>
      </c>
      <c r="AO36" s="221">
        <f>SUMIF(BD!G:G,'Panorama (res. por Vara)'!B36,BD!BL:BL)/AN36</f>
        <v>43.873015873015866</v>
      </c>
      <c r="AP36" s="212">
        <f>COUNTIFS(BD!G:G,'Panorama (res. por Vara)'!B36,BD!BP:BP,"&gt;0")</f>
        <v>21</v>
      </c>
      <c r="AQ36" s="222">
        <f>SUMIF(BD!G:G,'Panorama (res. por Vara)'!B36,BD!BP:BP)/AP36</f>
        <v>84.158730158730151</v>
      </c>
      <c r="AR36" s="217">
        <f>COUNTIFS(BD!G:G,'Panorama (res. por Vara)'!B36,BD!BQ:BQ,"Sim")</f>
        <v>12</v>
      </c>
      <c r="AS36" s="214">
        <f t="shared" si="11"/>
        <v>0.54545454545454541</v>
      </c>
      <c r="AT36" s="223">
        <f>COUNTIFS(BD!G:G,'Panorama (res. por Vara)'!B36,BD!BS:BS,"Fechado")</f>
        <v>5</v>
      </c>
      <c r="AU36" s="224">
        <f t="shared" si="12"/>
        <v>0.22727272727272727</v>
      </c>
    </row>
  </sheetData>
  <sortState ref="B5:B36">
    <sortCondition ref="B5"/>
  </sortState>
  <mergeCells count="16">
    <mergeCell ref="D3:E3"/>
    <mergeCell ref="F3:G3"/>
    <mergeCell ref="AP3:AQ3"/>
    <mergeCell ref="I3:J3"/>
    <mergeCell ref="T3:U3"/>
    <mergeCell ref="V3:Y3"/>
    <mergeCell ref="Z3:AI3"/>
    <mergeCell ref="AJ3:AK3"/>
    <mergeCell ref="AL3:AM3"/>
    <mergeCell ref="AT3:AU3"/>
    <mergeCell ref="Q3:R3"/>
    <mergeCell ref="K3:L3"/>
    <mergeCell ref="M3:N3"/>
    <mergeCell ref="O3:P3"/>
    <mergeCell ref="AN3:AO3"/>
    <mergeCell ref="AR3:AS3"/>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AplicQuest</vt:lpstr>
      <vt:lpstr>TJSP - Apenas p Complementação</vt:lpstr>
      <vt:lpstr>BD</vt:lpstr>
      <vt:lpstr>Objetivos</vt:lpstr>
      <vt:lpstr>Descritivo</vt:lpstr>
      <vt:lpstr>Panorama (res. por Vara)</vt:lpstr>
      <vt:lpstr>AplicQuest!Extract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dc:creator>
  <cp:lastModifiedBy>carolpecaibes</cp:lastModifiedBy>
  <cp:lastPrinted>2018-11-26T16:56:08Z</cp:lastPrinted>
  <dcterms:created xsi:type="dcterms:W3CDTF">2018-10-10T02:12:32Z</dcterms:created>
  <dcterms:modified xsi:type="dcterms:W3CDTF">2019-02-03T19:45:07Z</dcterms:modified>
</cp:coreProperties>
</file>